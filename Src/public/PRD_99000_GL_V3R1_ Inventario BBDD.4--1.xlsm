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2.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26.xml" ContentType="application/vnd.openxmlformats-officedocument.spreadsheetml.revisionLog+xml"/>
  <Override PartName="/xl/revisions/revisionLog25.xml" ContentType="application/vnd.openxmlformats-officedocument.spreadsheetml.revisionLog+xml"/>
  <Override PartName="/xl/revisions/revisionLog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mc:AlternateContent xmlns:mc="http://schemas.openxmlformats.org/markup-compatibility/2006">
    <mc:Choice Requires="x15">
      <x15ac:absPath xmlns:x15ac="http://schemas.microsoft.com/office/spreadsheetml/2010/11/ac" url="\\figari\docsbantotal\version2\ORG.INTEGRAL\WEBV3R1\Manuales\MODELO DE DATOS BANTOTAL\"/>
    </mc:Choice>
  </mc:AlternateContent>
  <xr:revisionPtr revIDLastSave="0" documentId="13_ncr:81_{50E157A5-7158-433C-A928-E9D78A728EF7}" xr6:coauthVersionLast="47" xr6:coauthVersionMax="47" xr10:uidLastSave="{00000000-0000-0000-0000-000000000000}"/>
  <bookViews>
    <workbookView xWindow="-120" yWindow="-120" windowWidth="20730" windowHeight="11160" xr2:uid="{00000000-000D-0000-FFFF-FFFF00000000}"/>
  </bookViews>
  <sheets>
    <sheet name="Inventario" sheetId="1" r:id="rId1"/>
    <sheet name="EQUIVALENCIAS" sheetId="2" r:id="rId2"/>
    <sheet name="Referencias actualización " sheetId="3"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s>
  <definedNames>
    <definedName name="_xlnm._FilterDatabase" localSheetId="0" hidden="1">Inventario!$B$6:$R$6266</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Inventario!$B$6:$R$6100</definedName>
    <definedName name="Z_3DC6AFD1_B20D_4FF4_98DB_10ED1B549922_.wvu.Cols" localSheetId="0" hidden="1">Inventario!$I:$J</definedName>
    <definedName name="Z_3DC6AFD1_B20D_4FF4_98DB_10ED1B549922_.wvu.FilterData" localSheetId="0" hidden="1">Inventario!$B$6:$R$6048</definedName>
    <definedName name="Z_4059AA6B_1A1C_40BD_A7AD_14CCCB4B9816_.wvu.Cols" localSheetId="0" hidden="1">Inventario!$I:$J</definedName>
    <definedName name="Z_4059AA6B_1A1C_40BD_A7AD_14CCCB4B9816_.wvu.FilterData" localSheetId="0" hidden="1">Inventario!$B$6:$R$6100</definedName>
    <definedName name="Z_A0A22685_29C8_428F_A33A_0E82799624E9_.wvu.FilterData" localSheetId="0" hidden="1">Inventario!$B$6:$R$6100</definedName>
    <definedName name="Z_CCDC731F_B97F_4377_83B6_B46479235247_.wvu.FilterData" localSheetId="0" hidden="1">Inventario!$B$6:$R$6048</definedName>
    <definedName name="Z_CCDC99D9_ED7F_4E00_BF84_F4E2C60547DA_.wvu.Cols" localSheetId="0" hidden="1">Inventario!$I:$J</definedName>
    <definedName name="Z_CCDC99D9_ED7F_4E00_BF84_F4E2C60547DA_.wvu.FilterData" localSheetId="0" hidden="1">Inventario!$B$6:$R$6266</definedName>
    <definedName name="Z_FED60004_C791_4ADD_AF07_891C513D4177_.wvu.Cols" localSheetId="0" hidden="1">Inventario!$I:$J</definedName>
    <definedName name="Z_FED60004_C791_4ADD_AF07_891C513D4177_.wvu.FilterData" localSheetId="0" hidden="1">Inventario!$B$6:$R$6266</definedName>
  </definedNames>
  <calcPr calcId="191029"/>
  <customWorkbookViews>
    <customWorkbookView name="Anahí Morales - Vista personalizada" guid="{CCDC99D9-ED7F-4E00-BF84-F4E2C60547DA}" mergeInterval="0" personalView="1" maximized="1" xWindow="-8" yWindow="-8" windowWidth="1382" windowHeight="744" activeSheetId="1"/>
    <customWorkbookView name="Rodrigo Barquín - Vista personalizada" guid="{FED60004-C791-4ADD-AF07-891C513D4177}" mergeInterval="0" personalView="1" maximized="1" xWindow="-8" yWindow="-8" windowWidth="1382" windowHeight="736" activeSheetId="1"/>
    <customWorkbookView name="RAlvarez - Vista personalizada" guid="{3DC6AFD1-B20D-4FF4-98DB-10ED1B549922}" mergeInterval="0" personalView="1" maximized="1" xWindow="-8" yWindow="-8" windowWidth="1382" windowHeight="744" activeSheetId="1"/>
    <customWorkbookView name="Erika Pranka - Vista personalizada" guid="{A0A22685-29C8-428F-A33A-0E82799624E9}" mergeInterval="0" personalView="1" maximized="1" xWindow="-8" yWindow="-8" windowWidth="1936" windowHeight="1056" activeSheetId="1"/>
    <customWorkbookView name="Pedro Crampet - Vista personalizada" guid="{11C35935-AB07-47B7-953F-9E6A80B0500A}" mergeInterval="0" personalView="1" maximized="1" xWindow="-8" yWindow="-8" windowWidth="1936" windowHeight="1056" activeSheetId="1"/>
    <customWorkbookView name="Natalia Parrilla - Vista personalizada" guid="{4059AA6B-1A1C-40BD-A7AD-14CCCB4B9816}"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099" i="1" l="1"/>
  <c r="P261" i="1"/>
  <c r="P262" i="1"/>
  <c r="P263" i="1"/>
  <c r="P264" i="1"/>
  <c r="P265" i="1"/>
  <c r="P6143" i="1"/>
  <c r="P6144" i="1"/>
  <c r="P6149" i="1"/>
  <c r="P6132" i="1"/>
  <c r="P6133" i="1"/>
  <c r="P6411" i="1"/>
  <c r="P948" i="1"/>
  <c r="P949" i="1"/>
  <c r="P950" i="1"/>
  <c r="P6341" i="1"/>
  <c r="P828" i="1"/>
  <c r="P829" i="1"/>
  <c r="P6097" i="1" l="1"/>
  <c r="P6815" i="1"/>
  <c r="P6816" i="1"/>
  <c r="P6697" i="1"/>
  <c r="P6698" i="1"/>
  <c r="P6807" i="1" l="1"/>
  <c r="P6796" i="1"/>
  <c r="P6805" i="1"/>
  <c r="P6806" i="1"/>
  <c r="P6699" i="1"/>
  <c r="P6803" i="1"/>
  <c r="P6804" i="1"/>
  <c r="P6808" i="1"/>
  <c r="P6809" i="1"/>
  <c r="P6810" i="1"/>
  <c r="P6811" i="1"/>
  <c r="P6812" i="1"/>
  <c r="P6813" i="1"/>
  <c r="P6814" i="1"/>
  <c r="P6410" i="1"/>
  <c r="P3451" i="1"/>
  <c r="P3452" i="1"/>
  <c r="P3453" i="1"/>
  <c r="P3454" i="1"/>
  <c r="P3455" i="1"/>
  <c r="P3456" i="1"/>
  <c r="P3457" i="1"/>
  <c r="P3458" i="1"/>
  <c r="P3459" i="1"/>
  <c r="P3460" i="1"/>
  <c r="P3461" i="1"/>
  <c r="P6141" i="1"/>
  <c r="P6409" i="1"/>
  <c r="P6161" i="1"/>
  <c r="P6696" i="1"/>
  <c r="P6695" i="1"/>
  <c r="P6694" i="1"/>
  <c r="P6147" i="1"/>
  <c r="P6118" i="1"/>
  <c r="P6105" i="1"/>
  <c r="P6106" i="1"/>
  <c r="P6107" i="1"/>
  <c r="P6108" i="1"/>
  <c r="P6109" i="1"/>
  <c r="P6110" i="1"/>
  <c r="P6148" i="1"/>
  <c r="P6788" i="1"/>
  <c r="P6789" i="1"/>
  <c r="P6790" i="1"/>
  <c r="P6792" i="1"/>
  <c r="P6793" i="1"/>
  <c r="P6794" i="1"/>
  <c r="P6795" i="1"/>
  <c r="P6797" i="1"/>
  <c r="P6798" i="1"/>
  <c r="P6799" i="1"/>
  <c r="P6800" i="1"/>
  <c r="P6801" i="1"/>
  <c r="P6802" i="1"/>
  <c r="P6140" i="1"/>
  <c r="P6142" i="1"/>
  <c r="P6134" i="1"/>
  <c r="P6135" i="1"/>
  <c r="P6136" i="1"/>
  <c r="P6137" i="1"/>
  <c r="P6138" i="1"/>
  <c r="P6158" i="1"/>
  <c r="P3445" i="1"/>
  <c r="P3446" i="1"/>
  <c r="P3447" i="1"/>
  <c r="P3448" i="1"/>
  <c r="P3449" i="1"/>
  <c r="P3450" i="1"/>
  <c r="P6130" i="1"/>
  <c r="P6150" i="1"/>
  <c r="P6101" i="1"/>
  <c r="P6098" i="1"/>
  <c r="P6677" i="1"/>
  <c r="P6678" i="1"/>
  <c r="P6679" i="1"/>
  <c r="P6680" i="1"/>
  <c r="P6681" i="1"/>
  <c r="P6682" i="1"/>
  <c r="P6683" i="1"/>
  <c r="P6684" i="1"/>
  <c r="P6685" i="1"/>
  <c r="P6686" i="1"/>
  <c r="P6687" i="1"/>
  <c r="P6688" i="1"/>
  <c r="P6689" i="1"/>
  <c r="P6690" i="1"/>
  <c r="P6691" i="1"/>
  <c r="P6692" i="1"/>
  <c r="P6693"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633" i="1"/>
  <c r="P6632" i="1"/>
  <c r="P6631" i="1"/>
  <c r="P6599" i="1"/>
  <c r="P6524" i="1"/>
  <c r="P6523" i="1"/>
  <c r="P6479" i="1"/>
  <c r="P6453" i="1"/>
  <c r="P6452" i="1"/>
  <c r="P6449" i="1"/>
  <c r="P6450" i="1"/>
  <c r="P6451" i="1"/>
  <c r="P6518" i="1"/>
  <c r="P6519" i="1"/>
  <c r="P6520" i="1"/>
  <c r="P6517" i="1"/>
  <c r="P6438" i="1"/>
  <c r="P6439" i="1"/>
  <c r="P6440" i="1"/>
  <c r="P6441" i="1"/>
  <c r="P6442" i="1"/>
  <c r="P6443" i="1"/>
  <c r="P6444" i="1"/>
  <c r="P6445" i="1"/>
  <c r="P6446" i="1"/>
  <c r="P6447" i="1"/>
  <c r="P6448" i="1"/>
  <c r="P6434" i="1"/>
  <c r="P6435" i="1"/>
  <c r="P6436" i="1"/>
  <c r="P6437" i="1"/>
  <c r="P6433" i="1"/>
  <c r="P6431" i="1"/>
  <c r="P6366" i="1" l="1"/>
  <c r="P6277" i="1"/>
  <c r="P6163" i="1"/>
  <c r="P6612" i="1"/>
  <c r="P6613" i="1"/>
  <c r="P6614" i="1"/>
  <c r="P6615" i="1"/>
  <c r="P6616" i="1"/>
  <c r="P6617" i="1"/>
  <c r="P6618" i="1"/>
  <c r="P6619" i="1"/>
  <c r="P6620" i="1"/>
  <c r="P6621" i="1"/>
  <c r="P6622" i="1"/>
  <c r="P6623" i="1"/>
  <c r="P6624" i="1"/>
  <c r="P6625" i="1"/>
  <c r="P6626" i="1"/>
  <c r="P6627" i="1"/>
  <c r="P6628" i="1"/>
  <c r="P6629" i="1"/>
  <c r="P6630"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571" i="1"/>
  <c r="P6557" i="1"/>
  <c r="P6558" i="1"/>
  <c r="P6559" i="1"/>
  <c r="P6560" i="1"/>
  <c r="P6561" i="1"/>
  <c r="P6562" i="1"/>
  <c r="P6563" i="1"/>
  <c r="P6564" i="1"/>
  <c r="P6565" i="1"/>
  <c r="P6566" i="1"/>
  <c r="P6567" i="1"/>
  <c r="P6568" i="1"/>
  <c r="P6569" i="1"/>
  <c r="P6570"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600" i="1"/>
  <c r="P6601" i="1"/>
  <c r="P6602" i="1"/>
  <c r="P6603" i="1"/>
  <c r="P6604" i="1"/>
  <c r="P6605" i="1"/>
  <c r="P6606" i="1"/>
  <c r="P6607" i="1"/>
  <c r="P6608" i="1"/>
  <c r="P6609" i="1"/>
  <c r="P6610" i="1"/>
  <c r="P6611"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21" i="1"/>
  <c r="P6522"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12" i="1"/>
  <c r="P6413" i="1"/>
  <c r="P6414" i="1"/>
  <c r="P6415" i="1"/>
  <c r="P6416" i="1"/>
  <c r="P6417" i="1"/>
  <c r="P6418" i="1"/>
  <c r="P6419" i="1"/>
  <c r="P6420" i="1"/>
  <c r="P6421" i="1"/>
  <c r="P6422" i="1"/>
  <c r="P6423" i="1"/>
  <c r="P6424" i="1"/>
  <c r="P6425" i="1"/>
  <c r="P6426" i="1"/>
  <c r="P6427" i="1"/>
  <c r="P6428" i="1"/>
  <c r="P6429" i="1"/>
  <c r="P6430" i="1"/>
  <c r="P6432"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80" i="1"/>
  <c r="P6258" i="1"/>
  <c r="P6259" i="1"/>
  <c r="P6260" i="1"/>
  <c r="P6261" i="1"/>
  <c r="P6262" i="1"/>
  <c r="P6263" i="1"/>
  <c r="P6264" i="1"/>
  <c r="P6265" i="1"/>
  <c r="P6266" i="1"/>
  <c r="P6267" i="1"/>
  <c r="P6268" i="1"/>
  <c r="P6269" i="1"/>
  <c r="P6270" i="1"/>
  <c r="P6271" i="1"/>
  <c r="P6272" i="1"/>
  <c r="P6273" i="1"/>
  <c r="P6274" i="1"/>
  <c r="P6275" i="1"/>
  <c r="P6276"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243" i="1" l="1"/>
  <c r="P6244" i="1"/>
  <c r="P6245" i="1"/>
  <c r="P6246" i="1"/>
  <c r="P6247" i="1"/>
  <c r="P6248" i="1"/>
  <c r="P6249" i="1"/>
  <c r="P6250" i="1"/>
  <c r="P6251" i="1"/>
  <c r="P6252" i="1"/>
  <c r="P6253" i="1"/>
  <c r="P6254" i="1"/>
  <c r="P6255" i="1"/>
  <c r="P6256" i="1"/>
  <c r="P6257" i="1"/>
  <c r="P5990" i="1"/>
  <c r="P5991" i="1"/>
  <c r="P5992" i="1"/>
  <c r="P5993" i="1"/>
  <c r="P5994" i="1"/>
  <c r="P5995" i="1"/>
  <c r="K6154" i="1"/>
  <c r="P6131" i="1"/>
  <c r="P6139" i="1"/>
  <c r="P6145" i="1"/>
  <c r="P6146" i="1"/>
  <c r="P6151" i="1"/>
  <c r="P6152" i="1"/>
  <c r="P6153" i="1"/>
  <c r="P6154" i="1"/>
  <c r="P6155" i="1"/>
  <c r="P6156" i="1"/>
  <c r="P6157" i="1"/>
  <c r="P6159" i="1"/>
  <c r="P6160" i="1"/>
  <c r="P6162"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128" i="1"/>
  <c r="P6129" i="1"/>
  <c r="P6124" i="1"/>
  <c r="P6125" i="1"/>
  <c r="P6126" i="1"/>
  <c r="P6127" i="1"/>
  <c r="P6122" i="1" l="1"/>
  <c r="P6123" i="1"/>
  <c r="P5914" i="1"/>
  <c r="P5915" i="1"/>
  <c r="P6117" i="1"/>
  <c r="P6121" i="1"/>
  <c r="P6120" i="1"/>
  <c r="P6119" i="1"/>
  <c r="P6116" i="1"/>
  <c r="P6115" i="1"/>
  <c r="P6113" i="1"/>
  <c r="P6114" i="1"/>
  <c r="P6111" i="1"/>
  <c r="P6112" i="1"/>
  <c r="P6100" i="1"/>
  <c r="P6102" i="1"/>
  <c r="P6103" i="1"/>
  <c r="P6104" i="1"/>
  <c r="P874" i="1"/>
  <c r="P208" i="1"/>
  <c r="C2971" i="1"/>
  <c r="C4038" i="1"/>
  <c r="C4040" i="1"/>
  <c r="C4041" i="1"/>
  <c r="C4042" i="1"/>
  <c r="C4043" i="1"/>
  <c r="C4044" i="1"/>
  <c r="P6085" i="1" l="1"/>
  <c r="P6086" i="1"/>
  <c r="P6087" i="1"/>
  <c r="P6088" i="1"/>
  <c r="P6089" i="1"/>
  <c r="P6090" i="1"/>
  <c r="P6091" i="1"/>
  <c r="P6092" i="1"/>
  <c r="P6093" i="1"/>
  <c r="P6094" i="1"/>
  <c r="P6095" i="1"/>
  <c r="P6096" i="1"/>
  <c r="P2296" i="1" l="1"/>
  <c r="P3257" i="1" l="1"/>
  <c r="P6050" i="1" l="1"/>
  <c r="P5740" i="1"/>
  <c r="P4815" i="1"/>
  <c r="P4814" i="1"/>
  <c r="P6082" i="1"/>
  <c r="P6083" i="1"/>
  <c r="P6084" i="1"/>
  <c r="P6081" i="1"/>
  <c r="P6079" i="1"/>
  <c r="P6080" i="1"/>
  <c r="P6078" i="1" l="1"/>
  <c r="P5683" i="1"/>
  <c r="P5681" i="1"/>
  <c r="P5680" i="1"/>
  <c r="P5679" i="1"/>
  <c r="P5677" i="1"/>
  <c r="P6075" i="1"/>
  <c r="P6077" i="1"/>
  <c r="P6071" i="1"/>
  <c r="P6076" i="1"/>
  <c r="P6074" i="1"/>
  <c r="P5682" i="1"/>
  <c r="P6072" i="1"/>
  <c r="P5967" i="1"/>
  <c r="P5966" i="1"/>
  <c r="P6066" i="1"/>
  <c r="P6065" i="1"/>
  <c r="P6064" i="1"/>
  <c r="P6063" i="1"/>
  <c r="P1140" i="1"/>
  <c r="P5711" i="1"/>
  <c r="P5709" i="1"/>
  <c r="P6062" i="1"/>
  <c r="P2032" i="1" l="1"/>
  <c r="P2031" i="1"/>
  <c r="P537" i="1"/>
  <c r="P640" i="1" l="1"/>
  <c r="P641" i="1"/>
  <c r="P642" i="1"/>
  <c r="P643" i="1"/>
  <c r="P639" i="1"/>
  <c r="P638" i="1"/>
  <c r="P5253" i="1" l="1"/>
  <c r="P5254" i="1"/>
  <c r="P5252" i="1"/>
  <c r="P5974" i="1"/>
  <c r="P5118" i="1"/>
  <c r="P5117" i="1"/>
  <c r="P5119" i="1"/>
  <c r="P5120" i="1"/>
  <c r="P5114" i="1"/>
  <c r="P5115" i="1"/>
  <c r="P5116" i="1"/>
  <c r="P4864" i="1"/>
  <c r="P3529" i="1"/>
  <c r="P2743" i="1"/>
  <c r="P1219" i="1"/>
  <c r="P691" i="1"/>
  <c r="P690" i="1"/>
  <c r="P1767" i="1"/>
  <c r="P6061" i="1"/>
  <c r="P6060" i="1"/>
  <c r="P6059" i="1"/>
  <c r="P6058" i="1"/>
  <c r="P6057" i="1"/>
  <c r="P6056" i="1"/>
  <c r="P6055" i="1"/>
  <c r="P6054" i="1"/>
  <c r="P658" i="1"/>
  <c r="P657" i="1"/>
  <c r="P5251" i="1"/>
  <c r="P5250" i="1"/>
  <c r="P5936" i="1"/>
  <c r="P5935" i="1"/>
  <c r="P5934" i="1"/>
  <c r="P5930" i="1"/>
  <c r="P6053" i="1"/>
  <c r="P6052" i="1"/>
  <c r="P6049" i="1"/>
  <c r="P6051" i="1"/>
  <c r="P5855" i="1" l="1"/>
  <c r="P5854" i="1"/>
  <c r="P3630" i="1" l="1"/>
  <c r="P3631" i="1"/>
  <c r="P3629" i="1"/>
  <c r="P3628" i="1"/>
  <c r="P3627" i="1"/>
  <c r="P3626" i="1"/>
  <c r="P3625" i="1"/>
  <c r="P3624" i="1"/>
  <c r="P3623" i="1"/>
  <c r="P3622" i="1"/>
  <c r="P3619" i="1"/>
  <c r="P6048" i="1" l="1"/>
  <c r="P4345" i="1" l="1"/>
  <c r="P1615" i="1" l="1"/>
  <c r="P1598" i="1"/>
  <c r="P1631" i="1" l="1"/>
  <c r="P1628" i="1"/>
  <c r="P5661" i="1" l="1"/>
  <c r="P5664" i="1"/>
  <c r="P5665" i="1"/>
  <c r="P5666" i="1"/>
  <c r="P1748" i="1" l="1"/>
  <c r="P1749" i="1"/>
  <c r="P6042" i="1" l="1"/>
  <c r="P6041" i="1" l="1"/>
  <c r="P6040" i="1" l="1"/>
  <c r="P258" i="1" l="1"/>
  <c r="P6035" i="1"/>
  <c r="P6036" i="1"/>
  <c r="P6037" i="1"/>
  <c r="P6038" i="1"/>
  <c r="P6039" i="1"/>
  <c r="P6034" i="1"/>
  <c r="P6015" i="1"/>
  <c r="P6014" i="1"/>
  <c r="P6013" i="1"/>
  <c r="P6012" i="1"/>
  <c r="P6011" i="1"/>
  <c r="P2205" i="1" l="1"/>
  <c r="P2203" i="1"/>
  <c r="P902" i="1"/>
  <c r="P6033" i="1" l="1"/>
  <c r="P6032" i="1"/>
  <c r="P6031" i="1"/>
  <c r="P6028" i="1"/>
  <c r="P6029" i="1"/>
  <c r="P6030" i="1"/>
  <c r="P6027" i="1"/>
  <c r="C5742" i="1"/>
  <c r="C5743" i="1"/>
  <c r="C5744" i="1"/>
  <c r="C5745" i="1"/>
  <c r="C5786" i="1"/>
  <c r="C5907" i="1"/>
  <c r="C5968" i="1"/>
  <c r="P6026" i="1" l="1"/>
  <c r="P6025" i="1"/>
  <c r="P6024" i="1"/>
  <c r="P6023" i="1"/>
  <c r="P6022" i="1"/>
  <c r="P6021" i="1"/>
  <c r="P6020" i="1"/>
  <c r="P6019" i="1"/>
  <c r="P6018" i="1"/>
  <c r="P6017" i="1"/>
  <c r="P6016" i="1"/>
  <c r="P6010" i="1"/>
  <c r="P6009" i="1"/>
  <c r="P6008" i="1"/>
  <c r="P6007" i="1"/>
  <c r="P6006" i="1"/>
  <c r="P6005" i="1"/>
  <c r="P6004" i="1"/>
  <c r="P6003" i="1"/>
  <c r="P6002" i="1"/>
  <c r="P6001" i="1"/>
  <c r="P6000" i="1"/>
  <c r="P5999" i="1"/>
  <c r="P5998" i="1"/>
  <c r="P5997" i="1"/>
  <c r="J5997" i="1"/>
  <c r="P5996" i="1"/>
  <c r="P5989" i="1"/>
  <c r="P5988" i="1"/>
  <c r="P5987" i="1"/>
  <c r="P5986" i="1"/>
  <c r="P5985" i="1"/>
  <c r="P5984" i="1"/>
  <c r="P5983" i="1"/>
  <c r="P5982" i="1"/>
  <c r="P5981" i="1"/>
  <c r="P5980" i="1"/>
  <c r="P5979" i="1"/>
  <c r="P5978" i="1"/>
  <c r="P5977" i="1"/>
  <c r="P5976" i="1"/>
  <c r="P5975" i="1"/>
  <c r="P5973" i="1"/>
  <c r="P5972" i="1"/>
  <c r="P5971" i="1"/>
  <c r="P5970" i="1"/>
  <c r="P5969" i="1"/>
  <c r="P5968" i="1"/>
  <c r="J5968" i="1"/>
  <c r="I5968" i="1"/>
  <c r="P5965" i="1"/>
  <c r="P5964" i="1"/>
  <c r="P5963" i="1"/>
  <c r="P5962" i="1"/>
  <c r="P5961" i="1"/>
  <c r="P5960" i="1"/>
  <c r="P5959" i="1"/>
  <c r="P5958" i="1"/>
  <c r="P5957" i="1"/>
  <c r="P5956" i="1"/>
  <c r="P5955" i="1"/>
  <c r="P5954" i="1"/>
  <c r="P5953" i="1"/>
  <c r="P5952" i="1"/>
  <c r="P5951" i="1"/>
  <c r="P5950" i="1"/>
  <c r="P5949" i="1"/>
  <c r="J5949" i="1"/>
  <c r="I5949" i="1"/>
  <c r="P5948" i="1"/>
  <c r="P5947" i="1"/>
  <c r="P5946" i="1"/>
  <c r="P5945" i="1"/>
  <c r="P5944" i="1"/>
  <c r="P5943" i="1"/>
  <c r="P5942" i="1"/>
  <c r="P5941" i="1"/>
  <c r="P5940" i="1"/>
  <c r="P5939" i="1"/>
  <c r="P5938" i="1"/>
  <c r="P5937" i="1"/>
  <c r="P5933" i="1"/>
  <c r="P5932" i="1"/>
  <c r="P5931" i="1"/>
  <c r="P5929" i="1"/>
  <c r="P5928" i="1"/>
  <c r="P5927" i="1"/>
  <c r="P5926" i="1"/>
  <c r="P5923" i="1"/>
  <c r="P5922" i="1"/>
  <c r="P5921" i="1"/>
  <c r="P5920" i="1"/>
  <c r="P5919" i="1"/>
  <c r="P5918" i="1"/>
  <c r="P5917" i="1"/>
  <c r="P5916" i="1"/>
  <c r="P5913" i="1"/>
  <c r="P5912" i="1"/>
  <c r="P5911" i="1"/>
  <c r="P5910" i="1"/>
  <c r="P5909" i="1"/>
  <c r="P5908" i="1"/>
  <c r="P5907" i="1"/>
  <c r="N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5" i="1"/>
  <c r="P5874" i="1"/>
  <c r="P5873" i="1"/>
  <c r="P5872" i="1"/>
  <c r="P5871" i="1"/>
  <c r="P5870" i="1"/>
  <c r="P5869" i="1"/>
  <c r="P5868" i="1"/>
  <c r="P5867" i="1"/>
  <c r="P5866" i="1"/>
  <c r="P5865" i="1"/>
  <c r="P5864" i="1"/>
  <c r="P5863" i="1"/>
  <c r="P5862" i="1"/>
  <c r="P5861" i="1"/>
  <c r="P5860" i="1"/>
  <c r="P5859" i="1"/>
  <c r="P5858" i="1"/>
  <c r="P5857" i="1"/>
  <c r="P5856"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P5805" i="1"/>
  <c r="P5804" i="1"/>
  <c r="P5803" i="1"/>
  <c r="P5802" i="1"/>
  <c r="P5801" i="1"/>
  <c r="P5800" i="1"/>
  <c r="P5799" i="1"/>
  <c r="P5798" i="1"/>
  <c r="P5797" i="1"/>
  <c r="P5796" i="1"/>
  <c r="P5795" i="1"/>
  <c r="P5794" i="1"/>
  <c r="P5793" i="1"/>
  <c r="P5792" i="1"/>
  <c r="P5791" i="1"/>
  <c r="P5790" i="1"/>
  <c r="P5789" i="1"/>
  <c r="P5788" i="1"/>
  <c r="P5787" i="1"/>
  <c r="P5786" i="1"/>
  <c r="L5786" i="1"/>
  <c r="K5786" i="1"/>
  <c r="J5786" i="1"/>
  <c r="I5786" i="1"/>
  <c r="P5785" i="1"/>
  <c r="L5785" i="1"/>
  <c r="K5785" i="1"/>
  <c r="J5785" i="1"/>
  <c r="I5785" i="1"/>
  <c r="P5784" i="1"/>
  <c r="P5783" i="1"/>
  <c r="P5782" i="1"/>
  <c r="P5781" i="1"/>
  <c r="P5780" i="1"/>
  <c r="P5779" i="1"/>
  <c r="P5778" i="1"/>
  <c r="P5777" i="1"/>
  <c r="P5775" i="1"/>
  <c r="P5774" i="1"/>
  <c r="P5773" i="1"/>
  <c r="P5772" i="1"/>
  <c r="P5771" i="1"/>
  <c r="P5770" i="1"/>
  <c r="P5769" i="1"/>
  <c r="P5768" i="1"/>
  <c r="P5767" i="1"/>
  <c r="P5766" i="1"/>
  <c r="P5765" i="1"/>
  <c r="P5764" i="1"/>
  <c r="P5763" i="1"/>
  <c r="P5762" i="1"/>
  <c r="P5761" i="1"/>
  <c r="P5760" i="1"/>
  <c r="P5759" i="1"/>
  <c r="P5758" i="1"/>
  <c r="P5757" i="1"/>
  <c r="P5756" i="1"/>
  <c r="P5755" i="1"/>
  <c r="P5754" i="1"/>
  <c r="P5753" i="1"/>
  <c r="P5752" i="1"/>
  <c r="P5751" i="1"/>
  <c r="P5750" i="1"/>
  <c r="P5749" i="1"/>
  <c r="P5748" i="1"/>
  <c r="P5747" i="1"/>
  <c r="P5746" i="1"/>
  <c r="P5745" i="1"/>
  <c r="P5744" i="1"/>
  <c r="P5743" i="1"/>
  <c r="P5742" i="1"/>
  <c r="P5741" i="1"/>
  <c r="P5739" i="1"/>
  <c r="P5738" i="1"/>
  <c r="P5737" i="1"/>
  <c r="P5736" i="1"/>
  <c r="P5735" i="1"/>
  <c r="P5734" i="1"/>
  <c r="P5733" i="1"/>
  <c r="P5732" i="1"/>
  <c r="P5731" i="1"/>
  <c r="P5730" i="1"/>
  <c r="P5729" i="1"/>
  <c r="P5728" i="1"/>
  <c r="P5727" i="1"/>
  <c r="P5726" i="1"/>
  <c r="P5725" i="1"/>
  <c r="P5724" i="1"/>
  <c r="P5723" i="1"/>
  <c r="P5722" i="1"/>
  <c r="P5721" i="1"/>
  <c r="P5720" i="1"/>
  <c r="P5719" i="1"/>
  <c r="P5718" i="1"/>
  <c r="P5717" i="1"/>
  <c r="P5716" i="1"/>
  <c r="P5715" i="1"/>
  <c r="P5714" i="1"/>
  <c r="P5713" i="1"/>
  <c r="P5712" i="1"/>
  <c r="P5710" i="1"/>
  <c r="P5708" i="1"/>
  <c r="P5707" i="1"/>
  <c r="P5706" i="1"/>
  <c r="P5705" i="1"/>
  <c r="P5704" i="1"/>
  <c r="P5703" i="1"/>
  <c r="J5703" i="1"/>
  <c r="P5702" i="1"/>
  <c r="P5701" i="1"/>
  <c r="P5700" i="1"/>
  <c r="P5699" i="1"/>
  <c r="P5698" i="1"/>
  <c r="P5697" i="1"/>
  <c r="J5697" i="1"/>
  <c r="P5696" i="1"/>
  <c r="P5695" i="1"/>
  <c r="P5694" i="1"/>
  <c r="P5693" i="1"/>
  <c r="P5692" i="1"/>
  <c r="P5691" i="1"/>
  <c r="P5690" i="1"/>
  <c r="P5689" i="1"/>
  <c r="P5688" i="1"/>
  <c r="P5687" i="1"/>
  <c r="P5686" i="1"/>
  <c r="P5685" i="1"/>
  <c r="P5684" i="1"/>
  <c r="P5678" i="1"/>
  <c r="P5676" i="1"/>
  <c r="P5675" i="1"/>
  <c r="P5674" i="1"/>
  <c r="P5673" i="1"/>
  <c r="P5672" i="1"/>
  <c r="P5671" i="1"/>
  <c r="P5670" i="1"/>
  <c r="P5669" i="1"/>
  <c r="P5668" i="1"/>
  <c r="P5667" i="1"/>
  <c r="P5663" i="1"/>
  <c r="P5662"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74" i="1"/>
  <c r="P5273" i="1"/>
  <c r="P5272" i="1"/>
  <c r="P5271" i="1"/>
  <c r="P5270" i="1"/>
  <c r="P5269" i="1"/>
  <c r="P5268" i="1"/>
  <c r="P5267" i="1"/>
  <c r="P5266" i="1"/>
  <c r="P5265" i="1"/>
  <c r="P5264" i="1"/>
  <c r="P5263" i="1"/>
  <c r="P5262" i="1"/>
  <c r="P5261" i="1"/>
  <c r="P5260" i="1"/>
  <c r="P5259" i="1"/>
  <c r="P5258" i="1"/>
  <c r="P5257" i="1"/>
  <c r="P5256" i="1"/>
  <c r="P5255"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40" i="1"/>
  <c r="P5139" i="1"/>
  <c r="P5138" i="1"/>
  <c r="P5137" i="1"/>
  <c r="P5136" i="1"/>
  <c r="P5135" i="1"/>
  <c r="P5134" i="1"/>
  <c r="P5133" i="1"/>
  <c r="P5132" i="1"/>
  <c r="P5131" i="1"/>
  <c r="P5130" i="1"/>
  <c r="P5129" i="1"/>
  <c r="P5128" i="1"/>
  <c r="P5127" i="1"/>
  <c r="P5126" i="1"/>
  <c r="P5125" i="1"/>
  <c r="P5124" i="1"/>
  <c r="P5123" i="1"/>
  <c r="P5122" i="1"/>
  <c r="P5121"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907" i="1"/>
  <c r="P4906" i="1"/>
  <c r="P4905" i="1"/>
  <c r="P4904" i="1"/>
  <c r="P4903" i="1"/>
  <c r="P4902" i="1"/>
  <c r="P4901" i="1"/>
  <c r="P4900" i="1"/>
  <c r="P4899" i="1"/>
  <c r="P4898" i="1"/>
  <c r="P4897" i="1"/>
  <c r="P4896" i="1"/>
  <c r="P4895" i="1"/>
  <c r="P4894" i="1"/>
  <c r="P4893" i="1"/>
  <c r="P4892" i="1"/>
  <c r="P4891" i="1"/>
  <c r="P4890" i="1"/>
  <c r="P4889" i="1"/>
  <c r="P4888" i="1"/>
  <c r="P4887" i="1"/>
  <c r="P4886" i="1"/>
  <c r="P4884" i="1"/>
  <c r="P4883" i="1"/>
  <c r="P4882" i="1"/>
  <c r="P4881" i="1"/>
  <c r="P4880" i="1"/>
  <c r="P4879" i="1"/>
  <c r="P4878" i="1"/>
  <c r="P4877" i="1"/>
  <c r="P4876" i="1"/>
  <c r="P4875" i="1"/>
  <c r="P4874" i="1"/>
  <c r="P4873" i="1"/>
  <c r="P4872" i="1"/>
  <c r="P4871" i="1"/>
  <c r="P4870" i="1"/>
  <c r="P4869" i="1"/>
  <c r="P4868" i="1"/>
  <c r="P4867" i="1"/>
  <c r="P4866" i="1"/>
  <c r="P4865" i="1"/>
  <c r="P4863" i="1"/>
  <c r="P4862" i="1"/>
  <c r="P4861" i="1"/>
  <c r="P4860" i="1"/>
  <c r="P4859" i="1"/>
  <c r="P4858" i="1"/>
  <c r="P4857" i="1"/>
  <c r="P4856" i="1"/>
  <c r="P4855" i="1"/>
  <c r="P4854" i="1"/>
  <c r="P4853" i="1"/>
  <c r="P4852" i="1"/>
  <c r="P4851" i="1"/>
  <c r="P4850" i="1"/>
  <c r="P4849" i="1"/>
  <c r="P4848" i="1"/>
  <c r="P4847" i="1"/>
  <c r="P4846" i="1"/>
  <c r="P4845" i="1"/>
  <c r="P4844" i="1"/>
  <c r="P4843" i="1"/>
  <c r="P4842" i="1"/>
  <c r="P4841" i="1"/>
  <c r="P4840" i="1"/>
  <c r="P4839" i="1"/>
  <c r="P4838" i="1"/>
  <c r="P4837" i="1"/>
  <c r="P4836" i="1"/>
  <c r="P4835" i="1"/>
  <c r="P4834" i="1"/>
  <c r="P4833" i="1"/>
  <c r="P4832" i="1"/>
  <c r="P4831" i="1"/>
  <c r="P4830" i="1"/>
  <c r="P4829" i="1"/>
  <c r="P4828" i="1"/>
  <c r="P4827" i="1"/>
  <c r="P4826" i="1"/>
  <c r="P4825" i="1"/>
  <c r="P4824" i="1"/>
  <c r="P4823" i="1"/>
  <c r="P4822" i="1"/>
  <c r="P4821" i="1"/>
  <c r="P4820" i="1"/>
  <c r="P4819" i="1"/>
  <c r="P4818" i="1"/>
  <c r="P4817" i="1"/>
  <c r="P4816" i="1"/>
  <c r="P4813" i="1"/>
  <c r="P4812" i="1"/>
  <c r="P4811" i="1"/>
  <c r="P4810" i="1"/>
  <c r="P4809" i="1"/>
  <c r="P4808" i="1"/>
  <c r="P4807" i="1"/>
  <c r="P4806" i="1"/>
  <c r="P4805" i="1"/>
  <c r="P4804" i="1"/>
  <c r="P4803" i="1"/>
  <c r="P4802" i="1"/>
  <c r="P4801" i="1"/>
  <c r="P4800" i="1"/>
  <c r="P4799" i="1"/>
  <c r="P4798" i="1"/>
  <c r="P4797" i="1"/>
  <c r="P4796" i="1"/>
  <c r="P4795" i="1"/>
  <c r="P4794" i="1"/>
  <c r="P4793" i="1"/>
  <c r="P4792" i="1"/>
  <c r="P4791" i="1"/>
  <c r="P4790" i="1"/>
  <c r="P4789" i="1"/>
  <c r="P4788" i="1"/>
  <c r="P4787" i="1"/>
  <c r="P4786" i="1"/>
  <c r="P4785" i="1"/>
  <c r="P4784" i="1"/>
  <c r="P4783" i="1"/>
  <c r="P4782" i="1"/>
  <c r="P4781" i="1"/>
  <c r="P4780" i="1"/>
  <c r="P4779" i="1"/>
  <c r="P4778" i="1"/>
  <c r="P4777" i="1"/>
  <c r="P4776" i="1"/>
  <c r="P4775" i="1"/>
  <c r="P4774" i="1"/>
  <c r="P4773" i="1"/>
  <c r="P4772" i="1"/>
  <c r="P4771" i="1"/>
  <c r="P4770" i="1"/>
  <c r="P4769" i="1"/>
  <c r="P4768" i="1"/>
  <c r="P4767" i="1"/>
  <c r="P4766" i="1"/>
  <c r="P4765" i="1"/>
  <c r="P4764" i="1"/>
  <c r="P4763" i="1"/>
  <c r="P4762" i="1"/>
  <c r="P4761" i="1"/>
  <c r="P4760" i="1"/>
  <c r="P4759" i="1"/>
  <c r="P4758" i="1"/>
  <c r="P4757" i="1"/>
  <c r="P4756" i="1"/>
  <c r="P4755" i="1"/>
  <c r="P4754" i="1"/>
  <c r="P4753" i="1"/>
  <c r="P4752" i="1"/>
  <c r="P4751" i="1"/>
  <c r="P4750" i="1"/>
  <c r="P4749" i="1"/>
  <c r="P4748" i="1"/>
  <c r="P4747" i="1"/>
  <c r="P4746" i="1"/>
  <c r="P4745" i="1"/>
  <c r="P4744" i="1"/>
  <c r="P4743" i="1"/>
  <c r="P4742" i="1"/>
  <c r="P4741" i="1"/>
  <c r="P4740" i="1"/>
  <c r="P4739" i="1"/>
  <c r="P4738" i="1"/>
  <c r="P4737" i="1"/>
  <c r="P4736" i="1"/>
  <c r="P4735" i="1"/>
  <c r="P4734" i="1"/>
  <c r="P4733" i="1"/>
  <c r="P4732" i="1"/>
  <c r="P4731" i="1"/>
  <c r="P4730" i="1"/>
  <c r="P4729" i="1"/>
  <c r="P4728" i="1"/>
  <c r="P4727" i="1"/>
  <c r="P4726" i="1"/>
  <c r="P4725" i="1"/>
  <c r="P4724" i="1"/>
  <c r="P4723" i="1"/>
  <c r="P4722" i="1"/>
  <c r="P4721" i="1"/>
  <c r="P4720" i="1"/>
  <c r="P4719" i="1"/>
  <c r="P4718" i="1"/>
  <c r="P4717" i="1"/>
  <c r="P4716" i="1"/>
  <c r="P4715" i="1"/>
  <c r="P4714" i="1"/>
  <c r="P4713" i="1"/>
  <c r="P4712" i="1"/>
  <c r="P4711" i="1"/>
  <c r="P4710" i="1"/>
  <c r="P4709" i="1"/>
  <c r="P4708" i="1"/>
  <c r="P4707" i="1"/>
  <c r="P4706" i="1"/>
  <c r="P4705" i="1"/>
  <c r="P4704" i="1"/>
  <c r="P4703" i="1"/>
  <c r="P4702" i="1"/>
  <c r="P4701" i="1"/>
  <c r="P4700" i="1"/>
  <c r="P4699" i="1"/>
  <c r="P4698" i="1"/>
  <c r="P4697" i="1"/>
  <c r="P4696" i="1"/>
  <c r="P4695" i="1"/>
  <c r="P4694" i="1"/>
  <c r="P4693" i="1"/>
  <c r="P4692" i="1"/>
  <c r="P4691" i="1"/>
  <c r="P4690" i="1"/>
  <c r="P4689" i="1"/>
  <c r="P4688" i="1"/>
  <c r="P4687" i="1"/>
  <c r="P4686" i="1"/>
  <c r="P4685" i="1"/>
  <c r="P4684" i="1"/>
  <c r="P4683" i="1"/>
  <c r="P4682" i="1"/>
  <c r="P4681" i="1"/>
  <c r="P4680" i="1"/>
  <c r="P4679" i="1"/>
  <c r="P4678" i="1"/>
  <c r="P4677" i="1"/>
  <c r="P4676" i="1"/>
  <c r="P4675" i="1"/>
  <c r="P4674" i="1"/>
  <c r="P4673" i="1"/>
  <c r="P4672" i="1"/>
  <c r="P4671" i="1"/>
  <c r="P4670" i="1"/>
  <c r="P4669" i="1"/>
  <c r="P4668" i="1"/>
  <c r="P4667" i="1"/>
  <c r="P4666" i="1"/>
  <c r="P4665" i="1"/>
  <c r="P4664" i="1"/>
  <c r="P4663" i="1"/>
  <c r="P4662" i="1"/>
  <c r="P4661" i="1"/>
  <c r="P4660" i="1"/>
  <c r="P4659" i="1"/>
  <c r="P4658" i="1"/>
  <c r="P4657" i="1"/>
  <c r="P4656" i="1"/>
  <c r="P4655" i="1"/>
  <c r="P4654" i="1"/>
  <c r="P4653" i="1"/>
  <c r="P4652" i="1"/>
  <c r="P4651" i="1"/>
  <c r="P4650" i="1"/>
  <c r="P4649" i="1"/>
  <c r="P4648" i="1"/>
  <c r="P4647" i="1"/>
  <c r="P4646" i="1"/>
  <c r="P4645" i="1"/>
  <c r="P4644" i="1"/>
  <c r="P4643" i="1"/>
  <c r="P4642" i="1"/>
  <c r="P4641" i="1"/>
  <c r="P4640" i="1"/>
  <c r="P4639" i="1"/>
  <c r="P4637" i="1"/>
  <c r="P4636" i="1"/>
  <c r="P4635" i="1"/>
  <c r="P4634" i="1"/>
  <c r="P4633" i="1"/>
  <c r="P4632" i="1"/>
  <c r="P4631" i="1"/>
  <c r="P4630" i="1"/>
  <c r="P4629" i="1"/>
  <c r="P4628" i="1"/>
  <c r="P4627" i="1"/>
  <c r="P4626" i="1"/>
  <c r="P4625" i="1"/>
  <c r="P4624" i="1"/>
  <c r="P4623" i="1"/>
  <c r="P4622" i="1"/>
  <c r="P4621" i="1"/>
  <c r="P4620" i="1"/>
  <c r="P4619" i="1"/>
  <c r="P4618" i="1"/>
  <c r="P4617" i="1"/>
  <c r="P4616" i="1"/>
  <c r="P4615" i="1"/>
  <c r="P4614" i="1"/>
  <c r="P4613" i="1"/>
  <c r="P4612" i="1"/>
  <c r="P4611" i="1"/>
  <c r="P4610" i="1"/>
  <c r="P4609" i="1"/>
  <c r="P4608" i="1"/>
  <c r="P4607" i="1"/>
  <c r="P4606" i="1"/>
  <c r="P4605" i="1"/>
  <c r="P4604" i="1"/>
  <c r="P4603" i="1"/>
  <c r="P4602" i="1"/>
  <c r="P4601" i="1"/>
  <c r="P4600" i="1"/>
  <c r="P4599" i="1"/>
  <c r="P4598" i="1"/>
  <c r="P4597" i="1"/>
  <c r="P4596" i="1"/>
  <c r="P4595" i="1"/>
  <c r="P4594" i="1"/>
  <c r="P4593" i="1"/>
  <c r="P4592" i="1"/>
  <c r="P4591" i="1"/>
  <c r="P4590" i="1"/>
  <c r="P4589" i="1"/>
  <c r="P4588" i="1"/>
  <c r="P4587" i="1"/>
  <c r="P4586" i="1"/>
  <c r="P4585" i="1"/>
  <c r="P4584" i="1"/>
  <c r="P4583" i="1"/>
  <c r="P4582" i="1"/>
  <c r="P4581" i="1"/>
  <c r="P4580" i="1"/>
  <c r="P4579" i="1"/>
  <c r="P4578" i="1"/>
  <c r="P4577" i="1"/>
  <c r="P4576" i="1"/>
  <c r="P4575" i="1"/>
  <c r="P4574" i="1"/>
  <c r="P4573" i="1"/>
  <c r="P4572" i="1"/>
  <c r="P4571" i="1"/>
  <c r="P4570" i="1"/>
  <c r="P4569" i="1"/>
  <c r="P4568" i="1"/>
  <c r="P4567" i="1"/>
  <c r="P4566" i="1"/>
  <c r="P4565" i="1"/>
  <c r="P4564" i="1"/>
  <c r="P4563" i="1"/>
  <c r="P4562" i="1"/>
  <c r="P4561"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3" i="1"/>
  <c r="P4512" i="1"/>
  <c r="P4511" i="1"/>
  <c r="P4510" i="1"/>
  <c r="P4509" i="1"/>
  <c r="P4508" i="1"/>
  <c r="P4507" i="1"/>
  <c r="P4506" i="1"/>
  <c r="P4505" i="1"/>
  <c r="P4504" i="1"/>
  <c r="P4503" i="1"/>
  <c r="P4502" i="1"/>
  <c r="P4501" i="1"/>
  <c r="P4500" i="1"/>
  <c r="P4499" i="1"/>
  <c r="P4498" i="1"/>
  <c r="P4497" i="1"/>
  <c r="P4496" i="1"/>
  <c r="P4495" i="1"/>
  <c r="P4494" i="1"/>
  <c r="P4492" i="1"/>
  <c r="P4491" i="1"/>
  <c r="P4489" i="1"/>
  <c r="P4488" i="1"/>
  <c r="P4487" i="1"/>
  <c r="P4486" i="1"/>
  <c r="P4485" i="1"/>
  <c r="P4484" i="1"/>
  <c r="P4483" i="1"/>
  <c r="P4482" i="1"/>
  <c r="P4481" i="1"/>
  <c r="P4480" i="1"/>
  <c r="P4479" i="1"/>
  <c r="P4478" i="1"/>
  <c r="P4477" i="1"/>
  <c r="P4476" i="1"/>
  <c r="P4475" i="1"/>
  <c r="P4474" i="1"/>
  <c r="P4473" i="1"/>
  <c r="P4472" i="1"/>
  <c r="P4471" i="1"/>
  <c r="P4470" i="1"/>
  <c r="P4469" i="1"/>
  <c r="P4468" i="1"/>
  <c r="P4467" i="1"/>
  <c r="P4466" i="1"/>
  <c r="P4465" i="1"/>
  <c r="P4464" i="1"/>
  <c r="P4463" i="1"/>
  <c r="P4462" i="1"/>
  <c r="P4461" i="1"/>
  <c r="P4460" i="1"/>
  <c r="P4459" i="1"/>
  <c r="P4458" i="1"/>
  <c r="P4457" i="1"/>
  <c r="P4456" i="1"/>
  <c r="P4455" i="1"/>
  <c r="P4454" i="1"/>
  <c r="P4453" i="1"/>
  <c r="P4452" i="1"/>
  <c r="P4451" i="1"/>
  <c r="P4450"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4" i="1"/>
  <c r="P4413" i="1"/>
  <c r="P4412" i="1"/>
  <c r="P4411" i="1"/>
  <c r="P4410" i="1"/>
  <c r="P4409" i="1"/>
  <c r="P4408" i="1"/>
  <c r="P4407" i="1"/>
  <c r="P4406" i="1"/>
  <c r="P4405" i="1"/>
  <c r="P4404" i="1"/>
  <c r="P4403" i="1"/>
  <c r="P4402" i="1"/>
  <c r="P4401" i="1"/>
  <c r="P4400" i="1"/>
  <c r="P4399" i="1"/>
  <c r="P4398" i="1"/>
  <c r="P4397" i="1"/>
  <c r="P4396" i="1"/>
  <c r="P4395" i="1"/>
  <c r="P4393" i="1"/>
  <c r="P4391" i="1"/>
  <c r="P4390" i="1"/>
  <c r="P4389" i="1"/>
  <c r="P4386" i="1"/>
  <c r="P4385" i="1"/>
  <c r="P4384" i="1"/>
  <c r="P4383" i="1"/>
  <c r="P4382" i="1"/>
  <c r="P4381" i="1"/>
  <c r="P4380" i="1"/>
  <c r="P4379" i="1"/>
  <c r="P4378" i="1"/>
  <c r="P4377" i="1"/>
  <c r="P4376" i="1"/>
  <c r="P4375" i="1"/>
  <c r="P4374" i="1"/>
  <c r="P4373" i="1"/>
  <c r="P4372" i="1"/>
  <c r="P4371" i="1"/>
  <c r="P4370" i="1"/>
  <c r="P4369" i="1"/>
  <c r="P4368" i="1"/>
  <c r="P4367" i="1"/>
  <c r="P4366" i="1"/>
  <c r="P4365" i="1"/>
  <c r="P4364" i="1"/>
  <c r="P4363" i="1"/>
  <c r="P4362" i="1"/>
  <c r="P4361" i="1"/>
  <c r="P4360" i="1"/>
  <c r="P4359" i="1"/>
  <c r="P4358" i="1"/>
  <c r="P4357" i="1"/>
  <c r="P4356" i="1"/>
  <c r="P4355" i="1"/>
  <c r="P4354" i="1"/>
  <c r="P4353" i="1"/>
  <c r="P4352" i="1"/>
  <c r="P4351" i="1"/>
  <c r="P4350" i="1"/>
  <c r="P4349" i="1"/>
  <c r="P4348" i="1"/>
  <c r="P4347" i="1"/>
  <c r="P4346"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1"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1" i="1"/>
  <c r="P4180" i="1"/>
  <c r="P4179" i="1"/>
  <c r="P4178" i="1"/>
  <c r="P4177" i="1"/>
  <c r="P4176" i="1"/>
  <c r="P4175" i="1"/>
  <c r="P4174" i="1"/>
  <c r="P4173" i="1"/>
  <c r="P4172" i="1"/>
  <c r="P4171" i="1"/>
  <c r="P4170" i="1"/>
  <c r="P4169" i="1"/>
  <c r="P4168" i="1"/>
  <c r="P4167" i="1"/>
  <c r="P4166" i="1"/>
  <c r="P4165" i="1"/>
  <c r="P4164" i="1"/>
  <c r="P4163" i="1"/>
  <c r="P4161" i="1"/>
  <c r="P4160" i="1"/>
  <c r="P4159" i="1"/>
  <c r="P4158"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21" i="1"/>
  <c r="P3620"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3" i="1"/>
  <c r="P3192" i="1"/>
  <c r="P3191" i="1"/>
  <c r="P3190" i="1"/>
  <c r="P3189"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1" i="1"/>
  <c r="P3160" i="1"/>
  <c r="P3159" i="1"/>
  <c r="P3158"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5" i="1"/>
  <c r="P2294" i="1"/>
  <c r="P2293" i="1"/>
  <c r="P2292" i="1"/>
  <c r="P2291" i="1"/>
  <c r="P2290" i="1"/>
  <c r="P2289"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4" i="1"/>
  <c r="P2202" i="1"/>
  <c r="P2201" i="1"/>
  <c r="P2200" i="1"/>
  <c r="P2199" i="1"/>
  <c r="P2198" i="1"/>
  <c r="P2197" i="1"/>
  <c r="P2196"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0" i="1"/>
  <c r="P2025" i="1"/>
  <c r="P2024" i="1"/>
  <c r="P2023" i="1"/>
  <c r="P2022" i="1"/>
  <c r="P2021" i="1"/>
  <c r="P2020"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1" i="1"/>
  <c r="P1970" i="1"/>
  <c r="P1969" i="1"/>
  <c r="P1968" i="1"/>
  <c r="P1967" i="1"/>
  <c r="P1966" i="1"/>
  <c r="P1965" i="1"/>
  <c r="P1964" i="1"/>
  <c r="P1963"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6" i="1"/>
  <c r="P1765" i="1"/>
  <c r="P1761" i="1"/>
  <c r="P1759" i="1"/>
  <c r="P1758" i="1"/>
  <c r="P1757" i="1"/>
  <c r="P1756" i="1"/>
  <c r="P1755" i="1"/>
  <c r="P1754" i="1"/>
  <c r="P1753" i="1"/>
  <c r="P1752" i="1"/>
  <c r="P1751" i="1"/>
  <c r="P1750"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0" i="1"/>
  <c r="P1629" i="1"/>
  <c r="P1626" i="1"/>
  <c r="P1625" i="1"/>
  <c r="P1624" i="1"/>
  <c r="P1623" i="1"/>
  <c r="P1622" i="1"/>
  <c r="P1621" i="1"/>
  <c r="P1620" i="1"/>
  <c r="P1619" i="1"/>
  <c r="P1618" i="1"/>
  <c r="P1617" i="1"/>
  <c r="P1616" i="1"/>
  <c r="P1614" i="1"/>
  <c r="P1613" i="1"/>
  <c r="P1612" i="1"/>
  <c r="P1611" i="1"/>
  <c r="P1610" i="1"/>
  <c r="P1609" i="1"/>
  <c r="P1608" i="1"/>
  <c r="P1607" i="1"/>
  <c r="P1606" i="1"/>
  <c r="P1605" i="1"/>
  <c r="P1604" i="1"/>
  <c r="P1603" i="1"/>
  <c r="P1602" i="1"/>
  <c r="P1601" i="1"/>
  <c r="P1600" i="1"/>
  <c r="P1599"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3" i="1"/>
  <c r="P1171" i="1"/>
  <c r="P1170" i="1"/>
  <c r="P1169" i="1"/>
  <c r="P1168" i="1"/>
  <c r="P1167" i="1"/>
  <c r="P1166" i="1"/>
  <c r="P1165" i="1"/>
  <c r="P1164" i="1"/>
  <c r="P1163" i="1"/>
  <c r="P1162" i="1"/>
  <c r="P1161" i="1"/>
  <c r="P1160" i="1"/>
  <c r="P1159" i="1"/>
  <c r="P1158" i="1"/>
  <c r="P1157" i="1"/>
  <c r="P1156" i="1"/>
  <c r="P1155" i="1"/>
  <c r="P1154" i="1"/>
  <c r="P1152" i="1"/>
  <c r="P1151" i="1"/>
  <c r="P1150" i="1"/>
  <c r="P1148" i="1"/>
  <c r="P1147" i="1"/>
  <c r="P1146" i="1"/>
  <c r="P1145" i="1"/>
  <c r="P1144" i="1"/>
  <c r="P1143" i="1"/>
  <c r="P1142" i="1"/>
  <c r="P1139" i="1"/>
  <c r="P1131" i="1"/>
  <c r="P1130" i="1"/>
  <c r="P1129" i="1"/>
  <c r="P1124" i="1"/>
  <c r="P1123" i="1"/>
  <c r="P1116" i="1"/>
  <c r="P1115" i="1"/>
  <c r="P1114" i="1"/>
  <c r="P1113" i="1"/>
  <c r="P1112" i="1"/>
  <c r="P1110" i="1"/>
  <c r="P1109" i="1"/>
  <c r="P1108" i="1"/>
  <c r="P1107" i="1"/>
  <c r="P1106" i="1"/>
  <c r="P1105" i="1"/>
  <c r="P1104" i="1"/>
  <c r="P1103" i="1"/>
  <c r="P1102"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47" i="1"/>
  <c r="P946" i="1"/>
  <c r="P945" i="1"/>
  <c r="P944" i="1"/>
  <c r="P943"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3" i="1"/>
  <c r="P872" i="1"/>
  <c r="P871" i="1"/>
  <c r="P870" i="1"/>
  <c r="P869" i="1"/>
  <c r="P868" i="1"/>
  <c r="P867" i="1"/>
  <c r="P866" i="1"/>
  <c r="P865" i="1"/>
  <c r="P864" i="1"/>
  <c r="P863" i="1"/>
  <c r="P862" i="1"/>
  <c r="P860" i="1"/>
  <c r="P859" i="1"/>
  <c r="P858" i="1"/>
  <c r="P857" i="1"/>
  <c r="P856" i="1"/>
  <c r="P855" i="1"/>
  <c r="P854" i="1"/>
  <c r="P853" i="1"/>
  <c r="P852" i="1"/>
  <c r="P851" i="1"/>
  <c r="P850" i="1"/>
  <c r="P849" i="1"/>
  <c r="P847" i="1"/>
  <c r="P846" i="1"/>
  <c r="P845" i="1"/>
  <c r="P844" i="1"/>
  <c r="P843" i="1"/>
  <c r="P842" i="1"/>
  <c r="P841" i="1"/>
  <c r="P840" i="1"/>
  <c r="P839" i="1"/>
  <c r="P838" i="1"/>
  <c r="P837" i="1"/>
  <c r="P836" i="1"/>
  <c r="P835" i="1"/>
  <c r="P834" i="1"/>
  <c r="P833" i="1"/>
  <c r="P832" i="1"/>
  <c r="P831" i="1"/>
  <c r="P830"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2" i="1"/>
  <c r="P689" i="1"/>
  <c r="P688" i="1"/>
  <c r="P687" i="1"/>
  <c r="P686" i="1"/>
  <c r="P684" i="1"/>
  <c r="P681" i="1"/>
  <c r="P680" i="1"/>
  <c r="P679" i="1"/>
  <c r="P678" i="1"/>
  <c r="P677" i="1"/>
  <c r="P676" i="1"/>
  <c r="P674" i="1"/>
  <c r="P673" i="1"/>
  <c r="P672" i="1"/>
  <c r="P671" i="1"/>
  <c r="P670" i="1"/>
  <c r="P669" i="1"/>
  <c r="P668" i="1"/>
  <c r="P667" i="1"/>
  <c r="P666" i="1"/>
  <c r="P665" i="1"/>
  <c r="P664" i="1"/>
  <c r="P663" i="1"/>
  <c r="P662" i="1"/>
  <c r="P661" i="1"/>
  <c r="P660" i="1"/>
  <c r="P659" i="1"/>
  <c r="P656" i="1"/>
  <c r="P655" i="1"/>
  <c r="P654" i="1"/>
  <c r="P653" i="1"/>
  <c r="P652" i="1"/>
  <c r="P651" i="1"/>
  <c r="P650" i="1"/>
  <c r="P649" i="1"/>
  <c r="P648" i="1"/>
  <c r="P647" i="1"/>
  <c r="P646" i="1"/>
  <c r="P645" i="1"/>
  <c r="P644"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<sst xmlns="http://schemas.openxmlformats.org/spreadsheetml/2006/main" count="42121" uniqueCount="11689">
  <si>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</si>
  <si>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</si>
  <si>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</si>
  <si>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</si>
  <si>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</si>
  <si>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</si>
  <si>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</si>
  <si>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</si>
  <si>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</si>
  <si>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</si>
  <si>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</si>
  <si>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</si>
  <si>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</si>
  <si>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</si>
  <si>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</si>
  <si>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</si>
  <si>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</si>
  <si>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</si>
  <si>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</si>
  <si>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</si>
  <si>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</si>
  <si>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</si>
  <si>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</si>
  <si>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</si>
  <si>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</si>
  <si>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</si>
  <si>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</si>
  <si>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</si>
  <si>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</si>
  <si>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</si>
  <si>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</si>
  <si>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</si>
  <si>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</si>
  <si>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</si>
  <si>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</si>
  <si>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</si>
  <si>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</si>
  <si>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</si>
  <si>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</si>
  <si>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</si>
  <si>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</si>
  <si>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</si>
  <si>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</si>
  <si>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</si>
  <si>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</si>
  <si>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</si>
  <si>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</si>
  <si>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</si>
  <si>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</si>
  <si>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</si>
  <si>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</si>
  <si>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</si>
  <si>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</si>
  <si>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</si>
  <si>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</si>
  <si>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</si>
  <si>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</si>
  <si>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</si>
  <si>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</si>
  <si>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</si>
  <si>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</si>
  <si>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</si>
  <si>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</si>
  <si>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</si>
  <si>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</si>
  <si>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</si>
  <si>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</si>
  <si>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</si>
  <si>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</si>
  <si>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</si>
  <si>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</si>
  <si>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</si>
  <si>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</si>
  <si>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</si>
  <si>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</si>
  <si>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</si>
  <si>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</si>
  <si>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</si>
  <si>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</si>
  <si>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</si>
  <si>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</si>
  <si>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</si>
  <si>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</si>
  <si>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</si>
  <si>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</si>
  <si>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</si>
  <si>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</si>
  <si>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</si>
  <si>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</si>
  <si>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</si>
  <si>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</si>
  <si>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</si>
  <si>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</si>
  <si>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</si>
  <si>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</si>
  <si>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</si>
  <si>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</si>
  <si>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</si>
  <si>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</si>
  <si>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</si>
  <si>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</si>
  <si>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</si>
  <si>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</si>
  <si>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</si>
  <si>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</si>
  <si>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</si>
  <si>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</si>
  <si>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</si>
  <si>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</si>
  <si>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</si>
  <si>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</si>
  <si>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</si>
  <si>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</si>
  <si>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</si>
  <si>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</si>
  <si>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</si>
  <si>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</si>
  <si>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</si>
  <si>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</si>
  <si>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</si>
  <si>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</si>
  <si>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</si>
  <si>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</si>
  <si>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</si>
  <si>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</si>
  <si>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</si>
  <si>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</si>
  <si>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</si>
  <si>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</si>
  <si>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</si>
  <si>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</si>
  <si>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</si>
  <si>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</si>
  <si>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</si>
  <si>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</si>
  <si>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</si>
  <si>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</si>
  <si>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</si>
  <si>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</si>
  <si>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</si>
  <si>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</si>
  <si>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</si>
  <si>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</si>
  <si>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</si>
  <si>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</si>
  <si>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</si>
  <si>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</si>
  <si>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</si>
  <si>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</si>
  <si>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</si>
  <si>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</si>
  <si>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</si>
  <si>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</si>
  <si>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</si>
  <si>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</si>
  <si>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</si>
  <si>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</si>
  <si>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</si>
  <si>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</si>
  <si>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</si>
  <si>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</si>
  <si>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</si>
  <si>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</si>
  <si>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</si>
  <si>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</si>
  <si>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</si>
  <si>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</si>
  <si>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</si>
  <si>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</si>
  <si>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</si>
  <si>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</si>
  <si>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</si>
  <si>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</si>
  <si>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</si>
  <si>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</si>
  <si>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</si>
  <si>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</si>
  <si>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</si>
  <si>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</si>
  <si>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</si>
  <si>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</si>
  <si>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</si>
  <si>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</si>
  <si>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</si>
  <si>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</si>
  <si>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</si>
  <si>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</si>
  <si>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</si>
  <si>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</si>
  <si>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</si>
  <si>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</si>
  <si>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</si>
  <si>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</si>
  <si>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</si>
  <si>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</si>
  <si>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</si>
  <si>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</si>
  <si>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</si>
  <si>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</si>
  <si>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</si>
  <si>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</si>
  <si>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</si>
  <si>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</si>
  <si>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</si>
  <si>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</si>
  <si>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</si>
  <si>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</si>
  <si>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</si>
  <si>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</si>
  <si>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</si>
  <si>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</si>
  <si>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</si>
  <si>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</si>
  <si>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</si>
  <si>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</si>
  <si>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</si>
  <si>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</si>
  <si>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</si>
  <si>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</si>
  <si>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</si>
  <si>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</si>
  <si>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</si>
  <si>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</si>
  <si>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</si>
  <si>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</si>
  <si>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</si>
  <si>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</si>
  <si>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</si>
  <si>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</si>
  <si>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</si>
  <si>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</si>
  <si>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</si>
  <si>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</si>
  <si>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</si>
  <si>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</si>
  <si>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</si>
  <si>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</si>
  <si>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</si>
  <si>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</si>
  <si>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</si>
  <si>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</si>
  <si>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</si>
  <si>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</si>
  <si>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</si>
  <si>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</si>
  <si>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</si>
  <si>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</si>
  <si>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</si>
  <si>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</si>
  <si>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</si>
  <si>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</si>
  <si>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</si>
  <si>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</si>
  <si>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</si>
  <si>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</si>
  <si>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</si>
  <si>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</si>
  <si>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</si>
  <si>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</si>
  <si>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</si>
  <si>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</si>
  <si>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</si>
  <si>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</si>
  <si>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</si>
  <si>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</si>
  <si>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</si>
  <si>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</si>
  <si>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</si>
  <si>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</si>
  <si>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</si>
  <si>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</si>
  <si>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</si>
  <si>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</si>
  <si>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</si>
  <si>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</si>
  <si>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</si>
  <si>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</si>
  <si>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</si>
  <si>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</si>
  <si>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</si>
  <si>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</si>
  <si>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</si>
  <si>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</si>
  <si>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</si>
  <si>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</si>
  <si>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</si>
  <si>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</si>
  <si>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</si>
  <si>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</si>
  <si>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</si>
  <si>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</si>
  <si>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</si>
  <si>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</si>
  <si>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</si>
  <si>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</si>
  <si>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</si>
  <si>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</si>
  <si>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</si>
  <si>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</si>
  <si>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</si>
  <si>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</si>
  <si>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</si>
  <si>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</si>
  <si>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</si>
  <si>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</si>
  <si>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</si>
  <si>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</si>
  <si>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</si>
  <si>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</si>
  <si>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</si>
  <si>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</si>
  <si>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</si>
  <si>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</si>
  <si>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</si>
  <si>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</si>
  <si>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</si>
  <si>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</si>
  <si>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</si>
  <si>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</si>
  <si>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</si>
  <si>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</si>
  <si>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</si>
  <si>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</si>
  <si>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</si>
  <si>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</si>
  <si>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</si>
  <si>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</si>
  <si>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</si>
  <si>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</si>
  <si>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</si>
  <si>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</si>
  <si>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</si>
  <si>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</si>
  <si>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</si>
  <si>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</si>
  <si>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</si>
  <si>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</si>
  <si>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</si>
  <si>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</si>
  <si>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</si>
  <si>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</si>
  <si>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</si>
  <si>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</si>
  <si>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</si>
  <si>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</si>
  <si>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</si>
  <si>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</si>
  <si>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</si>
  <si>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</si>
  <si>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</si>
  <si>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</si>
  <si>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</si>
  <si>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</si>
  <si>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</si>
  <si>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</si>
  <si>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</si>
  <si>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</si>
  <si>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</si>
  <si>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</si>
  <si>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</si>
  <si>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</si>
  <si>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</si>
  <si>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</si>
  <si>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</si>
  <si>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</si>
  <si>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</si>
  <si>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</si>
  <si>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</si>
  <si>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</si>
  <si>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</si>
  <si>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</si>
  <si>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</si>
  <si>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</si>
  <si>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</si>
  <si>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</si>
  <si>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</si>
  <si>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</si>
  <si>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</si>
  <si>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</si>
  <si>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</si>
  <si>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</si>
  <si>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</si>
  <si>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</si>
  <si>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</si>
  <si>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</si>
  <si>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</si>
  <si>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</si>
  <si>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</si>
  <si>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</si>
  <si>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</si>
  <si>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</si>
  <si>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</si>
  <si>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</si>
  <si>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</si>
  <si>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</si>
  <si>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</si>
  <si>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</si>
  <si>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</si>
  <si>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</si>
  <si>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</si>
  <si>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</si>
  <si>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</si>
  <si>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</si>
  <si>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</si>
  <si>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</si>
  <si>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</si>
  <si>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</si>
  <si>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</si>
  <si>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</si>
  <si>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</si>
  <si>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</si>
  <si>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</si>
  <si>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</si>
  <si>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</si>
  <si>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</si>
  <si>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</si>
  <si>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</si>
  <si>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</si>
  <si>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</si>
  <si>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</si>
  <si>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</si>
  <si>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</si>
  <si>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</si>
  <si>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</si>
  <si>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</si>
  <si>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</si>
  <si>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</si>
  <si>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</si>
  <si>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</si>
  <si>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</si>
  <si>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</si>
  <si>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</si>
  <si>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</si>
  <si>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</si>
  <si>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</si>
  <si>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</si>
  <si>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</si>
  <si>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</si>
  <si>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</si>
  <si>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</si>
  <si>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</si>
  <si>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</si>
  <si>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</si>
  <si>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</si>
  <si>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</si>
  <si>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</si>
  <si>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</si>
  <si>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</si>
  <si>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</si>
  <si>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</si>
  <si>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</si>
  <si>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</si>
  <si>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</si>
  <si>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</si>
  <si>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</si>
  <si>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</si>
  <si>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</si>
  <si>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</si>
  <si>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</si>
  <si>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</si>
  <si>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</si>
  <si>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</si>
  <si>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</si>
  <si>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</si>
  <si>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</si>
  <si>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</si>
  <si>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</si>
  <si>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</si>
  <si>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</si>
  <si>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</si>
  <si>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</si>
  <si>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</si>
  <si>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</si>
  <si>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</si>
  <si>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</si>
  <si>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</si>
  <si>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</si>
  <si>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</si>
  <si>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</si>
  <si>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</si>
  <si>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</si>
  <si>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</si>
  <si>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</si>
  <si>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</si>
  <si>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</si>
  <si>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</si>
  <si>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</si>
  <si>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</si>
  <si>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</si>
  <si>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</si>
  <si>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</si>
  <si>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</si>
  <si>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</si>
  <si>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</si>
  <si>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</si>
  <si>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</si>
  <si>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</si>
  <si>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</si>
  <si>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</si>
  <si>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</si>
  <si>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</si>
  <si>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</si>
  <si>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</si>
  <si>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</si>
  <si>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</si>
  <si>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</si>
  <si>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</si>
  <si>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</si>
  <si>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</si>
  <si>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</si>
  <si>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</si>
  <si>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</si>
  <si>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</si>
  <si>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</si>
  <si>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</si>
  <si>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</si>
  <si>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</si>
  <si>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</si>
  <si>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</si>
  <si>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</si>
  <si>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</si>
  <si>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</si>
  <si>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</si>
  <si>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</si>
  <si>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</si>
  <si>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</si>
  <si>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</si>
  <si>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</si>
  <si>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</si>
  <si>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</si>
  <si>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</si>
  <si>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</si>
  <si>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</si>
  <si>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</si>
  <si>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</si>
  <si>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</si>
  <si>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</si>
  <si>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</si>
  <si>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</si>
  <si>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</si>
  <si>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</si>
  <si>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</si>
  <si>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</si>
  <si>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</si>
  <si>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</si>
  <si>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</si>
  <si>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</si>
  <si>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</si>
  <si>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</si>
  <si>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</si>
  <si>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</si>
  <si>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</si>
  <si>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</si>
  <si>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</si>
  <si>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</si>
  <si>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</si>
  <si>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</si>
  <si>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</si>
  <si>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</si>
  <si>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</si>
  <si>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</si>
  <si>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</si>
  <si>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</si>
  <si>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</si>
  <si>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</si>
  <si>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</si>
  <si>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</si>
  <si>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</si>
  <si>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</si>
  <si>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</si>
  <si>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</si>
  <si>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</si>
  <si>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</si>
  <si>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</si>
  <si>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</si>
  <si>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</si>
  <si>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</si>
  <si>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</si>
  <si>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</si>
  <si>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</si>
  <si>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</si>
  <si>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</si>
  <si>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</si>
  <si>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</si>
  <si>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</si>
  <si>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</si>
  <si>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</si>
  <si>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</si>
  <si>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</si>
  <si>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</si>
  <si>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</si>
  <si>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</si>
  <si>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</si>
  <si>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</si>
  <si>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</si>
  <si>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</si>
  <si>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</si>
  <si>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</si>
  <si>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</si>
  <si>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</si>
  <si>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</si>
  <si>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</si>
  <si>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</si>
  <si>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</si>
  <si>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</si>
  <si>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</si>
  <si>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</si>
  <si>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</si>
  <si>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</si>
  <si>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</si>
  <si>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</si>
  <si>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</si>
  <si>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</si>
  <si>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</si>
  <si>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</si>
  <si>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</si>
  <si>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</si>
  <si>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</si>
  <si>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</si>
  <si>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</si>
  <si>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</si>
  <si>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</si>
  <si>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</si>
  <si>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</si>
  <si>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</si>
  <si>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</si>
  <si>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</si>
  <si>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</si>
  <si>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</si>
  <si>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</si>
  <si>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</si>
  <si>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</si>
  <si>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</si>
  <si>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</si>
  <si>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</si>
  <si>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</si>
  <si>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</si>
  <si>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</si>
  <si>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</si>
  <si>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</si>
  <si>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</si>
  <si>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</si>
  <si>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</si>
  <si>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</si>
  <si>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</si>
  <si>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</si>
  <si>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</si>
  <si>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</si>
  <si>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</si>
  <si>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</si>
  <si>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</si>
  <si>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</si>
  <si>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</si>
  <si>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</si>
  <si>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</si>
  <si>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</si>
  <si>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</si>
  <si>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</si>
  <si>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</si>
  <si>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</si>
  <si>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</si>
  <si>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</si>
  <si>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</si>
  <si>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</si>
  <si>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</si>
  <si>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</si>
  <si>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</si>
  <si>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</si>
  <si>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</si>
  <si>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</si>
  <si>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</si>
  <si>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</si>
  <si>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</si>
  <si>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</si>
  <si>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</si>
  <si>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</si>
  <si>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</si>
  <si>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</si>
  <si>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</si>
  <si>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</si>
  <si>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</si>
  <si>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</si>
  <si>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</si>
  <si>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</si>
  <si>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</si>
  <si>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</si>
  <si>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</si>
  <si>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</si>
  <si>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</si>
  <si>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</si>
  <si>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</si>
  <si>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</si>
  <si>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</si>
  <si>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</si>
  <si>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</si>
  <si>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</si>
  <si>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</si>
  <si>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</si>
  <si>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</si>
  <si>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</si>
  <si>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</si>
  <si>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</si>
  <si>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</si>
  <si>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</si>
  <si>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</si>
  <si>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</si>
  <si>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</si>
  <si>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</si>
  <si>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</si>
  <si>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</si>
  <si>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</si>
  <si>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</si>
  <si>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</si>
  <si>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</si>
  <si>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</si>
  <si>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</si>
  <si>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</si>
  <si>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</si>
  <si>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</si>
  <si>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</si>
  <si>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</si>
  <si>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</si>
  <si>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</si>
  <si>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</si>
  <si>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</si>
  <si>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</si>
  <si>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</si>
  <si>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</si>
  <si>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</si>
  <si>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</si>
  <si>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</si>
  <si>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</si>
  <si>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</si>
  <si>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</si>
  <si>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</si>
  <si>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</si>
  <si>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</si>
  <si>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</si>
  <si>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</si>
  <si>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</si>
  <si>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</si>
  <si>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</si>
  <si>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</si>
  <si>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</si>
  <si>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</si>
  <si>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</si>
  <si>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</si>
  <si>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</si>
  <si>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</si>
  <si>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</si>
  <si>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</si>
  <si>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</si>
  <si>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</si>
  <si>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</si>
  <si>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</si>
  <si>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</si>
  <si>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</si>
  <si>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</si>
  <si>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</si>
  <si>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</si>
  <si>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</si>
  <si>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</si>
  <si>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</si>
  <si>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</si>
  <si>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</si>
  <si>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</si>
  <si>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</si>
  <si>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</si>
  <si>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</si>
  <si>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</si>
  <si>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</si>
  <si>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</si>
  <si>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</si>
  <si>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</si>
  <si>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</si>
  <si>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</si>
  <si>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</si>
  <si>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</si>
  <si>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</si>
  <si>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</si>
  <si>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</si>
  <si>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</si>
  <si>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</si>
  <si>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</si>
  <si>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</si>
  <si>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</si>
  <si>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</si>
  <si>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</si>
  <si>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</si>
  <si>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</si>
  <si>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</si>
  <si>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</si>
  <si>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</si>
  <si>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</si>
  <si>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</si>
  <si>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</si>
  <si>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</si>
  <si>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</si>
  <si>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</si>
  <si>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</si>
  <si>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</si>
  <si>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</si>
  <si>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</si>
  <si>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</si>
  <si>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</si>
  <si>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</si>
  <si>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</si>
  <si>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</si>
  <si>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</si>
  <si>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</si>
  <si>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</si>
  <si>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</si>
  <si>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</si>
  <si>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</si>
  <si>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</si>
  <si>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</si>
  <si>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</si>
  <si>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</si>
  <si>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</si>
  <si>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</si>
  <si>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</si>
  <si>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</si>
  <si>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</si>
  <si>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</si>
  <si>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</si>
  <si>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</si>
  <si>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</si>
  <si>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</si>
  <si>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</si>
  <si>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</si>
  <si>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</si>
  <si>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</si>
  <si>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</si>
  <si>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</si>
  <si>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</si>
  <si>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</si>
  <si>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</si>
  <si>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</si>
  <si>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</si>
  <si>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</si>
  <si>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</si>
  <si>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</si>
  <si>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</si>
  <si>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</si>
  <si>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</si>
  <si>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</si>
  <si>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</si>
  <si>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</si>
  <si>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</si>
  <si>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</si>
  <si>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</si>
  <si>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</si>
  <si>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</si>
  <si>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</si>
  <si>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</si>
  <si>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</si>
  <si>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</si>
  <si>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</si>
  <si>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</si>
  <si>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</si>
  <si>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</si>
  <si>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</si>
  <si>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</si>
  <si>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</si>
  <si>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</si>
  <si>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</si>
  <si>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</si>
  <si>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</si>
  <si>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</si>
  <si>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</si>
  <si>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</si>
  <si>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</si>
  <si>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</si>
  <si>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</si>
  <si>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</si>
  <si>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</si>
  <si>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</si>
  <si>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</si>
  <si>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</si>
  <si>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</si>
  <si>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</si>
  <si>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</si>
  <si>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</si>
  <si>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</si>
  <si>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</si>
  <si>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</si>
  <si>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</si>
  <si>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</si>
  <si>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</si>
  <si>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</si>
  <si>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</si>
  <si>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</si>
  <si>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</si>
  <si>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</si>
  <si>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</si>
  <si>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</si>
  <si>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</si>
  <si>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</si>
  <si>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</si>
  <si>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</si>
  <si>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</si>
  <si>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</si>
  <si>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</si>
  <si>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</si>
  <si>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</si>
  <si>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</si>
  <si>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</si>
  <si>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</si>
  <si>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</si>
  <si>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</si>
  <si>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</si>
  <si>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</si>
  <si>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</si>
  <si>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</si>
  <si>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</si>
  <si>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</si>
  <si>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</si>
  <si>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</si>
  <si>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</si>
  <si>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</si>
  <si>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</si>
  <si>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</si>
  <si>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</si>
  <si>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</si>
  <si>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</si>
  <si>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</si>
  <si>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</si>
  <si>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</si>
  <si>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</si>
  <si>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</si>
  <si>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</si>
  <si>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</si>
  <si>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</si>
  <si>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</si>
  <si>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</si>
  <si>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</si>
  <si>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</si>
  <si>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</si>
  <si>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</si>
  <si>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</si>
  <si>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</si>
  <si>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</si>
  <si>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</si>
  <si>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</si>
  <si>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</si>
  <si>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</si>
  <si>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</si>
  <si>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</si>
  <si>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</si>
  <si>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</si>
  <si>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</si>
  <si>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</si>
  <si>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</si>
  <si>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</si>
  <si>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</si>
  <si>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</si>
  <si>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</si>
  <si>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</si>
  <si>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</si>
  <si>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</si>
  <si>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</si>
  <si>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</si>
  <si>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</si>
  <si>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</si>
  <si>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</si>
  <si>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</si>
  <si>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</si>
  <si>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</si>
  <si>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</si>
  <si>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</si>
  <si>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</si>
  <si>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</si>
  <si>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</si>
  <si>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</si>
  <si>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</si>
  <si>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</si>
  <si>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</si>
  <si>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</si>
  <si>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</si>
  <si>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</si>
  <si>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</si>
  <si>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</si>
  <si>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</si>
  <si>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</si>
  <si>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</si>
  <si>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</si>
  <si>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</si>
  <si>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</si>
  <si>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</si>
  <si>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</si>
  <si>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</si>
  <si>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</si>
  <si>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</si>
  <si>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</si>
  <si>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</si>
  <si>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</si>
  <si>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</si>
  <si>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</si>
  <si>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</si>
  <si>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</si>
  <si>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</si>
  <si>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</si>
  <si>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</si>
  <si>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</si>
  <si>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</si>
  <si>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</si>
  <si>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</si>
  <si>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</si>
  <si>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</si>
  <si>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</si>
  <si>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</si>
  <si>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</si>
  <si>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</si>
  <si>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</si>
  <si>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</si>
  <si>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</si>
  <si>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</si>
  <si>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</si>
  <si>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</si>
  <si>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</si>
  <si>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</si>
  <si>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</si>
  <si>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</si>
  <si>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</si>
  <si>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</si>
  <si>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</si>
  <si>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</si>
  <si>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</si>
  <si>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</si>
  <si>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</si>
  <si>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</si>
  <si>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</si>
  <si>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</si>
  <si>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</si>
  <si>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</si>
  <si>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</si>
  <si>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</si>
  <si>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</si>
  <si>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</si>
  <si>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</si>
  <si>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</si>
  <si>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</si>
  <si>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</si>
  <si>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</si>
  <si>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</si>
  <si>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</si>
  <si>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</si>
  <si>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</si>
  <si>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</si>
  <si>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</si>
  <si>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</si>
  <si>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</si>
  <si>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</si>
  <si>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</si>
  <si>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</si>
  <si>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</si>
  <si>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</si>
  <si>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</si>
  <si>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</si>
  <si>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</si>
  <si>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</si>
  <si>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</si>
  <si>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</si>
  <si>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</si>
  <si>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</si>
  <si>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</si>
  <si>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</si>
  <si>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</si>
  <si>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</si>
  <si>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</si>
  <si>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</si>
  <si>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</si>
  <si>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</si>
  <si>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</si>
  <si>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</si>
  <si>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</si>
  <si>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</si>
  <si>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</si>
  <si>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</si>
  <si>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</si>
  <si>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</si>
  <si>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</si>
  <si>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</si>
  <si>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</si>
  <si>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</si>
  <si>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</si>
  <si>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</si>
  <si>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</si>
  <si>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</si>
  <si>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</si>
  <si>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</si>
  <si>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</si>
  <si>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</si>
  <si>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</si>
  <si>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</si>
  <si>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</si>
  <si>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</si>
  <si>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</si>
  <si>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</si>
  <si>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</si>
  <si>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</si>
  <si>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</si>
  <si>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</si>
  <si>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</si>
  <si>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</si>
  <si>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</si>
  <si>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</si>
  <si>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</si>
  <si>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</si>
  <si>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</si>
  <si>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</si>
  <si>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</si>
  <si>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</si>
  <si>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</si>
  <si>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</si>
  <si>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</si>
  <si>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</si>
  <si>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</si>
  <si>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</si>
  <si>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</si>
  <si>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</si>
  <si>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</si>
  <si>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</si>
  <si>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</si>
  <si>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</si>
  <si>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</si>
  <si>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</si>
  <si>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</si>
  <si>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</si>
  <si>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</si>
  <si>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</si>
  <si>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</si>
  <si>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</si>
  <si>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</si>
  <si>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</si>
  <si>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</si>
  <si>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</si>
  <si>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</si>
  <si>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</si>
  <si>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</si>
  <si>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</si>
  <si>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</si>
  <si>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</si>
  <si>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</si>
  <si>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</si>
  <si>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</si>
  <si>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</si>
  <si>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</si>
  <si>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</si>
  <si>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</si>
  <si>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</si>
  <si>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</si>
  <si>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</si>
  <si>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</si>
  <si>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</si>
  <si>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</si>
  <si>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</si>
  <si>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</si>
  <si>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</si>
  <si>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</si>
  <si>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</si>
  <si>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</si>
  <si>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</si>
  <si>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</si>
  <si>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</si>
  <si>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</si>
  <si>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</si>
  <si>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</si>
  <si>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</si>
  <si>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</si>
  <si>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</si>
  <si>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</si>
  <si>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</si>
  <si>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</si>
  <si>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</si>
  <si>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</si>
  <si>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</si>
  <si>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</si>
  <si>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</si>
  <si>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</si>
  <si>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</si>
  <si>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</si>
  <si>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</si>
  <si>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</si>
  <si>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</si>
  <si>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</si>
  <si>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</si>
  <si>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</si>
  <si>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</si>
  <si>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</si>
  <si>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</si>
  <si>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</si>
  <si>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</si>
  <si>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</si>
  <si>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</si>
  <si>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</si>
  <si>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</si>
  <si>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</si>
  <si>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</si>
  <si>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</si>
  <si>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</si>
  <si>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</si>
  <si>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</si>
  <si>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</si>
  <si>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</si>
  <si>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</si>
  <si>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</si>
  <si>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</si>
  <si>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</si>
  <si>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</si>
  <si>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</si>
  <si>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</si>
  <si>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</si>
  <si>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</si>
  <si>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</si>
  <si>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</si>
  <si>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</si>
  <si>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</si>
  <si>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</si>
  <si>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</si>
  <si>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</si>
  <si>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</si>
  <si>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</si>
  <si>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</si>
  <si>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</si>
  <si>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</si>
  <si>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</si>
  <si>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</si>
  <si>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</si>
  <si>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</si>
  <si>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</si>
  <si>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</si>
  <si>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</si>
  <si>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</si>
  <si>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</si>
  <si>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</si>
  <si>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</si>
  <si>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</si>
  <si>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</si>
  <si>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</si>
  <si>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</si>
  <si>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</si>
  <si>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</si>
  <si>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</si>
  <si>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</si>
  <si>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</si>
  <si>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</si>
  <si>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</si>
  <si>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</si>
  <si>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</si>
  <si>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</si>
  <si>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</si>
  <si>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</si>
  <si>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</si>
  <si>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</si>
  <si>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</si>
  <si>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</si>
  <si>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</si>
  <si>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</si>
  <si>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</si>
  <si>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</si>
  <si>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</si>
  <si>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</si>
  <si>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</si>
  <si>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</si>
  <si>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</si>
  <si>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</si>
  <si>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</si>
  <si>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</si>
  <si>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</si>
  <si>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</si>
  <si>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</si>
  <si>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</si>
  <si>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</si>
  <si>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</si>
  <si>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</si>
  <si>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</si>
  <si>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</si>
  <si>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</si>
  <si>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</si>
  <si>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</si>
  <si>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</si>
  <si>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</si>
  <si>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</si>
  <si>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</si>
  <si>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</si>
  <si>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</si>
  <si>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</si>
  <si>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</si>
  <si>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</si>
  <si>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</si>
  <si>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</si>
  <si>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</si>
  <si>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</si>
  <si>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</si>
  <si>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</si>
  <si>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</si>
  <si>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</si>
  <si>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</si>
  <si>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</si>
  <si>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</si>
  <si>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</si>
  <si>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</si>
  <si>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</si>
  <si>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</si>
  <si>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</si>
  <si>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</si>
  <si>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</si>
  <si>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</si>
  <si>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</si>
  <si>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</si>
  <si>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</si>
  <si>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</si>
  <si>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</si>
  <si>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</si>
  <si>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</si>
  <si>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</si>
  <si>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</si>
  <si>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</si>
  <si>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</si>
  <si>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</si>
  <si>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</si>
  <si>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</si>
  <si>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</si>
  <si>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</si>
  <si>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</si>
  <si>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</si>
  <si>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</si>
  <si>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</si>
  <si>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</si>
  <si>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</si>
  <si>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</si>
  <si>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</si>
  <si>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</si>
  <si>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</si>
  <si>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</si>
  <si>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</si>
  <si>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</si>
  <si>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</si>
  <si>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</si>
  <si>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</si>
  <si>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</si>
  <si>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</si>
  <si>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</si>
  <si>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</si>
  <si>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</si>
  <si>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</si>
  <si>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</si>
  <si>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</si>
  <si>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</si>
  <si>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</si>
  <si>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</si>
  <si>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</si>
  <si>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</si>
  <si>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</si>
  <si>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</si>
  <si>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</si>
  <si>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</si>
  <si>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</si>
  <si>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</si>
  <si>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</si>
  <si>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</si>
  <si>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</si>
  <si>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</si>
  <si>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</si>
  <si>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</si>
  <si>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</si>
  <si>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</si>
  <si>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</si>
  <si>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</si>
  <si>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</si>
  <si>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</si>
  <si>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</si>
  <si>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</si>
  <si>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</si>
  <si>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</si>
  <si>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</si>
  <si>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</si>
  <si>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</si>
  <si>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</si>
  <si>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</si>
  <si>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</si>
  <si>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</si>
  <si>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</si>
  <si>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</si>
  <si>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</si>
  <si>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</si>
  <si>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</si>
  <si>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</si>
  <si>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</si>
  <si>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</si>
  <si>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</si>
  <si>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</si>
  <si>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</si>
  <si>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</si>
  <si>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</si>
  <si>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</si>
  <si>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</si>
  <si>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</si>
  <si>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</si>
  <si>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</si>
  <si>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</si>
  <si>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</si>
  <si>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</si>
  <si>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</si>
  <si>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</si>
  <si>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</si>
  <si>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</si>
  <si>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</si>
  <si>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</si>
  <si>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</si>
  <si>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</si>
  <si>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</si>
  <si>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</si>
  <si>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</si>
  <si>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</si>
  <si>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</si>
  <si>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</si>
  <si>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</si>
  <si>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</si>
  <si>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</si>
  <si>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</si>
  <si>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</si>
  <si>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</si>
  <si>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</si>
  <si>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</si>
  <si>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</si>
  <si>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</si>
  <si>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</si>
  <si>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</si>
  <si>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</si>
  <si>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</si>
  <si>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</si>
  <si>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</si>
  <si>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</si>
  <si>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</si>
  <si>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</si>
  <si>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</si>
  <si>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</si>
  <si>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</si>
  <si>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</si>
  <si>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</si>
  <si>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</si>
  <si>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</si>
  <si>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</si>
  <si>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</si>
  <si>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</si>
  <si>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</si>
  <si>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</si>
  <si>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</si>
  <si>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</si>
  <si>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</si>
  <si>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</si>
  <si>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</si>
  <si>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</si>
  <si>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</si>
  <si>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</si>
  <si>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</si>
  <si>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</si>
  <si>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</si>
  <si>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</si>
  <si>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</si>
  <si>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</si>
  <si>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</si>
  <si>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</si>
  <si>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</si>
  <si>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</si>
  <si>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</si>
  <si>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</si>
  <si>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</si>
  <si>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</si>
  <si>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</si>
  <si>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</si>
  <si>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</si>
  <si>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</si>
  <si>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</si>
  <si>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</si>
  <si>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</si>
  <si>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</si>
  <si>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</si>
  <si>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</si>
  <si>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</si>
  <si>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</si>
  <si>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</si>
  <si>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</si>
  <si>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</si>
  <si>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</si>
  <si>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</si>
  <si>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</si>
  <si>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</si>
  <si>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</si>
  <si>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</si>
  <si>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</si>
  <si>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</si>
  <si>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</si>
  <si>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</si>
  <si>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</si>
  <si>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</si>
  <si>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</si>
  <si>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</si>
  <si>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</si>
  <si>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</si>
  <si>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</si>
  <si>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</si>
  <si>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</si>
  <si>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</si>
  <si>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</si>
  <si>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</si>
  <si>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</si>
  <si>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</si>
  <si>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</si>
  <si>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</si>
  <si>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</si>
  <si>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</si>
  <si>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</si>
  <si>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</si>
  <si>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</si>
  <si>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</si>
  <si>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</si>
  <si>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</si>
  <si>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</si>
  <si>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</si>
  <si>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</si>
  <si>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</si>
  <si>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</si>
  <si>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</si>
  <si>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</si>
  <si>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</si>
  <si>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</si>
  <si>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</si>
  <si>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</si>
  <si>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</si>
  <si>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</si>
  <si>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</si>
  <si>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</si>
  <si>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</si>
  <si>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</si>
  <si>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</si>
  <si>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</si>
  <si>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</si>
  <si>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</si>
  <si>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</si>
  <si>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</si>
  <si>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</si>
  <si>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</si>
  <si>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</si>
  <si>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</si>
  <si>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</si>
  <si>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</si>
  <si>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</si>
  <si>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</si>
  <si>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</si>
  <si>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</si>
  <si>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</si>
  <si>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</si>
  <si>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</si>
  <si>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</si>
  <si>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</si>
  <si>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</si>
  <si>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</si>
  <si>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</si>
  <si>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</si>
  <si>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</si>
  <si>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</si>
  <si>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</si>
  <si>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</si>
  <si>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</si>
  <si>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</si>
  <si>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</si>
  <si>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</si>
  <si>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</si>
  <si>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</si>
  <si>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</si>
  <si>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</si>
  <si>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</si>
  <si>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</si>
  <si>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</si>
  <si>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</si>
  <si>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</si>
  <si>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</si>
  <si>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</si>
  <si>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</si>
  <si>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</si>
  <si>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</si>
  <si>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</si>
  <si>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</si>
  <si>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</si>
  <si>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</si>
  <si>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</si>
  <si>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</si>
  <si>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</si>
  <si>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</si>
  <si>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</si>
  <si>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</si>
  <si>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</si>
  <si>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</si>
  <si>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</si>
  <si>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</si>
  <si>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</si>
  <si>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</si>
  <si>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</si>
  <si>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</si>
  <si>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</si>
  <si>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</si>
  <si>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</si>
  <si>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</si>
  <si>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</si>
  <si>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</si>
  <si>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</si>
  <si>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</si>
  <si>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</si>
  <si>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</si>
  <si>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</si>
  <si>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</si>
  <si>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</si>
  <si>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</si>
  <si>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</si>
  <si>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</si>
  <si>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</si>
  <si>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</si>
  <si>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</si>
  <si>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</si>
  <si>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</si>
  <si>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</si>
  <si>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</si>
  <si>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</si>
  <si>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</si>
  <si>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</si>
  <si>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</si>
  <si>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</si>
  <si>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</si>
  <si>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</si>
  <si>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</si>
  <si>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</si>
  <si>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</si>
  <si>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</si>
  <si>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</si>
  <si>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</si>
  <si>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</si>
  <si>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</si>
  <si>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</si>
  <si>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</si>
  <si>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</si>
  <si>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</si>
  <si>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</si>
  <si>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</si>
  <si>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</si>
  <si>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</si>
  <si>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</si>
  <si>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</si>
  <si>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</si>
  <si>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</si>
  <si>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</si>
  <si>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</si>
  <si>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</si>
  <si>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</si>
  <si>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</si>
  <si>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</si>
  <si>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</si>
  <si>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</si>
  <si>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</si>
  <si>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</si>
  <si>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</si>
  <si>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</si>
  <si>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</si>
  <si>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</si>
  <si>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</si>
  <si>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</si>
  <si>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</si>
  <si>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</si>
  <si>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</si>
  <si>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</si>
  <si>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</si>
  <si>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</si>
  <si>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</si>
  <si>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</si>
  <si>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</si>
  <si>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</si>
  <si>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</si>
  <si>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</si>
  <si>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</si>
  <si>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</si>
  <si>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</si>
  <si>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</si>
  <si>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</si>
  <si>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</si>
  <si>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</si>
  <si>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</si>
  <si>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</si>
  <si>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</si>
  <si>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</si>
  <si>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</si>
  <si>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</si>
  <si>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</si>
  <si>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</si>
  <si>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</si>
  <si>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</si>
  <si>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</si>
  <si>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</si>
  <si>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</si>
  <si>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</si>
  <si>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</si>
  <si>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</si>
  <si>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</si>
  <si>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</si>
  <si>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</si>
  <si>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</si>
  <si>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</si>
  <si>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</si>
  <si>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</si>
  <si>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</si>
  <si>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</si>
  <si>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</si>
  <si>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</si>
  <si>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</si>
  <si>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</si>
  <si>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</si>
  <si>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</si>
  <si>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</si>
  <si>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</si>
  <si>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</si>
  <si>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</si>
  <si>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</si>
  <si>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</si>
  <si>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</si>
  <si>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</si>
  <si>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</si>
  <si>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</si>
  <si>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</si>
  <si>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</si>
  <si>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</si>
  <si>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</si>
  <si>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</si>
  <si>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</si>
  <si>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</si>
  <si>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</si>
  <si>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</si>
  <si>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</si>
  <si>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</si>
  <si>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</si>
  <si>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</si>
  <si>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</si>
  <si>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</si>
  <si>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</si>
  <si>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</si>
  <si>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</si>
  <si>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</si>
  <si>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</si>
  <si>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</si>
  <si>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</si>
  <si>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</si>
  <si>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</si>
  <si>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</si>
  <si>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</si>
  <si>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</si>
  <si>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</si>
  <si>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</si>
  <si>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</si>
  <si>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</si>
  <si>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</si>
  <si>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</si>
  <si>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</si>
  <si>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</si>
  <si>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</si>
  <si>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</si>
  <si>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</si>
  <si>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</si>
  <si>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</si>
  <si>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</si>
  <si>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</si>
  <si>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</si>
  <si>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</si>
  <si>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</si>
  <si>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</si>
  <si>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</si>
  <si>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</si>
  <si>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</si>
  <si>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</si>
  <si>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</si>
  <si>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</si>
  <si>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</si>
  <si>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</si>
  <si>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</si>
  <si>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</si>
  <si>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</si>
  <si>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</si>
  <si>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</si>
  <si>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</si>
  <si>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</si>
  <si>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</si>
  <si>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</si>
  <si>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</si>
  <si>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</si>
  <si>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</si>
  <si>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</si>
  <si>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</si>
  <si>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</si>
  <si>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</si>
  <si>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</si>
  <si>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</si>
  <si>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</si>
  <si>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</si>
  <si>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</si>
  <si>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</si>
  <si>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</si>
  <si>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</si>
  <si>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</si>
  <si>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</si>
  <si>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</si>
  <si>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</si>
  <si>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</si>
  <si>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</si>
  <si>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</si>
  <si>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</si>
  <si>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</si>
  <si>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</si>
  <si>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</si>
  <si>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</si>
  <si>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</si>
  <si>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</si>
  <si>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</si>
  <si>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</si>
  <si>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</si>
  <si>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</si>
  <si>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</si>
  <si>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</si>
  <si>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</si>
  <si>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</si>
  <si>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</si>
  <si>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</si>
  <si>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</si>
  <si>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</si>
  <si>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</si>
  <si>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</si>
  <si>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</si>
  <si>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</si>
  <si>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</si>
  <si>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</si>
  <si>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</si>
  <si>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</si>
  <si>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</si>
  <si>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</si>
  <si>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</si>
  <si>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</si>
  <si>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</si>
  <si>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</si>
  <si>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</si>
  <si>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</si>
  <si>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</si>
  <si>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</si>
  <si>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</si>
  <si>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</si>
  <si>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</si>
  <si>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</si>
  <si>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</si>
  <si>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</si>
  <si>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</si>
  <si>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</si>
  <si>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</si>
  <si>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</si>
  <si>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</si>
  <si>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</si>
  <si>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</si>
  <si>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</si>
  <si>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</si>
  <si>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</si>
  <si>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</si>
  <si>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</si>
  <si>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</si>
  <si>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</si>
  <si>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</si>
  <si>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</si>
  <si>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</si>
  <si>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</si>
  <si>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</si>
  <si>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</si>
  <si>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</si>
  <si>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</si>
  <si>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</si>
  <si>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</si>
  <si>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</si>
  <si>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</si>
  <si>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</si>
  <si>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</si>
  <si>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</si>
  <si>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</si>
  <si>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</si>
  <si>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</si>
  <si>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</si>
  <si>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</si>
  <si>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</si>
  <si>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</si>
  <si>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</si>
  <si>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</si>
  <si>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</si>
  <si>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</si>
  <si>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</si>
  <si>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</si>
  <si>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</si>
  <si>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</si>
  <si>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</si>
  <si>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</si>
  <si>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</si>
  <si>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</si>
  <si>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</si>
  <si>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</si>
  <si>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</si>
  <si>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</si>
  <si>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</si>
  <si>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</si>
  <si>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</si>
  <si>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</si>
  <si>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</si>
  <si>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</si>
  <si>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</si>
  <si>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</si>
  <si>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</si>
  <si>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</si>
  <si>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</si>
  <si>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</si>
  <si>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</si>
  <si>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</si>
  <si>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</si>
  <si>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</si>
  <si>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</si>
  <si>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</si>
  <si>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</si>
  <si>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</si>
  <si>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</si>
  <si>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</si>
  <si>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</si>
  <si>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</si>
  <si>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</si>
  <si>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</si>
  <si>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</si>
  <si>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</si>
  <si>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</si>
  <si>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</si>
  <si>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</si>
  <si>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</si>
  <si>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</si>
  <si>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</si>
  <si>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</si>
  <si>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</si>
  <si>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</si>
  <si>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</si>
  <si>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</si>
  <si>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</si>
  <si>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</si>
  <si>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</si>
  <si>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</si>
  <si>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</si>
  <si>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</si>
  <si>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</si>
  <si>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</si>
  <si>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</si>
  <si>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</si>
  <si>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</si>
  <si>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</si>
  <si>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</si>
  <si>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</si>
  <si>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</si>
  <si>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</si>
  <si>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</si>
  <si>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</si>
  <si>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</si>
  <si>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</si>
  <si>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</si>
  <si>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</si>
  <si>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</si>
  <si>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</si>
  <si>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</si>
  <si>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</si>
  <si>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</si>
  <si>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</si>
  <si>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</si>
  <si>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</si>
  <si>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</si>
  <si>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</si>
  <si>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</si>
  <si>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</si>
  <si>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</si>
  <si>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</si>
  <si>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</si>
  <si>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</si>
  <si>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</si>
  <si>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</si>
  <si>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</si>
  <si>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</si>
  <si>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</si>
  <si>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</si>
  <si>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</si>
  <si>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</si>
  <si>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</si>
  <si>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</si>
  <si>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</si>
  <si>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</si>
  <si>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</si>
  <si>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</si>
  <si>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</si>
  <si>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</si>
  <si>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</si>
  <si>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</si>
  <si>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</si>
  <si>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</si>
  <si>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</si>
  <si>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</si>
  <si>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</si>
  <si>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</si>
  <si>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</si>
  <si>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</si>
  <si>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</si>
  <si>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</si>
  <si>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</si>
  <si>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</si>
  <si>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</si>
  <si>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</si>
  <si>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</si>
  <si>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</si>
  <si>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</si>
  <si>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</si>
  <si>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</si>
  <si>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</si>
  <si>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</si>
  <si>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</si>
  <si>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</si>
  <si>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</si>
  <si>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</si>
  <si>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</si>
  <si>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</si>
  <si>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</si>
  <si>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</si>
  <si>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</si>
  <si>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</si>
  <si>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</si>
  <si>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</si>
  <si>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</si>
  <si>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</si>
  <si>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</si>
  <si>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</si>
  <si>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</si>
  <si>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</si>
  <si>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</si>
  <si>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</si>
  <si>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</si>
  <si>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</si>
  <si>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</si>
  <si>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</si>
  <si>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</si>
  <si>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</si>
  <si>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</si>
  <si>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</si>
  <si>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</si>
  <si>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</si>
  <si>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</si>
  <si>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</si>
  <si>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</si>
  <si>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</si>
  <si>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</si>
  <si>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</si>
  <si>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</si>
  <si>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</si>
  <si>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</si>
  <si>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</si>
  <si>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</si>
  <si>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</si>
  <si>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</si>
  <si>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</si>
  <si>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</si>
  <si>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</si>
  <si>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</si>
  <si>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</si>
  <si>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</si>
  <si>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</si>
  <si>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</si>
  <si>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</si>
  <si>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</si>
  <si>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</si>
  <si>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</si>
  <si>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</si>
  <si>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</si>
  <si>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</si>
  <si>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</si>
  <si>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</si>
  <si>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</si>
  <si>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</si>
  <si>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</si>
  <si>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</si>
  <si>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</si>
  <si>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</si>
  <si>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</si>
  <si>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</si>
  <si>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</si>
  <si>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</si>
  <si>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</si>
  <si>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</si>
  <si>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</si>
  <si>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</si>
  <si>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</si>
  <si>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</si>
  <si>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</si>
  <si>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</si>
  <si>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</si>
  <si>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</si>
  <si>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</si>
  <si>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</si>
  <si>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</si>
  <si>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</si>
  <si>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</si>
  <si>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</si>
  <si>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</si>
  <si>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</si>
  <si>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</si>
  <si>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</si>
  <si>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</si>
  <si>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</si>
  <si>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</si>
  <si>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</si>
  <si>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</si>
  <si>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</si>
  <si>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</si>
  <si>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</si>
  <si>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</si>
  <si>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</si>
  <si>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</si>
  <si>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</si>
  <si>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</si>
  <si>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</si>
  <si>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</si>
  <si>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</si>
  <si>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</si>
  <si>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</si>
  <si>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</si>
  <si>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</si>
  <si>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</si>
  <si>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</si>
  <si>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</si>
  <si>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</si>
  <si>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</si>
  <si>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</si>
  <si>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</si>
  <si>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</si>
  <si>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</si>
  <si>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</si>
  <si>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</si>
  <si>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</si>
  <si>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</si>
  <si>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</si>
  <si>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</si>
  <si>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</si>
  <si>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</si>
  <si>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</si>
  <si>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</si>
  <si>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</si>
  <si>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</si>
  <si>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</si>
  <si>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</si>
  <si>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</si>
  <si>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</si>
  <si>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</si>
  <si>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</si>
  <si>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</si>
  <si>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</si>
  <si>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</si>
  <si>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</si>
  <si>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</si>
  <si>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</si>
  <si>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</si>
  <si>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</si>
  <si>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</si>
  <si>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</si>
  <si>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</si>
  <si>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</si>
  <si>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</si>
  <si>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</si>
  <si>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</si>
  <si>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</si>
  <si>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</si>
  <si>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</si>
  <si>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</si>
  <si>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</si>
  <si>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</si>
  <si>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</si>
  <si>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</si>
  <si>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</si>
  <si>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</si>
  <si>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</si>
  <si>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</si>
  <si>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</si>
  <si>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</si>
  <si>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</si>
  <si>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</si>
  <si>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</si>
  <si>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</si>
  <si>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</si>
  <si>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</si>
  <si>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</si>
  <si>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</si>
  <si>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</si>
  <si>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</si>
  <si>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</si>
  <si>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</si>
  <si>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</si>
  <si>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</si>
  <si>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</si>
  <si>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</si>
  <si>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</si>
  <si>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</si>
  <si>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</si>
  <si>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</si>
  <si>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</si>
  <si>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</si>
  <si>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</si>
  <si>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</si>
  <si>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</si>
  <si>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</si>
  <si>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</si>
  <si>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</si>
  <si>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</si>
  <si>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</si>
  <si>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</si>
  <si>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</si>
  <si>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</si>
  <si>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</si>
  <si>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</si>
  <si>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</si>
  <si>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</si>
  <si>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</si>
  <si>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</si>
  <si>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</si>
  <si>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</si>
  <si>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</si>
  <si>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</si>
  <si>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</si>
  <si>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</si>
  <si>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</si>
  <si>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</si>
  <si>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</si>
  <si>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</si>
  <si>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</si>
  <si>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</si>
  <si>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</si>
  <si>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</si>
  <si>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</si>
  <si>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</si>
  <si>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</si>
  <si>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</si>
  <si>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</si>
  <si>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</si>
  <si>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</si>
  <si>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</si>
  <si>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</si>
  <si>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</si>
  <si>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</si>
  <si>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</si>
  <si>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</si>
  <si>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</si>
  <si>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</si>
  <si>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</si>
  <si>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</si>
  <si>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</si>
  <si>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</si>
  <si>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</si>
  <si>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</si>
  <si>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</si>
  <si>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</si>
  <si>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</si>
  <si>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</si>
  <si>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</si>
  <si>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</si>
  <si>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</si>
  <si>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</si>
  <si>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</si>
  <si>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</si>
  <si>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</si>
  <si>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</si>
  <si>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</si>
  <si>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</si>
  <si>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</si>
  <si>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</si>
  <si>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</si>
  <si>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</si>
  <si>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</si>
  <si>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</si>
  <si>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</si>
  <si>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</si>
  <si>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</si>
  <si>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</si>
  <si>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</si>
  <si>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</si>
  <si>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</si>
  <si>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</si>
  <si>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</si>
  <si>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</si>
  <si>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</si>
  <si>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</si>
  <si>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</si>
  <si>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</si>
  <si>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</si>
  <si>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</si>
  <si>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</si>
  <si>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</si>
  <si>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</si>
  <si>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</si>
  <si>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</si>
  <si>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</si>
  <si>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</si>
  <si>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</si>
  <si>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</si>
  <si>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</si>
  <si>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</si>
  <si>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</si>
  <si>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</si>
  <si>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</si>
  <si>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</si>
  <si>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</si>
  <si>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</si>
  <si>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</si>
  <si>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</si>
  <si>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</si>
  <si>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</si>
  <si>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</si>
  <si>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</si>
  <si>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</si>
  <si>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</si>
  <si>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</si>
  <si>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</si>
  <si>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</si>
  <si>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</si>
  <si>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</si>
  <si>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</si>
  <si>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</si>
  <si>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</si>
  <si>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</si>
  <si>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</si>
  <si>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</si>
  <si>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</si>
  <si>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</si>
  <si>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</si>
  <si>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</si>
  <si>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</si>
  <si>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</si>
  <si>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</si>
  <si>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</si>
  <si>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</si>
  <si>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</si>
  <si>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</si>
  <si>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</si>
  <si>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</si>
  <si>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</si>
  <si>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</si>
  <si>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</si>
  <si>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</si>
  <si>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</si>
  <si>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</si>
  <si>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</si>
  <si>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</si>
  <si>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</si>
  <si>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</si>
  <si>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</si>
  <si>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</si>
  <si>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</si>
  <si>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</si>
  <si>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</si>
  <si>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</si>
  <si>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</si>
  <si>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</si>
  <si>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</si>
  <si>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</si>
  <si>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</si>
  <si>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</si>
  <si>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</si>
  <si>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</si>
  <si>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</si>
  <si>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</si>
  <si>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</si>
  <si>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</si>
  <si>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</si>
  <si>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</si>
  <si>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</si>
  <si>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</si>
  <si>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</si>
  <si>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</si>
  <si>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</si>
  <si>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</si>
  <si>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</si>
  <si>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</si>
  <si>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</si>
  <si>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</si>
  <si>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</si>
  <si>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</si>
  <si>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</si>
  <si>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</si>
  <si>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</si>
  <si>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</si>
  <si>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</si>
  <si>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</si>
  <si>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</si>
  <si>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</si>
  <si>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</si>
  <si>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</si>
  <si>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</si>
  <si>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</si>
  <si>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</si>
  <si>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</si>
  <si>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</si>
  <si>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</si>
  <si>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</si>
  <si>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</si>
  <si>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</si>
  <si>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</si>
  <si>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</si>
  <si>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</si>
  <si>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</si>
  <si>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</si>
  <si>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</si>
  <si>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</si>
  <si>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</si>
  <si>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</si>
  <si>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</si>
  <si>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</si>
  <si>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</si>
  <si>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</si>
  <si>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</si>
  <si>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</si>
  <si>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</si>
  <si>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</si>
  <si>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</si>
  <si>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</si>
  <si>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</si>
  <si>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</si>
  <si>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</si>
  <si>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</si>
  <si>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</si>
  <si>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</si>
  <si>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</si>
  <si>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</si>
  <si>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</si>
  <si>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</si>
  <si>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</si>
  <si>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</si>
  <si>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</si>
  <si>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</si>
  <si>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</si>
  <si>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</si>
  <si>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</si>
  <si>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</si>
  <si>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</si>
  <si>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</si>
  <si>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</si>
  <si>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</si>
  <si>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</si>
  <si>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</si>
  <si>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</si>
  <si>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</si>
  <si>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</si>
  <si>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</si>
  <si>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</si>
  <si>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</si>
  <si>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</si>
  <si>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</si>
  <si>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</si>
  <si>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</si>
  <si>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</si>
  <si>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</si>
  <si>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</si>
  <si>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</si>
  <si>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</si>
  <si>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</si>
  <si>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</si>
  <si>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</si>
  <si>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</si>
  <si>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</si>
  <si>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</si>
  <si>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</si>
  <si>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</si>
  <si>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</si>
  <si>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</si>
  <si>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</si>
  <si>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</si>
  <si>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</si>
  <si>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</si>
  <si>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</si>
  <si>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</si>
  <si>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</si>
  <si>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</si>
  <si>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</si>
  <si>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</si>
  <si>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</si>
  <si>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</si>
  <si>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</si>
  <si>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</si>
  <si>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</si>
  <si>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</si>
  <si>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</si>
  <si>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</si>
  <si>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</si>
  <si>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</si>
  <si>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</si>
  <si>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</si>
  <si>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</si>
  <si>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</si>
  <si>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</si>
  <si>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</si>
  <si>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</si>
  <si>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</si>
  <si>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</si>
  <si>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</si>
  <si>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</si>
  <si>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</si>
  <si>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</si>
  <si>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</si>
  <si>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</si>
  <si>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</si>
  <si>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</si>
  <si>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</si>
  <si>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</si>
  <si>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</si>
  <si>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</si>
  <si>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</si>
  <si>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</si>
  <si>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</si>
  <si>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</si>
  <si>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</si>
  <si>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</si>
  <si>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</si>
  <si>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</si>
  <si>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</si>
  <si>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</si>
  <si>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</si>
  <si>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</si>
  <si>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</si>
  <si>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</si>
  <si>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</si>
  <si>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</si>
  <si>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</si>
  <si>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</si>
  <si>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</si>
  <si>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</si>
  <si>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</si>
  <si>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</si>
  <si>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</si>
  <si>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</si>
  <si>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</si>
  <si>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</si>
  <si>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</si>
  <si>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</si>
  <si>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</si>
  <si>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</si>
  <si>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</si>
  <si>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</si>
  <si>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</si>
  <si>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</si>
  <si>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</si>
  <si>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</si>
  <si>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</si>
  <si>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</si>
  <si>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</si>
  <si>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</si>
  <si>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</si>
  <si>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</si>
  <si>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</si>
  <si>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</si>
  <si>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</si>
  <si>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</si>
  <si>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</si>
  <si>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</si>
  <si>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</si>
  <si>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</si>
  <si>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</si>
  <si>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</si>
  <si>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</si>
  <si>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</si>
  <si>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</si>
  <si>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</si>
  <si>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</si>
  <si>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</si>
  <si>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</si>
  <si>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</si>
  <si>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</si>
  <si>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</si>
  <si>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</si>
  <si>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</si>
  <si>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</si>
  <si>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</si>
  <si>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</si>
  <si>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</si>
  <si>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</si>
  <si>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</si>
  <si>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</si>
  <si>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</si>
  <si>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</si>
  <si>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</si>
  <si>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</si>
  <si>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</si>
  <si>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</si>
  <si>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</si>
  <si>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</si>
  <si>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</si>
  <si>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</si>
  <si>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</si>
  <si>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</si>
  <si>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</si>
  <si>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</si>
  <si>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</si>
  <si>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</si>
  <si>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</si>
  <si>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</si>
  <si>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</si>
  <si>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</si>
  <si>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</si>
  <si>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</si>
  <si>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</si>
  <si>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</si>
  <si>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</si>
  <si>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</si>
  <si>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</si>
  <si>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</si>
  <si>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</si>
  <si>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</si>
  <si>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</si>
  <si>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</si>
  <si>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</si>
  <si>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</si>
  <si>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</si>
  <si>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</si>
  <si>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</si>
  <si>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</si>
  <si>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</si>
  <si>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</si>
  <si>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</si>
  <si>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</si>
  <si>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</si>
  <si>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</si>
  <si>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</si>
  <si>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</si>
  <si>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</si>
  <si>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</si>
  <si>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</si>
  <si>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</si>
  <si>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</si>
  <si>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</si>
  <si>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</si>
  <si>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</si>
  <si>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</si>
  <si>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</si>
  <si>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</si>
  <si>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</si>
  <si>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</si>
  <si>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</si>
  <si>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</si>
  <si>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</si>
  <si>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</si>
  <si>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</si>
  <si>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</si>
  <si>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</si>
  <si>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</si>
  <si>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</si>
  <si>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</si>
  <si>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</si>
  <si>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</si>
  <si>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</si>
  <si>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</si>
  <si>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</si>
  <si>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</si>
  <si>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</si>
  <si>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</si>
  <si>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</si>
  <si>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</si>
  <si>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</si>
  <si>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</si>
  <si>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</si>
  <si>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</si>
  <si>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</si>
  <si>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</si>
  <si>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</si>
  <si>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</si>
  <si>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</si>
  <si>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</si>
  <si>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</si>
  <si>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</si>
  <si>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</si>
  <si>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</si>
  <si>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</si>
  <si>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</si>
  <si>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</si>
  <si>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</si>
  <si>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</si>
  <si>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</si>
  <si>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</si>
  <si>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</si>
  <si>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</si>
  <si>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</si>
  <si>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</si>
  <si>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</si>
  <si>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</si>
  <si>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</si>
  <si>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</si>
  <si>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</si>
  <si>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</si>
  <si>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</si>
  <si>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</si>
  <si>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</si>
  <si>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</si>
  <si>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</si>
  <si>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</si>
  <si>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</si>
  <si>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</si>
  <si>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</si>
  <si>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</si>
  <si>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</si>
  <si>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</si>
  <si>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</si>
  <si>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</si>
  <si>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</si>
  <si>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</si>
  <si>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</si>
  <si>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</si>
  <si>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</si>
  <si>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</si>
  <si>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</si>
  <si>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</si>
  <si>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</si>
  <si>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</si>
  <si>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</si>
  <si>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</si>
  <si>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</si>
  <si>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</si>
  <si>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</si>
  <si>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</si>
  <si>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</si>
  <si>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</si>
  <si>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</si>
  <si>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</si>
  <si>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</si>
  <si>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</si>
  <si>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</si>
  <si>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</si>
  <si>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</si>
  <si>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</si>
  <si>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</si>
  <si>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</si>
  <si>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</si>
  <si>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</si>
  <si>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</si>
  <si>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</si>
  <si>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</si>
  <si>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</si>
  <si>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</si>
  <si>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</si>
  <si>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</si>
  <si>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</si>
  <si>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</si>
  <si>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</si>
  <si>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</si>
  <si>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</si>
  <si>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</si>
  <si>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</si>
  <si>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</si>
  <si>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</si>
  <si>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</si>
  <si>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</si>
  <si>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</si>
  <si>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</si>
  <si>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</si>
  <si>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</si>
  <si>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</si>
  <si>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</si>
  <si>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</si>
  <si>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</si>
  <si>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</si>
  <si>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</si>
  <si>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</si>
  <si>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</si>
  <si>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</si>
  <si>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</si>
  <si>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</si>
  <si>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</si>
  <si>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</si>
  <si>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</si>
  <si>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</si>
  <si>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</si>
  <si>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</si>
  <si>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</si>
  <si>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</si>
  <si>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</si>
  <si>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</si>
  <si>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</si>
  <si>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</si>
  <si>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</si>
  <si>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</si>
  <si>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</si>
  <si>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</si>
  <si>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</si>
  <si>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</si>
  <si>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</si>
  <si>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</si>
  <si>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</si>
  <si>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</si>
  <si>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</si>
  <si>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</si>
  <si>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</si>
  <si>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</si>
  <si>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</si>
  <si>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</si>
  <si>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</si>
  <si>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</si>
  <si>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</si>
  <si>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</si>
  <si>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</si>
  <si>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</si>
  <si>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</si>
  <si>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</si>
  <si>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</si>
  <si>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</si>
  <si>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</si>
  <si>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</si>
  <si>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</si>
  <si>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</si>
  <si>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</si>
  <si>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</si>
  <si>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</si>
  <si>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</si>
  <si>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</si>
  <si>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</si>
  <si>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</si>
  <si>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</si>
  <si>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</si>
  <si>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</si>
  <si>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</si>
  <si>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</si>
  <si>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</si>
  <si>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</si>
  <si>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</si>
  <si>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</si>
  <si>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</si>
  <si>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</si>
  <si>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</si>
  <si>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</si>
  <si>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</si>
  <si>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</si>
  <si>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</si>
  <si>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</si>
  <si>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</si>
  <si>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</si>
  <si>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</si>
  <si>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</si>
  <si>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</si>
  <si>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</si>
  <si>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</si>
  <si>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</si>
  <si>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</si>
  <si>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</si>
  <si>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</si>
  <si>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</si>
  <si>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</si>
  <si>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</si>
  <si>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</si>
  <si>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</si>
  <si>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</si>
  <si>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</si>
  <si>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</si>
  <si>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</si>
  <si>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FSD130</t>
  </si>
  <si>
    <t>Condiciones devengado cuentas vista</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</si>
  <si>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</si>
  <si>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</si>
  <si>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</si>
  <si>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</si>
  <si>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</si>
  <si>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</si>
  <si>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</si>
  <si>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</si>
  <si>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</si>
  <si>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</si>
  <si>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</si>
  <si>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</si>
  <si>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</si>
  <si>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</si>
  <si>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</si>
  <si>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</si>
  <si>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</si>
  <si>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</si>
  <si>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</si>
  <si>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</si>
  <si>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</si>
  <si>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</si>
  <si>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</si>
  <si>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</si>
  <si>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</si>
  <si>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</si>
  <si>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</si>
  <si>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</si>
  <si>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</si>
  <si>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</si>
  <si>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</si>
  <si>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</si>
  <si>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</si>
  <si>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</si>
  <si>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</si>
  <si>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</si>
  <si>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</si>
  <si>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</si>
  <si>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</si>
  <si>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</si>
  <si>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</si>
  <si>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</si>
  <si>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</si>
  <si>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</si>
  <si>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</si>
  <si>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</si>
  <si>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</si>
  <si>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</si>
  <si>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</si>
  <si>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</si>
  <si>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</si>
  <si>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</si>
  <si>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</si>
  <si>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</si>
  <si>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</si>
  <si>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</si>
  <si>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</si>
  <si>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</si>
  <si>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</si>
  <si>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</si>
  <si>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</si>
  <si>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</si>
  <si>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</si>
  <si>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</si>
  <si>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</si>
  <si>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</si>
  <si>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</si>
  <si>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</si>
  <si>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</si>
  <si>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</si>
  <si>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</si>
  <si>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</si>
  <si>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</si>
  <si>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</si>
  <si>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</si>
  <si>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</si>
  <si>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</si>
  <si>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</si>
  <si>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</si>
  <si>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</si>
  <si>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</si>
  <si>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</si>
  <si>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</si>
  <si>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</si>
  <si>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</si>
  <si>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</si>
  <si>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</si>
  <si>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</si>
  <si>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</si>
  <si>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</si>
  <si>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</si>
  <si>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</si>
  <si>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</si>
  <si>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</si>
  <si>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</si>
  <si>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</si>
  <si>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</si>
  <si>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</si>
  <si>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</si>
  <si>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</si>
  <si>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</si>
  <si>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</si>
  <si>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</si>
  <si>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</si>
  <si>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</si>
  <si>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</si>
  <si>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</si>
  <si>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</si>
  <si>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</si>
  <si>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</si>
  <si>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</si>
  <si>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</si>
  <si>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</si>
  <si>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</si>
  <si>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</si>
  <si>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</si>
  <si>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</si>
  <si>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</si>
  <si>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</si>
  <si>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</si>
  <si>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</si>
  <si>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</si>
  <si>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</si>
  <si>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</si>
  <si>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</si>
  <si>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</si>
  <si>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</si>
  <si>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</si>
  <si>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</si>
  <si>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</si>
  <si>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</si>
  <si>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</si>
  <si>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</si>
  <si>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</si>
  <si>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</si>
  <si>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</si>
  <si>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</si>
  <si>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</si>
  <si>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</si>
  <si>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</si>
  <si>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</si>
  <si>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</si>
  <si>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</si>
  <si>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</si>
  <si>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</si>
  <si>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</si>
  <si>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</si>
  <si>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</si>
  <si>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</si>
  <si>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</si>
  <si>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</si>
  <si>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</si>
  <si>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</si>
  <si>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</si>
  <si>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</si>
  <si>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</si>
  <si>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</si>
  <si>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</si>
  <si>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</si>
  <si>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</si>
  <si>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</si>
  <si>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</si>
  <si>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</si>
  <si>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</si>
  <si>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</si>
  <si>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</si>
  <si>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</si>
  <si>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</si>
  <si>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</si>
  <si>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</si>
  <si>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</si>
  <si>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</si>
  <si>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</si>
  <si>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</si>
  <si>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</si>
  <si>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</si>
  <si>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</si>
  <si>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</si>
  <si>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</si>
  <si>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</si>
  <si>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</si>
  <si>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</si>
  <si>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</si>
  <si>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</si>
  <si>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</si>
  <si>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</si>
  <si>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</si>
  <si>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</si>
  <si>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</si>
  <si>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</si>
  <si>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</si>
  <si>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</si>
  <si>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</si>
  <si>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</si>
  <si>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</si>
  <si>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</si>
  <si>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</si>
  <si>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</si>
  <si>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</si>
  <si>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</si>
  <si>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</si>
  <si>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</si>
  <si>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</si>
  <si>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</si>
  <si>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</si>
  <si>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</si>
  <si>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</si>
  <si>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</si>
  <si>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</si>
  <si>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</si>
  <si>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</si>
  <si>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</si>
  <si>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</si>
  <si>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</si>
  <si>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</si>
  <si>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</si>
  <si>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</si>
  <si>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</si>
  <si>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</si>
  <si>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</si>
  <si>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</si>
  <si>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</si>
  <si>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</si>
  <si>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</si>
  <si>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</si>
  <si>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</si>
  <si>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</si>
  <si>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</si>
  <si>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</si>
  <si>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</si>
  <si>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</si>
  <si>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</si>
  <si>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</si>
  <si>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</si>
  <si>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</si>
  <si>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</si>
  <si>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</si>
  <si>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</si>
  <si>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</si>
  <si>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</si>
  <si>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</si>
  <si>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</si>
  <si>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</si>
  <si>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</si>
  <si>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</si>
  <si>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</si>
  <si>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</si>
  <si>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</si>
  <si>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</si>
  <si>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</si>
  <si>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</si>
  <si>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</si>
  <si>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</si>
  <si>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</si>
  <si>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</si>
  <si>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</si>
  <si>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</si>
  <si>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</si>
  <si>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</si>
  <si>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</si>
  <si>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</si>
  <si>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</si>
  <si>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</si>
  <si>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</si>
  <si>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</si>
  <si>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</si>
  <si>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</si>
  <si>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</si>
  <si>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</si>
  <si>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</si>
  <si>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</si>
  <si>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</si>
  <si>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</si>
  <si>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</si>
  <si>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</si>
  <si>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</si>
  <si>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</si>
  <si>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</si>
  <si>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</si>
  <si>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</si>
  <si>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</si>
  <si>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</si>
  <si>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</si>
  <si>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</si>
  <si>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</si>
  <si>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</si>
  <si>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</si>
  <si>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</si>
  <si>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</si>
  <si>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</si>
  <si>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</si>
  <si>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</si>
  <si>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</si>
  <si>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</si>
  <si>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</si>
  <si>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</si>
  <si>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</si>
  <si>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</si>
  <si>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</si>
  <si>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</si>
  <si>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</si>
  <si>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</si>
  <si>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</si>
  <si>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</si>
  <si>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</si>
  <si>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</si>
  <si>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</si>
  <si>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</si>
  <si>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</si>
  <si>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</si>
  <si>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</si>
  <si>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</si>
  <si>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</si>
  <si>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</si>
  <si>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</si>
  <si>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</si>
  <si>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</si>
  <si>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</si>
  <si>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</si>
  <si>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</si>
  <si>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</si>
  <si>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</si>
  <si>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</si>
  <si>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</si>
  <si>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</si>
  <si>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</si>
  <si>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</si>
  <si>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</si>
  <si>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</si>
  <si>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</si>
  <si>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</si>
  <si>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</si>
  <si>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</si>
  <si>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</si>
  <si>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</si>
  <si>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</si>
  <si>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</si>
  <si>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</si>
  <si>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</si>
  <si>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</si>
  <si>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</si>
  <si>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</si>
  <si>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</si>
  <si>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</si>
  <si>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</si>
  <si>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</si>
  <si>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</si>
  <si>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</si>
  <si>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</si>
  <si>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</si>
  <si>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</si>
  <si>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</si>
  <si>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</si>
  <si>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</si>
  <si>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</si>
  <si>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</si>
  <si>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</si>
  <si>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</si>
  <si>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</si>
  <si>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</si>
  <si>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</si>
  <si>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</si>
  <si>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</si>
  <si>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</si>
  <si>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</si>
  <si>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</si>
  <si>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</si>
  <si>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</si>
  <si>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</si>
  <si>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</si>
  <si>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</si>
  <si>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</si>
  <si>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</si>
  <si>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</si>
  <si>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</si>
  <si>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</si>
  <si>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</si>
  <si>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</si>
  <si>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</si>
  <si>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</si>
  <si>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</si>
  <si>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</si>
  <si>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</si>
  <si>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</si>
  <si>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</si>
  <si>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</si>
  <si>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</si>
  <si>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</si>
  <si>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</si>
  <si>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</si>
  <si>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</si>
  <si>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</si>
  <si>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</si>
  <si>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</si>
  <si>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</si>
  <si>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</si>
  <si>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</si>
  <si>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</si>
  <si>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</si>
  <si>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</si>
  <si>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</si>
  <si>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</si>
  <si>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</si>
  <si>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</si>
  <si>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</si>
  <si>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</si>
  <si>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</si>
  <si>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</si>
  <si>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</si>
  <si>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</si>
  <si>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</si>
  <si>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</si>
  <si>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</si>
  <si>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</si>
  <si>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</si>
  <si>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</si>
  <si>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</si>
  <si>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</si>
  <si>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</si>
  <si>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</si>
  <si>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</si>
  <si>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</si>
  <si>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</si>
  <si>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</si>
  <si>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</si>
  <si>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</si>
  <si>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</si>
  <si>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</si>
  <si>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</si>
  <si>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</si>
  <si>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</si>
  <si>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</si>
  <si>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</si>
  <si>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</si>
  <si>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</si>
  <si>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</si>
  <si>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</si>
  <si>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</si>
  <si>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</si>
  <si>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</si>
  <si>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</si>
  <si>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</si>
  <si>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</si>
  <si>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</si>
  <si>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</si>
  <si>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</si>
  <si>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</si>
  <si>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</si>
  <si>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</si>
  <si>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</si>
  <si>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</si>
  <si>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</si>
  <si>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</si>
  <si>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</si>
  <si>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</si>
  <si>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</si>
  <si>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</si>
  <si>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</si>
  <si>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</si>
  <si>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</si>
  <si>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</si>
  <si>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</si>
  <si>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</si>
  <si>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</si>
  <si>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</si>
  <si>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</si>
  <si>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</si>
  <si>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</si>
  <si>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</si>
  <si>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</si>
  <si>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</si>
  <si>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</si>
  <si>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</si>
  <si>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</si>
  <si>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</si>
  <si>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</si>
  <si>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</si>
  <si>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</si>
  <si>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</si>
  <si>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</si>
  <si>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</si>
  <si>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</si>
  <si>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</si>
  <si>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</si>
  <si>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</si>
  <si>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</si>
  <si>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</si>
  <si>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</si>
  <si>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</si>
  <si>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</si>
  <si>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</si>
  <si>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</si>
  <si>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</si>
  <si>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</si>
  <si>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</si>
  <si>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</si>
  <si>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</si>
  <si>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</si>
  <si>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</si>
  <si>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</si>
  <si>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</si>
  <si>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</si>
  <si>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</si>
  <si>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</si>
  <si>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</si>
  <si>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</si>
  <si>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</si>
  <si>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</si>
  <si>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</si>
  <si>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</si>
  <si>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</si>
  <si>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</si>
  <si>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</si>
  <si>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</si>
  <si>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</si>
  <si>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</si>
  <si>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</si>
  <si>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</si>
  <si>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</si>
  <si>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</si>
  <si>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</si>
  <si>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</si>
  <si>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</si>
  <si>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</si>
  <si>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</si>
  <si>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</si>
  <si>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</si>
  <si>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</si>
  <si>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</si>
  <si>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</si>
  <si>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</si>
  <si>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</si>
  <si>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</si>
  <si>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</si>
  <si>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</si>
  <si>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</si>
  <si>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</si>
  <si>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</si>
  <si>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</si>
  <si>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</si>
  <si>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</si>
  <si>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</si>
  <si>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</si>
  <si>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</si>
  <si>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</si>
  <si>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</si>
  <si>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</si>
  <si>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</si>
  <si>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</si>
  <si>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</si>
  <si>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</si>
  <si>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</si>
  <si>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</si>
  <si>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</si>
  <si>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</si>
  <si>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</si>
  <si>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</si>
  <si>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</si>
  <si>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</si>
  <si>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</si>
  <si>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</si>
  <si>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</si>
  <si>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</si>
  <si>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</si>
  <si>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</si>
  <si>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</si>
  <si>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</si>
  <si>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</si>
  <si>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</si>
  <si>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</si>
  <si>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</si>
  <si>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</si>
  <si>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</si>
  <si>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</si>
  <si>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</si>
  <si>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</si>
  <si>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</si>
  <si>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</si>
  <si>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</si>
  <si>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</si>
  <si>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</si>
  <si>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</si>
  <si>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</si>
  <si>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</si>
  <si>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</si>
  <si>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</si>
  <si>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</si>
  <si>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</si>
  <si>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</si>
  <si>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</si>
  <si>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</si>
  <si>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</si>
  <si>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</si>
  <si>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</si>
  <si>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</si>
  <si>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</si>
  <si>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</si>
  <si>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</si>
  <si>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</si>
  <si>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</si>
  <si>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</si>
  <si>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</si>
  <si>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</si>
  <si>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</si>
  <si>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</si>
  <si>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</si>
  <si>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</si>
  <si>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</si>
  <si>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</si>
  <si>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</si>
  <si>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</si>
  <si>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</si>
  <si>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</si>
  <si>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</si>
  <si>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</si>
  <si>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</si>
  <si>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</si>
  <si>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</si>
  <si>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</si>
  <si>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</si>
  <si>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</si>
  <si>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</si>
  <si>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</si>
  <si>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</si>
  <si>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</si>
  <si>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</si>
  <si>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</si>
  <si>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</si>
  <si>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</si>
  <si>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</si>
  <si>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</si>
  <si>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</si>
  <si>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</si>
  <si>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</si>
  <si>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</si>
  <si>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</si>
  <si>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</si>
  <si>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</si>
  <si>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</si>
  <si>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</si>
  <si>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</si>
  <si>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</si>
  <si>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</si>
  <si>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</si>
  <si>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</si>
  <si>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</si>
  <si>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</si>
  <si>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</si>
  <si>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</si>
  <si>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</si>
  <si>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</si>
  <si>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</si>
  <si>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</si>
  <si>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</si>
  <si>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</si>
  <si>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</si>
  <si>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</si>
  <si>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</si>
  <si>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</si>
  <si>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</si>
  <si>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</si>
  <si>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</si>
  <si>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</si>
  <si>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</si>
  <si>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</si>
  <si>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</si>
  <si>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</si>
  <si>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</si>
  <si>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</si>
  <si>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</si>
  <si>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</si>
  <si>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</si>
  <si>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</si>
  <si>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</si>
  <si>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</si>
  <si>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</si>
  <si>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</si>
  <si>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</si>
  <si>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</si>
  <si>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</si>
  <si>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</si>
  <si>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</si>
  <si>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</si>
  <si>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</si>
  <si>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</si>
  <si>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</si>
  <si>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</si>
  <si>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</si>
  <si>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</si>
  <si>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</si>
  <si>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</si>
  <si>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</si>
  <si>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</si>
  <si>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</si>
  <si>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</si>
  <si>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</si>
  <si>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</si>
  <si>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</si>
  <si>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</si>
  <si>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</si>
  <si>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</si>
  <si>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</si>
  <si>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</si>
  <si>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</si>
  <si>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</si>
  <si>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</si>
  <si>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</si>
  <si>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</si>
  <si>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</si>
  <si>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</si>
  <si>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</si>
  <si>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</si>
  <si>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</si>
  <si>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</si>
  <si>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</si>
  <si>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</si>
  <si>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</si>
  <si>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</si>
  <si>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</si>
  <si>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</si>
  <si>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</si>
  <si>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</si>
  <si>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</si>
  <si>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</si>
  <si>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</si>
  <si>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</si>
  <si>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</si>
  <si>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</si>
  <si>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</si>
  <si>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</si>
  <si>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</si>
  <si>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</si>
  <si>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</si>
  <si>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</si>
  <si>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</si>
  <si>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</si>
  <si>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</si>
  <si>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</si>
  <si>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</si>
  <si>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</si>
  <si>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</si>
  <si>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</si>
  <si>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</si>
  <si>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</si>
  <si>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</si>
  <si>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</si>
  <si>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</si>
  <si>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</si>
  <si>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</si>
  <si>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</si>
  <si>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</si>
  <si>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</si>
  <si>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</si>
  <si>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</si>
  <si>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</si>
  <si>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</si>
  <si>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</si>
  <si>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</si>
  <si>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</si>
  <si>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</si>
  <si>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</si>
  <si>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</si>
  <si>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</si>
  <si>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</si>
  <si>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</si>
  <si>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</si>
  <si>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</si>
  <si>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</si>
  <si>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</si>
  <si>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</si>
  <si>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</si>
  <si>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</si>
  <si>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</si>
  <si>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</si>
  <si>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</si>
  <si>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</si>
  <si>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</si>
  <si>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</si>
  <si>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</si>
  <si>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</si>
  <si>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</si>
  <si>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</si>
  <si>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</si>
  <si>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</si>
  <si>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</si>
  <si>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</si>
  <si>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</si>
  <si>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</si>
  <si>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</si>
  <si>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</si>
  <si>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</si>
  <si>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</si>
  <si>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</si>
  <si>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</si>
  <si>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</si>
  <si>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</si>
  <si>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</si>
  <si>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</si>
  <si>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</si>
  <si>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</si>
  <si>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</si>
  <si>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</si>
  <si>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</si>
  <si>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</si>
  <si>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</si>
  <si>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</si>
  <si>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</si>
  <si>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</si>
  <si>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</si>
  <si>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</si>
  <si>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</si>
  <si>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</si>
  <si>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</si>
  <si>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</si>
  <si>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</si>
  <si>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</si>
  <si>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</si>
  <si>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</si>
  <si>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</si>
  <si>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</si>
  <si>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</si>
  <si>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</si>
  <si>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</si>
  <si>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</si>
  <si>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</si>
  <si>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</si>
  <si>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</si>
  <si>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</si>
  <si>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</si>
  <si>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</si>
  <si>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</si>
  <si>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</si>
  <si>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</si>
  <si>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</si>
  <si>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</si>
  <si>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</si>
  <si>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</si>
  <si>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</si>
  <si>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</si>
  <si>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</si>
  <si>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</si>
  <si>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</si>
  <si>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</si>
  <si>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</si>
  <si>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</si>
  <si>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</si>
  <si>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</si>
  <si>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</si>
  <si>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</si>
  <si>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</si>
  <si>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</si>
  <si>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</si>
  <si>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</si>
  <si>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</si>
  <si>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</si>
  <si>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</si>
  <si>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</si>
  <si>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</si>
  <si>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</si>
  <si>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</si>
  <si>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</si>
  <si>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</si>
  <si>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</si>
  <si>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</si>
  <si>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</si>
  <si>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</si>
  <si>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</si>
  <si>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</si>
  <si>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</si>
  <si>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</si>
  <si>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</si>
  <si>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</si>
  <si>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</si>
  <si>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</si>
  <si>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</si>
  <si>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</si>
  <si>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</si>
  <si>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</si>
  <si>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</si>
  <si>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</si>
  <si>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</si>
  <si>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</si>
  <si>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</si>
  <si>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</si>
  <si>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</si>
  <si>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</si>
  <si>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</si>
  <si>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</si>
  <si>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</si>
  <si>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</si>
  <si>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</si>
  <si>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</si>
  <si>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</si>
  <si>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</si>
  <si>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</si>
  <si>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</si>
  <si>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</si>
  <si>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</si>
  <si>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</si>
  <si>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</si>
  <si>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</si>
  <si>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</si>
  <si>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</si>
  <si>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</si>
  <si>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</si>
  <si>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</si>
  <si>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</si>
  <si>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</si>
  <si>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</si>
  <si>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</si>
  <si>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</si>
  <si>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</si>
  <si>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</si>
  <si>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</si>
  <si>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</si>
  <si>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</si>
  <si>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</si>
  <si>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</si>
  <si>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</si>
  <si>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</si>
  <si>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</si>
  <si>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</si>
  <si>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</si>
  <si>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</si>
  <si>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</si>
  <si>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</si>
  <si>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</si>
  <si>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</si>
  <si>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</si>
  <si>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</si>
  <si>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</si>
  <si>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</si>
  <si>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</si>
  <si>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</si>
  <si>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</si>
  <si>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</si>
  <si>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</si>
  <si>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</si>
  <si>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</si>
  <si>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</si>
  <si>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</si>
  <si>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</si>
  <si>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</si>
  <si>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</si>
  <si>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</si>
  <si>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</si>
  <si>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</si>
  <si>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</si>
  <si>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</si>
  <si>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</si>
  <si>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</si>
  <si>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</si>
  <si>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</si>
  <si>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</si>
  <si>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</si>
  <si>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</si>
  <si>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</si>
  <si>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</si>
  <si>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</si>
  <si>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</si>
  <si>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</si>
  <si>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</si>
  <si>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</si>
  <si>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</si>
  <si>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</si>
  <si>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</si>
  <si>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</si>
  <si>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</si>
  <si>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</si>
  <si>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</si>
  <si>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</si>
  <si>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</si>
  <si>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</si>
  <si>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</si>
  <si>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</si>
  <si>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</si>
  <si>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</si>
  <si>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</si>
  <si>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</si>
  <si>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</si>
  <si>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</si>
  <si>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</si>
  <si>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</si>
  <si>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</si>
  <si>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</si>
  <si>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</si>
  <si>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</si>
  <si>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</si>
  <si>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</si>
  <si>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</si>
  <si>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</si>
  <si>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</si>
  <si>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</si>
  <si>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</si>
  <si>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</si>
  <si>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</si>
  <si>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</si>
  <si>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</si>
  <si>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</si>
  <si>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</si>
  <si>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</si>
  <si>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</si>
  <si>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</si>
  <si>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</si>
  <si>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</si>
  <si>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</si>
  <si>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</si>
  <si>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</si>
  <si>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</si>
  <si>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</si>
  <si>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</si>
  <si>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</si>
  <si>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</si>
  <si>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</si>
  <si>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</si>
  <si>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</si>
  <si>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</si>
  <si>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</si>
  <si>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</si>
  <si>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</si>
  <si>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</si>
  <si>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</si>
  <si>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</si>
  <si>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</si>
  <si>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</si>
  <si>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</si>
  <si>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</si>
  <si>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</si>
  <si>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</si>
  <si>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</si>
  <si>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</si>
  <si>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</si>
  <si>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</si>
  <si>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</si>
  <si>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</si>
  <si>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</si>
  <si>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</si>
  <si>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</si>
  <si>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</si>
  <si>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</si>
  <si>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</si>
  <si>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</si>
  <si>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</si>
  <si>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</si>
  <si>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</si>
  <si>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</si>
  <si>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</si>
  <si>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</si>
  <si>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</si>
  <si>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</si>
  <si>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</si>
  <si>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</si>
  <si>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</si>
  <si>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</si>
  <si>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</si>
  <si>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</si>
  <si>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</si>
  <si>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</si>
  <si>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</si>
  <si>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</si>
  <si>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</si>
  <si>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</si>
  <si>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</si>
  <si>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</si>
  <si>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</si>
  <si>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</si>
  <si>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</si>
  <si>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</si>
  <si>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</si>
  <si>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</si>
  <si>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</si>
  <si>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</si>
  <si>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</si>
  <si>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</si>
  <si>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</si>
  <si>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</si>
  <si>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</si>
  <si>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</si>
  <si>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</si>
  <si>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</si>
  <si>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</si>
  <si>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</si>
  <si>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</si>
  <si>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</si>
  <si>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</si>
  <si>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</si>
  <si>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</si>
  <si>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</si>
  <si>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</si>
  <si>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</si>
  <si>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</si>
  <si>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</si>
  <si>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</si>
  <si>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</si>
  <si>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</si>
  <si>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</si>
  <si>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</si>
  <si>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</si>
  <si>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</si>
  <si>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</si>
  <si>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</si>
  <si>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</si>
  <si>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</si>
  <si>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</si>
  <si>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</si>
  <si>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</si>
  <si>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</si>
  <si>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</si>
  <si>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</si>
  <si>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</si>
  <si>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</si>
  <si>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</si>
  <si>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</si>
  <si>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</si>
  <si>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</si>
  <si>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</si>
  <si>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</si>
  <si>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</si>
  <si>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</si>
  <si>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</si>
  <si>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</si>
  <si>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</si>
  <si>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</si>
  <si>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</si>
  <si>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</si>
  <si>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</si>
  <si>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</si>
  <si>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</si>
  <si>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</si>
  <si>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</si>
  <si>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</si>
  <si>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</si>
  <si>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</si>
  <si>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</si>
  <si>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</si>
  <si>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</si>
  <si>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</si>
  <si>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</si>
  <si>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</si>
  <si>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</si>
  <si>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</si>
  <si>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</si>
  <si>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</si>
  <si>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</si>
  <si>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</si>
  <si>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</si>
  <si>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</si>
  <si>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</si>
  <si>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</si>
  <si>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</si>
  <si>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</si>
  <si>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</si>
  <si>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</si>
  <si>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</si>
  <si>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</si>
  <si>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</si>
  <si>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</si>
  <si>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</si>
  <si>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</si>
  <si>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</si>
  <si>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</si>
  <si>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</si>
  <si>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</si>
  <si>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</si>
  <si>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</si>
  <si>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</si>
  <si>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</si>
  <si>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</si>
  <si>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</si>
  <si>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</si>
  <si>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</si>
  <si>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</si>
  <si>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</si>
  <si>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</si>
  <si>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</si>
  <si>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</si>
  <si>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</si>
  <si>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</si>
  <si>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</si>
  <si>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</si>
  <si>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</si>
  <si>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</si>
  <si>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</si>
  <si>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</si>
  <si>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</si>
  <si>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</si>
  <si>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</si>
  <si>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</si>
  <si>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</si>
  <si>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</si>
  <si>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</si>
  <si>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</si>
  <si>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</si>
  <si>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</si>
  <si>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</si>
  <si>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</si>
  <si>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</si>
  <si>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</si>
  <si>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</si>
  <si>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</si>
  <si>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</si>
  <si>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</si>
  <si>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</si>
  <si>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</si>
  <si>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</si>
  <si>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</si>
  <si>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</si>
  <si>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</si>
  <si>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</si>
  <si>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</si>
  <si>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</si>
  <si>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</si>
  <si>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</si>
  <si>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</si>
  <si>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</si>
  <si>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</si>
  <si>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</si>
  <si>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</si>
  <si>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</si>
  <si>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</si>
  <si>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</si>
  <si>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</si>
  <si>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</si>
  <si>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</si>
  <si>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</si>
  <si>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</si>
  <si>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</si>
  <si>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DGUERRERO/ FPEREZ</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</si>
  <si>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</si>
  <si>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</si>
  <si>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</si>
  <si>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</si>
  <si>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</si>
  <si>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</si>
  <si>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</si>
  <si>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</si>
  <si>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</si>
  <si>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</si>
  <si>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</si>
  <si>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</si>
  <si>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</si>
  <si>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</si>
  <si>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</si>
  <si>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</si>
  <si>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</si>
  <si>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</si>
  <si>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</si>
  <si>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</si>
  <si>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</si>
  <si>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</si>
  <si>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</si>
  <si>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</si>
  <si>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</si>
  <si>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</si>
  <si>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</si>
  <si>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</si>
  <si>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</si>
  <si>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</si>
  <si>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</si>
  <si>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</si>
  <si>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</si>
  <si>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</si>
  <si>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</si>
  <si>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</si>
  <si>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</si>
  <si>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</si>
  <si>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</si>
  <si>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</si>
  <si>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</si>
  <si>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</si>
  <si>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</si>
  <si>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</si>
  <si>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</si>
  <si>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</si>
  <si>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</si>
  <si>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</si>
  <si>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</si>
  <si>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</si>
  <si>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</si>
  <si>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</si>
  <si>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</si>
  <si>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</si>
  <si>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</si>
  <si>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</si>
  <si>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</si>
  <si>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</si>
  <si>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</si>
  <si>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</si>
  <si>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</si>
  <si>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</si>
  <si>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</si>
  <si>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</si>
  <si>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</si>
  <si>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</si>
  <si>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</si>
  <si>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</si>
  <si>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</si>
  <si>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</si>
  <si>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</si>
  <si>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</si>
  <si>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</si>
  <si>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</si>
  <si>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</si>
  <si>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</si>
  <si>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</si>
  <si>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</si>
  <si>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</si>
  <si>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</si>
  <si>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</si>
  <si>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</si>
  <si>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</si>
  <si>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</si>
  <si>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</si>
  <si>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</si>
  <si>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</si>
  <si>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</si>
  <si>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</si>
  <si>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</si>
  <si>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</si>
  <si>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</si>
  <si>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</si>
  <si>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</si>
  <si>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</si>
  <si>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</si>
  <si>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</si>
  <si>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</si>
  <si>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</si>
  <si>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</si>
  <si>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</si>
  <si>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</si>
  <si>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</si>
  <si>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</si>
  <si>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</si>
  <si>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</si>
  <si>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</si>
  <si>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</si>
  <si>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</si>
  <si>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</si>
  <si>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</si>
  <si>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</si>
  <si>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</si>
  <si>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</si>
  <si>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</si>
  <si>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</si>
  <si>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</si>
  <si>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</si>
  <si>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</si>
  <si>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</si>
  <si>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</si>
  <si>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</si>
  <si>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</si>
  <si>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</si>
  <si>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</si>
  <si>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</si>
  <si>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</si>
  <si>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</si>
  <si>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</si>
  <si>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</si>
  <si>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</si>
  <si>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</si>
  <si>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</si>
  <si>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</si>
  <si>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</si>
  <si>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</si>
  <si>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</si>
  <si>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FSR130</t>
  </si>
  <si>
    <t>Grupo Facultades</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</si>
  <si>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</si>
  <si>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</si>
  <si>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</si>
  <si>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</si>
  <si>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</si>
  <si>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</si>
  <si>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</si>
  <si>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</si>
  <si>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</si>
  <si>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</si>
  <si>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</si>
  <si>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</si>
  <si>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</si>
  <si>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</si>
  <si>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</si>
  <si>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</si>
  <si>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</si>
  <si>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</si>
  <si>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</si>
  <si>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</si>
  <si>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</si>
  <si>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</si>
  <si>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</si>
  <si>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</si>
  <si>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</si>
  <si>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</si>
  <si>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</si>
  <si>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</si>
  <si>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</si>
  <si>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</si>
  <si>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</si>
  <si>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</si>
  <si>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</si>
  <si>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</si>
  <si>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</si>
  <si>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</si>
  <si>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</si>
  <si>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</si>
  <si>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</si>
  <si>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</si>
  <si>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</si>
  <si>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</si>
  <si>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</si>
  <si>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</si>
  <si>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</si>
  <si>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</si>
  <si>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</si>
  <si>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</si>
  <si>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</si>
  <si>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</si>
  <si>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</si>
  <si>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</si>
  <si>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</si>
  <si>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</si>
  <si>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</si>
  <si>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</si>
  <si>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</si>
  <si>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</si>
  <si>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</si>
  <si>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</si>
  <si>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</si>
  <si>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</si>
  <si>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</si>
  <si>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</si>
  <si>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</si>
  <si>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</si>
  <si>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</si>
  <si>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</si>
  <si>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</si>
  <si>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</si>
  <si>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</si>
  <si>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</si>
  <si>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</si>
  <si>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</si>
  <si>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</si>
  <si>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</si>
  <si>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</si>
  <si>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</si>
  <si>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</si>
  <si>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</si>
  <si>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</si>
  <si>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</si>
  <si>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</si>
  <si>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</si>
  <si>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</si>
  <si>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</si>
  <si>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</si>
  <si>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</si>
  <si>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</si>
  <si>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</si>
  <si>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</si>
  <si>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</si>
  <si>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</si>
  <si>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</si>
  <si>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</si>
  <si>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</si>
  <si>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</si>
  <si>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</si>
  <si>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</si>
  <si>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</si>
  <si>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</si>
  <si>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</si>
  <si>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</si>
  <si>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</si>
  <si>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</si>
  <si>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</si>
  <si>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</si>
  <si>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</si>
  <si>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</si>
  <si>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</si>
  <si>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</si>
  <si>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</si>
  <si>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</si>
  <si>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</si>
  <si>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</si>
  <si>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</si>
  <si>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</si>
  <si>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</si>
  <si>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</si>
  <si>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</si>
  <si>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</si>
  <si>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</si>
  <si>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</si>
  <si>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</si>
  <si>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</si>
  <si>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</si>
  <si>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</si>
  <si>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</si>
  <si>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</si>
  <si>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</si>
  <si>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</si>
  <si>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</si>
  <si>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</si>
  <si>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</si>
  <si>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</si>
  <si>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</si>
  <si>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</si>
  <si>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</si>
  <si>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</si>
  <si>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</si>
  <si>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</si>
  <si>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</si>
  <si>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</si>
  <si>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</si>
  <si>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</si>
  <si>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</si>
  <si>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</si>
  <si>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</si>
  <si>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</si>
  <si>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</si>
  <si>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</si>
  <si>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</si>
  <si>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</si>
  <si>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</si>
  <si>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</si>
  <si>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</si>
  <si>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</si>
  <si>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</si>
  <si>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</si>
  <si>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</si>
  <si>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</si>
  <si>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</si>
  <si>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</si>
  <si>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</si>
  <si>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</si>
  <si>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</si>
  <si>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</si>
  <si>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</si>
  <si>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</si>
  <si>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</si>
  <si>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</si>
  <si>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</si>
  <si>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</si>
  <si>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</si>
  <si>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</si>
  <si>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</si>
  <si>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</si>
  <si>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</si>
  <si>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</si>
  <si>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</si>
  <si>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</si>
  <si>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</si>
  <si>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</si>
  <si>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</si>
  <si>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</si>
  <si>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</si>
  <si>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</si>
  <si>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</si>
  <si>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</si>
  <si>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</si>
  <si>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</si>
  <si>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</si>
  <si>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</si>
  <si>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</si>
  <si>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</si>
  <si>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</si>
  <si>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</si>
  <si>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</si>
  <si>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</si>
  <si>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</si>
  <si>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</si>
  <si>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</si>
  <si>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</si>
  <si>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</si>
  <si>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</si>
  <si>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</si>
  <si>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</si>
  <si>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</si>
  <si>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</si>
  <si>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</si>
  <si>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</si>
  <si>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</si>
  <si>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</si>
  <si>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</si>
  <si>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</si>
  <si>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</si>
  <si>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</si>
  <si>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</si>
  <si>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</si>
  <si>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</si>
  <si>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</si>
  <si>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</si>
  <si>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</si>
  <si>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</si>
  <si>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</si>
  <si>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</si>
  <si>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</si>
  <si>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</si>
  <si>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</si>
  <si>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</si>
  <si>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</si>
  <si>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</si>
  <si>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</si>
  <si>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</si>
  <si>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</si>
  <si>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</si>
  <si>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</si>
  <si>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</si>
  <si>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</si>
  <si>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</si>
  <si>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</si>
  <si>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</si>
  <si>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</si>
  <si>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</si>
  <si>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</si>
  <si>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</si>
  <si>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</si>
  <si>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</si>
  <si>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</si>
  <si>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</si>
  <si>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</si>
  <si>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</si>
  <si>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</si>
  <si>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</si>
  <si>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</si>
  <si>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</si>
  <si>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</si>
  <si>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</si>
  <si>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</si>
  <si>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</si>
  <si>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</si>
  <si>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</si>
  <si>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</si>
  <si>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</si>
  <si>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</si>
  <si>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</si>
  <si>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</si>
  <si>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</si>
  <si>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</si>
  <si>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</si>
  <si>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</si>
  <si>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</si>
  <si>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</si>
  <si>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</si>
  <si>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</si>
  <si>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</si>
  <si>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</si>
  <si>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</si>
  <si>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</si>
  <si>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</si>
  <si>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</si>
  <si>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</si>
  <si>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</si>
  <si>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</si>
  <si>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</si>
  <si>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</si>
  <si>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</si>
  <si>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</si>
  <si>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</si>
  <si>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</si>
  <si>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</si>
  <si>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</si>
  <si>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</si>
  <si>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</si>
  <si>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</si>
  <si>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</si>
  <si>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</si>
  <si>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</si>
  <si>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</si>
  <si>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</si>
  <si>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</si>
  <si>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</si>
  <si>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</si>
  <si>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</si>
  <si>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</si>
  <si>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</si>
  <si>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</si>
  <si>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</si>
  <si>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</si>
  <si>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</si>
  <si>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</si>
  <si>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</si>
  <si>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</si>
  <si>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</si>
  <si>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</si>
  <si>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</si>
  <si>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</si>
  <si>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</si>
  <si>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</si>
  <si>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</si>
  <si>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</si>
  <si>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</si>
  <si>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</si>
  <si>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</si>
  <si>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</si>
  <si>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</si>
  <si>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</si>
  <si>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</si>
  <si>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</si>
  <si>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</si>
  <si>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</si>
  <si>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</si>
  <si>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</si>
  <si>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</si>
  <si>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</si>
  <si>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</si>
  <si>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</si>
  <si>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</si>
  <si>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</si>
  <si>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</si>
  <si>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</si>
  <si>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</si>
  <si>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</si>
  <si>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</si>
  <si>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</si>
  <si>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</si>
  <si>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</si>
  <si>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</si>
  <si>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</si>
  <si>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</si>
  <si>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</si>
  <si>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</si>
  <si>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</si>
  <si>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</si>
  <si>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</si>
  <si>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</si>
  <si>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</si>
  <si>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</si>
  <si>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</si>
  <si>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</si>
  <si>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</si>
  <si>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</si>
  <si>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</si>
  <si>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</si>
  <si>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</si>
  <si>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</si>
  <si>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</si>
  <si>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</si>
  <si>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</si>
  <si>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</si>
  <si>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</si>
  <si>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</si>
  <si>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</si>
  <si>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</si>
  <si>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</si>
  <si>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</si>
  <si>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</si>
  <si>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</si>
  <si>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</si>
  <si>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</si>
  <si>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</si>
  <si>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</si>
  <si>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</si>
  <si>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</si>
  <si>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</si>
  <si>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</si>
  <si>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</si>
  <si>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</si>
  <si>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</si>
  <si>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</si>
  <si>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</si>
  <si>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</si>
  <si>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</si>
  <si>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</si>
  <si>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</si>
  <si>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</si>
  <si>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</si>
  <si>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</si>
  <si>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</si>
  <si>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</si>
  <si>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</si>
  <si>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</si>
  <si>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</si>
  <si>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</si>
  <si>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</si>
  <si>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</si>
  <si>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</si>
  <si>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</si>
  <si>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</si>
  <si>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</si>
  <si>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</si>
  <si>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</si>
  <si>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</si>
  <si>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</si>
  <si>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</si>
  <si>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</si>
  <si>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</si>
  <si>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</si>
  <si>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</si>
  <si>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</si>
  <si>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</si>
  <si>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</si>
  <si>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</si>
  <si>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</si>
  <si>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</si>
  <si>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</si>
  <si>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</si>
  <si>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</si>
  <si>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</si>
  <si>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</si>
  <si>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</si>
  <si>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</si>
  <si>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</si>
  <si>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</si>
  <si>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</si>
  <si>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</si>
  <si>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</si>
  <si>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</si>
  <si>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</si>
  <si>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</si>
  <si>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</si>
  <si>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</si>
  <si>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</si>
  <si>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</si>
  <si>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</si>
  <si>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</si>
  <si>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</si>
  <si>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</si>
  <si>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</si>
  <si>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</si>
  <si>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</si>
  <si>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</si>
  <si>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</si>
  <si>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</si>
  <si>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</si>
  <si>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</si>
  <si>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</si>
  <si>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</si>
  <si>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</si>
  <si>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</si>
  <si>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</si>
  <si>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</si>
  <si>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</si>
  <si>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</si>
  <si>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</si>
  <si>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</si>
  <si>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</si>
  <si>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</si>
  <si>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</si>
  <si>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</si>
  <si>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</si>
  <si>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</si>
  <si>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</si>
  <si>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</si>
  <si>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</si>
  <si>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</si>
  <si>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</si>
  <si>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</si>
  <si>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</si>
  <si>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</si>
  <si>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</si>
  <si>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</si>
  <si>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</si>
  <si>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</si>
  <si>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</si>
  <si>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</si>
  <si>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</si>
  <si>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</si>
  <si>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</si>
  <si>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</si>
  <si>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</si>
  <si>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</si>
  <si>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</si>
  <si>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</si>
  <si>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</si>
  <si>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</si>
  <si>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</si>
  <si>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</si>
  <si>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</si>
  <si>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</si>
  <si>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</si>
  <si>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</si>
  <si>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</si>
  <si>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</si>
  <si>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</si>
  <si>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</si>
  <si>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</si>
  <si>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</si>
  <si>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</si>
  <si>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</si>
  <si>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</si>
  <si>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</si>
  <si>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</si>
  <si>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</si>
  <si>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</si>
  <si>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</si>
  <si>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</si>
  <si>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</si>
  <si>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</si>
  <si>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</si>
  <si>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</si>
  <si>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</si>
  <si>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</si>
  <si>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</si>
  <si>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</si>
  <si>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</si>
  <si>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</si>
  <si>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</si>
  <si>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</si>
  <si>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</si>
  <si>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</si>
  <si>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</si>
  <si>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</si>
  <si>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</si>
  <si>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</si>
  <si>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</si>
  <si>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</si>
  <si>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</si>
  <si>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</si>
  <si>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</si>
  <si>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</si>
  <si>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</si>
  <si>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</si>
  <si>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</si>
  <si>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</si>
  <si>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</si>
  <si>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</si>
  <si>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</si>
  <si>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</si>
  <si>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</si>
  <si>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</si>
  <si>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</si>
  <si>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</si>
  <si>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</si>
  <si>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</si>
  <si>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</si>
  <si>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</si>
  <si>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</si>
  <si>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</si>
  <si>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</si>
  <si>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</si>
  <si>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</si>
  <si>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</si>
  <si>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</si>
  <si>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</si>
  <si>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</si>
  <si>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</si>
  <si>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</si>
  <si>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</si>
  <si>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</si>
  <si>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</si>
  <si>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</si>
  <si>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</si>
  <si>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</si>
  <si>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</si>
  <si>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</si>
  <si>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</si>
  <si>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</si>
  <si>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</si>
  <si>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</si>
  <si>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</si>
  <si>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</si>
  <si>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</si>
  <si>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</si>
  <si>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</si>
  <si>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</si>
  <si>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</si>
  <si>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</si>
  <si>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</si>
  <si>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</si>
  <si>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</si>
  <si>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</si>
  <si>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</si>
  <si>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</si>
  <si>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</si>
  <si>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</si>
  <si>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</si>
  <si>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</si>
  <si>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</si>
  <si>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</si>
  <si>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</si>
  <si>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</si>
  <si>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</si>
  <si>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</si>
  <si>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</si>
  <si>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</si>
  <si>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</si>
  <si>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</si>
  <si>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</si>
  <si>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</si>
  <si>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</si>
  <si>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</si>
  <si>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</si>
  <si>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</si>
  <si>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</si>
  <si>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</si>
  <si>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</si>
  <si>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</si>
  <si>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</si>
  <si>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</si>
  <si>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</si>
  <si>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</si>
  <si>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</si>
  <si>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</si>
  <si>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</si>
  <si>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</si>
  <si>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</si>
  <si>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</si>
  <si>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</si>
  <si>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</si>
  <si>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</si>
  <si>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</si>
  <si>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</si>
  <si>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</si>
  <si>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</si>
  <si>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</si>
  <si>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</si>
  <si>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</si>
  <si>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</si>
  <si>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</si>
  <si>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</si>
  <si>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</si>
  <si>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</si>
  <si>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</si>
  <si>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</si>
  <si>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</si>
  <si>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</si>
  <si>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</si>
  <si>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</si>
  <si>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</si>
  <si>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</si>
  <si>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</si>
  <si>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</si>
  <si>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</si>
  <si>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</si>
  <si>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</si>
  <si>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</si>
  <si>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</si>
  <si>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</si>
  <si>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</si>
  <si>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</si>
  <si>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</si>
  <si>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</si>
  <si>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</si>
  <si>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</si>
  <si>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</si>
  <si>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</si>
  <si>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</si>
  <si>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</si>
  <si>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</si>
  <si>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</si>
  <si>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</si>
  <si>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</si>
  <si>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</si>
  <si>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</si>
  <si>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</si>
  <si>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</si>
  <si>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</si>
  <si>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</si>
  <si>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</si>
  <si>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</si>
  <si>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</si>
  <si>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</si>
  <si>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</si>
  <si>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</si>
  <si>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</si>
  <si>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</si>
  <si>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</si>
  <si>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</si>
  <si>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</si>
  <si>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</si>
  <si>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</si>
  <si>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</si>
  <si>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</si>
  <si>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</si>
  <si>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</si>
  <si>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</si>
  <si>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</si>
  <si>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</si>
  <si>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</si>
  <si>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</si>
  <si>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</si>
  <si>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</si>
  <si>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</si>
  <si>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</si>
  <si>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</si>
  <si>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</si>
  <si>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</si>
  <si>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</si>
  <si>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</si>
  <si>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</si>
  <si>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</si>
  <si>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</si>
  <si>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</si>
  <si>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</si>
  <si>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</si>
  <si>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</si>
  <si>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</si>
  <si>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</si>
  <si>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</si>
  <si>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</si>
  <si>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</si>
  <si>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</si>
  <si>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</si>
  <si>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</si>
  <si>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</si>
  <si>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</si>
  <si>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</si>
  <si>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</si>
  <si>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</si>
  <si>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</si>
  <si>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</si>
  <si>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</si>
  <si>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</si>
  <si>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</si>
  <si>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</si>
  <si>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</si>
  <si>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</si>
  <si>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</si>
  <si>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</si>
  <si>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</si>
  <si>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</si>
  <si>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</si>
  <si>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</si>
  <si>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</si>
  <si>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</si>
  <si>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</si>
  <si>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</si>
  <si>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</si>
  <si>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</si>
  <si>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</si>
  <si>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</si>
  <si>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</si>
  <si>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</si>
  <si>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</si>
  <si>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</si>
  <si>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</si>
  <si>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</si>
  <si>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</si>
  <si>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</si>
  <si>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</si>
  <si>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</si>
  <si>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</si>
  <si>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</si>
  <si>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</si>
  <si>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</si>
  <si>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</si>
  <si>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</si>
  <si>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</si>
  <si>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</si>
  <si>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</si>
  <si>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</si>
  <si>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</si>
  <si>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</si>
  <si>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</si>
  <si>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</si>
  <si>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</si>
  <si>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</si>
  <si>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</si>
  <si>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</si>
  <si>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</si>
  <si>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</si>
  <si>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</si>
  <si>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</si>
  <si>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</si>
  <si>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</si>
  <si>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</si>
  <si>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</si>
  <si>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</si>
  <si>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</si>
  <si>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</si>
  <si>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</si>
  <si>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</si>
  <si>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</si>
  <si>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</si>
  <si>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</si>
  <si>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</si>
  <si>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</si>
  <si>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</si>
  <si>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</si>
  <si>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</si>
  <si>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</si>
  <si>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</si>
  <si>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</si>
  <si>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</si>
  <si>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</si>
  <si>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</si>
  <si>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</si>
  <si>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</si>
  <si>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</si>
  <si>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</si>
  <si>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</si>
  <si>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</si>
  <si>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</si>
  <si>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</si>
  <si>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</si>
  <si>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</si>
  <si>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</si>
  <si>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</si>
  <si>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</si>
  <si>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</si>
  <si>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</si>
  <si>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</si>
  <si>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</si>
  <si>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</si>
  <si>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</si>
  <si>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</si>
  <si>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</si>
  <si>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</si>
  <si>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</si>
  <si>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</si>
  <si>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</si>
  <si>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</si>
  <si>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</si>
  <si>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</si>
  <si>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</si>
  <si>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</si>
  <si>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</si>
  <si>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</si>
  <si>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</si>
  <si>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</si>
  <si>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</si>
  <si>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</si>
  <si>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</si>
  <si>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</si>
  <si>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</si>
  <si>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</si>
  <si>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</si>
  <si>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</si>
  <si>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</si>
  <si>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</si>
  <si>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</si>
  <si>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</si>
  <si>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</si>
  <si>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</si>
  <si>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</si>
  <si>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</si>
  <si>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</si>
  <si>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</si>
  <si>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</si>
  <si>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</si>
  <si>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</si>
  <si>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</si>
  <si>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</si>
  <si>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</si>
  <si>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</si>
  <si>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</si>
  <si>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</si>
  <si>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</si>
  <si>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</si>
  <si>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</si>
  <si>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</si>
  <si>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</si>
  <si>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</si>
  <si>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</si>
  <si>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</si>
  <si>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</si>
  <si>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</si>
  <si>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</si>
  <si>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</si>
  <si>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</si>
  <si>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</si>
  <si>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</si>
  <si>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</si>
  <si>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</si>
  <si>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</si>
  <si>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</si>
  <si>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</si>
  <si>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</si>
  <si>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</si>
  <si>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</si>
  <si>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</si>
  <si>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</si>
  <si>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</si>
  <si>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</si>
  <si>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</si>
  <si>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</si>
  <si>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</si>
  <si>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</si>
  <si>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</si>
  <si>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</si>
  <si>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</si>
  <si>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</si>
  <si>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</si>
  <si>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</si>
  <si>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</si>
  <si>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</si>
  <si>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</si>
  <si>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</si>
  <si>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</si>
  <si>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</si>
  <si>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</si>
  <si>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</si>
  <si>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</si>
  <si>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</si>
  <si>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</si>
  <si>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</si>
  <si>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</si>
  <si>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</si>
  <si>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</si>
  <si>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</si>
  <si>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</si>
  <si>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</si>
  <si>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</si>
  <si>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</si>
  <si>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</si>
  <si>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</si>
  <si>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</si>
  <si>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</si>
  <si>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</si>
  <si>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</si>
  <si>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</si>
  <si>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</si>
  <si>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</si>
  <si>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</si>
  <si>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</si>
  <si>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</si>
  <si>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</si>
  <si>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</si>
  <si>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</si>
  <si>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</si>
  <si>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</si>
  <si>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</si>
  <si>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</si>
  <si>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</si>
  <si>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</si>
  <si>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</si>
  <si>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</si>
  <si>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</si>
  <si>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</si>
  <si>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</si>
  <si>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</si>
  <si>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</si>
  <si>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</si>
  <si>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</si>
  <si>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</si>
  <si>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</si>
  <si>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</si>
  <si>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</si>
  <si>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</si>
  <si>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</si>
  <si>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</si>
  <si>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</si>
  <si>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</si>
  <si>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</si>
  <si>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</si>
  <si>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</si>
  <si>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</si>
  <si>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</si>
  <si>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</si>
  <si>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</si>
  <si>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</si>
  <si>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</si>
  <si>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</si>
  <si>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</si>
  <si>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</si>
  <si>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</si>
  <si>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</si>
  <si>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</si>
  <si>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</si>
  <si>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</si>
  <si>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</si>
  <si>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</si>
  <si>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</si>
  <si>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</si>
  <si>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</si>
  <si>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</si>
  <si>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</si>
  <si>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</si>
  <si>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</si>
  <si>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</si>
  <si>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</si>
  <si>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</si>
  <si>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</si>
  <si>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</si>
  <si>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</si>
  <si>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</si>
  <si>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</si>
  <si>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</si>
  <si>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</si>
  <si>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</si>
  <si>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</si>
  <si>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</si>
  <si>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</si>
  <si>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</si>
  <si>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</si>
  <si>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</si>
  <si>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</si>
  <si>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</si>
  <si>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</si>
  <si>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</si>
  <si>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</si>
  <si>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</si>
  <si>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</si>
  <si>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</si>
  <si>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</si>
  <si>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</si>
  <si>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</si>
  <si>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</si>
  <si>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</si>
  <si>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</si>
  <si>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</si>
  <si>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</si>
  <si>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</si>
  <si>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</si>
  <si>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</si>
  <si>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</si>
  <si>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</si>
  <si>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</si>
  <si>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</si>
  <si>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</si>
  <si>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</si>
  <si>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</si>
  <si>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</si>
  <si>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</si>
  <si>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</si>
  <si>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</si>
  <si>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</si>
  <si>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</si>
  <si>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</si>
  <si>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</si>
  <si>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</si>
  <si>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</si>
  <si>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</si>
  <si>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</si>
  <si>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</si>
  <si>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</si>
  <si>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</si>
  <si>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</si>
  <si>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</si>
  <si>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</si>
  <si>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</si>
  <si>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</si>
  <si>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</si>
  <si>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</si>
  <si>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</si>
  <si>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</si>
  <si>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</si>
  <si>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</si>
  <si>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</si>
  <si>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</si>
  <si>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</si>
  <si>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</si>
  <si>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</si>
  <si>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</si>
  <si>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</si>
  <si>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</si>
  <si>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</si>
  <si>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</si>
  <si>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</si>
  <si>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</si>
  <si>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</si>
  <si>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</si>
  <si>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</si>
  <si>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</si>
  <si>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</si>
  <si>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</si>
  <si>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</si>
  <si>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</si>
  <si>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</si>
  <si>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</si>
  <si>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</si>
  <si>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</si>
  <si>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</si>
  <si>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</si>
  <si>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</si>
  <si>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</si>
  <si>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</si>
  <si>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</si>
  <si>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</si>
  <si>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</si>
  <si>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</si>
  <si>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</si>
  <si>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</si>
  <si>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</si>
  <si>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</si>
  <si>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</si>
  <si>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</si>
  <si>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</si>
  <si>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</si>
  <si>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</si>
  <si>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</si>
  <si>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</si>
  <si>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</si>
  <si>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</si>
  <si>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</si>
  <si>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</si>
  <si>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</si>
  <si>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</si>
  <si>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</si>
  <si>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</si>
  <si>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</si>
  <si>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</si>
  <si>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</si>
  <si>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</si>
  <si>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</si>
  <si>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</si>
  <si>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</si>
  <si>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</si>
  <si>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</si>
  <si>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</si>
  <si>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</si>
  <si>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</si>
  <si>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</si>
  <si>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</si>
  <si>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</si>
  <si>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</si>
  <si>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</si>
  <si>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</si>
  <si>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</si>
  <si>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</si>
  <si>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</si>
  <si>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</si>
  <si>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</si>
  <si>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</si>
  <si>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</si>
  <si>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</si>
  <si>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</si>
  <si>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</si>
  <si>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</si>
  <si>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</si>
  <si>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</si>
  <si>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</si>
  <si>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</si>
  <si>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</si>
  <si>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</si>
  <si>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</si>
  <si>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</si>
  <si>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</si>
  <si>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</si>
  <si>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</si>
  <si>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</si>
  <si>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</si>
  <si>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</si>
  <si>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</si>
  <si>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</si>
  <si>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</si>
  <si>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</si>
  <si>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</si>
  <si>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</si>
  <si>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</si>
  <si>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</si>
  <si>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</si>
  <si>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</si>
  <si>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</si>
  <si>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</si>
  <si>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</si>
  <si>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</si>
  <si>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</si>
  <si>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</si>
  <si>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</si>
  <si>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</si>
  <si>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</si>
  <si>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</si>
  <si>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</si>
  <si>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</si>
  <si>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</si>
  <si>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</si>
  <si>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</si>
  <si>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</si>
  <si>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</si>
  <si>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</si>
  <si>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</si>
  <si>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</si>
  <si>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</si>
  <si>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</si>
  <si>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</si>
  <si>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</si>
  <si>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</si>
  <si>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</si>
  <si>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</si>
  <si>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</si>
  <si>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</si>
  <si>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</si>
  <si>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</si>
  <si>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</si>
  <si>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</si>
  <si>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</si>
  <si>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</si>
  <si>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</si>
  <si>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</si>
  <si>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</si>
  <si>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</si>
  <si>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</si>
  <si>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</si>
  <si>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</si>
  <si>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</si>
  <si>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</si>
  <si>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</si>
  <si>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</si>
  <si>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</si>
  <si>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</si>
  <si>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</si>
  <si>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</si>
  <si>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</si>
  <si>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</si>
  <si>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</si>
  <si>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</si>
  <si>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</si>
  <si>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</si>
  <si>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</si>
  <si>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</si>
  <si>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</si>
  <si>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</si>
  <si>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</si>
  <si>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</si>
  <si>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</si>
  <si>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</si>
  <si>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</si>
  <si>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</si>
  <si>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</si>
  <si>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</si>
  <si>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</si>
  <si>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</si>
  <si>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</si>
  <si>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</si>
  <si>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</si>
  <si>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</si>
  <si>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</si>
  <si>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</si>
  <si>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</si>
  <si>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</si>
  <si>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</si>
  <si>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</si>
  <si>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</si>
  <si>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</si>
  <si>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</si>
  <si>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</si>
  <si>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</si>
  <si>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</si>
  <si>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</si>
  <si>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</si>
  <si>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</si>
  <si>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</si>
  <si>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</si>
  <si>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</si>
  <si>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</si>
  <si>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</si>
  <si>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</si>
  <si>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</si>
  <si>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</si>
  <si>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</si>
  <si>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</si>
  <si>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</si>
  <si>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</si>
  <si>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</si>
  <si>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</si>
  <si>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</si>
  <si>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</si>
  <si>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</si>
  <si>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</si>
  <si>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</si>
  <si>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</si>
  <si>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</si>
  <si>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</si>
  <si>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</si>
  <si>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</si>
  <si>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</si>
  <si>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</si>
  <si>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</si>
  <si>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</si>
  <si>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</si>
  <si>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</si>
  <si>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</si>
  <si>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</si>
  <si>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</si>
  <si>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</si>
  <si>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</si>
  <si>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</si>
  <si>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</si>
  <si>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</si>
  <si>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</si>
  <si>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</si>
  <si>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</si>
  <si>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</si>
  <si>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</si>
  <si>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</si>
  <si>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</si>
  <si>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</si>
  <si>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</si>
  <si>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</si>
  <si>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</si>
  <si>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</si>
  <si>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</si>
  <si>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</si>
  <si>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</si>
  <si>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</si>
  <si>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</si>
  <si>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</si>
  <si>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</si>
  <si>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</si>
  <si>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</si>
  <si>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</si>
  <si>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</si>
  <si>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</si>
  <si>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</si>
  <si>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</si>
  <si>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</si>
  <si>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</si>
  <si>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</si>
  <si>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</si>
  <si>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</si>
  <si>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</si>
  <si>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</si>
  <si>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</si>
  <si>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</si>
  <si>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</si>
  <si>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</si>
  <si>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</si>
  <si>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</si>
  <si>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</si>
  <si>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</si>
  <si>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</si>
  <si>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</si>
  <si>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</si>
  <si>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</si>
  <si>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</si>
  <si>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</si>
  <si>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</si>
  <si>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</si>
  <si>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</si>
  <si>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</si>
  <si>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</si>
  <si>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</si>
  <si>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</si>
  <si>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</si>
  <si>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</si>
  <si>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</si>
  <si>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</si>
  <si>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</si>
  <si>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</si>
  <si>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</si>
  <si>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</si>
  <si>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</si>
  <si>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</si>
  <si>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</si>
  <si>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</si>
  <si>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</si>
  <si>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</si>
  <si>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</si>
  <si>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</si>
  <si>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</si>
  <si>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</si>
  <si>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</si>
  <si>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</si>
  <si>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</si>
  <si>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</si>
  <si>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</si>
  <si>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</si>
  <si>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</si>
  <si>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</si>
  <si>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</si>
  <si>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</si>
  <si>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</si>
  <si>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</si>
  <si>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</si>
  <si>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</si>
  <si>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</si>
  <si>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</si>
  <si>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</si>
  <si>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</si>
  <si>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</si>
  <si>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</si>
  <si>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</si>
  <si>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</si>
  <si>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</si>
  <si>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</si>
  <si>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</si>
  <si>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</si>
  <si>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</si>
  <si>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</si>
  <si>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</si>
  <si>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</si>
  <si>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</si>
  <si>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</si>
  <si>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</si>
  <si>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</si>
  <si>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</si>
  <si>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</si>
  <si>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</si>
  <si>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</si>
  <si>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</si>
  <si>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</si>
  <si>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</si>
  <si>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</si>
  <si>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</si>
  <si>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</si>
  <si>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</si>
  <si>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</si>
  <si>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</si>
  <si>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</si>
  <si>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</si>
  <si>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</si>
  <si>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</si>
  <si>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</si>
  <si>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</si>
  <si>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</si>
  <si>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</si>
  <si>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</si>
  <si>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</si>
  <si>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</si>
  <si>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</si>
  <si>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</si>
  <si>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</si>
  <si>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</si>
  <si>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</si>
  <si>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</si>
  <si>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</si>
  <si>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</si>
  <si>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</si>
  <si>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</si>
  <si>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</si>
  <si>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</si>
  <si>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</si>
  <si>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</si>
  <si>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</si>
  <si>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</si>
  <si>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</si>
  <si>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</si>
  <si>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</si>
  <si>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</si>
  <si>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</si>
  <si>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</si>
  <si>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</si>
  <si>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</si>
  <si>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</si>
  <si>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</si>
  <si>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</si>
  <si>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</si>
  <si>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</si>
  <si>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</si>
  <si>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</si>
  <si>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</si>
  <si>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</si>
  <si>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</si>
  <si>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</si>
  <si>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</si>
  <si>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</si>
  <si>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</si>
  <si>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</si>
  <si>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</si>
  <si>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</si>
  <si>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</si>
  <si>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</si>
  <si>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</si>
  <si>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</si>
  <si>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</si>
  <si>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</si>
  <si>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</si>
  <si>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</si>
  <si>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</si>
  <si>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</si>
  <si>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</si>
  <si>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</si>
  <si>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</si>
  <si>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</si>
  <si>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</si>
  <si>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</si>
  <si>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</si>
  <si>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</si>
  <si>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</si>
  <si>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</si>
  <si>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</si>
  <si>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</si>
  <si>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</si>
  <si>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</si>
  <si>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</si>
  <si>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</si>
  <si>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</si>
  <si>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</si>
  <si>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</si>
  <si>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</si>
  <si>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</si>
  <si>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</si>
  <si>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</si>
  <si>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</si>
  <si>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</si>
  <si>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</si>
  <si>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</si>
  <si>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</si>
  <si>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</si>
  <si>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</si>
  <si>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</si>
  <si>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</si>
  <si>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</si>
  <si>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</si>
  <si>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</si>
  <si>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</si>
  <si>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</si>
  <si>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</si>
  <si>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</si>
  <si>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</si>
  <si>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</si>
  <si>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</si>
  <si>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</si>
  <si>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</si>
  <si>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</si>
  <si>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</si>
  <si>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</si>
  <si>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</si>
  <si>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</si>
  <si>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</si>
  <si>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</si>
  <si>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</si>
  <si>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</si>
  <si>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</si>
  <si>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</si>
  <si>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</si>
  <si>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</si>
  <si>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</si>
  <si>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</si>
  <si>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</si>
  <si>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</si>
  <si>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</si>
  <si>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</si>
  <si>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</si>
  <si>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</si>
  <si>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</si>
  <si>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</si>
  <si>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</si>
  <si>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</si>
  <si>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</si>
  <si>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</si>
  <si>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</si>
  <si>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</si>
  <si>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</si>
  <si>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</si>
  <si>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</si>
  <si>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</si>
  <si>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</si>
  <si>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</si>
  <si>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</si>
  <si>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</si>
  <si>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</si>
  <si>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</si>
  <si>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</si>
  <si>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</si>
  <si>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</si>
  <si>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</si>
  <si>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</si>
  <si>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</si>
  <si>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</si>
  <si>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</si>
  <si>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</si>
  <si>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</si>
  <si>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</si>
  <si>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</si>
  <si>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</si>
  <si>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</si>
  <si>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</si>
  <si>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</si>
  <si>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</si>
  <si>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</si>
  <si>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</si>
  <si>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</si>
  <si>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</si>
  <si>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</si>
  <si>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</si>
  <si>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</si>
  <si>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</si>
  <si>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</si>
  <si>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</si>
  <si>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</si>
  <si>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</si>
  <si>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</si>
  <si>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</si>
  <si>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</si>
  <si>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</si>
  <si>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</si>
  <si>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</si>
  <si>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</si>
  <si>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</si>
  <si>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</si>
  <si>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</si>
  <si>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</si>
  <si>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</si>
  <si>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</si>
  <si>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</si>
  <si>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</si>
  <si>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</si>
  <si>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</si>
  <si>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</si>
  <si>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</si>
  <si>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</si>
  <si>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</si>
  <si>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</si>
  <si>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</si>
  <si>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</si>
  <si>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</si>
  <si>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</si>
  <si>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</si>
  <si>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</si>
  <si>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</si>
  <si>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</si>
  <si>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</si>
  <si>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</si>
  <si>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</si>
  <si>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</si>
  <si>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</si>
  <si>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</si>
  <si>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</si>
  <si>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</si>
  <si>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</si>
  <si>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</si>
  <si>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</si>
  <si>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</si>
  <si>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</si>
  <si>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</si>
  <si>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</si>
  <si>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</si>
  <si>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</si>
  <si>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</si>
  <si>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</si>
  <si>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</si>
  <si>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</si>
  <si>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</si>
  <si>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</si>
  <si>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</si>
  <si>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</si>
  <si>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</si>
  <si>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</si>
  <si>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</si>
  <si>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</si>
  <si>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</si>
  <si>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</si>
  <si>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</si>
  <si>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</si>
  <si>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</si>
  <si>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</si>
  <si>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</si>
  <si>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</si>
  <si>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</si>
  <si>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</si>
  <si>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</si>
  <si>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</si>
  <si>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</si>
  <si>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</si>
  <si>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</si>
  <si>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</si>
  <si>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</si>
  <si>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</si>
  <si>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</si>
  <si>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</si>
  <si>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</si>
  <si>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</si>
  <si>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</si>
  <si>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</si>
  <si>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</si>
  <si>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</si>
  <si>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</si>
  <si>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</si>
  <si>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</si>
  <si>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</si>
  <si>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</si>
  <si>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</si>
  <si>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</si>
  <si>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</si>
  <si>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</si>
  <si>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</si>
  <si>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</si>
  <si>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</si>
  <si>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</si>
  <si>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</si>
  <si>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</si>
  <si>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</si>
  <si>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</si>
  <si>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</si>
  <si>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</si>
  <si>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</si>
  <si>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</si>
  <si>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</si>
  <si>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</si>
  <si>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</si>
  <si>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</si>
  <si>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</si>
  <si>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</si>
  <si>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</si>
  <si>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</si>
  <si>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</si>
  <si>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</si>
  <si>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</si>
  <si>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</si>
  <si>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</si>
  <si>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</si>
  <si>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</si>
  <si>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</si>
  <si>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</si>
  <si>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</si>
  <si>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</si>
  <si>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</si>
  <si>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</si>
  <si>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</si>
  <si>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</si>
  <si>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</si>
  <si>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</si>
  <si>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</si>
  <si>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</si>
  <si>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</si>
  <si>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</si>
  <si>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</si>
  <si>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</si>
  <si>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</si>
  <si>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</si>
  <si>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</si>
  <si>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</si>
  <si>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</si>
  <si>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</si>
  <si>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</si>
  <si>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</si>
  <si>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</si>
  <si>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</si>
  <si>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</si>
  <si>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</si>
  <si>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</si>
  <si>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</si>
  <si>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</si>
  <si>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</si>
  <si>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</si>
  <si>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</si>
  <si>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</si>
  <si>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</si>
  <si>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</si>
  <si>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</si>
  <si>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</si>
  <si>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</si>
  <si>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</si>
  <si>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</si>
  <si>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</si>
  <si>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</si>
  <si>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</si>
  <si>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</si>
  <si>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</si>
  <si>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</si>
  <si>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</si>
  <si>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</si>
  <si>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</si>
  <si>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</si>
  <si>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</si>
  <si>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</si>
  <si>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</si>
  <si>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</si>
  <si>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</si>
  <si>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</si>
  <si>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</si>
  <si>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</si>
  <si>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</si>
  <si>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</si>
  <si>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</si>
  <si>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</si>
  <si>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</si>
  <si>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</si>
  <si>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</si>
  <si>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</si>
  <si>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</si>
  <si>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</si>
  <si>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</si>
  <si>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</si>
  <si>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</si>
  <si>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</si>
  <si>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</si>
  <si>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</si>
  <si>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</si>
  <si>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</si>
  <si>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</si>
  <si>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</si>
  <si>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</si>
  <si>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</si>
  <si>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</si>
  <si>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</si>
  <si>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</si>
  <si>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</si>
  <si>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</si>
  <si>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</si>
  <si>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</si>
  <si>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</si>
  <si>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</si>
  <si>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</si>
  <si>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</si>
  <si>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</si>
  <si>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</si>
  <si>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</si>
  <si>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</si>
  <si>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</si>
  <si>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</si>
  <si>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</si>
  <si>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</si>
  <si>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</si>
  <si>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</si>
  <si>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</si>
  <si>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</si>
  <si>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</si>
  <si>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</si>
  <si>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</si>
  <si>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</si>
  <si>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</si>
  <si>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</si>
  <si>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</si>
  <si>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</si>
  <si>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</si>
  <si>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</si>
  <si>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</si>
  <si>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Conceptos por programas</t>
  </si>
  <si>
    <t>SNG039</t>
  </si>
  <si>
    <t>Combos asociados a conceptos</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</si>
  <si>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</si>
  <si>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</si>
  <si>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</si>
  <si>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</si>
  <si>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</si>
  <si>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</si>
  <si>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</si>
  <si>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</si>
  <si>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</si>
  <si>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</si>
  <si>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</si>
  <si>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</si>
  <si>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</si>
  <si>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</si>
  <si>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</si>
  <si>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</si>
  <si>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</si>
  <si>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</si>
  <si>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</si>
  <si>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</si>
  <si>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</si>
  <si>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</si>
  <si>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</si>
  <si>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</si>
  <si>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</si>
  <si>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</si>
  <si>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</si>
  <si>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</si>
  <si>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</si>
  <si>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</si>
  <si>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</si>
  <si>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</si>
  <si>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</si>
  <si>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</si>
  <si>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</si>
  <si>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</si>
  <si>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</si>
  <si>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</si>
  <si>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</si>
  <si>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</si>
  <si>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</si>
  <si>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</si>
  <si>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</si>
  <si>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</si>
  <si>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</si>
  <si>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</si>
  <si>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</si>
  <si>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</si>
  <si>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</si>
  <si>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</si>
  <si>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</si>
  <si>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</si>
  <si>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</si>
  <si>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</si>
  <si>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</si>
  <si>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</si>
  <si>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</si>
  <si>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</si>
  <si>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</si>
  <si>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</si>
  <si>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</si>
  <si>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</si>
  <si>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</si>
  <si>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</si>
  <si>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</si>
  <si>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</si>
  <si>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</si>
  <si>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</si>
  <si>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</si>
  <si>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</si>
  <si>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</si>
  <si>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</si>
  <si>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</si>
  <si>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</si>
  <si>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</si>
  <si>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</si>
  <si>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</si>
  <si>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</si>
  <si>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</si>
  <si>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</si>
  <si>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</si>
  <si>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</si>
  <si>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</si>
  <si>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</si>
  <si>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</si>
  <si>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</si>
  <si>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</si>
  <si>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</si>
  <si>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</si>
  <si>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</si>
  <si>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</si>
  <si>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</si>
  <si>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</si>
  <si>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</si>
  <si>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</si>
  <si>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</si>
  <si>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</si>
  <si>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</si>
  <si>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</si>
  <si>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</si>
  <si>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</si>
  <si>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</si>
  <si>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</si>
  <si>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</si>
  <si>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</si>
  <si>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</si>
  <si>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</si>
  <si>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</si>
  <si>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</si>
  <si>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</si>
  <si>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</si>
  <si>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</si>
  <si>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</si>
  <si>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</si>
  <si>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</si>
  <si>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</si>
  <si>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</si>
  <si>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</si>
  <si>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</si>
  <si>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</si>
  <si>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</si>
  <si>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</si>
  <si>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</si>
  <si>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</si>
  <si>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</si>
  <si>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</si>
  <si>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</si>
  <si>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</si>
  <si>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</si>
  <si>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</si>
  <si>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</si>
  <si>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</si>
  <si>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</si>
  <si>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</si>
  <si>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</si>
  <si>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</si>
  <si>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</si>
  <si>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</si>
  <si>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</si>
  <si>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</si>
  <si>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</si>
  <si>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</si>
  <si>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</si>
  <si>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</si>
  <si>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</si>
  <si>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</si>
  <si>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</si>
  <si>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</si>
  <si>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</si>
  <si>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</si>
  <si>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</si>
  <si>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</si>
  <si>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</si>
  <si>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</si>
  <si>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</si>
  <si>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</si>
  <si>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</si>
  <si>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</si>
  <si>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</si>
  <si>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</si>
  <si>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</si>
  <si>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</si>
  <si>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</si>
  <si>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</si>
  <si>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</si>
  <si>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</si>
  <si>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</si>
  <si>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</si>
  <si>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</si>
  <si>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</si>
  <si>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</si>
  <si>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</si>
  <si>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</si>
  <si>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</si>
  <si>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</si>
  <si>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</si>
  <si>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</si>
  <si>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</si>
  <si>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</si>
  <si>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</si>
  <si>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</si>
  <si>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</si>
  <si>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</si>
  <si>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</si>
  <si>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</si>
  <si>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</si>
  <si>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</si>
  <si>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</si>
  <si>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</si>
  <si>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</si>
  <si>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</si>
  <si>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</si>
  <si>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</si>
  <si>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</si>
  <si>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</si>
  <si>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</si>
  <si>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</si>
  <si>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</si>
  <si>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</si>
  <si>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</si>
  <si>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</si>
  <si>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</si>
  <si>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</si>
  <si>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</si>
  <si>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</si>
  <si>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</si>
  <si>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</si>
  <si>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</si>
  <si>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</si>
  <si>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</si>
  <si>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</si>
  <si>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</si>
  <si>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</si>
  <si>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</si>
  <si>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</si>
  <si>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</si>
  <si>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</si>
  <si>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</si>
  <si>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</si>
  <si>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</si>
  <si>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</si>
  <si>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</si>
  <si>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</si>
  <si>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</si>
  <si>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</si>
  <si>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</si>
  <si>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</si>
  <si>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</si>
  <si>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</si>
  <si>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</si>
  <si>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</si>
  <si>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</si>
  <si>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</si>
  <si>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</si>
  <si>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</si>
  <si>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</si>
  <si>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</si>
  <si>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</si>
  <si>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</si>
  <si>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</si>
  <si>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</si>
  <si>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</si>
  <si>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</si>
  <si>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</si>
  <si>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</si>
  <si>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</si>
  <si>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</si>
  <si>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</si>
  <si>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</si>
  <si>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</si>
  <si>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</si>
  <si>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</si>
  <si>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</si>
  <si>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</si>
  <si>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</si>
  <si>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</si>
  <si>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</si>
  <si>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</si>
  <si>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</si>
  <si>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</si>
  <si>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</si>
  <si>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</si>
  <si>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</si>
  <si>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</si>
  <si>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</si>
  <si>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</si>
  <si>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</si>
  <si>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</si>
  <si>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</si>
  <si>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</si>
  <si>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</si>
  <si>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</si>
  <si>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</si>
  <si>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</si>
  <si>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</si>
  <si>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</si>
  <si>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</si>
  <si>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</si>
  <si>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</si>
  <si>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</si>
  <si>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</si>
  <si>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</si>
  <si>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</si>
  <si>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</si>
  <si>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</si>
  <si>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</si>
  <si>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</si>
  <si>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</si>
  <si>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</si>
  <si>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</si>
  <si>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</si>
  <si>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</si>
  <si>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</si>
  <si>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</si>
  <si>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</si>
  <si>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</si>
  <si>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</si>
  <si>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</si>
  <si>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</si>
  <si>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</si>
  <si>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</si>
  <si>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</si>
  <si>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</si>
  <si>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</si>
  <si>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</si>
  <si>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</si>
  <si>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</si>
  <si>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</si>
  <si>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</si>
  <si>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</si>
  <si>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</si>
  <si>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</si>
  <si>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</si>
  <si>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</si>
  <si>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</si>
  <si>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</si>
  <si>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</si>
  <si>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</si>
  <si>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</si>
  <si>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</si>
  <si>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</si>
  <si>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</si>
  <si>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</si>
  <si>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</si>
  <si>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</si>
  <si>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</si>
  <si>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</si>
  <si>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</si>
  <si>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</si>
  <si>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</si>
  <si>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</si>
  <si>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</si>
  <si>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</si>
  <si>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</si>
  <si>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</si>
  <si>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</si>
  <si>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</si>
  <si>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</si>
  <si>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</si>
  <si>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</si>
  <si>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</si>
  <si>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</si>
  <si>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</si>
  <si>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</si>
  <si>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</si>
  <si>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</si>
  <si>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</si>
  <si>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</si>
  <si>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</si>
  <si>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</si>
  <si>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</si>
  <si>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</si>
  <si>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</si>
  <si>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</si>
  <si>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</si>
  <si>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</si>
  <si>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</si>
  <si>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</si>
  <si>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</si>
  <si>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</si>
  <si>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</si>
  <si>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</si>
  <si>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</si>
  <si>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</si>
  <si>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</si>
  <si>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</si>
  <si>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</si>
  <si>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</si>
  <si>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</si>
  <si>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</si>
  <si>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</si>
  <si>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</si>
  <si>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</si>
  <si>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</si>
  <si>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</si>
  <si>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</si>
  <si>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</si>
  <si>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</si>
  <si>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</si>
  <si>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</si>
  <si>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</si>
  <si>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</si>
  <si>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</si>
  <si>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</si>
  <si>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</si>
  <si>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</si>
  <si>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</si>
  <si>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</si>
  <si>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</si>
  <si>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</si>
  <si>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</si>
  <si>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</si>
  <si>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</si>
  <si>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</si>
  <si>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</si>
  <si>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</si>
  <si>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</si>
  <si>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</si>
  <si>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</si>
  <si>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</si>
  <si>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</si>
  <si>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</si>
  <si>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</si>
  <si>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</si>
  <si>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</si>
  <si>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</si>
  <si>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</si>
  <si>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</si>
  <si>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</si>
  <si>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</si>
  <si>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</si>
  <si>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</si>
  <si>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</si>
  <si>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</si>
  <si>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</si>
  <si>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</si>
  <si>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</si>
  <si>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</si>
  <si>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</si>
  <si>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</si>
  <si>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</si>
  <si>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</si>
  <si>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</si>
  <si>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</si>
  <si>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</si>
  <si>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</si>
  <si>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</si>
  <si>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</si>
  <si>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</si>
  <si>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</si>
  <si>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</si>
  <si>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</si>
  <si>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</si>
  <si>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</si>
  <si>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</si>
  <si>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</si>
  <si>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</si>
  <si>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</si>
  <si>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</si>
  <si>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</si>
  <si>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</si>
  <si>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</si>
  <si>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</si>
  <si>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</si>
  <si>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</si>
  <si>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</si>
  <si>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</si>
  <si>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</si>
  <si>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</si>
  <si>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</si>
  <si>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</si>
  <si>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</si>
  <si>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</si>
  <si>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</si>
  <si>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</si>
  <si>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</si>
  <si>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</si>
  <si>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</si>
  <si>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</si>
  <si>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</si>
  <si>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</si>
  <si>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</si>
  <si>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</si>
  <si>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</si>
  <si>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</si>
  <si>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</si>
  <si>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</si>
  <si>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</si>
  <si>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</si>
  <si>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</si>
  <si>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</si>
  <si>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</si>
  <si>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</si>
  <si>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</si>
  <si>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</si>
  <si>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</si>
  <si>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</si>
  <si>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</si>
  <si>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</si>
  <si>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</si>
  <si>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</si>
  <si>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</si>
  <si>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</si>
  <si>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</si>
  <si>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</si>
  <si>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</si>
  <si>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</si>
  <si>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</si>
  <si>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</si>
  <si>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</si>
  <si>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</si>
  <si>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</si>
  <si>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</si>
  <si>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</si>
  <si>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</si>
  <si>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</si>
  <si>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</si>
  <si>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</si>
  <si>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</si>
  <si>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</si>
  <si>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</si>
  <si>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</si>
  <si>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</si>
  <si>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</si>
  <si>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</si>
  <si>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</si>
  <si>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</si>
  <si>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</si>
  <si>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</si>
  <si>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</si>
  <si>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</si>
  <si>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</si>
  <si>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</si>
  <si>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</si>
  <si>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</si>
  <si>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</si>
  <si>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</si>
  <si>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</si>
  <si>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</si>
  <si>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</si>
  <si>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</si>
  <si>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</si>
  <si>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</si>
  <si>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</si>
  <si>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</si>
  <si>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</si>
  <si>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</si>
  <si>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</si>
  <si>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</si>
  <si>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</si>
  <si>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</si>
  <si>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</si>
  <si>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</si>
  <si>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</si>
  <si>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</si>
  <si>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</si>
  <si>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</si>
  <si>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</si>
  <si>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</si>
  <si>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</si>
  <si>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</si>
  <si>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</si>
  <si>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</si>
  <si>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</si>
  <si>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</si>
  <si>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</si>
  <si>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</si>
  <si>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</si>
  <si>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</si>
  <si>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</si>
  <si>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</si>
  <si>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</si>
  <si>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</si>
  <si>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</si>
  <si>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</si>
  <si>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</si>
  <si>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</si>
  <si>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</si>
  <si>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</si>
  <si>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</si>
  <si>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</si>
  <si>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</si>
  <si>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</si>
  <si>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</si>
  <si>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</si>
  <si>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</si>
  <si>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</si>
  <si>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</si>
  <si>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</si>
  <si>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</si>
  <si>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</si>
  <si>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</si>
  <si>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</si>
  <si>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</si>
  <si>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</si>
  <si>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</si>
  <si>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</si>
  <si>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</si>
  <si>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</si>
  <si>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</si>
  <si>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</si>
  <si>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</si>
  <si>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</si>
  <si>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</si>
  <si>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</si>
  <si>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</si>
  <si>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</si>
  <si>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</si>
  <si>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</si>
  <si>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</si>
  <si>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</si>
  <si>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</si>
  <si>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</si>
  <si>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</si>
  <si>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</si>
  <si>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</si>
  <si>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</si>
  <si>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</si>
  <si>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</si>
  <si>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</si>
  <si>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</si>
  <si>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</si>
  <si>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</si>
  <si>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</si>
  <si>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</si>
  <si>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</si>
  <si>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</si>
  <si>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</si>
  <si>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</si>
  <si>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</si>
  <si>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</si>
  <si>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</si>
  <si>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</si>
  <si>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</si>
  <si>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</si>
  <si>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</si>
  <si>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</si>
  <si>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</si>
  <si>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</si>
  <si>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</si>
  <si>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</si>
  <si>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</si>
  <si>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</si>
  <si>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</si>
  <si>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</si>
  <si>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</si>
  <si>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</si>
  <si>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</si>
  <si>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</si>
  <si>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</si>
  <si>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</si>
  <si>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</si>
  <si>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</si>
  <si>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</si>
  <si>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</si>
  <si>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</si>
  <si>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</si>
  <si>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</si>
  <si>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</si>
  <si>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</si>
  <si>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</si>
  <si>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</si>
  <si>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</si>
  <si>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</si>
  <si>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</si>
  <si>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</si>
  <si>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</si>
  <si>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</si>
  <si>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</si>
  <si>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</si>
  <si>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</si>
  <si>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</si>
  <si>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</si>
  <si>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</si>
  <si>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</si>
  <si>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</si>
  <si>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</si>
  <si>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</si>
  <si>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</si>
  <si>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</si>
  <si>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</si>
  <si>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</si>
  <si>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</si>
  <si>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</si>
  <si>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</si>
  <si>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</si>
  <si>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</si>
  <si>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</si>
  <si>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</si>
  <si>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</si>
  <si>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</si>
  <si>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</si>
  <si>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</si>
  <si>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</si>
  <si>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</si>
  <si>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</si>
  <si>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</si>
  <si>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</si>
  <si>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</si>
  <si>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</si>
  <si>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</si>
  <si>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</si>
  <si>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</si>
  <si>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</si>
  <si>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</si>
  <si>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</si>
  <si>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</si>
  <si>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</si>
  <si>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</si>
  <si>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</si>
  <si>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</si>
  <si>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</si>
  <si>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</si>
  <si>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</si>
  <si>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</si>
  <si>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</si>
  <si>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</si>
  <si>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</si>
  <si>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</si>
  <si>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</si>
  <si>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</si>
  <si>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</si>
  <si>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</si>
  <si>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</si>
  <si>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</si>
  <si>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</si>
  <si>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</si>
  <si>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</si>
  <si>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</si>
  <si>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</si>
  <si>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</si>
  <si>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</si>
  <si>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</si>
  <si>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</si>
  <si>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</si>
  <si>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</si>
  <si>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</si>
  <si>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</si>
  <si>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</si>
  <si>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</si>
  <si>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</si>
  <si>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</si>
  <si>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</si>
  <si>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</si>
  <si>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</si>
  <si>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</si>
  <si>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</si>
  <si>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</si>
  <si>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</si>
  <si>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</si>
  <si>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</si>
  <si>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</si>
  <si>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</si>
  <si>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</si>
  <si>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</si>
  <si>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</si>
  <si>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</si>
  <si>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</si>
  <si>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</si>
  <si>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</si>
  <si>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</si>
  <si>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</si>
  <si>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</si>
  <si>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</si>
  <si>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</si>
  <si>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</si>
  <si>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</si>
  <si>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</si>
  <si>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</si>
  <si>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</si>
  <si>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</si>
  <si>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</si>
  <si>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</si>
  <si>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</si>
  <si>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</si>
  <si>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</si>
  <si>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</si>
  <si>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</si>
  <si>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</si>
  <si>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</si>
  <si>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</si>
  <si>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</si>
  <si>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</si>
  <si>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</si>
  <si>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</si>
  <si>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</si>
  <si>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</si>
  <si>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</si>
  <si>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</si>
  <si>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</si>
  <si>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</si>
  <si>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</si>
  <si>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</si>
  <si>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</si>
  <si>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</si>
  <si>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</si>
  <si>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</si>
  <si>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</si>
  <si>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</si>
  <si>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</si>
  <si>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</si>
  <si>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</si>
  <si>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</si>
  <si>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</si>
  <si>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</si>
  <si>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</si>
  <si>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</si>
  <si>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</si>
  <si>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</si>
  <si>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</si>
  <si>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</si>
  <si>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</si>
  <si>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</si>
  <si>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</si>
  <si>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</si>
  <si>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</si>
  <si>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</si>
  <si>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</si>
  <si>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</si>
  <si>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</si>
  <si>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</si>
  <si>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</si>
  <si>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</si>
  <si>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</si>
  <si>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</si>
  <si>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</si>
  <si>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</si>
  <si>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</si>
  <si>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</si>
  <si>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</si>
  <si>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</si>
  <si>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</si>
  <si>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</si>
  <si>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</si>
  <si>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</si>
  <si>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</si>
  <si>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</si>
  <si>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</si>
  <si>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</si>
  <si>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</si>
  <si>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</si>
  <si>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</si>
  <si>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</si>
  <si>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</si>
  <si>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</si>
  <si>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</si>
  <si>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</si>
  <si>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</si>
  <si>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</si>
  <si>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</si>
  <si>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</si>
  <si>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</si>
  <si>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</si>
  <si>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</si>
  <si>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</si>
  <si>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</si>
  <si>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</si>
  <si>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</si>
  <si>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</si>
  <si>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</si>
  <si>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</si>
  <si>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</si>
  <si>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</si>
  <si>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</si>
  <si>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</si>
  <si>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</si>
  <si>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</si>
  <si>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</si>
  <si>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</si>
  <si>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</si>
  <si>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</si>
  <si>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</si>
  <si>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</si>
  <si>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</si>
  <si>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</si>
  <si>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</si>
  <si>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</si>
  <si>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</si>
  <si>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</si>
  <si>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</si>
  <si>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</si>
  <si>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</si>
  <si>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</si>
  <si>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</si>
  <si>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</si>
  <si>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</si>
  <si>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</si>
  <si>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</si>
  <si>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</si>
  <si>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</si>
  <si>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</si>
  <si>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</si>
  <si>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</si>
  <si>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</si>
  <si>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</si>
  <si>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</si>
  <si>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</si>
  <si>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</si>
  <si>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</si>
  <si>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</si>
  <si>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VACTIS</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</si>
  <si>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</si>
  <si>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</si>
  <si>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</si>
  <si>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</si>
  <si>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</si>
  <si>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</si>
  <si>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</si>
  <si>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</si>
  <si>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</si>
  <si>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</si>
  <si>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</si>
  <si>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</si>
  <si>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</si>
  <si>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</si>
  <si>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</si>
  <si>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</si>
  <si>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</si>
  <si>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</si>
  <si>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</si>
  <si>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</si>
  <si>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</si>
  <si>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</si>
  <si>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</si>
  <si>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</si>
  <si>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</si>
  <si>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</si>
  <si>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</si>
  <si>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</si>
  <si>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</si>
  <si>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</si>
  <si>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</si>
  <si>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</si>
  <si>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</si>
  <si>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</si>
  <si>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</si>
  <si>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</si>
  <si>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</si>
  <si>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</si>
  <si>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</si>
  <si>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</si>
  <si>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</si>
  <si>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</si>
  <si>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</si>
  <si>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</si>
  <si>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</si>
  <si>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</si>
  <si>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</si>
  <si>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</si>
  <si>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</si>
  <si>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</si>
  <si>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</si>
  <si>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</si>
  <si>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</si>
  <si>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</si>
  <si>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</si>
  <si>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</si>
  <si>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</si>
  <si>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</si>
  <si>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</si>
  <si>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</si>
  <si>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</si>
  <si>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</si>
  <si>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</si>
  <si>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</si>
  <si>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</si>
  <si>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</si>
  <si>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</si>
  <si>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</si>
  <si>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</si>
  <si>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</si>
  <si>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</si>
  <si>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</si>
  <si>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</si>
  <si>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</si>
  <si>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</si>
  <si>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</si>
  <si>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</si>
  <si>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</si>
  <si>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</si>
  <si>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</si>
  <si>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</si>
  <si>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</si>
  <si>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</si>
  <si>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</si>
  <si>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</si>
  <si>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</si>
  <si>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</si>
  <si>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</si>
  <si>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</si>
  <si>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</si>
  <si>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</si>
  <si>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</si>
  <si>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</si>
  <si>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</si>
  <si>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</si>
  <si>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</si>
  <si>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</si>
  <si>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</si>
  <si>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</si>
  <si>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</si>
  <si>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</si>
  <si>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</si>
  <si>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</si>
  <si>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</si>
  <si>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</si>
  <si>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</si>
  <si>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</si>
  <si>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</si>
  <si>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</si>
  <si>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</si>
  <si>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</si>
  <si>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</si>
  <si>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</si>
  <si>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</si>
  <si>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</si>
  <si>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</si>
  <si>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</si>
  <si>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</si>
  <si>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</si>
  <si>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</si>
  <si>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</si>
  <si>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</si>
  <si>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</si>
  <si>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</si>
  <si>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</si>
  <si>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</si>
  <si>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</si>
  <si>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</si>
  <si>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</si>
  <si>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</si>
  <si>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</si>
  <si>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</si>
  <si>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</si>
  <si>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</si>
  <si>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</si>
  <si>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</si>
  <si>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</si>
  <si>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</si>
  <si>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</si>
  <si>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</si>
  <si>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</si>
  <si>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</si>
  <si>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</si>
  <si>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</si>
  <si>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</si>
  <si>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</si>
  <si>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</si>
  <si>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</si>
  <si>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</si>
  <si>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</si>
  <si>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</si>
  <si>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</si>
  <si>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</si>
  <si>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</si>
  <si>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</si>
  <si>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</si>
  <si>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</si>
  <si>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</si>
  <si>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</si>
  <si>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</si>
  <si>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</si>
  <si>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</si>
  <si>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</si>
  <si>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</si>
  <si>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</si>
  <si>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</si>
  <si>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</si>
  <si>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</si>
  <si>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</si>
  <si>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</si>
  <si>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</si>
  <si>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</si>
  <si>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</si>
  <si>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</si>
  <si>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</si>
  <si>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</si>
  <si>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</si>
  <si>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</si>
  <si>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</si>
  <si>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</si>
  <si>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</si>
  <si>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</si>
  <si>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</si>
  <si>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</si>
  <si>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</si>
  <si>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</si>
  <si>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</si>
  <si>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</si>
  <si>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</si>
  <si>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</si>
  <si>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</si>
  <si>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</si>
  <si>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</si>
  <si>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</si>
  <si>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</si>
  <si>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</si>
  <si>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</si>
  <si>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</si>
  <si>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</si>
  <si>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</si>
  <si>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</si>
  <si>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</si>
  <si>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</si>
  <si>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</si>
  <si>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</si>
  <si>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</si>
  <si>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</si>
  <si>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</si>
  <si>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</si>
  <si>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</si>
  <si>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</si>
  <si>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</si>
  <si>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</si>
  <si>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</si>
  <si>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</si>
  <si>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</si>
  <si>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</si>
  <si>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</si>
  <si>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</si>
  <si>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</si>
  <si>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</si>
  <si>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</si>
  <si>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</si>
  <si>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</si>
  <si>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</si>
  <si>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</si>
  <si>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</si>
  <si>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</si>
  <si>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</si>
  <si>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</si>
  <si>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</si>
  <si>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</si>
  <si>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</si>
  <si>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</si>
  <si>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</si>
  <si>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</si>
  <si>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</si>
  <si>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</si>
  <si>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</si>
  <si>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</si>
  <si>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</si>
  <si>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</si>
  <si>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</si>
  <si>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</si>
  <si>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</si>
  <si>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</si>
  <si>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</si>
  <si>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</si>
  <si>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</si>
  <si>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</si>
  <si>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</si>
  <si>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</si>
  <si>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</si>
  <si>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</si>
  <si>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</si>
  <si>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</si>
  <si>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</si>
  <si>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</si>
  <si>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</si>
  <si>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</si>
  <si>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</si>
  <si>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</si>
  <si>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</si>
  <si>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</si>
  <si>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</si>
  <si>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</si>
  <si>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</si>
  <si>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</si>
  <si>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</si>
  <si>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</si>
  <si>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</si>
  <si>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</si>
  <si>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</si>
  <si>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</si>
  <si>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</si>
  <si>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</si>
  <si>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</si>
  <si>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</si>
  <si>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</si>
  <si>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</si>
  <si>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</si>
  <si>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</si>
  <si>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</si>
  <si>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</si>
  <si>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</si>
  <si>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</si>
  <si>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</si>
  <si>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</si>
  <si>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</si>
  <si>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</si>
  <si>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</si>
  <si>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</si>
  <si>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</si>
  <si>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</si>
  <si>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</si>
  <si>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</si>
  <si>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</si>
  <si>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</si>
  <si>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</si>
  <si>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</si>
  <si>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</si>
  <si>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</si>
  <si>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</si>
  <si>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</si>
  <si>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</si>
  <si>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</si>
  <si>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</si>
  <si>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</si>
  <si>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</si>
  <si>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</si>
  <si>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</si>
  <si>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</si>
  <si>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</si>
  <si>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</si>
  <si>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</si>
  <si>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</si>
  <si>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</si>
  <si>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</si>
  <si>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</si>
  <si>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</si>
  <si>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</si>
  <si>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</si>
  <si>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</si>
  <si>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</si>
  <si>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</si>
  <si>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</si>
  <si>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</si>
  <si>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</si>
  <si>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</si>
  <si>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</si>
  <si>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</si>
  <si>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</si>
  <si>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</si>
  <si>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</si>
  <si>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</si>
  <si>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</si>
  <si>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</si>
  <si>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</si>
  <si>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</si>
  <si>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</si>
  <si>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</si>
  <si>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</si>
  <si>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</si>
  <si>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</si>
  <si>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</si>
  <si>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</si>
  <si>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</si>
  <si>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</si>
  <si>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</si>
  <si>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</si>
  <si>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</si>
  <si>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</si>
  <si>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</si>
  <si>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</si>
  <si>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</si>
  <si>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</si>
  <si>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</si>
  <si>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</si>
  <si>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</si>
  <si>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</si>
  <si>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</si>
  <si>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</si>
  <si>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</si>
  <si>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</si>
  <si>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</si>
  <si>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</si>
  <si>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</si>
  <si>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</si>
  <si>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</si>
  <si>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</si>
  <si>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</si>
  <si>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</si>
  <si>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</si>
  <si>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</si>
  <si>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</si>
  <si>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</si>
  <si>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</si>
  <si>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</si>
  <si>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</si>
  <si>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</si>
  <si>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</si>
  <si>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</si>
  <si>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</si>
  <si>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</si>
  <si>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</si>
  <si>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</si>
  <si>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</si>
  <si>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</si>
  <si>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</si>
  <si>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</si>
  <si>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</si>
  <si>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</si>
  <si>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</si>
  <si>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</si>
  <si>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</si>
  <si>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</si>
  <si>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</si>
  <si>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</si>
  <si>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</si>
  <si>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</si>
  <si>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</si>
  <si>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</si>
  <si>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</si>
  <si>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</si>
  <si>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</si>
  <si>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</si>
  <si>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</si>
  <si>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</si>
  <si>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</si>
  <si>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</si>
  <si>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</si>
  <si>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</si>
  <si>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</si>
  <si>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</si>
  <si>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</si>
  <si>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</si>
  <si>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</si>
  <si>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</si>
  <si>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</si>
  <si>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</si>
  <si>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</si>
  <si>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</si>
  <si>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</si>
  <si>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</si>
  <si>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</si>
  <si>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</si>
  <si>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</si>
  <si>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</si>
  <si>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</si>
  <si>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</si>
  <si>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</si>
  <si>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</si>
  <si>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</si>
  <si>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</si>
  <si>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</si>
  <si>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</si>
  <si>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</si>
  <si>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</si>
  <si>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</si>
  <si>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</si>
  <si>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</si>
  <si>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</si>
  <si>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</si>
  <si>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</si>
  <si>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</si>
  <si>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</si>
  <si>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</si>
  <si>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</si>
  <si>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</si>
  <si>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</si>
  <si>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</si>
  <si>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</si>
  <si>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</si>
  <si>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</si>
  <si>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</si>
  <si>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</si>
  <si>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</si>
  <si>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</si>
  <si>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</si>
  <si>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</si>
  <si>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</si>
  <si>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</si>
  <si>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</si>
  <si>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</si>
  <si>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</si>
  <si>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</si>
  <si>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</si>
  <si>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</si>
  <si>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</si>
  <si>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</si>
  <si>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</si>
  <si>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</si>
  <si>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</si>
  <si>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</si>
  <si>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</si>
  <si>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</si>
  <si>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</si>
  <si>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</si>
  <si>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</si>
  <si>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</si>
  <si>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</si>
  <si>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</si>
  <si>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</si>
  <si>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</si>
  <si>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</si>
  <si>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</si>
  <si>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</si>
  <si>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</si>
  <si>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</si>
  <si>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</si>
  <si>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</si>
  <si>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</si>
  <si>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</si>
  <si>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</si>
  <si>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</si>
  <si>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</si>
  <si>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</si>
  <si>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</si>
  <si>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</si>
  <si>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</si>
  <si>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</si>
  <si>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</si>
  <si>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</si>
  <si>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</si>
  <si>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</si>
  <si>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</si>
  <si>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</si>
  <si>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</si>
  <si>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</si>
  <si>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</si>
  <si>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</si>
  <si>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</si>
  <si>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</si>
  <si>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</si>
  <si>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</si>
  <si>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</si>
  <si>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</si>
  <si>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</si>
  <si>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</si>
  <si>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</si>
  <si>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</si>
  <si>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</si>
  <si>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</si>
  <si>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</si>
  <si>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</si>
  <si>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</si>
  <si>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</si>
  <si>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</si>
  <si>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</si>
  <si>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</si>
  <si>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</si>
  <si>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</si>
  <si>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</si>
  <si>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</si>
  <si>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</si>
  <si>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</si>
  <si>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</si>
  <si>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</si>
  <si>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</si>
  <si>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</si>
  <si>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</si>
  <si>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</si>
  <si>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</si>
  <si>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</si>
  <si>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</si>
  <si>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</si>
  <si>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</si>
  <si>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</si>
  <si>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</si>
  <si>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</si>
  <si>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</si>
  <si>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</si>
  <si>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</si>
  <si>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</si>
  <si>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</si>
  <si>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</si>
  <si>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</si>
  <si>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</si>
  <si>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</si>
  <si>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</si>
  <si>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</si>
  <si>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</si>
  <si>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</si>
  <si>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</si>
  <si>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</si>
  <si>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</si>
  <si>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</si>
  <si>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</si>
  <si>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</si>
  <si>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</si>
  <si>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</si>
  <si>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</si>
  <si>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</si>
  <si>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</si>
  <si>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</si>
  <si>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</si>
  <si>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</si>
  <si>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</si>
  <si>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</si>
  <si>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</si>
  <si>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</si>
  <si>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</si>
  <si>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</si>
  <si>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</si>
  <si>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</si>
  <si>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</si>
  <si>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</si>
  <si>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</si>
  <si>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</si>
  <si>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</si>
  <si>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</si>
  <si>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</si>
  <si>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</si>
  <si>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</si>
  <si>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</si>
  <si>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</si>
  <si>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</si>
  <si>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</si>
  <si>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</si>
  <si>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</si>
  <si>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</si>
  <si>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</si>
  <si>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</si>
  <si>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</si>
  <si>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</si>
  <si>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</si>
  <si>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</si>
  <si>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</si>
  <si>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</si>
  <si>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</si>
  <si>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</si>
  <si>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</si>
  <si>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</si>
  <si>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</si>
  <si>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</si>
  <si>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</si>
  <si>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</si>
  <si>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</si>
  <si>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</si>
  <si>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</si>
  <si>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</si>
  <si>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</si>
  <si>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</si>
  <si>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</si>
  <si>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</si>
  <si>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</si>
  <si>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</si>
  <si>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</si>
  <si>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</si>
  <si>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</si>
  <si>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</si>
  <si>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</si>
  <si>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</si>
  <si>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</si>
  <si>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</si>
  <si>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</si>
  <si>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</si>
  <si>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</si>
  <si>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</si>
  <si>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</si>
  <si>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</si>
  <si>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</si>
  <si>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</si>
  <si>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</si>
  <si>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</si>
  <si>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</si>
  <si>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</si>
  <si>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</si>
  <si>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</si>
  <si>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</si>
  <si>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</si>
  <si>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</si>
  <si>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</si>
  <si>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</si>
  <si>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</si>
  <si>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</si>
  <si>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</si>
  <si>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</si>
  <si>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</si>
  <si>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</si>
  <si>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</si>
  <si>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</si>
  <si>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</si>
  <si>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</si>
  <si>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</si>
  <si>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</si>
  <si>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</si>
  <si>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</si>
  <si>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</si>
  <si>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</si>
  <si>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</si>
  <si>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</si>
  <si>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</si>
  <si>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</si>
  <si>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</si>
  <si>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</si>
  <si>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</si>
  <si>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</si>
  <si>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</si>
  <si>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</si>
  <si>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</si>
  <si>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</si>
  <si>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</si>
  <si>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</si>
  <si>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</si>
  <si>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</si>
  <si>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</si>
  <si>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</si>
  <si>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</si>
  <si>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</si>
  <si>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</si>
  <si>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</si>
  <si>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</si>
  <si>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</si>
  <si>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</si>
  <si>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</si>
  <si>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</si>
  <si>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</si>
  <si>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</si>
  <si>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</si>
  <si>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</si>
  <si>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</si>
  <si>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</si>
  <si>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</si>
  <si>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</si>
  <si>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</si>
  <si>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</si>
  <si>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</si>
  <si>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</si>
  <si>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</si>
  <si>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</si>
  <si>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</si>
  <si>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</si>
  <si>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</si>
  <si>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</si>
  <si>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</si>
  <si>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</si>
  <si>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</si>
  <si>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</si>
  <si>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</si>
  <si>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</si>
  <si>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</si>
  <si>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</si>
  <si>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</si>
  <si>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</si>
  <si>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</si>
  <si>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</si>
  <si>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</si>
  <si>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</si>
  <si>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</si>
  <si>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</si>
  <si>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</si>
  <si>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</si>
  <si>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</si>
  <si>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</si>
  <si>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</si>
  <si>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</si>
  <si>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</si>
  <si>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</si>
  <si>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</si>
  <si>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</si>
  <si>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</si>
  <si>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</si>
  <si>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</si>
  <si>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</si>
  <si>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</si>
  <si>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</si>
  <si>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</si>
  <si>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</si>
  <si>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</si>
  <si>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</si>
  <si>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</si>
  <si>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</si>
  <si>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</si>
  <si>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</si>
  <si>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</si>
  <si>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</si>
  <si>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</si>
  <si>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</si>
  <si>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</si>
  <si>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</si>
  <si>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</si>
  <si>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</si>
  <si>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</si>
  <si>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</si>
  <si>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</si>
  <si>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</si>
  <si>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</si>
  <si>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</si>
  <si>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</si>
  <si>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</si>
  <si>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</si>
  <si>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</si>
  <si>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</si>
  <si>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</si>
  <si>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</si>
  <si>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</si>
  <si>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</si>
  <si>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</si>
  <si>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</si>
  <si>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</si>
  <si>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</si>
  <si>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</si>
  <si>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</si>
  <si>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</si>
  <si>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</si>
  <si>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</si>
  <si>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</si>
  <si>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</si>
  <si>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</si>
  <si>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</si>
  <si>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</si>
  <si>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</si>
  <si>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</si>
  <si>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</si>
  <si>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</si>
  <si>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</si>
  <si>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</si>
  <si>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</si>
  <si>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</si>
  <si>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</si>
  <si>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</si>
  <si>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</si>
  <si>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</si>
  <si>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</si>
  <si>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</si>
  <si>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\\FIGARI\entregables\uruguay\Fucerep\WI 196 - Modificacion del devengado\ETP-00000-GL-V2R2.1 - Captaciones - CV - Modificación del devengado en especie ((PCC00024, pcc00032, PCC00003, PCC00003))</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</si>
  <si>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</si>
  <si>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</si>
  <si>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</si>
  <si>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</si>
  <si>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</si>
  <si>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</si>
  <si>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</si>
  <si>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</si>
  <si>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</si>
  <si>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</si>
  <si>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</si>
  <si>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</si>
  <si>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</si>
  <si>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</si>
  <si>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</si>
  <si>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</si>
  <si>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</si>
  <si>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</si>
  <si>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</si>
  <si>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</si>
  <si>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</si>
  <si>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</si>
  <si>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</si>
  <si>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</si>
  <si>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</si>
  <si>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</si>
  <si>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</si>
  <si>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</si>
  <si>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</si>
  <si>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</si>
  <si>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</si>
  <si>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</si>
  <si>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</si>
  <si>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</si>
  <si>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</si>
  <si>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</si>
  <si>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</si>
  <si>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</si>
  <si>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</si>
  <si>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</si>
  <si>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</si>
  <si>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</si>
  <si>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</si>
  <si>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</si>
  <si>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</si>
  <si>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</si>
  <si>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</si>
  <si>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</si>
  <si>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</si>
  <si>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</si>
  <si>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</si>
  <si>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</si>
  <si>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</si>
  <si>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</si>
  <si>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</si>
  <si>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</si>
  <si>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</si>
  <si>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</si>
  <si>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</si>
  <si>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</si>
  <si>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</si>
  <si>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</si>
  <si>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</si>
  <si>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</si>
  <si>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</si>
  <si>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</si>
  <si>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</si>
  <si>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</si>
  <si>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</si>
  <si>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</si>
  <si>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</si>
  <si>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</si>
  <si>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</si>
  <si>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</si>
  <si>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</si>
  <si>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</si>
  <si>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</si>
  <si>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</si>
  <si>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</si>
  <si>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</si>
  <si>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</si>
  <si>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</si>
  <si>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</si>
  <si>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</si>
  <si>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</si>
  <si>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</si>
  <si>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</si>
  <si>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</si>
  <si>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</si>
  <si>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</si>
  <si>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</si>
  <si>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</si>
  <si>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</si>
  <si>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</si>
  <si>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</si>
  <si>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</si>
  <si>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</si>
  <si>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</si>
  <si>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</si>
  <si>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</si>
  <si>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</si>
  <si>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</si>
  <si>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</si>
  <si>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</si>
  <si>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</si>
  <si>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</si>
  <si>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</si>
  <si>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</si>
  <si>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</si>
  <si>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</si>
  <si>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</si>
  <si>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</si>
  <si>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</si>
  <si>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</si>
  <si>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</si>
  <si>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</si>
  <si>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</si>
  <si>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</si>
  <si>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</si>
  <si>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</si>
  <si>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</si>
  <si>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</si>
  <si>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</si>
  <si>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</si>
  <si>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</si>
  <si>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</si>
  <si>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</si>
  <si>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</si>
  <si>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</si>
  <si>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</si>
  <si>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</si>
  <si>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</si>
  <si>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</si>
  <si>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</si>
  <si>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</si>
  <si>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</si>
  <si>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</si>
  <si>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</si>
  <si>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</si>
  <si>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</si>
  <si>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</si>
  <si>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</si>
  <si>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</si>
  <si>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</si>
  <si>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</si>
  <si>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</si>
  <si>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</si>
  <si>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</si>
  <si>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</si>
  <si>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</si>
  <si>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</si>
  <si>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</si>
  <si>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</si>
  <si>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</si>
  <si>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</si>
  <si>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</si>
  <si>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</si>
  <si>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</si>
  <si>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</si>
  <si>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</si>
  <si>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</si>
  <si>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</si>
  <si>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</si>
  <si>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</si>
  <si>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</si>
  <si>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</si>
  <si>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</si>
  <si>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</si>
  <si>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</si>
  <si>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</si>
  <si>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</si>
  <si>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</si>
  <si>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</si>
  <si>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</si>
  <si>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</si>
  <si>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</si>
  <si>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</si>
  <si>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</si>
  <si>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</si>
  <si>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</si>
  <si>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</si>
  <si>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</si>
  <si>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</si>
  <si>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</si>
  <si>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</si>
  <si>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</si>
  <si>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</si>
  <si>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</si>
  <si>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</si>
  <si>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</si>
  <si>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</si>
  <si>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</si>
  <si>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</si>
  <si>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</si>
  <si>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</si>
  <si>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</si>
  <si>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</si>
  <si>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</si>
  <si>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</si>
  <si>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</si>
  <si>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</si>
  <si>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</si>
  <si>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</si>
  <si>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</si>
  <si>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</si>
  <si>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</si>
  <si>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</si>
  <si>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</si>
  <si>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</si>
  <si>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</si>
  <si>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</si>
  <si>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</si>
  <si>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</si>
  <si>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</si>
  <si>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</si>
  <si>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</si>
  <si>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</si>
  <si>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</si>
  <si>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</si>
  <si>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</si>
  <si>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</si>
  <si>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</si>
  <si>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</si>
  <si>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</si>
  <si>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</si>
  <si>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</si>
  <si>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</si>
  <si>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</si>
  <si>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</si>
  <si>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</si>
  <si>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</si>
  <si>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</si>
  <si>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</si>
  <si>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</si>
  <si>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</si>
  <si>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</si>
  <si>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</si>
  <si>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</si>
  <si>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</si>
  <si>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</si>
  <si>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</si>
  <si>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</si>
  <si>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</si>
  <si>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</si>
  <si>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</si>
  <si>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</si>
  <si>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</si>
  <si>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</si>
  <si>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</si>
  <si>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</si>
  <si>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</si>
  <si>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</si>
  <si>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</si>
  <si>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</si>
  <si>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</si>
  <si>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</si>
  <si>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</si>
  <si>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</si>
  <si>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</si>
  <si>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</si>
  <si>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</si>
  <si>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</si>
  <si>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</si>
  <si>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</si>
  <si>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</si>
  <si>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</si>
  <si>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</si>
  <si>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</si>
  <si>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</si>
  <si>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</si>
  <si>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</si>
  <si>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</si>
  <si>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</si>
  <si>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</si>
  <si>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</si>
  <si>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</si>
  <si>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</si>
  <si>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</si>
  <si>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</si>
  <si>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</si>
  <si>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</si>
  <si>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</si>
  <si>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</si>
  <si>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</si>
  <si>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</si>
  <si>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</si>
  <si>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</si>
  <si>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</si>
  <si>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</si>
  <si>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</si>
  <si>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</si>
  <si>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</si>
  <si>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</si>
  <si>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</si>
  <si>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</si>
  <si>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</si>
  <si>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</si>
  <si>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</si>
  <si>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</si>
  <si>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</si>
  <si>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</si>
  <si>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</si>
  <si>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</si>
  <si>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</si>
  <si>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</si>
  <si>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</si>
  <si>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</si>
  <si>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</si>
  <si>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</si>
  <si>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</si>
  <si>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</si>
  <si>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</si>
  <si>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</si>
  <si>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</si>
  <si>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</si>
  <si>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</si>
  <si>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</si>
  <si>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</si>
  <si>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</si>
  <si>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</si>
  <si>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</si>
  <si>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</si>
  <si>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</si>
  <si>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</si>
  <si>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</si>
  <si>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</si>
  <si>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</si>
  <si>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</si>
  <si>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</si>
  <si>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</si>
  <si>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</si>
  <si>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</si>
  <si>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</si>
  <si>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</si>
  <si>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</si>
  <si>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</si>
  <si>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</si>
  <si>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</si>
  <si>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</si>
  <si>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</si>
  <si>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</si>
  <si>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</si>
  <si>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</si>
  <si>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</si>
  <si>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</si>
  <si>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</si>
  <si>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</si>
  <si>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</si>
  <si>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</si>
  <si>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</si>
  <si>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</si>
  <si>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</si>
  <si>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</si>
  <si>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</si>
  <si>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</si>
  <si>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</si>
  <si>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</si>
  <si>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</si>
  <si>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</si>
  <si>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</si>
  <si>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</si>
  <si>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</si>
  <si>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</si>
  <si>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</si>
  <si>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</si>
  <si>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</si>
  <si>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</si>
  <si>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</si>
  <si>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</si>
  <si>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</si>
  <si>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</si>
  <si>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</si>
  <si>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</si>
  <si>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</si>
  <si>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</si>
  <si>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</si>
  <si>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</si>
  <si>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</si>
  <si>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</si>
  <si>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</si>
  <si>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</si>
  <si>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</si>
  <si>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</si>
  <si>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</si>
  <si>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</si>
  <si>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</si>
  <si>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</si>
  <si>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</si>
  <si>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</si>
  <si>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</si>
  <si>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</si>
  <si>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</si>
  <si>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</si>
  <si>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</si>
  <si>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</si>
  <si>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</si>
  <si>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</si>
  <si>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</si>
  <si>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</si>
  <si>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</si>
  <si>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</si>
  <si>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</si>
  <si>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</si>
  <si>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</si>
  <si>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</si>
  <si>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</si>
  <si>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</si>
  <si>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</si>
  <si>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</si>
  <si>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</si>
  <si>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</si>
  <si>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</si>
  <si>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</si>
  <si>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</si>
  <si>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</si>
  <si>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</si>
  <si>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</si>
  <si>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</si>
  <si>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</si>
  <si>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</si>
  <si>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</si>
  <si>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</si>
  <si>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</si>
  <si>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</si>
  <si>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</si>
  <si>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</si>
  <si>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</si>
  <si>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</si>
  <si>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</si>
  <si>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</si>
  <si>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</si>
  <si>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</si>
  <si>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</si>
  <si>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</si>
  <si>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</si>
  <si>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</si>
  <si>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</si>
  <si>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</si>
  <si>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</si>
  <si>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</si>
  <si>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</si>
  <si>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</si>
  <si>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</si>
  <si>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</si>
  <si>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</si>
  <si>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</si>
  <si>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</si>
  <si>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</si>
  <si>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</si>
  <si>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</si>
  <si>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</si>
  <si>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</si>
  <si>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</si>
  <si>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</si>
  <si>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</si>
  <si>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</si>
  <si>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</si>
  <si>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</si>
  <si>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</si>
  <si>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</si>
  <si>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</si>
  <si>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</si>
  <si>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</si>
  <si>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</si>
  <si>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</si>
  <si>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</si>
  <si>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</si>
  <si>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</si>
  <si>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</si>
  <si>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</si>
  <si>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</si>
  <si>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</si>
  <si>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</si>
  <si>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</si>
  <si>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</si>
  <si>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</si>
  <si>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</si>
  <si>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</si>
  <si>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</si>
  <si>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</si>
  <si>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</si>
  <si>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</si>
  <si>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</si>
  <si>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</si>
  <si>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</si>
  <si>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</si>
  <si>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</si>
  <si>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</si>
  <si>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</si>
  <si>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</si>
  <si>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</si>
  <si>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</si>
  <si>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</si>
  <si>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</si>
  <si>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</si>
  <si>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</si>
  <si>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</si>
  <si>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</si>
  <si>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</si>
  <si>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</si>
  <si>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</si>
  <si>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</si>
  <si>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</si>
  <si>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</si>
  <si>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</si>
  <si>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</si>
  <si>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</si>
  <si>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</si>
  <si>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</si>
  <si>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</si>
  <si>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</si>
  <si>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</si>
  <si>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</si>
  <si>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</si>
  <si>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</si>
  <si>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</si>
  <si>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</si>
  <si>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</si>
  <si>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</si>
  <si>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</si>
  <si>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</si>
  <si>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</si>
  <si>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</si>
  <si>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</si>
  <si>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</si>
  <si>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</si>
  <si>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</si>
  <si>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</si>
  <si>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</si>
  <si>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</si>
  <si>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</si>
  <si>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</si>
  <si>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</si>
  <si>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</si>
  <si>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</si>
  <si>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</si>
  <si>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</si>
  <si>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</si>
  <si>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</si>
  <si>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</si>
  <si>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</si>
  <si>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</si>
  <si>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</si>
  <si>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</si>
  <si>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</si>
  <si>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</si>
  <si>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</si>
  <si>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</si>
  <si>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</si>
  <si>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</si>
  <si>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</si>
  <si>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</si>
  <si>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</si>
  <si>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</si>
  <si>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</si>
  <si>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</si>
  <si>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</si>
  <si>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</si>
  <si>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</si>
  <si>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</si>
  <si>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</si>
  <si>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</si>
  <si>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</si>
  <si>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</si>
  <si>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</si>
  <si>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</si>
  <si>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</si>
  <si>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</si>
  <si>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</si>
  <si>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</si>
  <si>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</si>
  <si>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</si>
  <si>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</si>
  <si>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</si>
  <si>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</si>
  <si>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</si>
  <si>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</si>
  <si>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</si>
  <si>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</si>
  <si>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</si>
  <si>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</si>
  <si>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</si>
  <si>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</si>
  <si>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</si>
  <si>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</si>
  <si>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</si>
  <si>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</si>
  <si>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</si>
  <si>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</si>
  <si>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</si>
  <si>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</si>
  <si>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</si>
  <si>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</si>
  <si>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</si>
  <si>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</si>
  <si>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</si>
  <si>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</si>
  <si>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</si>
  <si>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</si>
  <si>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</si>
  <si>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</si>
  <si>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</si>
  <si>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</si>
  <si>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</si>
  <si>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</si>
  <si>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</si>
  <si>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</si>
  <si>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</si>
  <si>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</si>
  <si>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</si>
  <si>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</si>
  <si>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</si>
  <si>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</si>
  <si>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</si>
  <si>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</si>
  <si>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</si>
  <si>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</si>
  <si>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</si>
  <si>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</si>
  <si>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</si>
  <si>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</si>
  <si>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</si>
  <si>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</si>
  <si>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</si>
  <si>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</si>
  <si>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</si>
  <si>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</si>
  <si>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</si>
  <si>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</si>
  <si>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</si>
  <si>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</si>
  <si>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</si>
  <si>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</si>
  <si>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</si>
  <si>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</si>
  <si>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</si>
  <si>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</si>
  <si>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</si>
  <si>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</si>
  <si>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</si>
  <si>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</si>
  <si>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</si>
  <si>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</si>
  <si>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</si>
  <si>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</si>
  <si>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</si>
  <si>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</si>
  <si>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</si>
  <si>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</si>
  <si>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</si>
  <si>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</si>
  <si>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</si>
  <si>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</si>
  <si>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</si>
  <si>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</si>
  <si>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</si>
  <si>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</si>
  <si>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</si>
  <si>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</si>
  <si>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</si>
  <si>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</si>
  <si>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</si>
  <si>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</si>
  <si>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</si>
  <si>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</si>
  <si>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</si>
  <si>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</si>
  <si>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</si>
  <si>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</si>
  <si>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</si>
  <si>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</si>
  <si>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</si>
  <si>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</si>
  <si>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</si>
  <si>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</si>
  <si>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</si>
  <si>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</si>
  <si>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</si>
  <si>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</si>
  <si>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</si>
  <si>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</si>
  <si>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</si>
  <si>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</si>
  <si>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</si>
  <si>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</si>
  <si>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</si>
  <si>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</si>
  <si>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</si>
  <si>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</si>
  <si>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</si>
  <si>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</si>
  <si>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</si>
  <si>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</si>
  <si>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</si>
  <si>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</si>
  <si>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</si>
  <si>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</si>
  <si>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</si>
  <si>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</si>
  <si>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</si>
  <si>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</si>
  <si>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</si>
  <si>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</si>
  <si>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</si>
  <si>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</si>
  <si>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</si>
  <si>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</si>
  <si>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</si>
  <si>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</si>
  <si>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</si>
  <si>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</si>
  <si>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</si>
  <si>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</si>
  <si>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</si>
  <si>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</si>
  <si>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</si>
  <si>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</si>
  <si>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</si>
  <si>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</si>
  <si>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</si>
  <si>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</si>
  <si>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</si>
  <si>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</si>
  <si>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</si>
  <si>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</si>
  <si>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</si>
  <si>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</si>
  <si>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</si>
  <si>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</si>
  <si>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</si>
  <si>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</si>
  <si>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</si>
  <si>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</si>
  <si>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</si>
  <si>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</si>
  <si>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</si>
  <si>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</si>
  <si>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</si>
  <si>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</si>
  <si>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</si>
  <si>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</si>
  <si>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</si>
  <si>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</si>
  <si>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</si>
  <si>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</si>
  <si>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</si>
  <si>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</si>
  <si>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</si>
  <si>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</si>
  <si>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</si>
  <si>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</si>
  <si>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</si>
  <si>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</si>
  <si>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</si>
  <si>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</si>
  <si>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</si>
  <si>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</si>
  <si>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</si>
  <si>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</si>
  <si>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</si>
  <si>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</si>
  <si>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</si>
  <si>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</si>
  <si>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</si>
  <si>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</si>
  <si>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</si>
  <si>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</si>
  <si>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</si>
  <si>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</si>
  <si>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</si>
  <si>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</si>
  <si>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</si>
  <si>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</si>
  <si>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</si>
  <si>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</si>
  <si>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</si>
  <si>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</si>
  <si>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</si>
  <si>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</si>
  <si>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</si>
  <si>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</si>
  <si>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</si>
  <si>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</si>
  <si>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</si>
  <si>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</si>
  <si>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</si>
  <si>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</si>
  <si>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</si>
  <si>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</si>
  <si>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</si>
  <si>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</si>
  <si>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</si>
  <si>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</si>
  <si>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</si>
  <si>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</si>
  <si>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</si>
  <si>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</si>
  <si>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</si>
  <si>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</si>
  <si>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</si>
  <si>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</si>
  <si>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</si>
  <si>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</si>
  <si>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</si>
  <si>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</si>
  <si>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</si>
  <si>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</si>
  <si>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</si>
  <si>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</si>
  <si>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</si>
  <si>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</si>
  <si>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</si>
  <si>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</si>
  <si>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</si>
  <si>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</si>
  <si>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</si>
  <si>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</si>
  <si>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</si>
  <si>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</si>
  <si>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</si>
  <si>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</si>
  <si>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</si>
  <si>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</si>
  <si>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</si>
  <si>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</si>
  <si>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</si>
  <si>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</si>
  <si>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</si>
  <si>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</si>
  <si>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</si>
  <si>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</si>
  <si>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</si>
  <si>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</si>
  <si>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</si>
  <si>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</si>
  <si>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</si>
  <si>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</si>
  <si>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</si>
  <si>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</si>
  <si>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</si>
  <si>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</si>
  <si>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</si>
  <si>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</si>
  <si>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</si>
  <si>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</si>
  <si>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</si>
  <si>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</si>
  <si>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</si>
  <si>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</si>
  <si>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</si>
  <si>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</si>
  <si>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</si>
  <si>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</si>
  <si>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</si>
  <si>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</si>
  <si>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</si>
  <si>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</si>
  <si>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</si>
  <si>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</si>
  <si>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</si>
  <si>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</si>
  <si>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</si>
  <si>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</si>
  <si>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</si>
  <si>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</si>
  <si>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</si>
  <si>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</si>
  <si>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</si>
  <si>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</si>
  <si>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</si>
  <si>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</si>
  <si>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</si>
  <si>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</si>
  <si>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</si>
  <si>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</si>
  <si>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</si>
  <si>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</si>
  <si>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</si>
  <si>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</si>
  <si>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</si>
  <si>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</si>
  <si>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</si>
  <si>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</si>
  <si>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</si>
  <si>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</si>
  <si>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</si>
  <si>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</si>
  <si>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</si>
  <si>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</si>
  <si>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</si>
  <si>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</si>
  <si>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</si>
  <si>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</si>
  <si>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</si>
  <si>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</si>
  <si>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</si>
  <si>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</si>
  <si>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</si>
  <si>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</si>
  <si>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</si>
  <si>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</si>
  <si>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</si>
  <si>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</si>
  <si>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</si>
  <si>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</si>
  <si>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</si>
  <si>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</si>
  <si>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</si>
  <si>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</si>
  <si>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</si>
  <si>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</si>
  <si>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</si>
  <si>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</si>
  <si>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</si>
  <si>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</si>
  <si>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</si>
  <si>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</si>
  <si>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</si>
  <si>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</si>
  <si>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</si>
  <si>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</si>
  <si>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</si>
  <si>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</si>
  <si>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</si>
  <si>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</si>
  <si>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</si>
  <si>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</si>
  <si>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</si>
  <si>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</si>
  <si>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</si>
  <si>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</si>
  <si>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</si>
  <si>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</si>
  <si>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</si>
  <si>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</si>
  <si>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</si>
  <si>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</si>
  <si>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</si>
  <si>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</si>
  <si>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</si>
  <si>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</si>
  <si>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</si>
  <si>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</si>
  <si>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</si>
  <si>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</si>
  <si>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</si>
  <si>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</si>
  <si>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</si>
  <si>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</si>
  <si>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</si>
  <si>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</si>
  <si>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</si>
  <si>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</si>
  <si>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</si>
  <si>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</si>
  <si>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</si>
  <si>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</si>
  <si>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</si>
  <si>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</si>
  <si>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</si>
  <si>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</si>
  <si>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</si>
  <si>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</si>
  <si>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</si>
  <si>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</si>
  <si>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</si>
  <si>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</si>
  <si>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</si>
  <si>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</si>
  <si>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</si>
  <si>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</si>
  <si>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</si>
  <si>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</si>
  <si>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</si>
  <si>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</si>
  <si>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</si>
  <si>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</si>
  <si>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</si>
  <si>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</si>
  <si>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</si>
  <si>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</si>
  <si>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</si>
  <si>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</si>
  <si>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</si>
  <si>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</si>
  <si>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</si>
  <si>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</si>
  <si>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</si>
  <si>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</si>
  <si>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</si>
  <si>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</si>
  <si>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</si>
  <si>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</si>
  <si>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</si>
  <si>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</si>
  <si>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</si>
  <si>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</si>
  <si>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</si>
  <si>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</si>
  <si>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</si>
  <si>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</si>
  <si>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</si>
  <si>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</si>
  <si>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</si>
  <si>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</si>
  <si>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</si>
  <si>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</si>
  <si>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</si>
  <si>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</si>
  <si>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</si>
  <si>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</si>
  <si>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</si>
  <si>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</si>
  <si>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</si>
  <si>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</si>
  <si>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</si>
  <si>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</si>
  <si>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</si>
  <si>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</si>
  <si>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</si>
  <si>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</si>
  <si>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</si>
  <si>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</si>
  <si>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</si>
  <si>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</si>
  <si>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</si>
  <si>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</si>
  <si>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</si>
  <si>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</si>
  <si>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</si>
  <si>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</si>
  <si>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</si>
  <si>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</si>
  <si>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</si>
  <si>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</si>
  <si>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</si>
  <si>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</si>
  <si>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</si>
  <si>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</si>
  <si>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</si>
  <si>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</si>
  <si>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</si>
  <si>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</si>
  <si>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</si>
  <si>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</si>
  <si>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</si>
  <si>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</si>
  <si>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</si>
  <si>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</si>
  <si>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</si>
  <si>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</si>
  <si>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</si>
  <si>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</si>
  <si>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</si>
  <si>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</si>
  <si>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</si>
  <si>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</si>
  <si>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</si>
  <si>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</si>
  <si>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</si>
  <si>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</si>
  <si>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</si>
  <si>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</si>
  <si>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</si>
  <si>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</si>
  <si>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</si>
  <si>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</si>
  <si>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</si>
  <si>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</si>
  <si>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</si>
  <si>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</si>
  <si>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</si>
  <si>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</si>
  <si>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</si>
  <si>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</si>
  <si>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</si>
  <si>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</si>
  <si>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</si>
  <si>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</si>
  <si>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</si>
  <si>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</si>
  <si>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</si>
  <si>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</si>
  <si>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</si>
  <si>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</si>
  <si>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</si>
  <si>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</si>
  <si>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</si>
  <si>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</si>
  <si>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</si>
  <si>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</si>
  <si>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</si>
  <si>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</si>
  <si>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</si>
  <si>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</si>
  <si>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</si>
  <si>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</si>
  <si>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</si>
  <si>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</si>
  <si>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</si>
  <si>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</si>
  <si>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</si>
  <si>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</si>
  <si>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</si>
  <si>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</si>
  <si>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</si>
  <si>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</si>
  <si>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</si>
  <si>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</si>
  <si>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</si>
  <si>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</si>
  <si>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</si>
  <si>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</si>
  <si>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</si>
  <si>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</si>
  <si>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</si>
  <si>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</si>
  <si>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</si>
  <si>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</si>
  <si>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</si>
  <si>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</si>
  <si>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</si>
  <si>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</si>
  <si>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</si>
  <si>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</si>
  <si>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</si>
  <si>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</si>
  <si>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</si>
  <si>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</si>
  <si>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</si>
  <si>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</si>
  <si>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</si>
  <si>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</si>
  <si>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</si>
  <si>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</si>
  <si>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</si>
  <si>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</si>
  <si>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</si>
  <si>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</si>
  <si>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</si>
  <si>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</si>
  <si>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</si>
  <si>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</si>
  <si>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</si>
  <si>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</si>
  <si>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</si>
  <si>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</si>
  <si>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</si>
  <si>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</si>
  <si>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</si>
  <si>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</si>
  <si>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</si>
  <si>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</si>
  <si>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</si>
  <si>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</si>
  <si>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</si>
  <si>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</si>
  <si>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</si>
  <si>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</si>
  <si>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</si>
  <si>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</si>
  <si>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</si>
  <si>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</si>
  <si>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</si>
  <si>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</si>
  <si>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</si>
  <si>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</si>
  <si>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</si>
  <si>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</si>
  <si>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</si>
  <si>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</si>
  <si>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</si>
  <si>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</si>
  <si>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</si>
  <si>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</si>
  <si>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</si>
  <si>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</si>
  <si>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</si>
  <si>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</si>
  <si>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</si>
  <si>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</si>
  <si>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</si>
  <si>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</si>
  <si>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</si>
  <si>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</si>
  <si>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</si>
  <si>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</si>
  <si>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</si>
  <si>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</si>
  <si>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</si>
  <si>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</si>
  <si>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</si>
  <si>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</si>
  <si>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</si>
  <si>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</si>
  <si>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</si>
  <si>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</si>
  <si>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</si>
  <si>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</si>
  <si>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</si>
  <si>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</si>
  <si>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</si>
  <si>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</si>
  <si>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</si>
  <si>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</si>
  <si>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</si>
  <si>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</si>
  <si>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</si>
  <si>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</si>
  <si>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</si>
  <si>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</si>
  <si>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</si>
  <si>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</si>
  <si>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</si>
  <si>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</si>
  <si>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</si>
  <si>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</si>
  <si>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</si>
  <si>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</si>
  <si>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</si>
  <si>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</si>
  <si>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</si>
  <si>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</si>
  <si>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</si>
  <si>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</si>
  <si>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</si>
  <si>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</si>
  <si>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</si>
  <si>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</si>
  <si>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</si>
  <si>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</si>
  <si>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</si>
  <si>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</si>
  <si>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</si>
  <si>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</si>
  <si>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</si>
  <si>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</si>
  <si>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</si>
  <si>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</si>
  <si>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</si>
  <si>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</si>
  <si>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</si>
  <si>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</si>
  <si>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</si>
  <si>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</si>
  <si>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</si>
  <si>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</si>
  <si>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</si>
  <si>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</si>
  <si>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</si>
  <si>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</si>
  <si>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</si>
  <si>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</si>
  <si>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</si>
  <si>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</si>
  <si>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</si>
  <si>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</si>
  <si>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</si>
  <si>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</si>
  <si>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</si>
  <si>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</si>
  <si>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</si>
  <si>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</si>
  <si>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</si>
  <si>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</si>
  <si>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</si>
  <si>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</si>
  <si>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</si>
  <si>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</si>
  <si>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</si>
  <si>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</si>
  <si>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</si>
  <si>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</si>
  <si>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</si>
  <si>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</si>
  <si>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</si>
  <si>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</si>
  <si>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</si>
  <si>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</si>
  <si>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</si>
  <si>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</si>
  <si>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</si>
  <si>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</si>
  <si>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</si>
  <si>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</si>
  <si>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</si>
  <si>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</si>
  <si>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</si>
  <si>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</si>
  <si>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</si>
  <si>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</si>
  <si>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</si>
  <si>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</si>
  <si>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</si>
  <si>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</si>
  <si>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</si>
  <si>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</si>
  <si>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</si>
  <si>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</si>
  <si>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</si>
  <si>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</si>
  <si>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</si>
  <si>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</si>
  <si>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</si>
  <si>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</si>
  <si>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</si>
  <si>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</si>
  <si>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</si>
  <si>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</si>
  <si>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</si>
  <si>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</si>
  <si>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</si>
  <si>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</si>
  <si>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</si>
  <si>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</si>
  <si>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</si>
  <si>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</si>
  <si>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</si>
  <si>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</si>
  <si>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</si>
  <si>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</si>
  <si>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</si>
  <si>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</si>
  <si>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</si>
  <si>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</si>
  <si>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</si>
  <si>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</si>
  <si>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</si>
  <si>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</si>
  <si>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</si>
  <si>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</si>
  <si>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</si>
  <si>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</si>
  <si>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</si>
  <si>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</si>
  <si>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</si>
  <si>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</si>
  <si>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</si>
  <si>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</si>
  <si>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</si>
  <si>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</si>
  <si>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</si>
  <si>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</si>
  <si>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</si>
  <si>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</si>
  <si>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</si>
  <si>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</si>
  <si>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</si>
  <si>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</si>
  <si>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</si>
  <si>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</si>
  <si>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</si>
  <si>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</si>
  <si>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</si>
  <si>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</si>
  <si>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</si>
  <si>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</si>
  <si>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</si>
  <si>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</si>
  <si>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</si>
  <si>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</si>
  <si>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</si>
  <si>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</si>
  <si>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</si>
  <si>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</si>
  <si>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</si>
  <si>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</si>
  <si>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</si>
  <si>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</si>
  <si>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</si>
  <si>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</si>
  <si>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</si>
  <si>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</si>
  <si>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</si>
  <si>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</si>
  <si>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</si>
  <si>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</si>
  <si>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</si>
  <si>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</si>
  <si>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</si>
  <si>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</si>
  <si>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</si>
  <si>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</si>
  <si>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</si>
  <si>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</si>
  <si>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</si>
  <si>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</si>
  <si>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</si>
  <si>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</si>
  <si>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</si>
  <si>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</si>
  <si>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</si>
  <si>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</si>
  <si>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</si>
  <si>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</si>
  <si>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</si>
  <si>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</si>
  <si>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</si>
  <si>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</si>
  <si>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</si>
  <si>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</si>
  <si>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</si>
  <si>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</si>
  <si>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</si>
  <si>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</si>
  <si>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</si>
  <si>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</si>
  <si>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</si>
  <si>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</si>
  <si>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</si>
  <si>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</si>
  <si>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</si>
  <si>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</si>
  <si>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</si>
  <si>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</si>
  <si>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</si>
  <si>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</si>
  <si>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</si>
  <si>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</si>
  <si>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</si>
  <si>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</si>
  <si>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</si>
  <si>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</si>
  <si>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</si>
  <si>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</si>
  <si>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</si>
  <si>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</si>
  <si>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</si>
  <si>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</si>
  <si>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</si>
  <si>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</si>
  <si>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</si>
  <si>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</si>
  <si>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</si>
  <si>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</si>
  <si>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</si>
  <si>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</si>
  <si>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</si>
  <si>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</si>
  <si>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</si>
  <si>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</si>
  <si>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</si>
  <si>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</si>
  <si>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</si>
  <si>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</si>
  <si>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</si>
  <si>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</si>
  <si>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</si>
  <si>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</si>
  <si>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</si>
  <si>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</si>
  <si>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</si>
  <si>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</si>
  <si>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</si>
  <si>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</si>
  <si>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</si>
  <si>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</si>
  <si>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</si>
  <si>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</si>
  <si>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</si>
  <si>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</si>
  <si>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</si>
  <si>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</si>
  <si>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</si>
  <si>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</si>
  <si>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</si>
  <si>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</si>
  <si>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</si>
  <si>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</si>
  <si>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</si>
  <si>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</si>
  <si>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</si>
  <si>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</si>
  <si>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</si>
  <si>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</si>
  <si>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</si>
  <si>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</si>
  <si>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</si>
  <si>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</si>
  <si>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</si>
  <si>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</si>
  <si>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</si>
  <si>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</si>
  <si>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</si>
  <si>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</si>
  <si>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</si>
  <si>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</si>
  <si>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</si>
  <si>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</si>
  <si>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</si>
  <si>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</si>
  <si>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</si>
  <si>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</si>
  <si>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</si>
  <si>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</si>
  <si>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</si>
  <si>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</si>
  <si>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</si>
  <si>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</si>
  <si>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</si>
  <si>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</si>
  <si>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</si>
  <si>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</si>
  <si>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</si>
  <si>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</si>
  <si>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</si>
  <si>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</si>
  <si>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</si>
  <si>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</si>
  <si>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</si>
  <si>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</si>
  <si>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</si>
  <si>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</si>
  <si>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</si>
  <si>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</si>
  <si>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</si>
  <si>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</si>
  <si>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</si>
  <si>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</si>
  <si>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</si>
  <si>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</si>
  <si>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</si>
  <si>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</si>
  <si>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</si>
  <si>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</si>
  <si>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</si>
  <si>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</si>
  <si>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</si>
  <si>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</si>
  <si>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</si>
  <si>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</si>
  <si>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</si>
  <si>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</si>
  <si>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</si>
  <si>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</si>
  <si>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</si>
  <si>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</si>
  <si>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</si>
  <si>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</si>
  <si>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</si>
  <si>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</si>
  <si>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</si>
  <si>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</si>
  <si>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</si>
  <si>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</si>
  <si>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</si>
  <si>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</si>
  <si>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</si>
  <si>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</si>
  <si>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</si>
  <si>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</si>
  <si>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</si>
  <si>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</si>
  <si>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</si>
  <si>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</si>
  <si>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</si>
  <si>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</si>
  <si>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</si>
  <si>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</si>
  <si>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</si>
  <si>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</si>
  <si>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</si>
  <si>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</si>
  <si>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</si>
  <si>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</si>
  <si>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</si>
  <si>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</si>
  <si>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</si>
  <si>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</si>
  <si>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</si>
  <si>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</si>
  <si>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</si>
  <si>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</si>
  <si>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</si>
  <si>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</si>
  <si>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</si>
  <si>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</si>
  <si>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</si>
  <si>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</si>
  <si>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</si>
  <si>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</si>
  <si>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</si>
  <si>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</si>
  <si>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</si>
  <si>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</si>
  <si>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</si>
  <si>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</si>
  <si>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</si>
  <si>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</si>
  <si>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</si>
  <si>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</si>
  <si>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</si>
  <si>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</si>
  <si>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</si>
  <si>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</si>
  <si>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</si>
  <si>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</si>
  <si>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</si>
  <si>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</si>
  <si>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</si>
  <si>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</si>
  <si>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</si>
  <si>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</si>
  <si>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</si>
  <si>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</si>
  <si>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</si>
  <si>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</si>
  <si>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</si>
  <si>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</si>
  <si>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</si>
  <si>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</si>
  <si>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</si>
  <si>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</si>
  <si>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</si>
  <si>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</si>
  <si>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</si>
  <si>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</si>
  <si>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</si>
  <si>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</si>
  <si>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</si>
  <si>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</si>
  <si>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</si>
  <si>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</si>
  <si>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</si>
  <si>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</si>
  <si>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</si>
  <si>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</si>
  <si>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</si>
  <si>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</si>
  <si>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</si>
  <si>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</si>
  <si>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</si>
  <si>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</si>
  <si>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</si>
  <si>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</si>
  <si>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</si>
  <si>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</si>
  <si>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</si>
  <si>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</si>
  <si>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</si>
  <si>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</si>
  <si>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</si>
  <si>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</si>
  <si>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</si>
  <si>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</si>
  <si>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</si>
  <si>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</si>
  <si>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</si>
  <si>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</si>
  <si>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</si>
  <si>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</si>
  <si>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</si>
  <si>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</si>
  <si>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</si>
  <si>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</si>
  <si>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</si>
  <si>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</si>
  <si>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</si>
  <si>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</si>
  <si>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</si>
  <si>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</si>
  <si>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</si>
  <si>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</si>
  <si>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</si>
  <si>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</si>
  <si>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</si>
  <si>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</si>
  <si>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</si>
  <si>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</si>
  <si>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</si>
  <si>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</si>
  <si>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</si>
  <si>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</si>
  <si>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</si>
  <si>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</si>
  <si>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</si>
  <si>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</si>
  <si>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</si>
  <si>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</si>
  <si>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</si>
  <si>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</si>
  <si>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</si>
  <si>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</si>
  <si>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</si>
  <si>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</si>
  <si>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</si>
  <si>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</si>
  <si>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</si>
  <si>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</si>
  <si>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</si>
  <si>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</si>
  <si>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</si>
  <si>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</si>
  <si>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</si>
  <si>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</si>
  <si>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</si>
  <si>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</si>
  <si>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</si>
  <si>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</si>
  <si>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</si>
  <si>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</si>
  <si>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</si>
  <si>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</si>
  <si>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</si>
  <si>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</si>
  <si>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</si>
  <si>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</si>
  <si>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</si>
  <si>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</si>
  <si>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</si>
  <si>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</si>
  <si>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</si>
  <si>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</si>
  <si>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</si>
  <si>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</si>
  <si>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</si>
  <si>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</si>
  <si>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</si>
  <si>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</si>
  <si>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</si>
  <si>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</si>
  <si>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</si>
  <si>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</si>
  <si>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</si>
  <si>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</si>
  <si>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</si>
  <si>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</si>
  <si>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</si>
  <si>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</si>
  <si>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</si>
  <si>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</si>
  <si>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</si>
  <si>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</si>
  <si>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</si>
  <si>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</si>
  <si>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</si>
  <si>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</si>
  <si>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</si>
  <si>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</si>
  <si>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</si>
  <si>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</si>
  <si>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</si>
  <si>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</si>
  <si>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</si>
  <si>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</si>
  <si>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</si>
  <si>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</si>
  <si>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</si>
  <si>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</si>
  <si>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</si>
  <si>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</si>
  <si>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</si>
  <si>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</si>
  <si>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</si>
  <si>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</si>
  <si>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</si>
  <si>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</si>
  <si>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</si>
  <si>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</si>
  <si>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</si>
  <si>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</si>
  <si>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</si>
  <si>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</si>
  <si>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</si>
  <si>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</si>
  <si>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</si>
  <si>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</si>
  <si>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</si>
  <si>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</si>
  <si>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</si>
  <si>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</si>
  <si>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</si>
  <si>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</si>
  <si>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</si>
  <si>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</si>
  <si>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</si>
  <si>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</si>
  <si>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</si>
  <si>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</si>
  <si>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</si>
  <si>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</si>
  <si>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</si>
  <si>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</si>
  <si>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</si>
  <si>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</si>
  <si>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</si>
  <si>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</si>
  <si>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</si>
  <si>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</si>
  <si>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</si>
  <si>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</si>
  <si>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</si>
  <si>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</si>
  <si>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</si>
  <si>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</si>
  <si>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</si>
  <si>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</si>
  <si>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</si>
  <si>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</si>
  <si>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</si>
  <si>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</si>
  <si>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</si>
  <si>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</si>
  <si>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</si>
  <si>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</si>
  <si>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</si>
  <si>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</si>
  <si>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</si>
  <si>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</si>
  <si>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</si>
  <si>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</si>
  <si>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</si>
  <si>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</si>
  <si>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</si>
  <si>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</si>
  <si>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</si>
  <si>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</si>
  <si>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</si>
  <si>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</si>
  <si>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</si>
  <si>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</si>
  <si>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</si>
  <si>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</si>
  <si>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</si>
  <si>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</si>
  <si>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</si>
  <si>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</si>
  <si>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</si>
  <si>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</si>
  <si>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</si>
  <si>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</si>
  <si>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</si>
  <si>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</si>
  <si>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</si>
  <si>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</si>
  <si>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</si>
  <si>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</si>
  <si>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</si>
  <si>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</si>
  <si>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</si>
  <si>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</si>
  <si>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</si>
  <si>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</si>
  <si>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</si>
  <si>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</si>
  <si>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</si>
  <si>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</si>
  <si>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</si>
  <si>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</si>
  <si>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</si>
  <si>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</si>
  <si>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</si>
  <si>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</si>
  <si>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</si>
  <si>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</si>
  <si>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</si>
  <si>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</si>
  <si>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</si>
  <si>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</si>
  <si>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</si>
  <si>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</si>
  <si>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</si>
  <si>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</si>
  <si>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</si>
  <si>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</si>
  <si>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</si>
  <si>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</si>
  <si>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</si>
  <si>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</si>
  <si>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</si>
  <si>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</si>
  <si>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</si>
  <si>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</si>
  <si>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</si>
  <si>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</si>
  <si>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</si>
  <si>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</si>
  <si>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</si>
  <si>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</si>
  <si>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</si>
  <si>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</si>
  <si>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</si>
  <si>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</si>
  <si>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</si>
  <si>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</si>
  <si>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</si>
  <si>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</si>
  <si>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</si>
  <si>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</si>
  <si>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</si>
  <si>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</si>
  <si>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</si>
  <si>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</si>
  <si>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</si>
  <si>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</si>
  <si>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</si>
  <si>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</si>
  <si>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</si>
  <si>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</si>
  <si>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</si>
  <si>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</si>
  <si>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</si>
  <si>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</si>
  <si>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</si>
  <si>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</si>
  <si>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</si>
  <si>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</si>
  <si>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</si>
  <si>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</si>
  <si>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</si>
  <si>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</si>
  <si>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</si>
  <si>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</si>
  <si>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</si>
  <si>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</si>
  <si>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</si>
  <si>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</si>
  <si>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</si>
  <si>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</si>
  <si>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</si>
  <si>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</si>
  <si>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</si>
  <si>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</si>
  <si>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</si>
  <si>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</si>
  <si>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</si>
  <si>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</si>
  <si>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</si>
  <si>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</si>
  <si>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</si>
  <si>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</si>
  <si>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</si>
  <si>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</si>
  <si>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</si>
  <si>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</si>
  <si>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</si>
  <si>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</si>
  <si>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</si>
  <si>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</si>
  <si>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</si>
  <si>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</si>
  <si>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</si>
  <si>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</si>
  <si>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</si>
  <si>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</si>
  <si>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</si>
  <si>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</si>
  <si>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</si>
  <si>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</si>
  <si>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</si>
  <si>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</si>
  <si>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</si>
  <si>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</si>
  <si>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</si>
  <si>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</si>
  <si>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</si>
  <si>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</si>
  <si>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</si>
  <si>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</si>
  <si>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</si>
  <si>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</si>
  <si>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</si>
  <si>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</si>
  <si>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</si>
  <si>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</si>
  <si>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</si>
  <si>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</si>
  <si>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</si>
  <si>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</si>
  <si>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</si>
  <si>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</si>
  <si>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</si>
  <si>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</si>
  <si>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</si>
  <si>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</si>
  <si>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</si>
  <si>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</si>
  <si>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</si>
  <si>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</si>
  <si>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</si>
  <si>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</si>
  <si>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</si>
  <si>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</si>
  <si>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</si>
  <si>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</si>
  <si>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</si>
  <si>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</si>
  <si>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</si>
  <si>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</si>
  <si>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</si>
  <si>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</si>
  <si>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</si>
  <si>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</si>
  <si>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</si>
  <si>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</si>
  <si>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</si>
  <si>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</si>
  <si>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</si>
  <si>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</si>
  <si>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</si>
  <si>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</si>
  <si>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</si>
  <si>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</si>
  <si>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</si>
  <si>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</si>
  <si>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</si>
  <si>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</si>
  <si>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</si>
  <si>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</si>
  <si>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</si>
  <si>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</si>
  <si>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</si>
  <si>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</si>
  <si>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</si>
  <si>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</si>
  <si>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</si>
  <si>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</si>
  <si>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</si>
  <si>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</si>
  <si>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</si>
  <si>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</si>
  <si>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</si>
  <si>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</si>
  <si>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</si>
  <si>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</si>
  <si>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</si>
  <si>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</si>
  <si>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</si>
  <si>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</si>
  <si>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</si>
  <si>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</si>
  <si>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</si>
  <si>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</si>
  <si>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</si>
  <si>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</si>
  <si>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</si>
  <si>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</si>
  <si>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</si>
  <si>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</si>
  <si>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</si>
  <si>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</si>
  <si>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</si>
  <si>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</si>
  <si>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</si>
  <si>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</si>
  <si>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</si>
  <si>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</si>
  <si>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</si>
  <si>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</si>
  <si>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</si>
  <si>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</si>
  <si>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</si>
  <si>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</si>
  <si>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</si>
  <si>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</si>
  <si>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</si>
  <si>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</si>
  <si>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</si>
  <si>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</si>
  <si>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</si>
  <si>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</si>
  <si>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</si>
  <si>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</si>
  <si>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</si>
  <si>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</si>
  <si>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</si>
  <si>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</si>
  <si>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</si>
  <si>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</si>
  <si>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</si>
  <si>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</si>
  <si>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</si>
  <si>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</si>
  <si>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</si>
  <si>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</si>
  <si>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</si>
  <si>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</si>
  <si>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</si>
  <si>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</si>
  <si>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</si>
  <si>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</si>
  <si>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</si>
  <si>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</si>
  <si>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</si>
  <si>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</si>
  <si>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</si>
  <si>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</si>
  <si>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</si>
  <si>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</si>
  <si>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</si>
  <si>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</si>
  <si>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</si>
  <si>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</si>
  <si>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</si>
  <si>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</si>
  <si>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</si>
  <si>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</si>
  <si>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</si>
  <si>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</si>
  <si>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</si>
  <si>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</si>
  <si>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</si>
  <si>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</si>
  <si>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</si>
  <si>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</si>
  <si>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</si>
  <si>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</si>
  <si>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</si>
  <si>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</si>
  <si>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</si>
  <si>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</si>
  <si>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</si>
  <si>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</si>
  <si>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</si>
  <si>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</si>
  <si>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</si>
  <si>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</si>
  <si>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</si>
  <si>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</si>
  <si>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</si>
  <si>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</si>
  <si>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</si>
  <si>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</si>
  <si>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</si>
  <si>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</si>
  <si>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</si>
  <si>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</si>
  <si>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</si>
  <si>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</si>
  <si>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</si>
  <si>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</si>
  <si>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</si>
  <si>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</si>
  <si>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</si>
  <si>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</si>
  <si>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</si>
  <si>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</si>
  <si>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</si>
  <si>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</si>
  <si>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</si>
  <si>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</si>
  <si>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</si>
  <si>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</si>
  <si>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</si>
  <si>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</si>
  <si>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</si>
  <si>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</si>
  <si>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</si>
  <si>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</si>
  <si>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</si>
  <si>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</si>
  <si>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</si>
  <si>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</si>
  <si>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</si>
  <si>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</si>
  <si>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</si>
  <si>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</si>
  <si>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</si>
  <si>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</si>
  <si>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</si>
  <si>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</si>
  <si>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</si>
  <si>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</si>
  <si>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</si>
  <si>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</si>
  <si>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</si>
  <si>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</si>
  <si>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</si>
  <si>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</si>
  <si>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</si>
  <si>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</si>
  <si>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</si>
  <si>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</si>
  <si>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</si>
  <si>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</si>
  <si>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</si>
  <si>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</si>
  <si>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</si>
  <si>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</si>
  <si>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</si>
  <si>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</si>
  <si>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</si>
  <si>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</si>
  <si>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</si>
  <si>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</si>
  <si>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</si>
  <si>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</si>
  <si>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</si>
  <si>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</si>
  <si>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</si>
  <si>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</si>
  <si>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</si>
  <si>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</si>
  <si>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</si>
  <si>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</si>
  <si>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</si>
  <si>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</si>
  <si>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</si>
  <si>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</si>
  <si>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</si>
  <si>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</si>
  <si>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</si>
  <si>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</si>
  <si>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</si>
  <si>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</si>
  <si>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</si>
  <si>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</si>
  <si>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</si>
  <si>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</si>
  <si>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</si>
  <si>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</si>
  <si>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</si>
  <si>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</si>
  <si>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</si>
  <si>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</si>
  <si>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</si>
  <si>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</si>
  <si>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</si>
  <si>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</si>
  <si>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</si>
  <si>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</si>
  <si>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</si>
  <si>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</si>
  <si>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</si>
  <si>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</si>
  <si>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</si>
  <si>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</si>
  <si>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</si>
  <si>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</si>
  <si>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</si>
  <si>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</si>
  <si>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</si>
  <si>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</si>
  <si>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</si>
  <si>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</si>
  <si>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</si>
  <si>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</si>
  <si>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</si>
  <si>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</si>
  <si>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</si>
  <si>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</si>
  <si>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</si>
  <si>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</si>
  <si>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</si>
  <si>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</si>
  <si>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</si>
  <si>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</si>
  <si>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</si>
  <si>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</si>
  <si>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</si>
  <si>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</si>
  <si>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</si>
  <si>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</si>
  <si>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</si>
  <si>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</si>
  <si>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</si>
  <si>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</si>
  <si>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</si>
  <si>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</si>
  <si>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</si>
  <si>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</si>
  <si>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</si>
  <si>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</si>
  <si>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</si>
  <si>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</si>
  <si>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</si>
  <si>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</si>
  <si>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</si>
  <si>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</si>
  <si>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</si>
  <si>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</si>
  <si>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</si>
  <si>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</si>
  <si>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</si>
  <si>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</si>
  <si>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</si>
  <si>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</si>
  <si>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</si>
  <si>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</si>
  <si>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</si>
  <si>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</si>
  <si>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</si>
  <si>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</si>
  <si>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</si>
  <si>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</si>
  <si>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</si>
  <si>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</si>
  <si>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</si>
  <si>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</si>
  <si>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</si>
  <si>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</si>
  <si>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</si>
  <si>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</si>
  <si>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</si>
  <si>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</si>
  <si>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</si>
  <si>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</si>
  <si>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</si>
  <si>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</si>
  <si>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</si>
  <si>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</si>
  <si>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</si>
  <si>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</si>
  <si>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</si>
  <si>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</si>
  <si>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</si>
  <si>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</si>
  <si>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</si>
  <si>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</si>
  <si>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</si>
  <si>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</si>
  <si>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</si>
  <si>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</si>
  <si>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</si>
  <si>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</si>
  <si>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</si>
  <si>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</si>
  <si>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</si>
  <si>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</si>
  <si>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</si>
  <si>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</si>
  <si>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</si>
  <si>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</si>
  <si>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</si>
  <si>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</si>
  <si>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</si>
  <si>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</si>
  <si>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</si>
  <si>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</si>
  <si>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</si>
  <si>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</si>
  <si>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</si>
  <si>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</si>
  <si>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</si>
  <si>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</si>
  <si>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</si>
  <si>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</si>
  <si>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</si>
  <si>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</si>
  <si>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</si>
  <si>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</si>
  <si>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</si>
  <si>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</si>
  <si>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</si>
  <si>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</si>
  <si>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</si>
  <si>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</si>
  <si>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</si>
  <si>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</si>
  <si>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</si>
  <si>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</si>
  <si>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</si>
  <si>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</si>
  <si>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</si>
  <si>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</si>
  <si>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</si>
  <si>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</si>
  <si>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</si>
  <si>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</si>
  <si>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</si>
  <si>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</si>
  <si>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</si>
  <si>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</si>
  <si>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</si>
  <si>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</si>
  <si>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</si>
  <si>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</si>
  <si>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</si>
  <si>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</si>
  <si>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</si>
  <si>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</si>
  <si>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</si>
  <si>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</si>
  <si>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</si>
  <si>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</si>
  <si>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</si>
  <si>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</si>
  <si>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</si>
  <si>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</si>
  <si>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</si>
  <si>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</si>
  <si>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</si>
  <si>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</si>
  <si>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</si>
  <si>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</si>
  <si>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</si>
  <si>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</si>
  <si>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</si>
  <si>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</si>
  <si>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</si>
  <si>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</si>
  <si>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</si>
  <si>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</si>
  <si>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</si>
  <si>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</si>
  <si>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</si>
  <si>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</si>
  <si>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</si>
  <si>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</si>
  <si>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</si>
  <si>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</si>
  <si>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</si>
  <si>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</si>
  <si>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</si>
  <si>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</si>
  <si>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</si>
  <si>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</si>
  <si>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</si>
  <si>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</si>
  <si>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</si>
  <si>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</si>
  <si>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</si>
  <si>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</si>
  <si>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</si>
  <si>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</si>
  <si>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</si>
  <si>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</si>
  <si>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</si>
  <si>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</si>
  <si>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</si>
  <si>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</si>
  <si>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</si>
  <si>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</si>
  <si>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</si>
  <si>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</si>
  <si>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</si>
  <si>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</si>
  <si>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</si>
  <si>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</si>
  <si>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</si>
  <si>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</si>
  <si>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</si>
  <si>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</si>
  <si>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</si>
  <si>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</si>
  <si>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</si>
  <si>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</si>
  <si>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</si>
  <si>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</si>
  <si>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</si>
  <si>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</si>
  <si>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</si>
  <si>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</si>
  <si>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</si>
  <si>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</si>
  <si>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</si>
  <si>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</si>
  <si>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</si>
  <si>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</si>
  <si>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</si>
  <si>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</si>
  <si>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</si>
  <si>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</si>
  <si>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</si>
  <si>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</si>
  <si>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</si>
  <si>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</si>
  <si>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</si>
  <si>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</si>
  <si>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</si>
  <si>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</si>
  <si>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</si>
  <si>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</si>
  <si>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</si>
  <si>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</si>
  <si>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</si>
  <si>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</si>
  <si>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</si>
  <si>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</si>
  <si>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</si>
  <si>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</si>
  <si>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</si>
  <si>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</si>
  <si>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</si>
  <si>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</si>
  <si>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</si>
  <si>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</si>
  <si>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</si>
  <si>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</si>
  <si>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</si>
  <si>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</si>
  <si>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</si>
  <si>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</si>
  <si>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</si>
  <si>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</si>
  <si>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</si>
  <si>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</si>
  <si>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</si>
  <si>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</si>
  <si>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</si>
  <si>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</si>
  <si>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</si>
  <si>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</si>
  <si>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</si>
  <si>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</si>
  <si>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</si>
  <si>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</si>
  <si>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</si>
  <si>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</si>
  <si>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</si>
  <si>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</si>
  <si>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</si>
  <si>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</si>
  <si>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</si>
  <si>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</si>
  <si>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</si>
  <si>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</si>
  <si>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</si>
  <si>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</si>
  <si>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</si>
  <si>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</si>
  <si>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</si>
  <si>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</si>
  <si>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</si>
  <si>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</si>
  <si>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</si>
  <si>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</si>
  <si>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</si>
  <si>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</si>
  <si>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</si>
  <si>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</si>
  <si>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</si>
  <si>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</si>
  <si>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</si>
  <si>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</si>
  <si>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</si>
  <si>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</si>
  <si>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</si>
  <si>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</si>
  <si>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</si>
  <si>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</si>
  <si>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</si>
  <si>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</si>
  <si>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</si>
  <si>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</si>
  <si>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</si>
  <si>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</si>
  <si>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</si>
  <si>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</si>
  <si>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</si>
  <si>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</si>
  <si>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</si>
  <si>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</si>
  <si>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</si>
  <si>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</si>
  <si>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</si>
  <si>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</si>
  <si>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</si>
  <si>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</si>
  <si>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</si>
  <si>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</si>
  <si>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</si>
  <si>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</si>
  <si>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</si>
  <si>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</si>
  <si>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</si>
  <si>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</si>
  <si>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</si>
  <si>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</si>
  <si>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</si>
  <si>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</si>
  <si>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</si>
  <si>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</si>
  <si>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</si>
  <si>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</si>
  <si>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</si>
  <si>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</si>
  <si>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</si>
  <si>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</si>
  <si>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</si>
  <si>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</si>
  <si>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</si>
  <si>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</si>
  <si>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</si>
  <si>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</si>
  <si>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</si>
  <si>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</si>
  <si>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</si>
  <si>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</si>
  <si>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</si>
  <si>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</si>
  <si>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</si>
  <si>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</si>
  <si>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</si>
  <si>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</si>
  <si>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</si>
  <si>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</si>
  <si>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</si>
  <si>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</si>
  <si>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</si>
  <si>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</si>
  <si>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</si>
  <si>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</si>
  <si>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</si>
  <si>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</si>
  <si>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</si>
  <si>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</si>
  <si>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</si>
  <si>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</si>
  <si>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</si>
  <si>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</si>
  <si>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</si>
  <si>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</si>
  <si>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</si>
  <si>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</si>
  <si>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</si>
  <si>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</si>
  <si>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</si>
  <si>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</si>
  <si>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</si>
  <si>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</si>
  <si>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</si>
  <si>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</si>
  <si>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</si>
  <si>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</si>
  <si>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</si>
  <si>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</si>
  <si>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</si>
  <si>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</si>
  <si>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</si>
  <si>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</si>
  <si>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</si>
  <si>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</si>
  <si>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</si>
  <si>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</si>
  <si>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</si>
  <si>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</si>
  <si>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</si>
  <si>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</si>
  <si>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</si>
  <si>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</si>
  <si>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</si>
  <si>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</si>
  <si>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</si>
  <si>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</si>
  <si>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</si>
  <si>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</si>
  <si>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</si>
  <si>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</si>
  <si>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</si>
  <si>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</si>
  <si>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</si>
  <si>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</si>
  <si>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</si>
  <si>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</si>
  <si>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</si>
  <si>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</si>
  <si>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</si>
  <si>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</si>
  <si>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</si>
  <si>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</si>
  <si>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</si>
  <si>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</si>
  <si>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</si>
  <si>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</si>
  <si>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</si>
  <si>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</si>
  <si>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</si>
  <si>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</si>
  <si>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</si>
  <si>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</si>
  <si>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</si>
  <si>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</si>
  <si>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</si>
  <si>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</si>
  <si>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</si>
  <si>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</si>
  <si>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</si>
  <si>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</si>
  <si>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</si>
  <si>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</si>
  <si>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</si>
  <si>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</si>
  <si>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</si>
  <si>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</si>
  <si>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</si>
  <si>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</si>
  <si>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</si>
  <si>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</si>
  <si>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</si>
  <si>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</si>
  <si>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</si>
  <si>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</si>
  <si>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</si>
  <si>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</si>
  <si>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</si>
  <si>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</si>
  <si>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</si>
  <si>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</si>
  <si>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</si>
  <si>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</si>
  <si>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</si>
  <si>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</si>
  <si>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</si>
  <si>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</si>
  <si>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</si>
  <si>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</si>
  <si>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</si>
  <si>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</si>
  <si>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</si>
  <si>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</si>
  <si>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</si>
  <si>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</si>
  <si>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</si>
  <si>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</si>
  <si>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</si>
  <si>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</si>
  <si>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</si>
  <si>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</si>
  <si>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</si>
  <si>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</si>
  <si>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</si>
  <si>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</si>
  <si>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</si>
  <si>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</si>
  <si>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</si>
  <si>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</si>
  <si>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</si>
  <si>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</si>
  <si>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</si>
  <si>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</si>
  <si>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</si>
  <si>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</si>
  <si>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</si>
  <si>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</si>
  <si>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</si>
  <si>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</si>
  <si>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</si>
  <si>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</si>
  <si>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</si>
  <si>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</si>
  <si>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</si>
  <si>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</si>
  <si>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</si>
  <si>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</si>
  <si>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</si>
  <si>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</si>
  <si>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</si>
  <si>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</si>
  <si>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</si>
  <si>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</si>
  <si>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</si>
  <si>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</si>
  <si>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</si>
  <si>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</si>
  <si>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</si>
  <si>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</si>
  <si>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</si>
  <si>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</si>
  <si>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</si>
  <si>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</si>
  <si>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</si>
  <si>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</si>
  <si>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</si>
  <si>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</si>
  <si>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</si>
  <si>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</si>
  <si>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</si>
  <si>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</si>
  <si>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</si>
  <si>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</si>
  <si>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</si>
  <si>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</si>
  <si>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</si>
  <si>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</si>
  <si>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</si>
  <si>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</si>
  <si>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</si>
  <si>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</si>
  <si>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</si>
  <si>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</si>
  <si>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</si>
  <si>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</si>
  <si>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</si>
  <si>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</si>
  <si>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</si>
  <si>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</si>
  <si>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</si>
  <si>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</si>
  <si>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</si>
  <si>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</si>
  <si>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</si>
  <si>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</si>
  <si>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</si>
  <si>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</si>
  <si>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</si>
  <si>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</si>
  <si>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</si>
  <si>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</si>
  <si>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</si>
  <si>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</si>
  <si>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</si>
  <si>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</si>
  <si>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</si>
  <si>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</si>
  <si>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</si>
  <si>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</si>
  <si>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</si>
  <si>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</si>
  <si>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</si>
  <si>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</si>
  <si>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</si>
  <si>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</si>
  <si>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</si>
  <si>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</si>
  <si>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</si>
  <si>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</si>
  <si>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</si>
  <si>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</si>
  <si>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</si>
  <si>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</si>
  <si>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</si>
  <si>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</si>
  <si>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</si>
  <si>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</si>
  <si>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</si>
  <si>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</si>
  <si>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</si>
  <si>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</si>
  <si>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</si>
  <si>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</si>
  <si>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</si>
  <si>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</si>
  <si>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</si>
  <si>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</si>
  <si>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</si>
  <si>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</si>
  <si>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</si>
  <si>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</si>
  <si>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</si>
  <si>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</si>
  <si>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</si>
  <si>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</si>
  <si>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</si>
  <si>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</si>
  <si>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</si>
  <si>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</si>
  <si>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</si>
  <si>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</si>
  <si>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</si>
  <si>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</si>
  <si>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</si>
  <si>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</si>
  <si>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</si>
  <si>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</si>
  <si>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</si>
  <si>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</si>
  <si>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</si>
  <si>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</si>
  <si>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</si>
  <si>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</si>
  <si>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</si>
  <si>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</si>
  <si>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</si>
  <si>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</si>
  <si>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</si>
  <si>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</si>
  <si>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</si>
  <si>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</si>
  <si>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</si>
  <si>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</si>
  <si>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</si>
  <si>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</si>
  <si>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</si>
  <si>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</si>
  <si>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</si>
  <si>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</si>
  <si>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</si>
  <si>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</si>
  <si>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</si>
  <si>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</si>
  <si>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</si>
  <si>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</si>
  <si>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</si>
  <si>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</si>
  <si>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</si>
  <si>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</si>
  <si>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</si>
  <si>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</si>
  <si>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</si>
  <si>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</si>
  <si>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</si>
  <si>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</si>
  <si>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</si>
  <si>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</si>
  <si>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</si>
  <si>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</si>
  <si>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</si>
  <si>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</si>
  <si>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</si>
  <si>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</si>
  <si>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</si>
  <si>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</si>
  <si>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</si>
  <si>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</si>
  <si>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</si>
  <si>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</si>
  <si>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</si>
  <si>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</si>
  <si>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</si>
  <si>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</si>
  <si>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</si>
  <si>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</si>
  <si>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</si>
  <si>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</si>
  <si>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</si>
  <si>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</si>
  <si>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</si>
  <si>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</si>
  <si>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</si>
  <si>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</si>
  <si>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</si>
  <si>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</si>
  <si>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</si>
  <si>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</si>
  <si>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</si>
  <si>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</si>
  <si>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</si>
  <si>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</si>
  <si>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</si>
  <si>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</si>
  <si>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</si>
  <si>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</si>
  <si>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</si>
  <si>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</si>
  <si>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</si>
  <si>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</si>
  <si>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</si>
  <si>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</si>
  <si>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</si>
  <si>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</si>
  <si>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</si>
  <si>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</si>
  <si>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</si>
  <si>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</si>
  <si>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</si>
  <si>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</si>
  <si>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</si>
  <si>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</si>
  <si>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</si>
  <si>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</si>
  <si>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</si>
  <si>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</si>
  <si>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</si>
  <si>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</si>
  <si>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</si>
  <si>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</si>
  <si>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</si>
  <si>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</si>
  <si>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</si>
  <si>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</si>
  <si>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</si>
  <si>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</si>
  <si>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</si>
  <si>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</si>
  <si>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</si>
  <si>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</si>
  <si>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</si>
  <si>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</si>
  <si>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</si>
  <si>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</si>
  <si>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</si>
  <si>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</si>
  <si>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</si>
  <si>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</si>
  <si>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</si>
  <si>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</si>
  <si>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</si>
  <si>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</si>
  <si>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</si>
  <si>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</si>
  <si>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</si>
  <si>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</si>
  <si>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</si>
  <si>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</si>
  <si>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</si>
  <si>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</si>
  <si>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</si>
  <si>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</si>
  <si>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</si>
  <si>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</si>
  <si>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</si>
  <si>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</si>
  <si>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</si>
  <si>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</si>
  <si>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</si>
  <si>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</si>
  <si>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</si>
  <si>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</si>
  <si>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</si>
  <si>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</si>
  <si>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</si>
  <si>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</si>
  <si>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</si>
  <si>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</si>
  <si>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</si>
  <si>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</si>
  <si>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</si>
  <si>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</si>
  <si>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</si>
  <si>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</si>
  <si>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</si>
  <si>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</si>
  <si>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</si>
  <si>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</si>
  <si>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</si>
  <si>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</si>
  <si>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</si>
  <si>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</si>
  <si>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</si>
  <si>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</si>
  <si>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</si>
  <si>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</si>
  <si>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</si>
  <si>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</si>
  <si>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</si>
  <si>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</si>
  <si>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</si>
  <si>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</si>
  <si>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</si>
  <si>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</si>
  <si>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</si>
  <si>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</si>
  <si>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</si>
  <si>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</si>
  <si>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</si>
  <si>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</si>
  <si>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</si>
  <si>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</si>
  <si>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</si>
  <si>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</si>
  <si>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</si>
  <si>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</si>
  <si>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</si>
  <si>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</si>
  <si>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</si>
  <si>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</si>
  <si>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</si>
  <si>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</si>
  <si>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</si>
  <si>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</si>
  <si>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</si>
  <si>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</si>
  <si>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</si>
  <si>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</si>
  <si>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</si>
  <si>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</si>
  <si>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</si>
  <si>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</si>
  <si>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</si>
  <si>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</si>
  <si>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</si>
  <si>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</si>
  <si>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</si>
  <si>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</si>
  <si>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</si>
  <si>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</si>
  <si>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</si>
  <si>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</si>
  <si>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</si>
  <si>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</si>
  <si>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</si>
  <si>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</si>
  <si>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</si>
  <si>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</si>
  <si>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</si>
  <si>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</si>
  <si>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</si>
  <si>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</si>
  <si>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</si>
  <si>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</si>
  <si>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</si>
  <si>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</si>
  <si>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</si>
  <si>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</si>
  <si>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</si>
  <si>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</si>
  <si>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</si>
  <si>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</si>
  <si>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</si>
  <si>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</si>
  <si>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</si>
  <si>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</si>
  <si>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</si>
  <si>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</si>
  <si>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</si>
  <si>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</si>
  <si>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</si>
  <si>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</si>
  <si>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</si>
  <si>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</si>
  <si>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</si>
  <si>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</si>
  <si>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</si>
  <si>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</si>
  <si>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</si>
  <si>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</si>
  <si>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</si>
  <si>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</si>
  <si>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</si>
  <si>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</si>
  <si>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</si>
  <si>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</si>
  <si>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</si>
  <si>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</si>
  <si>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</si>
  <si>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</si>
  <si>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</si>
  <si>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</si>
  <si>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</si>
  <si>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</si>
  <si>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</si>
  <si>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</si>
  <si>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</si>
  <si>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</si>
  <si>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</si>
  <si>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</si>
  <si>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</si>
  <si>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</si>
  <si>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</si>
  <si>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</si>
  <si>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</si>
  <si>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</si>
  <si>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</si>
  <si>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</si>
  <si>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</si>
  <si>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</si>
  <si>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</si>
  <si>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</si>
  <si>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</si>
  <si>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</si>
  <si>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</si>
  <si>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</si>
  <si>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</si>
  <si>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</si>
  <si>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</si>
  <si>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</si>
  <si>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</si>
  <si>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</si>
  <si>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</si>
  <si>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</si>
  <si>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</si>
  <si>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</si>
  <si>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</si>
  <si>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</si>
  <si>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</si>
  <si>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</si>
  <si>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</si>
  <si>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</si>
  <si>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</si>
  <si>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</si>
  <si>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</si>
  <si>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</si>
  <si>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</si>
  <si>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</si>
  <si>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</si>
  <si>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</si>
  <si>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</si>
  <si>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</si>
  <si>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</si>
  <si>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</si>
  <si>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</si>
  <si>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</si>
  <si>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</si>
  <si>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</si>
  <si>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</si>
  <si>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</si>
  <si>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</si>
  <si>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</si>
  <si>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</si>
  <si>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</si>
  <si>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</si>
  <si>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</si>
  <si>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</si>
  <si>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</si>
  <si>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</si>
  <si>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</si>
  <si>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</si>
  <si>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</si>
  <si>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</si>
  <si>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</si>
  <si>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</si>
  <si>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</si>
  <si>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</si>
  <si>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</si>
  <si>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</si>
  <si>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</si>
  <si>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</si>
  <si>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</si>
  <si>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</si>
  <si>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</si>
  <si>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</si>
  <si>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</si>
  <si>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</si>
  <si>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</si>
  <si>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</si>
  <si>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</si>
  <si>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</si>
  <si>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</si>
  <si>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</si>
  <si>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</si>
  <si>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</si>
  <si>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</si>
  <si>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</si>
  <si>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</si>
  <si>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</si>
  <si>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</si>
  <si>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</si>
  <si>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</si>
  <si>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</si>
  <si>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</si>
  <si>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</si>
  <si>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</si>
  <si>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</si>
  <si>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</si>
  <si>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</si>
  <si>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</si>
  <si>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</si>
  <si>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</si>
  <si>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</si>
  <si>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</si>
  <si>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</si>
  <si>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</si>
  <si>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</si>
  <si>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</si>
  <si>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</si>
  <si>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</si>
  <si>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</si>
  <si>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</si>
  <si>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</si>
  <si>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</si>
  <si>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</si>
  <si>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</si>
  <si>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</si>
  <si>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</si>
  <si>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</si>
  <si>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</si>
  <si>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</si>
  <si>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</si>
  <si>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</si>
  <si>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</si>
  <si>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</si>
  <si>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</si>
  <si>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</si>
  <si>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</si>
  <si>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</si>
  <si>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</si>
  <si>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</si>
  <si>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</si>
  <si>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</si>
  <si>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</si>
  <si>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</si>
  <si>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</si>
  <si>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</si>
  <si>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</si>
  <si>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</si>
  <si>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</si>
  <si>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</si>
  <si>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</si>
  <si>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</si>
  <si>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</si>
  <si>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</si>
  <si>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</si>
  <si>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</si>
  <si>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</si>
  <si>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</si>
  <si>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</si>
  <si>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</si>
  <si>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</si>
  <si>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</si>
  <si>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</si>
  <si>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</si>
  <si>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</si>
  <si>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</si>
  <si>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</si>
  <si>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</si>
  <si>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</si>
  <si>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</si>
  <si>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</si>
  <si>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</si>
  <si>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</si>
  <si>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</si>
  <si>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</si>
  <si>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</si>
  <si>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</si>
  <si>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</si>
  <si>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</si>
  <si>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</si>
  <si>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</si>
  <si>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</si>
  <si>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</si>
  <si>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</si>
  <si>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</si>
  <si>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</si>
  <si>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</si>
  <si>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</si>
  <si>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</si>
  <si>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</si>
  <si>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</si>
  <si>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</si>
  <si>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</si>
  <si>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</si>
  <si>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</si>
  <si>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</si>
  <si>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</si>
  <si>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</si>
  <si>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</si>
  <si>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</si>
  <si>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</si>
  <si>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</si>
  <si>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</si>
  <si>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</si>
  <si>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</si>
  <si>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</si>
  <si>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</si>
  <si>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</si>
  <si>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</si>
  <si>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</si>
  <si>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</si>
  <si>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</si>
  <si>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</si>
  <si>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</si>
  <si>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</si>
  <si>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</si>
  <si>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</si>
  <si>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</si>
  <si>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</si>
  <si>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</si>
  <si>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</si>
  <si>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</si>
  <si>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</si>
  <si>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</si>
  <si>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</si>
  <si>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</si>
  <si>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</si>
  <si>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</si>
  <si>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</si>
  <si>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</si>
  <si>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</si>
  <si>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</si>
  <si>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</si>
  <si>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</si>
  <si>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</si>
  <si>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</si>
  <si>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</si>
  <si>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</si>
  <si>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</si>
  <si>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</si>
  <si>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</si>
  <si>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</si>
  <si>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</si>
  <si>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</si>
  <si>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</si>
  <si>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</si>
  <si>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</si>
  <si>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</si>
  <si>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</si>
  <si>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</si>
  <si>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</si>
  <si>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</si>
  <si>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</si>
  <si>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</si>
  <si>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</si>
  <si>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</si>
  <si>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</si>
  <si>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</si>
  <si>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</si>
  <si>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</si>
  <si>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</si>
  <si>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</si>
  <si>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</si>
  <si>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</si>
  <si>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</si>
  <si>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</si>
  <si>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</si>
  <si>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</si>
  <si>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</si>
  <si>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</si>
  <si>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</si>
  <si>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</si>
  <si>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</si>
  <si>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</si>
  <si>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</si>
  <si>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</si>
  <si>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</si>
  <si>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</si>
  <si>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</si>
  <si>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</si>
  <si>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</si>
  <si>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</si>
  <si>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</si>
  <si>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</si>
  <si>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</si>
  <si>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</si>
  <si>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</si>
  <si>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</si>
  <si>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</si>
  <si>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</si>
  <si>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</si>
  <si>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</si>
  <si>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</si>
  <si>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</si>
  <si>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</si>
  <si>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</si>
  <si>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</si>
  <si>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</si>
  <si>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</si>
  <si>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</si>
  <si>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</si>
  <si>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</si>
  <si>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</si>
  <si>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</si>
  <si>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</si>
  <si>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</si>
  <si>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</si>
  <si>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</si>
  <si>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</si>
  <si>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</si>
  <si>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</si>
  <si>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</si>
  <si>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</si>
  <si>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</si>
  <si>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</si>
  <si>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</si>
  <si>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</si>
  <si>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PRD_1000_GL_V3R1 Inventario BBDD.40</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</si>
  <si>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</si>
  <si>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</si>
  <si>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</si>
  <si>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</si>
  <si>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</si>
  <si>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</si>
  <si>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</si>
  <si>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</si>
  <si>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</si>
  <si>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</si>
  <si>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</si>
  <si>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</si>
  <si>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</si>
  <si>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</si>
  <si>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</si>
  <si>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</si>
  <si>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</si>
  <si>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</si>
  <si>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</si>
  <si>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</si>
  <si>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</si>
  <si>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</si>
  <si>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</si>
  <si>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</si>
  <si>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</si>
  <si>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</si>
  <si>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</si>
  <si>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</si>
  <si>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</si>
  <si>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</si>
  <si>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</si>
  <si>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</si>
  <si>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</si>
  <si>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</si>
  <si>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</si>
  <si>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</si>
  <si>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</si>
  <si>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</si>
  <si>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</si>
  <si>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</si>
  <si>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</si>
  <si>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</si>
  <si>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</si>
  <si>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</si>
  <si>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</si>
  <si>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</si>
  <si>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</si>
  <si>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</si>
  <si>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</si>
  <si>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</si>
  <si>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</si>
  <si>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</si>
  <si>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</si>
  <si>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</si>
  <si>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</si>
  <si>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</si>
  <si>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</si>
  <si>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</si>
  <si>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</si>
  <si>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</si>
  <si>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</si>
  <si>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</si>
  <si>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</si>
  <si>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</si>
  <si>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</si>
  <si>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</si>
  <si>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</si>
  <si>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</si>
  <si>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</si>
  <si>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</si>
  <si>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</si>
  <si>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</si>
  <si>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</si>
  <si>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</si>
  <si>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</si>
  <si>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</si>
  <si>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</si>
  <si>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</si>
  <si>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</si>
  <si>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</si>
  <si>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</si>
  <si>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</si>
  <si>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</si>
  <si>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</si>
  <si>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</si>
  <si>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</si>
  <si>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</si>
  <si>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</si>
  <si>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</si>
  <si>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</si>
  <si>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</si>
  <si>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</si>
  <si>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</si>
  <si>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</si>
  <si>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</si>
  <si>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</si>
  <si>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</si>
  <si>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</si>
  <si>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</si>
  <si>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</si>
  <si>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</si>
  <si>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</si>
  <si>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</si>
  <si>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</si>
  <si>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</si>
  <si>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</si>
  <si>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</si>
  <si>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</si>
  <si>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</si>
  <si>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</si>
  <si>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</si>
  <si>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</si>
  <si>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</si>
  <si>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</si>
  <si>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</si>
  <si>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</si>
  <si>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</si>
  <si>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</si>
  <si>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</si>
  <si>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</si>
  <si>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</si>
  <si>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</si>
  <si>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</si>
  <si>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</si>
  <si>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</si>
  <si>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</si>
  <si>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</si>
  <si>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</si>
  <si>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</si>
  <si>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</si>
  <si>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</si>
  <si>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</si>
  <si>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</si>
  <si>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</si>
  <si>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</si>
  <si>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</si>
  <si>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</si>
  <si>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</si>
  <si>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</si>
  <si>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</si>
  <si>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</si>
  <si>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</si>
  <si>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</si>
  <si>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</si>
  <si>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</si>
  <si>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</si>
  <si>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</si>
  <si>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</si>
  <si>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</si>
  <si>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</si>
  <si>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</si>
  <si>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</si>
  <si>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</si>
  <si>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</si>
  <si>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</si>
  <si>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</si>
  <si>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</si>
  <si>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</si>
  <si>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</si>
  <si>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</si>
  <si>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</si>
  <si>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</si>
  <si>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</si>
  <si>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</si>
  <si>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</si>
  <si>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</si>
  <si>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</si>
  <si>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</si>
  <si>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</si>
  <si>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</si>
  <si>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</si>
  <si>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</si>
  <si>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</si>
  <si>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</si>
  <si>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</si>
  <si>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</si>
  <si>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</si>
  <si>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</si>
  <si>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</si>
  <si>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</si>
  <si>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</si>
  <si>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</si>
  <si>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</si>
  <si>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</si>
  <si>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</si>
  <si>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</si>
  <si>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</si>
  <si>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</si>
  <si>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</si>
  <si>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</si>
  <si>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</si>
  <si>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</si>
  <si>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</si>
  <si>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</si>
  <si>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</si>
  <si>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</si>
  <si>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</si>
  <si>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</si>
  <si>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</si>
  <si>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</si>
  <si>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</si>
  <si>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</si>
  <si>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</si>
  <si>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</si>
  <si>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</si>
  <si>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</si>
  <si>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</si>
  <si>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</si>
  <si>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</si>
  <si>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</si>
  <si>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</si>
  <si>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</si>
  <si>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</si>
  <si>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</si>
  <si>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</si>
  <si>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</si>
  <si>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</si>
  <si>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</si>
  <si>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</si>
  <si>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</si>
  <si>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</si>
  <si>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</si>
  <si>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</si>
  <si>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</si>
  <si>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</si>
  <si>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</si>
  <si>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</si>
  <si>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</si>
  <si>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</si>
  <si>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</si>
  <si>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</si>
  <si>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</si>
  <si>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</si>
  <si>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</si>
  <si>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</si>
  <si>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</si>
  <si>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</si>
  <si>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</si>
  <si>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</si>
  <si>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</si>
  <si>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</si>
  <si>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</si>
  <si>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</si>
  <si>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</si>
  <si>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</si>
  <si>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</si>
  <si>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</si>
  <si>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</si>
  <si>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</si>
  <si>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</si>
  <si>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</si>
  <si>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</si>
  <si>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</si>
  <si>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</si>
  <si>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</si>
  <si>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</si>
  <si>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</si>
  <si>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</si>
  <si>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</si>
  <si>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</si>
  <si>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</si>
  <si>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</si>
  <si>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</si>
  <si>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</si>
  <si>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</si>
  <si>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</si>
  <si>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</si>
  <si>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</si>
  <si>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</si>
  <si>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</si>
  <si>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</si>
  <si>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</si>
  <si>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</si>
  <si>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</si>
  <si>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</si>
  <si>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</si>
  <si>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</si>
  <si>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</si>
  <si>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</si>
  <si>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</si>
  <si>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</si>
  <si>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</si>
  <si>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</si>
  <si>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</si>
  <si>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</si>
  <si>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</si>
  <si>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</si>
  <si>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</si>
  <si>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</si>
  <si>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</si>
  <si>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</si>
  <si>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</si>
  <si>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</si>
  <si>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</si>
  <si>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</si>
  <si>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</si>
  <si>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</si>
  <si>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</si>
  <si>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</si>
  <si>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</si>
  <si>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</si>
  <si>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</si>
  <si>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</si>
  <si>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</si>
  <si>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</si>
  <si>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</si>
  <si>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</si>
  <si>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</si>
  <si>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</si>
  <si>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</si>
  <si>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</si>
  <si>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</si>
  <si>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</si>
  <si>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</si>
  <si>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</si>
  <si>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</si>
  <si>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</si>
  <si>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</si>
  <si>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</si>
  <si>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</si>
  <si>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</si>
  <si>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</si>
  <si>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</si>
  <si>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</si>
  <si>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</si>
  <si>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</si>
  <si>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</si>
  <si>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</si>
  <si>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</si>
  <si>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</si>
  <si>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</si>
  <si>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</si>
  <si>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</si>
  <si>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</si>
  <si>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</si>
  <si>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</si>
  <si>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</si>
  <si>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</si>
  <si>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</si>
  <si>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</si>
  <si>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</si>
  <si>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</si>
  <si>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</si>
  <si>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</si>
  <si>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</si>
  <si>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</si>
  <si>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</si>
  <si>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</si>
  <si>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</si>
  <si>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</si>
  <si>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</si>
  <si>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</si>
  <si>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</si>
  <si>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</si>
  <si>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</si>
  <si>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</si>
  <si>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</si>
  <si>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</si>
  <si>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</si>
  <si>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</si>
  <si>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</si>
  <si>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</si>
  <si>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</si>
  <si>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</si>
  <si>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</si>
  <si>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</si>
  <si>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</si>
  <si>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</si>
  <si>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</si>
  <si>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</si>
  <si>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</si>
  <si>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</si>
  <si>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</si>
  <si>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</si>
  <si>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</si>
  <si>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</si>
  <si>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</si>
  <si>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</si>
  <si>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</si>
  <si>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</si>
  <si>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</si>
  <si>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</si>
  <si>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</si>
  <si>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</si>
  <si>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</si>
  <si>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</si>
  <si>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</si>
  <si>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</si>
  <si>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</si>
  <si>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</si>
  <si>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</si>
  <si>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</si>
  <si>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</si>
  <si>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</si>
  <si>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</si>
  <si>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</si>
  <si>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</si>
  <si>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</si>
  <si>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</si>
  <si>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</si>
  <si>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</si>
  <si>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</si>
  <si>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</si>
  <si>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</si>
  <si>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</si>
  <si>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</si>
  <si>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</si>
  <si>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</si>
  <si>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</si>
  <si>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</si>
  <si>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</si>
  <si>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</si>
  <si>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</si>
  <si>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</si>
  <si>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</si>
  <si>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</si>
  <si>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</si>
  <si>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</si>
  <si>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</si>
  <si>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</si>
  <si>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</si>
  <si>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</si>
  <si>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</si>
  <si>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</si>
  <si>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</si>
  <si>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</si>
  <si>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</si>
  <si>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</si>
  <si>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</si>
  <si>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</si>
  <si>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</si>
  <si>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</si>
  <si>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</si>
  <si>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</si>
  <si>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</si>
  <si>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</si>
  <si>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</si>
  <si>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</si>
  <si>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</si>
  <si>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</si>
  <si>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</si>
  <si>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</si>
  <si>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</si>
  <si>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</si>
  <si>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</si>
  <si>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</si>
  <si>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</si>
  <si>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</si>
  <si>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</si>
  <si>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</si>
  <si>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</si>
  <si>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</si>
  <si>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</si>
  <si>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</si>
  <si>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</si>
  <si>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</si>
  <si>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</si>
  <si>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</si>
  <si>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</si>
  <si>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</si>
  <si>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</si>
  <si>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</si>
  <si>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</si>
  <si>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</si>
  <si>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</si>
  <si>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</si>
  <si>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</si>
  <si>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</si>
  <si>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</si>
  <si>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</si>
  <si>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</si>
  <si>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</si>
  <si>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</si>
  <si>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</si>
  <si>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</si>
  <si>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</si>
  <si>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</si>
  <si>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</si>
  <si>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</si>
  <si>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</si>
  <si>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</si>
  <si>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</si>
  <si>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</si>
  <si>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</si>
  <si>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</si>
  <si>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</si>
  <si>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</si>
  <si>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</si>
  <si>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</si>
  <si>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</si>
  <si>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</si>
  <si>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</si>
  <si>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</si>
  <si>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</si>
  <si>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</si>
  <si>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</si>
  <si>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</si>
  <si>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</si>
  <si>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</si>
  <si>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</si>
  <si>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</si>
  <si>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</si>
  <si>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</si>
  <si>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</si>
  <si>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</si>
  <si>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</si>
  <si>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</si>
  <si>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</si>
  <si>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</si>
  <si>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</si>
  <si>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</si>
  <si>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</si>
  <si>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</si>
  <si>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</si>
  <si>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</si>
  <si>
    <t xml:space="preserve">Relación Proceso-Estructura - Worflow  </t>
  </si>
  <si>
    <t xml:space="preserve">proceso y código de tarea - Workflow </t>
  </si>
  <si>
    <t xml:space="preserve">Tipos de Documentos - Worflow </t>
  </si>
  <si>
    <t xml:space="preserve"> Vinculación ID documentos BT con tipos Documentos (Mapeo Tipos de Documentos). Workflow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</si>
</sst>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s>
  <fills count="29">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27">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14" fontId="0" fillId="0" borderId="2" xfId="0" applyNumberFormat="1" applyBorder="1" applyAlignment="1">
      <alignment horizontal="center"/>
    </xf>
    <xf numFmtId="14" fontId="0" fillId="0" borderId="1" xfId="0" applyNumberFormat="1" applyBorder="1"/>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xf numFmtId="0" fontId="19" fillId="6" borderId="0" xfId="0" applyFont="1" applyFill="1" applyAlignment="1">
      <alignment vertical="center" wrapText="1"/>
    </xf>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externalLink" Target="externalLinks/externalLink10.xml"/><Relationship Id="rId18" Type="http://schemas.openxmlformats.org/officeDocument/2006/relationships/revisionHeaders" Target="revisions/revisionHeader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usernames" Target="revisions/userNames.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0</xdr:colOff>
      <xdr:row>1078</xdr:row>
      <xdr:rowOff>0</xdr:rowOff>
    </xdr:from>
    <xdr:to>
      <xdr:col>2</xdr:col>
      <xdr:colOff>9525</xdr:colOff>
      <xdr:row>1078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50" Type="http://schemas.openxmlformats.org/officeDocument/2006/relationships/revisionLog" Target="revisionLog26.xml"/><Relationship Id="rId149" Type="http://schemas.openxmlformats.org/officeDocument/2006/relationships/revisionLog" Target="revisionLog25.xml"/><Relationship Id="rId152" Type="http://schemas.openxmlformats.org/officeDocument/2006/relationships/revisionLog" Target="revisionLog2.xml"/><Relationship Id="rId151" Type="http://schemas.openxmlformats.org/officeDocument/2006/relationships/revisionLog" Target="revisionLog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B9EA22AA-44A6-4F73-A36D-BBE0FBA06802}" diskRevisions="1" revisionId="11604" version="4">
  <header guid="{E8CE14C5-ABFD-46A4-A648-2DC84F4302C1}" dateTime="2023-08-22T11:18:50" maxSheetId="4" userName="Anahí Morales" r:id="rId149" minRId="11272" maxRId="11276">
    <sheetIdMap count="3">
      <sheetId val="1"/>
      <sheetId val="2"/>
      <sheetId val="3"/>
    </sheetIdMap>
  </header>
  <header guid="{8CA70CF1-8BD7-43A0-A853-7EAFF3DC3417}" dateTime="2024-07-10T09:26:53" maxSheetId="4" userName="Rodrigo Barquín" r:id="rId150" minRId="11279" maxRId="11564">
    <sheetIdMap count="3">
      <sheetId val="1"/>
      <sheetId val="2"/>
      <sheetId val="3"/>
    </sheetIdMap>
  </header>
  <header guid="{E35E6CE7-3E13-4BED-B9A2-0E6E3998E2F7}" dateTime="2024-10-30T11:07:49" maxSheetId="4" userName="Anahí Morales" r:id="rId151" minRId="11567" maxRId="11588">
    <sheetIdMap count="3">
      <sheetId val="1"/>
      <sheetId val="2"/>
      <sheetId val="3"/>
    </sheetIdMap>
  </header>
  <header guid="{B9EA22AA-44A6-4F73-A36D-BBE0FBA06802}" dateTime="2024-10-31T10:24:45" maxSheetId="4" userName="Anahí Morales" r:id="rId152" minRId="11591" maxRId="11602">
    <sheetIdMap count="3">
      <sheetId val="1"/>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7" sId="1">
    <oc r="D3679" t="inlineStr">
      <is>
        <t>Parámetros</t>
      </is>
    </oc>
    <nc r="D3679" t="inlineStr">
      <is>
        <t>Datos</t>
      </is>
    </nc>
  </rcc>
  <rcc rId="11568" sId="1">
    <oc r="D3703" t="inlineStr">
      <is>
        <t>Parámetros</t>
      </is>
    </oc>
    <nc r="D3703" t="inlineStr">
      <is>
        <t>Datos</t>
      </is>
    </nc>
  </rcc>
  <rcc rId="11569" sId="1">
    <oc r="D3704" t="inlineStr">
      <is>
        <t>Parámetros</t>
      </is>
    </oc>
    <nc r="D3704" t="inlineStr">
      <is>
        <t>Datos</t>
      </is>
    </nc>
  </rcc>
  <rcc rId="11570" sId="1">
    <oc r="D3705" t="inlineStr">
      <is>
        <t>Parámetros</t>
      </is>
    </oc>
    <nc r="D3705" t="inlineStr">
      <is>
        <t>Datos</t>
      </is>
    </nc>
  </rcc>
  <rcc rId="11571" sId="1">
    <oc r="D3715" t="inlineStr">
      <is>
        <t>Parámetros</t>
      </is>
    </oc>
    <nc r="D3715" t="inlineStr">
      <is>
        <t>Datos</t>
      </is>
    </nc>
  </rcc>
  <rcc rId="11572" sId="1">
    <oc r="D3716" t="inlineStr">
      <is>
        <t>Parámetros</t>
      </is>
    </oc>
    <nc r="D3716" t="inlineStr">
      <is>
        <t>Datos</t>
      </is>
    </nc>
  </rcc>
  <rcc rId="11573" sId="1">
    <oc r="D3720" t="inlineStr">
      <is>
        <t>Parámetros</t>
      </is>
    </oc>
    <nc r="D3720" t="inlineStr">
      <is>
        <t>Datos</t>
      </is>
    </nc>
  </rcc>
  <rcc rId="11574" sId="1">
    <oc r="D3854" t="inlineStr">
      <is>
        <t>Parámetros</t>
      </is>
    </oc>
    <nc r="D3854" t="inlineStr">
      <is>
        <t>Datos</t>
      </is>
    </nc>
  </rcc>
  <rcc rId="11575" sId="1">
    <oc r="D3894" t="inlineStr">
      <is>
        <t>Parámetros</t>
      </is>
    </oc>
    <nc r="D3894" t="inlineStr">
      <is>
        <t>Datos</t>
      </is>
    </nc>
  </rcc>
  <rcc rId="11576" sId="1">
    <oc r="D1473" t="inlineStr">
      <is>
        <t>Parámetros</t>
      </is>
    </oc>
    <nc r="D1473" t="inlineStr">
      <is>
        <t>Datos</t>
      </is>
    </nc>
  </rcc>
  <rcc rId="11577" sId="1">
    <oc r="D6112" t="inlineStr">
      <is>
        <t>Datos</t>
      </is>
    </oc>
    <nc r="D6112" t="inlineStr">
      <is>
        <t>Parámetros</t>
      </is>
    </nc>
  </rcc>
  <rcc rId="11578" sId="1">
    <oc r="C6112" t="inlineStr">
      <is>
        <t>Worflow Proceso-Estructura</t>
      </is>
    </oc>
    <nc r="C6112" t="inlineStr">
      <is>
        <t xml:space="preserve">Relación Proceso-Estructura - Worflow  </t>
      </is>
    </nc>
  </rcc>
  <rcc rId="11579" sId="1">
    <oc r="C6113" t="inlineStr">
      <is>
        <t>Workflow</t>
      </is>
    </oc>
    <nc r="C6113" t="inlineStr">
      <is>
        <t xml:space="preserve">proceso y código de tarea - Workflow </t>
      </is>
    </nc>
  </rcc>
  <rcc rId="11580" sId="1">
    <oc r="D6113" t="inlineStr">
      <is>
        <t>Datos</t>
      </is>
    </oc>
    <nc r="D6113" t="inlineStr">
      <is>
        <t>Parámetros</t>
      </is>
    </nc>
  </rcc>
  <rcc rId="11581" sId="1">
    <oc r="C6103" t="inlineStr">
      <is>
        <t>Workflow</t>
      </is>
    </oc>
    <nc r="C6103" t="inlineStr">
      <is>
        <t xml:space="preserve">proceso y código de tarea - Workflow </t>
      </is>
    </nc>
  </rcc>
  <rcc rId="11582" sId="1">
    <oc r="D6103" t="inlineStr">
      <is>
        <t>Datos</t>
      </is>
    </oc>
    <nc r="D6103" t="inlineStr">
      <is>
        <t>Parámetros</t>
      </is>
    </nc>
  </rcc>
  <rcc rId="11583" sId="1">
    <oc r="D6544" t="inlineStr">
      <is>
        <t>Datos</t>
      </is>
    </oc>
    <nc r="D6544" t="inlineStr">
      <is>
        <t>Parámetros</t>
      </is>
    </nc>
  </rcc>
  <rcc rId="11584" sId="1">
    <oc r="D6545" t="inlineStr">
      <is>
        <t>Datos</t>
      </is>
    </oc>
    <nc r="D6545" t="inlineStr">
      <is>
        <t>Parámetros</t>
      </is>
    </nc>
  </rcc>
  <rcc rId="11585" sId="1">
    <oc r="C6130" t="inlineStr">
      <is>
        <t>Worflow Documentos</t>
      </is>
    </oc>
    <nc r="C6130" t="inlineStr">
      <is>
        <t xml:space="preserve">Tipos de Documentos - Worflow </t>
      </is>
    </nc>
  </rcc>
  <rcc rId="11586" sId="1">
    <oc r="D6139" t="inlineStr">
      <is>
        <t>Datos</t>
      </is>
    </oc>
    <nc r="D6139" t="inlineStr">
      <is>
        <t>Parámetros</t>
      </is>
    </nc>
  </rcc>
  <rcc rId="11587" sId="1">
    <oc r="D6155" t="inlineStr">
      <is>
        <t>Datos</t>
      </is>
    </oc>
    <nc r="D6155" t="inlineStr">
      <is>
        <t>Parámetros</t>
      </is>
    </nc>
  </rcc>
  <rcc rId="11588" sId="1">
    <oc r="C6549" t="inlineStr">
      <is>
        <t xml:space="preserve"> vinculación ID documentos BT con tipos Documentos workflow</t>
      </is>
    </oc>
    <nc r="C6549" t="inlineStr">
      <is>
        <t xml:space="preserve"> Vinculación ID documentos BT con tipos Documentos (Mapeo Tipos de Documentos). Workflow</t>
      </is>
    </nc>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91" sId="1">
    <oc r="D406" t="inlineStr">
      <is>
        <t>Parámetros</t>
      </is>
    </oc>
    <nc r="D406" t="inlineStr">
      <is>
        <t>Datos</t>
      </is>
    </nc>
  </rcc>
  <rcc rId="11592" sId="1">
    <oc r="D411" t="inlineStr">
      <is>
        <t>Parámetros</t>
      </is>
    </oc>
    <nc r="D411" t="inlineStr">
      <is>
        <t>Datos</t>
      </is>
    </nc>
  </rcc>
  <rcc rId="11593" sId="1">
    <oc r="D3764" t="inlineStr">
      <is>
        <t>Parámetros</t>
      </is>
    </oc>
    <nc r="D3764" t="inlineStr">
      <is>
        <t>Datos</t>
      </is>
    </nc>
  </rcc>
  <rcc rId="11594" sId="1">
    <oc r="D3765" t="inlineStr">
      <is>
        <t>Parámetros</t>
      </is>
    </oc>
    <nc r="D3765" t="inlineStr">
      <is>
        <t>Datos</t>
      </is>
    </nc>
  </rcc>
  <rcc rId="11595" sId="1">
    <oc r="D5168" t="inlineStr">
      <is>
        <t>Parametros</t>
      </is>
    </oc>
    <nc r="D5168" t="inlineStr">
      <is>
        <t>Datos</t>
      </is>
    </nc>
  </rcc>
  <rcc rId="11596" sId="1">
    <oc r="D5314" t="inlineStr">
      <is>
        <t>Parámetros</t>
      </is>
    </oc>
    <nc r="D5314" t="inlineStr">
      <is>
        <t>Datos</t>
      </is>
    </nc>
  </rcc>
  <rcc rId="11597" sId="1">
    <oc r="D5316" t="inlineStr">
      <is>
        <t>Parámetros</t>
      </is>
    </oc>
    <nc r="D5316" t="inlineStr">
      <is>
        <t>Datos</t>
      </is>
    </nc>
  </rcc>
  <rcc rId="11598" sId="1">
    <oc r="D5733" t="inlineStr">
      <is>
        <t>Parámetros</t>
      </is>
    </oc>
    <nc r="D5733" t="inlineStr">
      <is>
        <t>Datos</t>
      </is>
    </nc>
  </rcc>
  <rcc rId="11599" sId="1">
    <oc r="D414" t="inlineStr">
      <is>
        <t>Parámetros</t>
      </is>
    </oc>
    <nc r="D414" t="inlineStr">
      <is>
        <t>Datos</t>
      </is>
    </nc>
  </rcc>
  <rcc rId="11600" sId="1">
    <oc r="D6215" t="inlineStr">
      <is>
        <t>Datos</t>
      </is>
    </oc>
    <nc r="D6215" t="inlineStr">
      <is>
        <t>Parámetros</t>
      </is>
    </nc>
  </rcc>
  <rcc rId="11601" sId="1">
    <oc r="D200" t="inlineStr">
      <is>
        <t>Datos</t>
      </is>
    </oc>
    <nc r="D200" t="inlineStr">
      <is>
        <t>Parámetros</t>
      </is>
    </nc>
  </rcc>
  <rcc rId="11602" sId="1">
    <oc r="D5562" t="inlineStr">
      <is>
        <t>Datos</t>
      </is>
    </oc>
    <nc r="D5562" t="inlineStr">
      <is>
        <t>Parámetros</t>
      </is>
    </nc>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2" sId="1">
    <oc r="E2472" t="inlineStr">
      <is>
        <t>Núcleo</t>
      </is>
    </oc>
    <nc r="E2472" t="inlineStr">
      <is>
        <t>Colocaciones</t>
      </is>
    </nc>
  </rcc>
  <rcc rId="11273" sId="1">
    <oc r="F2472" t="inlineStr">
      <is>
        <t>Parámetros de Operaciones</t>
      </is>
    </oc>
    <nc r="F2472" t="inlineStr">
      <is>
        <t>Sistema de Préstamos</t>
      </is>
    </nc>
  </rcc>
  <rcc rId="11274" sId="1">
    <oc r="E4997" t="inlineStr">
      <is>
        <t>Comercio Internacional</t>
      </is>
    </oc>
    <nc r="E4997" t="inlineStr">
      <is>
        <t>Colocaciones</t>
      </is>
    </nc>
  </rcc>
  <rcc rId="11275" sId="1">
    <oc r="F4997" t="inlineStr">
      <is>
        <t>Comercio exterior - Cartas de crédito y  Cobranzas</t>
      </is>
    </oc>
    <nc r="F4997" t="inlineStr">
      <is>
        <t>Sistema de Préstamos</t>
      </is>
    </nc>
  </rcc>
  <rcc rId="11276" sId="1">
    <oc r="K4997" t="inlineStr">
      <is>
        <t>NESTORF</t>
      </is>
    </oc>
    <nc r="K4997"/>
  </rc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Inventario!$B$6:$R$6266</formula>
    <oldFormula>Inventario!$B$6:$R$6266</oldFormula>
  </rdn>
  <rcv guid="{CCDC99D9-ED7F-4E00-BF84-F4E2C60547D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9" sId="1" xfDxf="1" dxf="1">
    <nc r="B6817" t="inlineStr">
      <is>
        <t>BC650</t>
      </is>
    </nc>
    <ndxf>
      <alignment vertical="center" wrapText="1"/>
      <border outline="0">
        <left style="thin">
          <color indexed="64"/>
        </left>
        <right style="thin">
          <color indexed="64"/>
        </right>
        <top style="thin">
          <color indexed="64"/>
        </top>
        <bottom style="thin">
          <color indexed="64"/>
        </bottom>
      </border>
    </ndxf>
  </rcc>
  <rcc rId="11280" sId="1" xfDxf="1" dxf="1">
    <nc r="C6817" t="inlineStr">
      <is>
        <t>Tabla Auxiliar Base de Depósitos</t>
      </is>
    </nc>
    <ndxf>
      <alignment vertical="center" wrapText="1"/>
      <border outline="0">
        <left style="thin">
          <color indexed="64"/>
        </left>
        <right style="thin">
          <color indexed="64"/>
        </right>
        <top style="thin">
          <color indexed="64"/>
        </top>
        <bottom style="thin">
          <color indexed="64"/>
        </bottom>
      </border>
    </ndxf>
  </rcc>
  <rcc rId="11281" sId="1" xfDxf="1" dxf="1">
    <nc r="D6817" t="inlineStr">
      <is>
        <t>Datos</t>
      </is>
    </nc>
    <ndxf>
      <alignment vertical="center" wrapText="1"/>
      <border outline="0">
        <left style="thin">
          <color indexed="64"/>
        </left>
        <right style="thin">
          <color indexed="64"/>
        </right>
        <top style="thin">
          <color indexed="64"/>
        </top>
        <bottom style="thin">
          <color indexed="64"/>
        </bottom>
      </border>
    </ndxf>
  </rcc>
  <rfmt sheetId="1" xfDxf="1" sqref="E6817" start="0" length="0">
    <dxf>
      <alignment vertical="center" wrapText="1"/>
      <border outline="0">
        <left style="thin">
          <color indexed="64"/>
        </left>
        <right style="thin">
          <color indexed="64"/>
        </right>
        <top style="thin">
          <color indexed="64"/>
        </top>
        <bottom style="thin">
          <color indexed="64"/>
        </bottom>
      </border>
    </dxf>
  </rfmt>
  <rfmt sheetId="1" xfDxf="1" sqref="F6817" start="0" length="0">
    <dxf>
      <alignment vertical="center" wrapText="1"/>
      <border outline="0">
        <left style="thin">
          <color indexed="64"/>
        </left>
        <right style="thin">
          <color indexed="64"/>
        </right>
        <top style="thin">
          <color indexed="64"/>
        </top>
        <bottom style="thin">
          <color indexed="64"/>
        </bottom>
      </border>
    </dxf>
  </rfmt>
  <rfmt sheetId="1" xfDxf="1" sqref="G6817" start="0" length="0">
    <dxf>
      <alignment vertical="center" wrapText="1"/>
      <border outline="0">
        <left style="thin">
          <color indexed="64"/>
        </left>
        <right style="thin">
          <color indexed="64"/>
        </right>
        <top style="thin">
          <color indexed="64"/>
        </top>
        <bottom style="thin">
          <color indexed="64"/>
        </bottom>
      </border>
    </dxf>
  </rfmt>
  <rcc rId="11282" sId="1" xfDxf="1" dxf="1">
    <nc r="H6817" t="inlineStr">
      <is>
        <t>Core</t>
      </is>
    </nc>
    <ndxf>
      <alignment vertical="center" wrapText="1"/>
      <border outline="0">
        <left style="thin">
          <color indexed="64"/>
        </left>
        <right style="thin">
          <color indexed="64"/>
        </right>
        <top style="thin">
          <color indexed="64"/>
        </top>
        <bottom style="thin">
          <color indexed="64"/>
        </bottom>
      </border>
    </ndxf>
  </rcc>
  <rcc rId="11283" sId="1" xfDxf="1" dxf="1" numFmtId="19">
    <nc r="I6817">
      <v>45435</v>
    </nc>
    <ndxf>
      <numFmt numFmtId="19" formatCode="d/m/yyyy"/>
      <border outline="0">
        <left style="thin">
          <color indexed="64"/>
        </left>
        <right style="thin">
          <color indexed="64"/>
        </right>
        <top style="thin">
          <color indexed="64"/>
        </top>
        <bottom style="thin">
          <color indexed="64"/>
        </bottom>
      </border>
    </ndxf>
  </rcc>
  <rfmt sheetId="1" xfDxf="1" sqref="J6817" start="0" length="0">
    <dxf>
      <alignment vertical="center" wrapText="1"/>
      <border outline="0">
        <left style="thin">
          <color indexed="64"/>
        </left>
        <right style="thin">
          <color indexed="64"/>
        </right>
        <top style="thin">
          <color indexed="64"/>
        </top>
        <bottom style="thin">
          <color indexed="64"/>
        </bottom>
      </border>
    </dxf>
  </rfmt>
  <rcc rId="11284" sId="1" xfDxf="1" dxf="1">
    <nc r="K681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17" start="0" length="0">
    <dxf>
      <border outline="0">
        <left style="thin">
          <color indexed="64"/>
        </left>
        <right style="thin">
          <color indexed="64"/>
        </right>
        <top style="thin">
          <color indexed="64"/>
        </top>
        <bottom style="thin">
          <color indexed="64"/>
        </bottom>
      </border>
    </dxf>
  </rfmt>
  <rfmt sheetId="1" xfDxf="1" sqref="M6817" start="0" length="0">
    <dxf>
      <border outline="0">
        <left style="thin">
          <color indexed="64"/>
        </left>
        <right style="thin">
          <color indexed="64"/>
        </right>
        <top style="thin">
          <color indexed="64"/>
        </top>
        <bottom style="thin">
          <color indexed="64"/>
        </bottom>
      </border>
    </dxf>
  </rfmt>
  <rfmt sheetId="1" xfDxf="1" sqref="N6817" start="0" length="0">
    <dxf>
      <border outline="0">
        <left style="thin">
          <color indexed="64"/>
        </left>
        <right style="thin">
          <color indexed="64"/>
        </right>
        <top style="thin">
          <color indexed="64"/>
        </top>
        <bottom style="thin">
          <color indexed="64"/>
        </bottom>
      </border>
    </dxf>
  </rfmt>
  <rfmt sheetId="1" xfDxf="1" sqref="O6817" start="0" length="0">
    <dxf>
      <border outline="0">
        <left style="thin">
          <color indexed="64"/>
        </left>
        <right style="thin">
          <color indexed="64"/>
        </right>
        <top style="thin">
          <color indexed="64"/>
        </top>
        <bottom style="thin">
          <color indexed="64"/>
        </bottom>
      </border>
    </dxf>
  </rfmt>
  <rfmt sheetId="1" xfDxf="1" sqref="P6817" start="0" length="0">
    <dxf>
      <border outline="0">
        <left style="thin">
          <color indexed="64"/>
        </left>
        <right style="thin">
          <color indexed="64"/>
        </right>
        <top style="thin">
          <color indexed="64"/>
        </top>
        <bottom style="thin">
          <color indexed="64"/>
        </bottom>
      </border>
    </dxf>
  </rfmt>
  <rfmt sheetId="1" xfDxf="1" sqref="Q6817" start="0" length="0">
    <dxf>
      <border outline="0">
        <left style="thin">
          <color indexed="64"/>
        </left>
        <right style="thin">
          <color indexed="64"/>
        </right>
        <top style="thin">
          <color indexed="64"/>
        </top>
        <bottom style="thin">
          <color indexed="64"/>
        </bottom>
      </border>
    </dxf>
  </rfmt>
  <rfmt sheetId="1" xfDxf="1" sqref="R6817" start="0" length="0">
    <dxf>
      <border outline="0">
        <left style="thin">
          <color indexed="64"/>
        </left>
        <right style="thin">
          <color indexed="64"/>
        </right>
        <top style="thin">
          <color indexed="64"/>
        </top>
        <bottom style="thin">
          <color indexed="64"/>
        </bottom>
      </border>
    </dxf>
  </rfmt>
  <rcc rId="11285" sId="1" xfDxf="1" dxf="1">
    <nc r="B6818" t="inlineStr">
      <is>
        <t>BRKN11</t>
      </is>
    </nc>
    <ndxf>
      <alignment vertical="center" wrapText="1"/>
      <border outline="0">
        <left style="thin">
          <color indexed="64"/>
        </left>
        <right style="thin">
          <color indexed="64"/>
        </right>
        <top style="thin">
          <color indexed="64"/>
        </top>
        <bottom style="thin">
          <color indexed="64"/>
        </bottom>
      </border>
    </ndxf>
  </rcc>
  <rcc rId="11286" sId="1" xfDxf="1" dxf="1">
    <nc r="C6818" t="inlineStr">
      <is>
        <t>Limite de Plazo del emisor</t>
      </is>
    </nc>
    <ndxf>
      <alignment vertical="center" wrapText="1"/>
      <border outline="0">
        <left style="thin">
          <color indexed="64"/>
        </left>
        <right style="thin">
          <color indexed="64"/>
        </right>
        <top style="thin">
          <color indexed="64"/>
        </top>
        <bottom style="thin">
          <color indexed="64"/>
        </bottom>
      </border>
    </ndxf>
  </rcc>
  <rcc rId="11287" sId="1" xfDxf="1" dxf="1">
    <nc r="D6818"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18" start="0" length="0">
    <dxf>
      <alignment vertical="center" wrapText="1"/>
      <border outline="0">
        <left style="thin">
          <color indexed="64"/>
        </left>
        <right style="thin">
          <color indexed="64"/>
        </right>
        <top style="thin">
          <color indexed="64"/>
        </top>
        <bottom style="thin">
          <color indexed="64"/>
        </bottom>
      </border>
    </dxf>
  </rfmt>
  <rfmt sheetId="1" xfDxf="1" sqref="F6818" start="0" length="0">
    <dxf>
      <alignment vertical="center" wrapText="1"/>
      <border outline="0">
        <left style="thin">
          <color indexed="64"/>
        </left>
        <right style="thin">
          <color indexed="64"/>
        </right>
        <top style="thin">
          <color indexed="64"/>
        </top>
        <bottom style="thin">
          <color indexed="64"/>
        </bottom>
      </border>
    </dxf>
  </rfmt>
  <rfmt sheetId="1" xfDxf="1" sqref="G6818" start="0" length="0">
    <dxf>
      <alignment vertical="center" wrapText="1"/>
      <border outline="0">
        <left style="thin">
          <color indexed="64"/>
        </left>
        <right style="thin">
          <color indexed="64"/>
        </right>
        <top style="thin">
          <color indexed="64"/>
        </top>
        <bottom style="thin">
          <color indexed="64"/>
        </bottom>
      </border>
    </dxf>
  </rfmt>
  <rcc rId="11288" sId="1" xfDxf="1" dxf="1">
    <nc r="H6818" t="inlineStr">
      <is>
        <t>Core</t>
      </is>
    </nc>
    <ndxf>
      <alignment vertical="center" wrapText="1"/>
      <border outline="0">
        <left style="thin">
          <color indexed="64"/>
        </left>
        <right style="thin">
          <color indexed="64"/>
        </right>
        <top style="thin">
          <color indexed="64"/>
        </top>
        <bottom style="thin">
          <color indexed="64"/>
        </bottom>
      </border>
    </ndxf>
  </rcc>
  <rcc rId="11289" sId="1" xfDxf="1" dxf="1" numFmtId="19">
    <nc r="I6818">
      <v>45404</v>
    </nc>
    <ndxf>
      <numFmt numFmtId="19" formatCode="d/m/yyyy"/>
      <border outline="0">
        <left style="thin">
          <color indexed="64"/>
        </left>
        <right style="thin">
          <color indexed="64"/>
        </right>
        <top style="thin">
          <color indexed="64"/>
        </top>
        <bottom style="thin">
          <color indexed="64"/>
        </bottom>
      </border>
    </ndxf>
  </rcc>
  <rfmt sheetId="1" xfDxf="1" sqref="J6818" start="0" length="0">
    <dxf>
      <alignment vertical="center" wrapText="1"/>
      <border outline="0">
        <left style="thin">
          <color indexed="64"/>
        </left>
        <right style="thin">
          <color indexed="64"/>
        </right>
        <top style="thin">
          <color indexed="64"/>
        </top>
        <bottom style="thin">
          <color indexed="64"/>
        </bottom>
      </border>
    </dxf>
  </rfmt>
  <rcc rId="11290" sId="1" xfDxf="1" dxf="1">
    <nc r="K6818" t="inlineStr">
      <is>
        <t>anarvaez</t>
      </is>
    </nc>
    <ndxf>
      <alignment vertical="center" wrapText="1"/>
      <border outline="0">
        <left style="thin">
          <color indexed="64"/>
        </left>
        <right style="thin">
          <color indexed="64"/>
        </right>
        <top style="thin">
          <color indexed="64"/>
        </top>
        <bottom style="thin">
          <color indexed="64"/>
        </bottom>
      </border>
    </ndxf>
  </rcc>
  <rfmt sheetId="1" xfDxf="1" sqref="L6818" start="0" length="0">
    <dxf>
      <border outline="0">
        <left style="thin">
          <color indexed="64"/>
        </left>
        <right style="thin">
          <color indexed="64"/>
        </right>
        <top style="thin">
          <color indexed="64"/>
        </top>
        <bottom style="thin">
          <color indexed="64"/>
        </bottom>
      </border>
    </dxf>
  </rfmt>
  <rfmt sheetId="1" xfDxf="1" sqref="M6818" start="0" length="0">
    <dxf>
      <border outline="0">
        <left style="thin">
          <color indexed="64"/>
        </left>
        <right style="thin">
          <color indexed="64"/>
        </right>
        <top style="thin">
          <color indexed="64"/>
        </top>
        <bottom style="thin">
          <color indexed="64"/>
        </bottom>
      </border>
    </dxf>
  </rfmt>
  <rfmt sheetId="1" xfDxf="1" sqref="N6818" start="0" length="0">
    <dxf>
      <border outline="0">
        <left style="thin">
          <color indexed="64"/>
        </left>
        <right style="thin">
          <color indexed="64"/>
        </right>
        <top style="thin">
          <color indexed="64"/>
        </top>
        <bottom style="thin">
          <color indexed="64"/>
        </bottom>
      </border>
    </dxf>
  </rfmt>
  <rfmt sheetId="1" xfDxf="1" sqref="O6818" start="0" length="0">
    <dxf>
      <border outline="0">
        <left style="thin">
          <color indexed="64"/>
        </left>
        <right style="thin">
          <color indexed="64"/>
        </right>
        <top style="thin">
          <color indexed="64"/>
        </top>
        <bottom style="thin">
          <color indexed="64"/>
        </bottom>
      </border>
    </dxf>
  </rfmt>
  <rfmt sheetId="1" xfDxf="1" sqref="P6818" start="0" length="0">
    <dxf>
      <border outline="0">
        <left style="thin">
          <color indexed="64"/>
        </left>
        <right style="thin">
          <color indexed="64"/>
        </right>
        <top style="thin">
          <color indexed="64"/>
        </top>
        <bottom style="thin">
          <color indexed="64"/>
        </bottom>
      </border>
    </dxf>
  </rfmt>
  <rfmt sheetId="1" xfDxf="1" sqref="Q6818" start="0" length="0">
    <dxf>
      <border outline="0">
        <left style="thin">
          <color indexed="64"/>
        </left>
        <right style="thin">
          <color indexed="64"/>
        </right>
        <top style="thin">
          <color indexed="64"/>
        </top>
        <bottom style="thin">
          <color indexed="64"/>
        </bottom>
      </border>
    </dxf>
  </rfmt>
  <rfmt sheetId="1" xfDxf="1" sqref="R6818" start="0" length="0">
    <dxf>
      <border outline="0">
        <left style="thin">
          <color indexed="64"/>
        </left>
        <right style="thin">
          <color indexed="64"/>
        </right>
        <top style="thin">
          <color indexed="64"/>
        </top>
        <bottom style="thin">
          <color indexed="64"/>
        </bottom>
      </border>
    </dxf>
  </rfmt>
  <rcc rId="11291" sId="1" xfDxf="1" dxf="1">
    <nc r="B6819" t="inlineStr">
      <is>
        <t>DEAR71</t>
      </is>
    </nc>
    <ndxf>
      <alignment vertical="center" wrapText="1"/>
      <border outline="0">
        <left style="thin">
          <color indexed="64"/>
        </left>
        <right style="thin">
          <color indexed="64"/>
        </right>
        <top style="thin">
          <color indexed="64"/>
        </top>
        <bottom style="thin">
          <color indexed="64"/>
        </bottom>
      </border>
    </ndxf>
  </rcc>
  <rcc rId="11292" sId="1" xfDxf="1" dxf="1">
    <nc r="C6819" t="inlineStr">
      <is>
        <t>CEDIPs de otros bancos</t>
      </is>
    </nc>
    <ndxf>
      <alignment vertical="center" wrapText="1"/>
      <border outline="0">
        <left style="thin">
          <color indexed="64"/>
        </left>
        <right style="thin">
          <color indexed="64"/>
        </right>
        <top style="thin">
          <color indexed="64"/>
        </top>
        <bottom style="thin">
          <color indexed="64"/>
        </bottom>
      </border>
    </ndxf>
  </rcc>
  <rcc rId="11293" sId="1" xfDxf="1" dxf="1">
    <nc r="D6819" t="inlineStr">
      <is>
        <t>Datos</t>
      </is>
    </nc>
    <ndxf>
      <alignment vertical="center" wrapText="1"/>
      <border outline="0">
        <left style="thin">
          <color indexed="64"/>
        </left>
        <right style="thin">
          <color indexed="64"/>
        </right>
        <top style="thin">
          <color indexed="64"/>
        </top>
        <bottom style="thin">
          <color indexed="64"/>
        </bottom>
      </border>
    </ndxf>
  </rcc>
  <rfmt sheetId="1" xfDxf="1" sqref="E6819" start="0" length="0">
    <dxf>
      <alignment vertical="center" wrapText="1"/>
      <border outline="0">
        <left style="thin">
          <color indexed="64"/>
        </left>
        <right style="thin">
          <color indexed="64"/>
        </right>
        <top style="thin">
          <color indexed="64"/>
        </top>
        <bottom style="thin">
          <color indexed="64"/>
        </bottom>
      </border>
    </dxf>
  </rfmt>
  <rfmt sheetId="1" xfDxf="1" sqref="F6819" start="0" length="0">
    <dxf>
      <alignment vertical="center" wrapText="1"/>
      <border outline="0">
        <left style="thin">
          <color indexed="64"/>
        </left>
        <right style="thin">
          <color indexed="64"/>
        </right>
        <top style="thin">
          <color indexed="64"/>
        </top>
        <bottom style="thin">
          <color indexed="64"/>
        </bottom>
      </border>
    </dxf>
  </rfmt>
  <rfmt sheetId="1" xfDxf="1" sqref="G6819" start="0" length="0">
    <dxf>
      <alignment vertical="center" wrapText="1"/>
      <border outline="0">
        <left style="thin">
          <color indexed="64"/>
        </left>
        <right style="thin">
          <color indexed="64"/>
        </right>
        <top style="thin">
          <color indexed="64"/>
        </top>
        <bottom style="thin">
          <color indexed="64"/>
        </bottom>
      </border>
    </dxf>
  </rfmt>
  <rcc rId="11294" sId="1" xfDxf="1" dxf="1">
    <nc r="H6819" t="inlineStr">
      <is>
        <t>Pais</t>
      </is>
    </nc>
    <ndxf>
      <alignment vertical="center" wrapText="1"/>
      <border outline="0">
        <left style="thin">
          <color indexed="64"/>
        </left>
        <right style="thin">
          <color indexed="64"/>
        </right>
        <top style="thin">
          <color indexed="64"/>
        </top>
        <bottom style="thin">
          <color indexed="64"/>
        </bottom>
      </border>
    </ndxf>
  </rcc>
  <rcc rId="11295" sId="1" xfDxf="1" dxf="1">
    <nc r="I6819" t="inlineStr">
      <is>
        <t>29/5/24 </t>
      </is>
    </nc>
    <ndxf>
      <numFmt numFmtId="19" formatCode="d/m/yyyy"/>
      <alignment horizontal="center"/>
      <border outline="0">
        <left style="thin">
          <color indexed="64"/>
        </left>
        <top style="thin">
          <color indexed="64"/>
        </top>
        <bottom style="thin">
          <color indexed="64"/>
        </bottom>
      </border>
    </ndxf>
  </rcc>
  <rfmt sheetId="1" xfDxf="1" sqref="J6819" start="0" length="0">
    <dxf>
      <alignment vertical="center" wrapText="1"/>
      <border outline="0">
        <left style="thin">
          <color indexed="64"/>
        </left>
        <right style="thin">
          <color indexed="64"/>
        </right>
        <top style="thin">
          <color indexed="64"/>
        </top>
        <bottom style="thin">
          <color indexed="64"/>
        </bottom>
      </border>
    </dxf>
  </rfmt>
  <rcc rId="11296" sId="1" xfDxf="1" dxf="1">
    <nc r="K6819"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19" start="0" length="0">
    <dxf>
      <border outline="0">
        <left style="thin">
          <color indexed="64"/>
        </left>
        <right style="thin">
          <color indexed="64"/>
        </right>
        <top style="thin">
          <color indexed="64"/>
        </top>
        <bottom style="thin">
          <color indexed="64"/>
        </bottom>
      </border>
    </dxf>
  </rfmt>
  <rfmt sheetId="1" xfDxf="1" sqref="M6819" start="0" length="0">
    <dxf>
      <border outline="0">
        <left style="thin">
          <color indexed="64"/>
        </left>
        <right style="thin">
          <color indexed="64"/>
        </right>
        <top style="thin">
          <color indexed="64"/>
        </top>
        <bottom style="thin">
          <color indexed="64"/>
        </bottom>
      </border>
    </dxf>
  </rfmt>
  <rfmt sheetId="1" xfDxf="1" sqref="N6819" start="0" length="0">
    <dxf>
      <border outline="0">
        <left style="thin">
          <color indexed="64"/>
        </left>
        <right style="thin">
          <color indexed="64"/>
        </right>
        <top style="thin">
          <color indexed="64"/>
        </top>
        <bottom style="thin">
          <color indexed="64"/>
        </bottom>
      </border>
    </dxf>
  </rfmt>
  <rfmt sheetId="1" xfDxf="1" sqref="O6819" start="0" length="0">
    <dxf>
      <border outline="0">
        <left style="thin">
          <color indexed="64"/>
        </left>
        <right style="thin">
          <color indexed="64"/>
        </right>
        <top style="thin">
          <color indexed="64"/>
        </top>
        <bottom style="thin">
          <color indexed="64"/>
        </bottom>
      </border>
    </dxf>
  </rfmt>
  <rfmt sheetId="1" xfDxf="1" sqref="P6819" start="0" length="0">
    <dxf>
      <border outline="0">
        <left style="thin">
          <color indexed="64"/>
        </left>
        <right style="thin">
          <color indexed="64"/>
        </right>
        <top style="thin">
          <color indexed="64"/>
        </top>
        <bottom style="thin">
          <color indexed="64"/>
        </bottom>
      </border>
    </dxf>
  </rfmt>
  <rcc rId="11297" sId="1" xfDxf="1" dxf="1">
    <nc r="Q6819" t="inlineStr">
      <is>
        <t>Argentina</t>
      </is>
    </nc>
    <ndxf>
      <border outline="0">
        <left style="thin">
          <color indexed="64"/>
        </left>
        <right style="thin">
          <color indexed="64"/>
        </right>
        <top style="thin">
          <color indexed="64"/>
        </top>
        <bottom style="thin">
          <color indexed="64"/>
        </bottom>
      </border>
    </ndxf>
  </rcc>
  <rfmt sheetId="1" xfDxf="1" sqref="R6819" start="0" length="0">
    <dxf>
      <border outline="0">
        <left style="thin">
          <color indexed="64"/>
        </left>
        <right style="thin">
          <color indexed="64"/>
        </right>
        <top style="thin">
          <color indexed="64"/>
        </top>
        <bottom style="thin">
          <color indexed="64"/>
        </bottom>
      </border>
    </dxf>
  </rfmt>
  <rcc rId="11298" sId="1" xfDxf="1" dxf="1">
    <nc r="B6820" t="inlineStr">
      <is>
        <t>BC444</t>
      </is>
    </nc>
    <ndxf>
      <alignment vertical="center" wrapText="1"/>
      <border outline="0">
        <left style="thin">
          <color indexed="64"/>
        </left>
        <right style="thin">
          <color indexed="64"/>
        </right>
        <top style="thin">
          <color indexed="64"/>
        </top>
        <bottom style="thin">
          <color indexed="64"/>
        </bottom>
      </border>
    </ndxf>
  </rcc>
  <rcc rId="11299" sId="1" xfDxf="1" dxf="1">
    <nc r="C6820" t="inlineStr">
      <is>
        <t>Tarjetas Auxiliar</t>
      </is>
    </nc>
    <ndxf>
      <alignment vertical="center" wrapText="1"/>
      <border outline="0">
        <left style="thin">
          <color indexed="64"/>
        </left>
        <right style="thin">
          <color indexed="64"/>
        </right>
        <top style="thin">
          <color indexed="64"/>
        </top>
        <bottom style="thin">
          <color indexed="64"/>
        </bottom>
      </border>
    </ndxf>
  </rcc>
  <rcc rId="11300" sId="1" xfDxf="1" dxf="1">
    <nc r="D6820" t="inlineStr">
      <is>
        <t>Datos</t>
      </is>
    </nc>
    <ndxf>
      <alignment vertical="center" wrapText="1"/>
      <border outline="0">
        <left style="thin">
          <color indexed="64"/>
        </left>
        <right style="thin">
          <color indexed="64"/>
        </right>
        <top style="thin">
          <color indexed="64"/>
        </top>
        <bottom style="thin">
          <color indexed="64"/>
        </bottom>
      </border>
    </ndxf>
  </rcc>
  <rfmt sheetId="1" xfDxf="1" sqref="E6820" start="0" length="0">
    <dxf>
      <alignment vertical="center" wrapText="1"/>
      <border outline="0">
        <left style="thin">
          <color indexed="64"/>
        </left>
        <right style="thin">
          <color indexed="64"/>
        </right>
        <top style="thin">
          <color indexed="64"/>
        </top>
        <bottom style="thin">
          <color indexed="64"/>
        </bottom>
      </border>
    </dxf>
  </rfmt>
  <rfmt sheetId="1" xfDxf="1" sqref="F6820" start="0" length="0">
    <dxf>
      <alignment vertical="center" wrapText="1"/>
      <border outline="0">
        <left style="thin">
          <color indexed="64"/>
        </left>
        <right style="thin">
          <color indexed="64"/>
        </right>
        <top style="thin">
          <color indexed="64"/>
        </top>
        <bottom style="thin">
          <color indexed="64"/>
        </bottom>
      </border>
    </dxf>
  </rfmt>
  <rfmt sheetId="1" xfDxf="1" sqref="G6820" start="0" length="0">
    <dxf>
      <alignment vertical="center" wrapText="1"/>
      <border outline="0">
        <left style="thin">
          <color indexed="64"/>
        </left>
        <right style="thin">
          <color indexed="64"/>
        </right>
        <top style="thin">
          <color indexed="64"/>
        </top>
        <bottom style="thin">
          <color indexed="64"/>
        </bottom>
      </border>
    </dxf>
  </rfmt>
  <rcc rId="11301" sId="1" xfDxf="1" dxf="1">
    <nc r="H6820" t="inlineStr">
      <is>
        <t>Core</t>
      </is>
    </nc>
    <ndxf>
      <alignment vertical="center" wrapText="1"/>
      <border outline="0">
        <left style="thin">
          <color indexed="64"/>
        </left>
        <right style="thin">
          <color indexed="64"/>
        </right>
        <top style="thin">
          <color indexed="64"/>
        </top>
        <bottom style="thin">
          <color indexed="64"/>
        </bottom>
      </border>
    </ndxf>
  </rcc>
  <rcc rId="11302" sId="1" xfDxf="1" dxf="1" numFmtId="19">
    <nc r="I6820">
      <v>43822</v>
    </nc>
    <ndxf>
      <numFmt numFmtId="19" formatCode="d/m/yyyy"/>
      <border outline="0">
        <left style="thin">
          <color indexed="64"/>
        </left>
        <right style="thin">
          <color indexed="64"/>
        </right>
      </border>
    </ndxf>
  </rcc>
  <rcc rId="11303" sId="1" xfDxf="1" dxf="1" numFmtId="19">
    <nc r="J6820">
      <v>45467</v>
    </nc>
    <ndxf>
      <numFmt numFmtId="19" formatCode="d/m/yyyy"/>
    </ndxf>
  </rcc>
  <rcc rId="11304" sId="1" xfDxf="1" dxf="1">
    <nc r="K6820"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20" start="0" length="0">
    <dxf>
      <border outline="0">
        <left style="thin">
          <color indexed="64"/>
        </left>
        <right style="thin">
          <color indexed="64"/>
        </right>
        <top style="thin">
          <color indexed="64"/>
        </top>
        <bottom style="thin">
          <color indexed="64"/>
        </bottom>
      </border>
    </dxf>
  </rfmt>
  <rfmt sheetId="1" xfDxf="1" sqref="M6820" start="0" length="0">
    <dxf>
      <border outline="0">
        <left style="thin">
          <color indexed="64"/>
        </left>
        <right style="thin">
          <color indexed="64"/>
        </right>
        <top style="thin">
          <color indexed="64"/>
        </top>
        <bottom style="thin">
          <color indexed="64"/>
        </bottom>
      </border>
    </dxf>
  </rfmt>
  <rfmt sheetId="1" xfDxf="1" sqref="N6820" start="0" length="0">
    <dxf>
      <border outline="0">
        <left style="thin">
          <color indexed="64"/>
        </left>
        <right style="thin">
          <color indexed="64"/>
        </right>
        <top style="thin">
          <color indexed="64"/>
        </top>
        <bottom style="thin">
          <color indexed="64"/>
        </bottom>
      </border>
    </dxf>
  </rfmt>
  <rfmt sheetId="1" xfDxf="1" sqref="O6820" start="0" length="0">
    <dxf>
      <border outline="0">
        <left style="thin">
          <color indexed="64"/>
        </left>
        <right style="thin">
          <color indexed="64"/>
        </right>
        <top style="thin">
          <color indexed="64"/>
        </top>
        <bottom style="thin">
          <color indexed="64"/>
        </bottom>
      </border>
    </dxf>
  </rfmt>
  <rfmt sheetId="1" xfDxf="1" sqref="P6820" start="0" length="0">
    <dxf>
      <border outline="0">
        <left style="thin">
          <color indexed="64"/>
        </left>
        <right style="thin">
          <color indexed="64"/>
        </right>
        <top style="thin">
          <color indexed="64"/>
        </top>
        <bottom style="thin">
          <color indexed="64"/>
        </bottom>
      </border>
    </dxf>
  </rfmt>
  <rfmt sheetId="1" xfDxf="1" sqref="Q6820" start="0" length="0">
    <dxf>
      <border outline="0">
        <left style="thin">
          <color indexed="64"/>
        </left>
        <right style="thin">
          <color indexed="64"/>
        </right>
        <top style="thin">
          <color indexed="64"/>
        </top>
        <bottom style="thin">
          <color indexed="64"/>
        </bottom>
      </border>
    </dxf>
  </rfmt>
  <rfmt sheetId="1" xfDxf="1" sqref="R6820" start="0" length="0">
    <dxf>
      <border outline="0">
        <left style="thin">
          <color indexed="64"/>
        </left>
        <right style="thin">
          <color indexed="64"/>
        </right>
        <top style="thin">
          <color indexed="64"/>
        </top>
        <bottom style="thin">
          <color indexed="64"/>
        </bottom>
      </border>
    </dxf>
  </rfmt>
  <rcc rId="11305" sId="1" xfDxf="1" dxf="1">
    <nc r="B6821" t="inlineStr">
      <is>
        <t>DEAR17</t>
      </is>
    </nc>
    <ndxf>
      <alignment vertical="center" wrapText="1"/>
      <border outline="0">
        <left style="thin">
          <color indexed="64"/>
        </left>
        <right style="thin">
          <color indexed="64"/>
        </right>
        <top style="thin">
          <color indexed="64"/>
        </top>
        <bottom style="thin">
          <color indexed="64"/>
        </bottom>
      </border>
    </ndxf>
  </rcc>
  <rcc rId="11306" sId="1" xfDxf="1" dxf="1">
    <nc r="C6821" t="inlineStr">
      <is>
        <t>Logs de adhesion request, response</t>
      </is>
    </nc>
    <ndxf>
      <alignment vertical="center" wrapText="1"/>
      <border outline="0">
        <left style="thin">
          <color indexed="64"/>
        </left>
        <right style="thin">
          <color indexed="64"/>
        </right>
        <top style="thin">
          <color indexed="64"/>
        </top>
        <bottom style="thin">
          <color indexed="64"/>
        </bottom>
      </border>
    </ndxf>
  </rcc>
  <rcc rId="11307" sId="1" xfDxf="1" dxf="1">
    <nc r="D6821" t="inlineStr">
      <is>
        <t>Datos</t>
      </is>
    </nc>
    <ndxf>
      <alignment vertical="center" wrapText="1"/>
      <border outline="0">
        <left style="thin">
          <color indexed="64"/>
        </left>
        <right style="thin">
          <color indexed="64"/>
        </right>
        <top style="thin">
          <color indexed="64"/>
        </top>
        <bottom style="thin">
          <color indexed="64"/>
        </bottom>
      </border>
    </ndxf>
  </rcc>
  <rfmt sheetId="1" xfDxf="1" sqref="E6821" start="0" length="0">
    <dxf>
      <alignment vertical="center" wrapText="1"/>
      <border outline="0">
        <left style="thin">
          <color indexed="64"/>
        </left>
        <right style="thin">
          <color indexed="64"/>
        </right>
        <top style="thin">
          <color indexed="64"/>
        </top>
        <bottom style="thin">
          <color indexed="64"/>
        </bottom>
      </border>
    </dxf>
  </rfmt>
  <rfmt sheetId="1" xfDxf="1" sqref="F6821" start="0" length="0">
    <dxf>
      <alignment vertical="center" wrapText="1"/>
      <border outline="0">
        <left style="thin">
          <color indexed="64"/>
        </left>
        <right style="thin">
          <color indexed="64"/>
        </right>
        <top style="thin">
          <color indexed="64"/>
        </top>
        <bottom style="thin">
          <color indexed="64"/>
        </bottom>
      </border>
    </dxf>
  </rfmt>
  <rfmt sheetId="1" xfDxf="1" sqref="G6821" start="0" length="0">
    <dxf>
      <alignment vertical="center" wrapText="1"/>
      <border outline="0">
        <left style="thin">
          <color indexed="64"/>
        </left>
        <right style="thin">
          <color indexed="64"/>
        </right>
        <top style="thin">
          <color indexed="64"/>
        </top>
        <bottom style="thin">
          <color indexed="64"/>
        </bottom>
      </border>
    </dxf>
  </rfmt>
  <rcc rId="11308" sId="1" xfDxf="1" dxf="1">
    <nc r="H6821" t="inlineStr">
      <is>
        <t>Pais</t>
      </is>
    </nc>
    <ndxf>
      <alignment vertical="center" wrapText="1"/>
      <border outline="0">
        <left style="thin">
          <color indexed="64"/>
        </left>
        <right style="thin">
          <color indexed="64"/>
        </right>
        <top style="thin">
          <color indexed="64"/>
        </top>
        <bottom style="thin">
          <color indexed="64"/>
        </bottom>
      </border>
    </ndxf>
  </rcc>
  <rcc rId="11309" sId="1" xfDxf="1" dxf="1" numFmtId="19">
    <nc r="I6821">
      <v>43658</v>
    </nc>
    <ndxf>
      <numFmt numFmtId="19" formatCode="d/m/yyyy"/>
      <alignment horizontal="center"/>
      <border outline="0">
        <left style="thin">
          <color indexed="64"/>
        </left>
        <right style="thin">
          <color indexed="64"/>
        </right>
        <top style="thin">
          <color indexed="64"/>
        </top>
        <bottom style="thin">
          <color indexed="64"/>
        </bottom>
      </border>
    </ndxf>
  </rcc>
  <rcc rId="11310" sId="1" xfDxf="1" dxf="1" numFmtId="19">
    <nc r="J6821">
      <v>45467</v>
    </nc>
    <ndxf>
      <numFmt numFmtId="19" formatCode="d/m/yyyy"/>
      <alignment horizontal="center"/>
      <border outline="0">
        <right style="thin">
          <color indexed="64"/>
        </right>
        <top style="thin">
          <color indexed="64"/>
        </top>
        <bottom style="thin">
          <color indexed="64"/>
        </bottom>
      </border>
    </ndxf>
  </rcc>
  <rcc rId="11311" sId="1" xfDxf="1" dxf="1">
    <nc r="K6821" t="inlineStr">
      <is>
        <t>CLARROSA</t>
      </is>
    </nc>
    <ndxf>
      <alignment vertical="center" wrapText="1"/>
      <border outline="0">
        <left style="thin">
          <color indexed="64"/>
        </left>
        <right style="thin">
          <color indexed="64"/>
        </right>
        <top style="thin">
          <color indexed="64"/>
        </top>
        <bottom style="thin">
          <color indexed="64"/>
        </bottom>
      </border>
    </ndxf>
  </rcc>
  <rfmt sheetId="1" xfDxf="1" sqref="L6821" start="0" length="0">
    <dxf>
      <border outline="0">
        <left style="thin">
          <color indexed="64"/>
        </left>
        <right style="thin">
          <color indexed="64"/>
        </right>
        <top style="thin">
          <color indexed="64"/>
        </top>
        <bottom style="thin">
          <color indexed="64"/>
        </bottom>
      </border>
    </dxf>
  </rfmt>
  <rfmt sheetId="1" xfDxf="1" sqref="M6821" start="0" length="0">
    <dxf>
      <border outline="0">
        <left style="thin">
          <color indexed="64"/>
        </left>
        <right style="thin">
          <color indexed="64"/>
        </right>
        <top style="thin">
          <color indexed="64"/>
        </top>
        <bottom style="thin">
          <color indexed="64"/>
        </bottom>
      </border>
    </dxf>
  </rfmt>
  <rfmt sheetId="1" xfDxf="1" sqref="N6821" start="0" length="0">
    <dxf>
      <border outline="0">
        <left style="thin">
          <color indexed="64"/>
        </left>
        <right style="thin">
          <color indexed="64"/>
        </right>
        <top style="thin">
          <color indexed="64"/>
        </top>
        <bottom style="thin">
          <color indexed="64"/>
        </bottom>
      </border>
    </dxf>
  </rfmt>
  <rfmt sheetId="1" xfDxf="1" sqref="O6821" start="0" length="0">
    <dxf>
      <border outline="0">
        <left style="thin">
          <color indexed="64"/>
        </left>
        <right style="thin">
          <color indexed="64"/>
        </right>
        <top style="thin">
          <color indexed="64"/>
        </top>
        <bottom style="thin">
          <color indexed="64"/>
        </bottom>
      </border>
    </dxf>
  </rfmt>
  <rfmt sheetId="1" xfDxf="1" sqref="P6821" start="0" length="0">
    <dxf>
      <border outline="0">
        <left style="thin">
          <color indexed="64"/>
        </left>
        <right style="thin">
          <color indexed="64"/>
        </right>
        <top style="thin">
          <color indexed="64"/>
        </top>
        <bottom style="thin">
          <color indexed="64"/>
        </bottom>
      </border>
    </dxf>
  </rfmt>
  <rcc rId="11312" sId="1" xfDxf="1" dxf="1">
    <nc r="Q6821" t="inlineStr">
      <is>
        <t>Argentina</t>
      </is>
    </nc>
    <ndxf>
      <border outline="0">
        <left style="thin">
          <color indexed="64"/>
        </left>
        <right style="thin">
          <color indexed="64"/>
        </right>
        <top style="thin">
          <color indexed="64"/>
        </top>
        <bottom style="thin">
          <color indexed="64"/>
        </bottom>
      </border>
    </ndxf>
  </rcc>
  <rfmt sheetId="1" xfDxf="1" sqref="R6821" start="0" length="0">
    <dxf>
      <border outline="0">
        <left style="thin">
          <color indexed="64"/>
        </left>
        <right style="thin">
          <color indexed="64"/>
        </right>
        <top style="thin">
          <color indexed="64"/>
        </top>
        <bottom style="thin">
          <color indexed="64"/>
        </bottom>
      </border>
    </dxf>
  </rfmt>
  <rcc rId="11313" sId="1" xfDxf="1" dxf="1">
    <nc r="B6822" t="inlineStr">
      <is>
        <t>DEAR23</t>
      </is>
    </nc>
    <ndxf>
      <alignment vertical="center" wrapText="1"/>
      <border outline="0">
        <left style="thin">
          <color indexed="64"/>
        </left>
        <right style="thin">
          <color indexed="64"/>
        </right>
        <top style="thin">
          <color indexed="64"/>
        </top>
        <bottom style="thin">
          <color indexed="64"/>
        </bottom>
      </border>
    </ndxf>
  </rcc>
  <rcc rId="11314" sId="1" xfDxf="1" dxf="1">
    <nc r="C6822" t="inlineStr">
      <is>
        <t>Request/Response de Transacciones CashOut</t>
      </is>
    </nc>
    <ndxf>
      <alignment vertical="center" wrapText="1"/>
      <border outline="0">
        <left style="thin">
          <color indexed="64"/>
        </left>
        <right style="thin">
          <color indexed="64"/>
        </right>
        <top style="thin">
          <color indexed="64"/>
        </top>
        <bottom style="thin">
          <color indexed="64"/>
        </bottom>
      </border>
    </ndxf>
  </rcc>
  <rcc rId="11315" sId="1" xfDxf="1" dxf="1">
    <nc r="D6822" t="inlineStr">
      <is>
        <t>Datos</t>
      </is>
    </nc>
    <ndxf>
      <alignment vertical="center" wrapText="1"/>
      <border outline="0">
        <left style="thin">
          <color indexed="64"/>
        </left>
        <right style="thin">
          <color indexed="64"/>
        </right>
        <top style="thin">
          <color indexed="64"/>
        </top>
        <bottom style="thin">
          <color indexed="64"/>
        </bottom>
      </border>
    </ndxf>
  </rcc>
  <rfmt sheetId="1" xfDxf="1" sqref="E6822" start="0" length="0">
    <dxf>
      <alignment vertical="center" wrapText="1"/>
      <border outline="0">
        <left style="thin">
          <color indexed="64"/>
        </left>
        <right style="thin">
          <color indexed="64"/>
        </right>
        <top style="thin">
          <color indexed="64"/>
        </top>
        <bottom style="thin">
          <color indexed="64"/>
        </bottom>
      </border>
    </dxf>
  </rfmt>
  <rfmt sheetId="1" xfDxf="1" sqref="F6822" start="0" length="0">
    <dxf>
      <alignment vertical="center" wrapText="1"/>
      <border outline="0">
        <left style="thin">
          <color indexed="64"/>
        </left>
        <right style="thin">
          <color indexed="64"/>
        </right>
        <top style="thin">
          <color indexed="64"/>
        </top>
        <bottom style="thin">
          <color indexed="64"/>
        </bottom>
      </border>
    </dxf>
  </rfmt>
  <rfmt sheetId="1" xfDxf="1" sqref="G6822" start="0" length="0">
    <dxf>
      <alignment vertical="center" wrapText="1"/>
      <border outline="0">
        <left style="thin">
          <color indexed="64"/>
        </left>
        <right style="thin">
          <color indexed="64"/>
        </right>
        <top style="thin">
          <color indexed="64"/>
        </top>
        <bottom style="thin">
          <color indexed="64"/>
        </bottom>
      </border>
    </dxf>
  </rfmt>
  <rcc rId="11316" sId="1" xfDxf="1" dxf="1">
    <nc r="H6822" t="inlineStr">
      <is>
        <t>Pais</t>
      </is>
    </nc>
    <ndxf>
      <alignment vertical="center" wrapText="1"/>
      <border outline="0">
        <left style="thin">
          <color indexed="64"/>
        </left>
        <right style="thin">
          <color indexed="64"/>
        </right>
        <top style="thin">
          <color indexed="64"/>
        </top>
        <bottom style="thin">
          <color indexed="64"/>
        </bottom>
      </border>
    </ndxf>
  </rcc>
  <rcc rId="11317" sId="1" xfDxf="1" dxf="1" numFmtId="19">
    <nc r="I6822">
      <v>45369</v>
    </nc>
    <ndxf>
      <numFmt numFmtId="19" formatCode="d/m/yyyy"/>
      <border outline="0">
        <left style="thin">
          <color indexed="64"/>
        </left>
        <right style="thin">
          <color indexed="64"/>
        </right>
        <top style="thin">
          <color indexed="64"/>
        </top>
        <bottom style="thin">
          <color indexed="64"/>
        </bottom>
      </border>
    </ndxf>
  </rcc>
  <rcc rId="11318" sId="1" xfDxf="1" dxf="1" numFmtId="19">
    <nc r="J6822">
      <v>45384</v>
    </nc>
    <ndxf>
      <numFmt numFmtId="19" formatCode="d/m/yyyy"/>
      <border outline="0">
        <top style="thin">
          <color indexed="64"/>
        </top>
        <bottom style="thin">
          <color indexed="64"/>
        </bottom>
      </border>
    </ndxf>
  </rcc>
  <rcc rId="11319" sId="1" xfDxf="1" dxf="1">
    <nc r="K6822"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2" start="0" length="0">
    <dxf>
      <border outline="0">
        <left style="thin">
          <color indexed="64"/>
        </left>
        <right style="thin">
          <color indexed="64"/>
        </right>
        <top style="thin">
          <color indexed="64"/>
        </top>
        <bottom style="thin">
          <color indexed="64"/>
        </bottom>
      </border>
    </dxf>
  </rfmt>
  <rfmt sheetId="1" xfDxf="1" sqref="M6822" start="0" length="0">
    <dxf>
      <border outline="0">
        <left style="thin">
          <color indexed="64"/>
        </left>
        <right style="thin">
          <color indexed="64"/>
        </right>
        <top style="thin">
          <color indexed="64"/>
        </top>
        <bottom style="thin">
          <color indexed="64"/>
        </bottom>
      </border>
    </dxf>
  </rfmt>
  <rfmt sheetId="1" xfDxf="1" sqref="N6822" start="0" length="0">
    <dxf>
      <border outline="0">
        <left style="thin">
          <color indexed="64"/>
        </left>
        <right style="thin">
          <color indexed="64"/>
        </right>
        <top style="thin">
          <color indexed="64"/>
        </top>
        <bottom style="thin">
          <color indexed="64"/>
        </bottom>
      </border>
    </dxf>
  </rfmt>
  <rfmt sheetId="1" xfDxf="1" sqref="O6822" start="0" length="0">
    <dxf>
      <border outline="0">
        <left style="thin">
          <color indexed="64"/>
        </left>
        <right style="thin">
          <color indexed="64"/>
        </right>
        <top style="thin">
          <color indexed="64"/>
        </top>
        <bottom style="thin">
          <color indexed="64"/>
        </bottom>
      </border>
    </dxf>
  </rfmt>
  <rfmt sheetId="1" xfDxf="1" sqref="P6822" start="0" length="0">
    <dxf>
      <border outline="0">
        <left style="thin">
          <color indexed="64"/>
        </left>
        <right style="thin">
          <color indexed="64"/>
        </right>
        <top style="thin">
          <color indexed="64"/>
        </top>
        <bottom style="thin">
          <color indexed="64"/>
        </bottom>
      </border>
    </dxf>
  </rfmt>
  <rcc rId="11320" sId="1" xfDxf="1" dxf="1">
    <nc r="Q6822" t="inlineStr">
      <is>
        <t>Argentina</t>
      </is>
    </nc>
    <ndxf>
      <border outline="0">
        <left style="thin">
          <color indexed="64"/>
        </left>
        <right style="thin">
          <color indexed="64"/>
        </right>
        <top style="thin">
          <color indexed="64"/>
        </top>
        <bottom style="thin">
          <color indexed="64"/>
        </bottom>
      </border>
    </ndxf>
  </rcc>
  <rfmt sheetId="1" xfDxf="1" sqref="R6822" start="0" length="0">
    <dxf>
      <border outline="0">
        <left style="thin">
          <color indexed="64"/>
        </left>
        <right style="thin">
          <color indexed="64"/>
        </right>
        <top style="thin">
          <color indexed="64"/>
        </top>
        <bottom style="thin">
          <color indexed="64"/>
        </bottom>
      </border>
    </dxf>
  </rfmt>
  <rcc rId="11321" sId="1" xfDxf="1" dxf="1">
    <nc r="B6823" t="inlineStr">
      <is>
        <t>DEAR73</t>
      </is>
    </nc>
    <ndxf>
      <alignment vertical="center" wrapText="1"/>
      <border outline="0">
        <left style="thin">
          <color indexed="64"/>
        </left>
        <right style="thin">
          <color indexed="64"/>
        </right>
        <top style="thin">
          <color indexed="64"/>
        </top>
        <bottom style="thin">
          <color indexed="64"/>
        </bottom>
      </border>
    </ndxf>
  </rcc>
  <rcc rId="11322" sId="1" xfDxf="1" dxf="1">
    <nc r="C6823" t="inlineStr">
      <is>
        <t>CEDIPs pendientes por presentar</t>
      </is>
    </nc>
    <ndxf>
      <alignment vertical="center" wrapText="1"/>
      <border outline="0">
        <left style="thin">
          <color indexed="64"/>
        </left>
        <right style="thin">
          <color indexed="64"/>
        </right>
        <top style="thin">
          <color indexed="64"/>
        </top>
        <bottom style="thin">
          <color indexed="64"/>
        </bottom>
      </border>
    </ndxf>
  </rcc>
  <rcc rId="11323" sId="1" xfDxf="1" dxf="1">
    <nc r="D6823" t="inlineStr">
      <is>
        <t>Datos</t>
      </is>
    </nc>
    <ndxf>
      <alignment vertical="center" wrapText="1"/>
      <border outline="0">
        <left style="thin">
          <color indexed="64"/>
        </left>
        <right style="thin">
          <color indexed="64"/>
        </right>
        <top style="thin">
          <color indexed="64"/>
        </top>
        <bottom style="thin">
          <color indexed="64"/>
        </bottom>
      </border>
    </ndxf>
  </rcc>
  <rfmt sheetId="1" xfDxf="1" sqref="E6823" start="0" length="0">
    <dxf>
      <alignment vertical="center" wrapText="1"/>
      <border outline="0">
        <left style="thin">
          <color indexed="64"/>
        </left>
        <right style="thin">
          <color indexed="64"/>
        </right>
        <top style="thin">
          <color indexed="64"/>
        </top>
        <bottom style="thin">
          <color indexed="64"/>
        </bottom>
      </border>
    </dxf>
  </rfmt>
  <rfmt sheetId="1" xfDxf="1" sqref="F6823" start="0" length="0">
    <dxf>
      <alignment vertical="center" wrapText="1"/>
      <border outline="0">
        <left style="thin">
          <color indexed="64"/>
        </left>
        <right style="thin">
          <color indexed="64"/>
        </right>
        <top style="thin">
          <color indexed="64"/>
        </top>
        <bottom style="thin">
          <color indexed="64"/>
        </bottom>
      </border>
    </dxf>
  </rfmt>
  <rfmt sheetId="1" xfDxf="1" sqref="G6823" start="0" length="0">
    <dxf>
      <alignment vertical="center" wrapText="1"/>
      <border outline="0">
        <left style="thin">
          <color indexed="64"/>
        </left>
        <right style="thin">
          <color indexed="64"/>
        </right>
        <top style="thin">
          <color indexed="64"/>
        </top>
        <bottom style="thin">
          <color indexed="64"/>
        </bottom>
      </border>
    </dxf>
  </rfmt>
  <rcc rId="11324" sId="1" xfDxf="1" dxf="1">
    <nc r="H6823" t="inlineStr">
      <is>
        <t>Pais</t>
      </is>
    </nc>
    <ndxf>
      <alignment vertical="center" wrapText="1"/>
      <border outline="0">
        <left style="thin">
          <color indexed="64"/>
        </left>
        <right style="thin">
          <color indexed="64"/>
        </right>
        <top style="thin">
          <color indexed="64"/>
        </top>
        <bottom style="thin">
          <color indexed="64"/>
        </bottom>
      </border>
    </ndxf>
  </rcc>
  <rcc rId="11325" sId="1" xfDxf="1" dxf="1" numFmtId="19">
    <nc r="I6823">
      <v>45187</v>
    </nc>
    <ndxf>
      <numFmt numFmtId="19" formatCode="d/m/yyyy"/>
      <border outline="0">
        <left style="thin">
          <color indexed="64"/>
        </left>
        <right style="thin">
          <color indexed="64"/>
        </right>
        <top style="thin">
          <color indexed="64"/>
        </top>
        <bottom style="thin">
          <color indexed="64"/>
        </bottom>
      </border>
    </ndxf>
  </rcc>
  <rcc rId="11326" sId="1" xfDxf="1" dxf="1" numFmtId="19">
    <nc r="J6823">
      <v>45385</v>
    </nc>
    <ndxf>
      <numFmt numFmtId="19" formatCode="d/m/yyyy"/>
      <alignment horizontal="center"/>
      <border outline="0">
        <right style="thin">
          <color indexed="64"/>
        </right>
        <top style="thin">
          <color indexed="64"/>
        </top>
        <bottom style="thin">
          <color indexed="64"/>
        </bottom>
      </border>
    </ndxf>
  </rcc>
  <rcc rId="11327" sId="1" xfDxf="1" dxf="1">
    <nc r="K6823" t="inlineStr">
      <is>
        <t>CLARROSA</t>
      </is>
    </nc>
    <ndxf>
      <alignment vertical="center" wrapText="1"/>
      <border outline="0">
        <left style="thin">
          <color indexed="64"/>
        </left>
        <right style="thin">
          <color indexed="64"/>
        </right>
        <bottom style="thin">
          <color indexed="64"/>
        </bottom>
      </border>
    </ndxf>
  </rcc>
  <rfmt sheetId="1" xfDxf="1" sqref="L6823" start="0" length="0">
    <dxf>
      <border outline="0">
        <left style="thin">
          <color indexed="64"/>
        </left>
        <right style="thin">
          <color indexed="64"/>
        </right>
        <top style="thin">
          <color indexed="64"/>
        </top>
        <bottom style="thin">
          <color indexed="64"/>
        </bottom>
      </border>
    </dxf>
  </rfmt>
  <rfmt sheetId="1" xfDxf="1" sqref="M6823" start="0" length="0">
    <dxf>
      <border outline="0">
        <left style="thin">
          <color indexed="64"/>
        </left>
        <right style="thin">
          <color indexed="64"/>
        </right>
        <top style="thin">
          <color indexed="64"/>
        </top>
        <bottom style="thin">
          <color indexed="64"/>
        </bottom>
      </border>
    </dxf>
  </rfmt>
  <rfmt sheetId="1" xfDxf="1" sqref="N6823" start="0" length="0">
    <dxf>
      <border outline="0">
        <left style="thin">
          <color indexed="64"/>
        </left>
        <right style="thin">
          <color indexed="64"/>
        </right>
        <top style="thin">
          <color indexed="64"/>
        </top>
        <bottom style="thin">
          <color indexed="64"/>
        </bottom>
      </border>
    </dxf>
  </rfmt>
  <rfmt sheetId="1" xfDxf="1" sqref="O6823" start="0" length="0">
    <dxf>
      <border outline="0">
        <left style="thin">
          <color indexed="64"/>
        </left>
        <right style="thin">
          <color indexed="64"/>
        </right>
        <top style="thin">
          <color indexed="64"/>
        </top>
        <bottom style="thin">
          <color indexed="64"/>
        </bottom>
      </border>
    </dxf>
  </rfmt>
  <rfmt sheetId="1" xfDxf="1" sqref="P6823" start="0" length="0">
    <dxf>
      <border outline="0">
        <left style="thin">
          <color indexed="64"/>
        </left>
        <right style="thin">
          <color indexed="64"/>
        </right>
        <top style="thin">
          <color indexed="64"/>
        </top>
        <bottom style="thin">
          <color indexed="64"/>
        </bottom>
      </border>
    </dxf>
  </rfmt>
  <rcc rId="11328" sId="1" xfDxf="1" dxf="1">
    <nc r="Q6823" t="inlineStr">
      <is>
        <t>Argentina</t>
      </is>
    </nc>
    <ndxf>
      <border outline="0">
        <left style="thin">
          <color indexed="64"/>
        </left>
        <right style="thin">
          <color indexed="64"/>
        </right>
        <top style="thin">
          <color indexed="64"/>
        </top>
        <bottom style="thin">
          <color indexed="64"/>
        </bottom>
      </border>
    </ndxf>
  </rcc>
  <rfmt sheetId="1" xfDxf="1" sqref="R6823" start="0" length="0">
    <dxf>
      <border outline="0">
        <left style="thin">
          <color indexed="64"/>
        </left>
        <right style="thin">
          <color indexed="64"/>
        </right>
        <top style="thin">
          <color indexed="64"/>
        </top>
        <bottom style="thin">
          <color indexed="64"/>
        </bottom>
      </border>
    </dxf>
  </rfmt>
  <rcc rId="11329" sId="1" xfDxf="1" dxf="1">
    <nc r="B6824" t="inlineStr">
      <is>
        <t>DEAR74</t>
      </is>
    </nc>
    <ndxf>
      <alignment vertical="center" wrapText="1"/>
      <border outline="0">
        <left style="thin">
          <color indexed="64"/>
        </left>
        <right style="thin">
          <color indexed="64"/>
        </right>
        <top style="thin">
          <color indexed="64"/>
        </top>
        <bottom style="thin">
          <color indexed="64"/>
        </bottom>
      </border>
    </ndxf>
  </rcc>
  <rcc rId="11330" sId="1" xfDxf="1" dxf="1">
    <nc r="C6824" t="inlineStr">
      <is>
        <t>Cabecera Compensacion CEDIP</t>
      </is>
    </nc>
    <ndxf>
      <alignment vertical="center" wrapText="1"/>
      <border outline="0">
        <left style="thin">
          <color indexed="64"/>
        </left>
        <right style="thin">
          <color indexed="64"/>
        </right>
        <top style="thin">
          <color indexed="64"/>
        </top>
        <bottom style="thin">
          <color indexed="64"/>
        </bottom>
      </border>
    </ndxf>
  </rcc>
  <rcc rId="11331" sId="1" xfDxf="1" dxf="1">
    <nc r="D6824" t="inlineStr">
      <is>
        <t>Datos</t>
      </is>
    </nc>
    <ndxf>
      <alignment vertical="center" wrapText="1"/>
      <border outline="0">
        <left style="thin">
          <color indexed="64"/>
        </left>
        <right style="thin">
          <color indexed="64"/>
        </right>
        <top style="thin">
          <color indexed="64"/>
        </top>
        <bottom style="thin">
          <color indexed="64"/>
        </bottom>
      </border>
    </ndxf>
  </rcc>
  <rfmt sheetId="1" xfDxf="1" sqref="E6824" start="0" length="0">
    <dxf>
      <alignment vertical="center" wrapText="1"/>
      <border outline="0">
        <left style="thin">
          <color indexed="64"/>
        </left>
        <right style="thin">
          <color indexed="64"/>
        </right>
        <top style="thin">
          <color indexed="64"/>
        </top>
        <bottom style="thin">
          <color indexed="64"/>
        </bottom>
      </border>
    </dxf>
  </rfmt>
  <rfmt sheetId="1" xfDxf="1" sqref="F6824" start="0" length="0">
    <dxf>
      <alignment vertical="center" wrapText="1"/>
      <border outline="0">
        <left style="thin">
          <color indexed="64"/>
        </left>
        <right style="thin">
          <color indexed="64"/>
        </right>
        <top style="thin">
          <color indexed="64"/>
        </top>
        <bottom style="thin">
          <color indexed="64"/>
        </bottom>
      </border>
    </dxf>
  </rfmt>
  <rfmt sheetId="1" xfDxf="1" sqref="G6824" start="0" length="0">
    <dxf>
      <alignment vertical="center" wrapText="1"/>
      <border outline="0">
        <left style="thin">
          <color indexed="64"/>
        </left>
        <right style="thin">
          <color indexed="64"/>
        </right>
        <top style="thin">
          <color indexed="64"/>
        </top>
        <bottom style="thin">
          <color indexed="64"/>
        </bottom>
      </border>
    </dxf>
  </rfmt>
  <rcc rId="11332" sId="1" xfDxf="1" dxf="1">
    <nc r="H6824" t="inlineStr">
      <is>
        <t>Pais</t>
      </is>
    </nc>
    <ndxf>
      <alignment vertical="center" wrapText="1"/>
      <border outline="0">
        <left style="thin">
          <color indexed="64"/>
        </left>
        <right style="thin">
          <color indexed="64"/>
        </right>
        <top style="thin">
          <color indexed="64"/>
        </top>
        <bottom style="thin">
          <color indexed="64"/>
        </bottom>
      </border>
    </ndxf>
  </rcc>
  <rcc rId="11333" sId="1" xfDxf="1" dxf="1" numFmtId="19">
    <nc r="I6824">
      <v>45238</v>
    </nc>
    <ndxf>
      <numFmt numFmtId="19" formatCode="d/m/yyyy"/>
      <border outline="0">
        <left style="thin">
          <color indexed="64"/>
        </left>
        <right style="thin">
          <color indexed="64"/>
        </right>
        <top style="thin">
          <color indexed="64"/>
        </top>
        <bottom style="thin">
          <color indexed="64"/>
        </bottom>
      </border>
    </ndxf>
  </rcc>
  <rcc rId="11334" sId="1" xfDxf="1" dxf="1" numFmtId="19">
    <nc r="J6824">
      <v>45448</v>
    </nc>
    <ndxf>
      <numFmt numFmtId="19" formatCode="d/m/yyyy"/>
      <alignment horizontal="center"/>
      <border outline="0">
        <right style="thin">
          <color indexed="64"/>
        </right>
        <top style="thin">
          <color indexed="64"/>
        </top>
        <bottom style="thin">
          <color indexed="64"/>
        </bottom>
      </border>
    </ndxf>
  </rcc>
  <rcc rId="11335" sId="1" xfDxf="1" dxf="1">
    <nc r="K6824"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4" start="0" length="0">
    <dxf>
      <border outline="0">
        <left style="thin">
          <color indexed="64"/>
        </left>
        <right style="thin">
          <color indexed="64"/>
        </right>
        <top style="thin">
          <color indexed="64"/>
        </top>
        <bottom style="thin">
          <color indexed="64"/>
        </bottom>
      </border>
    </dxf>
  </rfmt>
  <rfmt sheetId="1" xfDxf="1" sqref="M6824" start="0" length="0">
    <dxf>
      <border outline="0">
        <left style="thin">
          <color indexed="64"/>
        </left>
        <right style="thin">
          <color indexed="64"/>
        </right>
        <top style="thin">
          <color indexed="64"/>
        </top>
        <bottom style="thin">
          <color indexed="64"/>
        </bottom>
      </border>
    </dxf>
  </rfmt>
  <rfmt sheetId="1" xfDxf="1" sqref="N6824" start="0" length="0">
    <dxf>
      <border outline="0">
        <left style="thin">
          <color indexed="64"/>
        </left>
        <right style="thin">
          <color indexed="64"/>
        </right>
        <top style="thin">
          <color indexed="64"/>
        </top>
        <bottom style="thin">
          <color indexed="64"/>
        </bottom>
      </border>
    </dxf>
  </rfmt>
  <rfmt sheetId="1" xfDxf="1" sqref="O6824" start="0" length="0">
    <dxf>
      <border outline="0">
        <left style="thin">
          <color indexed="64"/>
        </left>
        <right style="thin">
          <color indexed="64"/>
        </right>
        <top style="thin">
          <color indexed="64"/>
        </top>
        <bottom style="thin">
          <color indexed="64"/>
        </bottom>
      </border>
    </dxf>
  </rfmt>
  <rfmt sheetId="1" xfDxf="1" sqref="P6824" start="0" length="0">
    <dxf>
      <border outline="0">
        <left style="thin">
          <color indexed="64"/>
        </left>
        <right style="thin">
          <color indexed="64"/>
        </right>
        <top style="thin">
          <color indexed="64"/>
        </top>
        <bottom style="thin">
          <color indexed="64"/>
        </bottom>
      </border>
    </dxf>
  </rfmt>
  <rcc rId="11336" sId="1" xfDxf="1" dxf="1">
    <nc r="Q6824" t="inlineStr">
      <is>
        <t>Argentina</t>
      </is>
    </nc>
    <ndxf>
      <border outline="0">
        <left style="thin">
          <color indexed="64"/>
        </left>
        <right style="thin">
          <color indexed="64"/>
        </right>
        <top style="thin">
          <color indexed="64"/>
        </top>
        <bottom style="thin">
          <color indexed="64"/>
        </bottom>
      </border>
    </ndxf>
  </rcc>
  <rfmt sheetId="1" xfDxf="1" sqref="R6824" start="0" length="0">
    <dxf>
      <border outline="0">
        <left style="thin">
          <color indexed="64"/>
        </left>
        <right style="thin">
          <color indexed="64"/>
        </right>
        <top style="thin">
          <color indexed="64"/>
        </top>
        <bottom style="thin">
          <color indexed="64"/>
        </bottom>
      </border>
    </dxf>
  </rfmt>
  <rcc rId="11337" sId="1" xfDxf="1" dxf="1">
    <nc r="B6825" t="inlineStr">
      <is>
        <t>DEAR75</t>
      </is>
    </nc>
    <ndxf>
      <alignment vertical="center" wrapText="1"/>
      <border outline="0">
        <left style="thin">
          <color indexed="64"/>
        </left>
        <right style="thin">
          <color indexed="64"/>
        </right>
        <top style="thin">
          <color indexed="64"/>
        </top>
        <bottom style="thin">
          <color indexed="64"/>
        </bottom>
      </border>
    </ndxf>
  </rcc>
  <rcc rId="11338" sId="1" xfDxf="1" dxf="1">
    <nc r="C6825" t="inlineStr">
      <is>
        <t>Detalle Lote Compensacion CEDIP</t>
      </is>
    </nc>
    <ndxf>
      <alignment vertical="center" wrapText="1"/>
      <border outline="0">
        <left style="thin">
          <color indexed="64"/>
        </left>
        <right style="thin">
          <color indexed="64"/>
        </right>
        <top style="thin">
          <color indexed="64"/>
        </top>
        <bottom style="thin">
          <color indexed="64"/>
        </bottom>
      </border>
    </ndxf>
  </rcc>
  <rcc rId="11339" sId="1" xfDxf="1" dxf="1">
    <nc r="D6825" t="inlineStr">
      <is>
        <t>Datos</t>
      </is>
    </nc>
    <ndxf>
      <alignment vertical="center" wrapText="1"/>
      <border outline="0">
        <left style="thin">
          <color indexed="64"/>
        </left>
        <right style="thin">
          <color indexed="64"/>
        </right>
        <top style="thin">
          <color indexed="64"/>
        </top>
        <bottom style="thin">
          <color indexed="64"/>
        </bottom>
      </border>
    </ndxf>
  </rcc>
  <rfmt sheetId="1" xfDxf="1" sqref="E6825" start="0" length="0">
    <dxf>
      <alignment vertical="center" wrapText="1"/>
      <border outline="0">
        <left style="thin">
          <color indexed="64"/>
        </left>
        <right style="thin">
          <color indexed="64"/>
        </right>
        <top style="thin">
          <color indexed="64"/>
        </top>
        <bottom style="thin">
          <color indexed="64"/>
        </bottom>
      </border>
    </dxf>
  </rfmt>
  <rfmt sheetId="1" xfDxf="1" sqref="F6825" start="0" length="0">
    <dxf>
      <alignment vertical="center" wrapText="1"/>
      <border outline="0">
        <left style="thin">
          <color indexed="64"/>
        </left>
        <right style="thin">
          <color indexed="64"/>
        </right>
        <top style="thin">
          <color indexed="64"/>
        </top>
        <bottom style="thin">
          <color indexed="64"/>
        </bottom>
      </border>
    </dxf>
  </rfmt>
  <rfmt sheetId="1" xfDxf="1" sqref="G6825" start="0" length="0">
    <dxf>
      <alignment vertical="center" wrapText="1"/>
      <border outline="0">
        <left style="thin">
          <color indexed="64"/>
        </left>
        <right style="thin">
          <color indexed="64"/>
        </right>
        <top style="thin">
          <color indexed="64"/>
        </top>
        <bottom style="thin">
          <color indexed="64"/>
        </bottom>
      </border>
    </dxf>
  </rfmt>
  <rcc rId="11340" sId="1" xfDxf="1" dxf="1">
    <nc r="H6825" t="inlineStr">
      <is>
        <t>Pais</t>
      </is>
    </nc>
    <ndxf>
      <alignment vertical="center" wrapText="1"/>
      <border outline="0">
        <left style="thin">
          <color indexed="64"/>
        </left>
        <right style="thin">
          <color indexed="64"/>
        </right>
        <top style="thin">
          <color indexed="64"/>
        </top>
        <bottom style="thin">
          <color indexed="64"/>
        </bottom>
      </border>
    </ndxf>
  </rcc>
  <rcc rId="11341" sId="1" xfDxf="1" dxf="1" numFmtId="19">
    <nc r="I6825">
      <v>45238</v>
    </nc>
    <ndxf>
      <numFmt numFmtId="19" formatCode="d/m/yyyy"/>
      <border outline="0">
        <left style="thin">
          <color indexed="64"/>
        </left>
        <right style="thin">
          <color indexed="64"/>
        </right>
        <top style="thin">
          <color indexed="64"/>
        </top>
        <bottom style="thin">
          <color indexed="64"/>
        </bottom>
      </border>
    </ndxf>
  </rcc>
  <rcc rId="11342" sId="1" xfDxf="1" dxf="1" numFmtId="19">
    <nc r="J6825">
      <v>45448</v>
    </nc>
    <ndxf>
      <numFmt numFmtId="19" formatCode="d/m/yyyy"/>
      <alignment horizontal="center"/>
      <border outline="0">
        <right style="thin">
          <color indexed="64"/>
        </right>
        <top style="thin">
          <color indexed="64"/>
        </top>
        <bottom style="thin">
          <color indexed="64"/>
        </bottom>
      </border>
    </ndxf>
  </rcc>
  <rcc rId="11343" sId="1" xfDxf="1" dxf="1">
    <nc r="K6825" t="inlineStr">
      <is>
        <t>mfleitas</t>
      </is>
    </nc>
    <ndxf>
      <alignment vertical="center" wrapText="1"/>
      <border outline="0">
        <left style="thin">
          <color indexed="64"/>
        </left>
        <right style="thin">
          <color indexed="64"/>
        </right>
        <top style="thin">
          <color indexed="64"/>
        </top>
        <bottom style="thin">
          <color indexed="64"/>
        </bottom>
      </border>
    </ndxf>
  </rcc>
  <rfmt sheetId="1" xfDxf="1" sqref="L6825" start="0" length="0">
    <dxf>
      <border outline="0">
        <left style="thin">
          <color indexed="64"/>
        </left>
        <right style="thin">
          <color indexed="64"/>
        </right>
        <top style="thin">
          <color indexed="64"/>
        </top>
        <bottom style="thin">
          <color indexed="64"/>
        </bottom>
      </border>
    </dxf>
  </rfmt>
  <rfmt sheetId="1" xfDxf="1" sqref="M6825" start="0" length="0">
    <dxf>
      <border outline="0">
        <left style="thin">
          <color indexed="64"/>
        </left>
        <right style="thin">
          <color indexed="64"/>
        </right>
        <top style="thin">
          <color indexed="64"/>
        </top>
        <bottom style="thin">
          <color indexed="64"/>
        </bottom>
      </border>
    </dxf>
  </rfmt>
  <rfmt sheetId="1" xfDxf="1" sqref="N6825" start="0" length="0">
    <dxf>
      <border outline="0">
        <left style="thin">
          <color indexed="64"/>
        </left>
        <right style="thin">
          <color indexed="64"/>
        </right>
        <top style="thin">
          <color indexed="64"/>
        </top>
        <bottom style="thin">
          <color indexed="64"/>
        </bottom>
      </border>
    </dxf>
  </rfmt>
  <rfmt sheetId="1" xfDxf="1" sqref="O6825" start="0" length="0">
    <dxf>
      <border outline="0">
        <left style="thin">
          <color indexed="64"/>
        </left>
        <right style="thin">
          <color indexed="64"/>
        </right>
        <top style="thin">
          <color indexed="64"/>
        </top>
        <bottom style="thin">
          <color indexed="64"/>
        </bottom>
      </border>
    </dxf>
  </rfmt>
  <rfmt sheetId="1" xfDxf="1" sqref="P6825" start="0" length="0">
    <dxf>
      <border outline="0">
        <left style="thin">
          <color indexed="64"/>
        </left>
        <right style="thin">
          <color indexed="64"/>
        </right>
        <top style="thin">
          <color indexed="64"/>
        </top>
        <bottom style="thin">
          <color indexed="64"/>
        </bottom>
      </border>
    </dxf>
  </rfmt>
  <rcc rId="11344" sId="1" xfDxf="1" dxf="1">
    <nc r="Q6825" t="inlineStr">
      <is>
        <t>Argentina</t>
      </is>
    </nc>
    <ndxf>
      <border outline="0">
        <left style="thin">
          <color indexed="64"/>
        </left>
        <right style="thin">
          <color indexed="64"/>
        </right>
        <top style="thin">
          <color indexed="64"/>
        </top>
        <bottom style="thin">
          <color indexed="64"/>
        </bottom>
      </border>
    </ndxf>
  </rcc>
  <rfmt sheetId="1" xfDxf="1" sqref="R6825" start="0" length="0">
    <dxf>
      <border outline="0">
        <left style="thin">
          <color indexed="64"/>
        </left>
        <right style="thin">
          <color indexed="64"/>
        </right>
        <top style="thin">
          <color indexed="64"/>
        </top>
        <bottom style="thin">
          <color indexed="64"/>
        </bottom>
      </border>
    </dxf>
  </rfmt>
  <rcc rId="11345" sId="1" xfDxf="1" dxf="1">
    <nc r="B6826" t="inlineStr">
      <is>
        <t>DEPY50</t>
      </is>
    </nc>
    <ndxf>
      <alignment vertical="center" wrapText="1"/>
      <border outline="0">
        <left style="thin">
          <color indexed="64"/>
        </left>
        <right style="thin">
          <color indexed="64"/>
        </right>
        <top style="thin">
          <color indexed="64"/>
        </top>
        <bottom style="thin">
          <color indexed="64"/>
        </bottom>
      </border>
    </ndxf>
  </rcc>
  <rcc rId="11346" sId="1" xfDxf="1" dxf="1">
    <nc r="C6826" t="inlineStr">
      <is>
        <t>CAS Cliente</t>
      </is>
    </nc>
    <ndxf>
      <alignment vertical="center" wrapText="1"/>
      <border outline="0">
        <left style="thin">
          <color indexed="64"/>
        </left>
        <right style="thin">
          <color indexed="64"/>
        </right>
        <top style="thin">
          <color indexed="64"/>
        </top>
        <bottom style="thin">
          <color indexed="64"/>
        </bottom>
      </border>
    </ndxf>
  </rcc>
  <rcc rId="11347" sId="1" xfDxf="1" dxf="1">
    <nc r="D6826"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26" start="0" length="0">
    <dxf>
      <alignment vertical="center" wrapText="1"/>
      <border outline="0">
        <left style="thin">
          <color indexed="64"/>
        </left>
        <right style="thin">
          <color indexed="64"/>
        </right>
        <top style="thin">
          <color indexed="64"/>
        </top>
        <bottom style="thin">
          <color indexed="64"/>
        </bottom>
      </border>
    </dxf>
  </rfmt>
  <rfmt sheetId="1" xfDxf="1" sqref="F6826" start="0" length="0">
    <dxf>
      <alignment vertical="center" wrapText="1"/>
      <border outline="0">
        <left style="thin">
          <color indexed="64"/>
        </left>
        <right style="thin">
          <color indexed="64"/>
        </right>
        <top style="thin">
          <color indexed="64"/>
        </top>
        <bottom style="thin">
          <color indexed="64"/>
        </bottom>
      </border>
    </dxf>
  </rfmt>
  <rfmt sheetId="1" xfDxf="1" sqref="G6826" start="0" length="0">
    <dxf>
      <alignment vertical="center" wrapText="1"/>
      <border outline="0">
        <left style="thin">
          <color indexed="64"/>
        </left>
        <right style="thin">
          <color indexed="64"/>
        </right>
        <top style="thin">
          <color indexed="64"/>
        </top>
        <bottom style="thin">
          <color indexed="64"/>
        </bottom>
      </border>
    </dxf>
  </rfmt>
  <rcc rId="11348" sId="1" xfDxf="1" dxf="1">
    <nc r="H6826" t="inlineStr">
      <is>
        <t>Pais</t>
      </is>
    </nc>
    <ndxf>
      <alignment vertical="center" wrapText="1"/>
      <border outline="0">
        <left style="thin">
          <color indexed="64"/>
        </left>
        <right style="thin">
          <color indexed="64"/>
        </right>
        <top style="thin">
          <color indexed="64"/>
        </top>
        <bottom style="thin">
          <color indexed="64"/>
        </bottom>
      </border>
    </ndxf>
  </rcc>
  <rcc rId="11349" sId="1" xfDxf="1" dxf="1" numFmtId="19">
    <nc r="I6826">
      <v>45152</v>
    </nc>
    <ndxf>
      <numFmt numFmtId="19" formatCode="d/m/yyyy"/>
      <border outline="0">
        <left style="thin">
          <color indexed="64"/>
        </left>
        <right style="thin">
          <color indexed="64"/>
        </right>
        <bottom style="thin">
          <color indexed="64"/>
        </bottom>
      </border>
    </ndxf>
  </rcc>
  <rcc rId="11350" sId="1" xfDxf="1" dxf="1" numFmtId="19">
    <nc r="J6826">
      <v>45385</v>
    </nc>
    <ndxf>
      <numFmt numFmtId="19" formatCode="d/m/yyyy"/>
      <alignment horizontal="center"/>
    </ndxf>
  </rcc>
  <rcc rId="11351" sId="1" xfDxf="1" dxf="1">
    <nc r="K6826"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6" start="0" length="0">
    <dxf>
      <border outline="0">
        <left style="thin">
          <color indexed="64"/>
        </left>
        <right style="thin">
          <color indexed="64"/>
        </right>
        <top style="thin">
          <color indexed="64"/>
        </top>
        <bottom style="thin">
          <color indexed="64"/>
        </bottom>
      </border>
    </dxf>
  </rfmt>
  <rfmt sheetId="1" xfDxf="1" sqref="M6826" start="0" length="0">
    <dxf>
      <border outline="0">
        <left style="thin">
          <color indexed="64"/>
        </left>
        <right style="thin">
          <color indexed="64"/>
        </right>
        <top style="thin">
          <color indexed="64"/>
        </top>
        <bottom style="thin">
          <color indexed="64"/>
        </bottom>
      </border>
    </dxf>
  </rfmt>
  <rfmt sheetId="1" xfDxf="1" sqref="N6826" start="0" length="0">
    <dxf>
      <border outline="0">
        <left style="thin">
          <color indexed="64"/>
        </left>
        <right style="thin">
          <color indexed="64"/>
        </right>
        <top style="thin">
          <color indexed="64"/>
        </top>
        <bottom style="thin">
          <color indexed="64"/>
        </bottom>
      </border>
    </dxf>
  </rfmt>
  <rfmt sheetId="1" xfDxf="1" sqref="O6826" start="0" length="0">
    <dxf>
      <border outline="0">
        <left style="thin">
          <color indexed="64"/>
        </left>
        <right style="thin">
          <color indexed="64"/>
        </right>
        <top style="thin">
          <color indexed="64"/>
        </top>
        <bottom style="thin">
          <color indexed="64"/>
        </bottom>
      </border>
    </dxf>
  </rfmt>
  <rfmt sheetId="1" xfDxf="1" sqref="P6826" start="0" length="0">
    <dxf>
      <border outline="0">
        <left style="thin">
          <color indexed="64"/>
        </left>
        <right style="thin">
          <color indexed="64"/>
        </right>
        <top style="thin">
          <color indexed="64"/>
        </top>
        <bottom style="thin">
          <color indexed="64"/>
        </bottom>
      </border>
    </dxf>
  </rfmt>
  <rcc rId="11352" sId="1" xfDxf="1" dxf="1">
    <nc r="Q6826" t="inlineStr">
      <is>
        <t>Paraguay</t>
      </is>
    </nc>
    <ndxf>
      <border outline="0">
        <left style="thin">
          <color indexed="64"/>
        </left>
        <right style="thin">
          <color indexed="64"/>
        </right>
        <top style="thin">
          <color indexed="64"/>
        </top>
        <bottom style="thin">
          <color indexed="64"/>
        </bottom>
      </border>
    </ndxf>
  </rcc>
  <rfmt sheetId="1" xfDxf="1" sqref="R6826" start="0" length="0">
    <dxf>
      <border outline="0">
        <left style="thin">
          <color indexed="64"/>
        </left>
        <right style="thin">
          <color indexed="64"/>
        </right>
        <top style="thin">
          <color indexed="64"/>
        </top>
        <bottom style="thin">
          <color indexed="64"/>
        </bottom>
      </border>
    </dxf>
  </rfmt>
  <rcc rId="11353" sId="1" xfDxf="1" dxf="1">
    <nc r="B6827" t="inlineStr">
      <is>
        <t>DEPY51</t>
      </is>
    </nc>
    <ndxf>
      <alignment vertical="center" wrapText="1"/>
      <border outline="0">
        <left style="thin">
          <color indexed="64"/>
        </left>
        <right style="thin">
          <color indexed="64"/>
        </right>
        <top style="thin">
          <color indexed="64"/>
        </top>
        <bottom style="thin">
          <color indexed="64"/>
        </bottom>
      </border>
    </ndxf>
  </rcc>
  <rcc rId="11354" sId="1" xfDxf="1" dxf="1">
    <nc r="C6827" t="inlineStr">
      <is>
        <t>CAS Alias</t>
      </is>
    </nc>
    <ndxf>
      <alignment vertical="center" wrapText="1"/>
      <border outline="0">
        <left style="thin">
          <color indexed="64"/>
        </left>
        <right style="thin">
          <color indexed="64"/>
        </right>
        <top style="thin">
          <color indexed="64"/>
        </top>
        <bottom style="thin">
          <color indexed="64"/>
        </bottom>
      </border>
    </ndxf>
  </rcc>
  <rcc rId="11355" sId="1" xfDxf="1" dxf="1">
    <nc r="D6827" t="inlineStr">
      <is>
        <t>Datos</t>
      </is>
    </nc>
    <ndxf>
      <alignment vertical="center" wrapText="1"/>
      <border outline="0">
        <left style="thin">
          <color indexed="64"/>
        </left>
        <right style="thin">
          <color indexed="64"/>
        </right>
        <top style="thin">
          <color indexed="64"/>
        </top>
        <bottom style="thin">
          <color indexed="64"/>
        </bottom>
      </border>
    </ndxf>
  </rcc>
  <rfmt sheetId="1" xfDxf="1" sqref="E6827" start="0" length="0">
    <dxf>
      <alignment vertical="center" wrapText="1"/>
      <border outline="0">
        <left style="thin">
          <color indexed="64"/>
        </left>
        <right style="thin">
          <color indexed="64"/>
        </right>
        <top style="thin">
          <color indexed="64"/>
        </top>
        <bottom style="thin">
          <color indexed="64"/>
        </bottom>
      </border>
    </dxf>
  </rfmt>
  <rfmt sheetId="1" xfDxf="1" sqref="F6827" start="0" length="0">
    <dxf>
      <alignment vertical="center" wrapText="1"/>
      <border outline="0">
        <left style="thin">
          <color indexed="64"/>
        </left>
        <right style="thin">
          <color indexed="64"/>
        </right>
        <top style="thin">
          <color indexed="64"/>
        </top>
        <bottom style="thin">
          <color indexed="64"/>
        </bottom>
      </border>
    </dxf>
  </rfmt>
  <rfmt sheetId="1" xfDxf="1" sqref="G6827" start="0" length="0">
    <dxf>
      <alignment vertical="center" wrapText="1"/>
      <border outline="0">
        <left style="thin">
          <color indexed="64"/>
        </left>
        <right style="thin">
          <color indexed="64"/>
        </right>
        <top style="thin">
          <color indexed="64"/>
        </top>
        <bottom style="thin">
          <color indexed="64"/>
        </bottom>
      </border>
    </dxf>
  </rfmt>
  <rcc rId="11356" sId="1" xfDxf="1" dxf="1">
    <nc r="H6827" t="inlineStr">
      <is>
        <t>Pais</t>
      </is>
    </nc>
    <ndxf>
      <alignment vertical="center" wrapText="1"/>
      <border outline="0">
        <left style="thin">
          <color indexed="64"/>
        </left>
        <right style="thin">
          <color indexed="64"/>
        </right>
        <top style="thin">
          <color indexed="64"/>
        </top>
        <bottom style="thin">
          <color indexed="64"/>
        </bottom>
      </border>
    </ndxf>
  </rcc>
  <rcc rId="11357" sId="1" xfDxf="1" dxf="1" numFmtId="19">
    <nc r="I6827">
      <v>45152</v>
    </nc>
    <ndxf>
      <numFmt numFmtId="19" formatCode="d/m/yyyy"/>
      <border outline="0">
        <left style="thin">
          <color indexed="64"/>
        </left>
        <right style="thin">
          <color indexed="64"/>
        </right>
        <bottom style="thin">
          <color indexed="64"/>
        </bottom>
      </border>
    </ndxf>
  </rcc>
  <rcc rId="11358" sId="1" xfDxf="1" dxf="1" numFmtId="19">
    <nc r="J6827">
      <v>45385</v>
    </nc>
    <ndxf>
      <numFmt numFmtId="19" formatCode="d/m/yyyy"/>
      <alignment horizontal="center"/>
      <border outline="0">
        <right style="thin">
          <color indexed="64"/>
        </right>
        <top style="thin">
          <color indexed="64"/>
        </top>
        <bottom style="thin">
          <color indexed="64"/>
        </bottom>
      </border>
    </ndxf>
  </rcc>
  <rcc rId="11359" sId="1" xfDxf="1" dxf="1">
    <nc r="K6827"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7" start="0" length="0">
    <dxf>
      <border outline="0">
        <left style="thin">
          <color indexed="64"/>
        </left>
        <right style="thin">
          <color indexed="64"/>
        </right>
        <top style="thin">
          <color indexed="64"/>
        </top>
        <bottom style="thin">
          <color indexed="64"/>
        </bottom>
      </border>
    </dxf>
  </rfmt>
  <rfmt sheetId="1" xfDxf="1" sqref="M6827" start="0" length="0">
    <dxf>
      <border outline="0">
        <left style="thin">
          <color indexed="64"/>
        </left>
        <right style="thin">
          <color indexed="64"/>
        </right>
        <top style="thin">
          <color indexed="64"/>
        </top>
        <bottom style="thin">
          <color indexed="64"/>
        </bottom>
      </border>
    </dxf>
  </rfmt>
  <rfmt sheetId="1" xfDxf="1" sqref="N6827" start="0" length="0">
    <dxf>
      <border outline="0">
        <left style="thin">
          <color indexed="64"/>
        </left>
        <right style="thin">
          <color indexed="64"/>
        </right>
        <top style="thin">
          <color indexed="64"/>
        </top>
        <bottom style="thin">
          <color indexed="64"/>
        </bottom>
      </border>
    </dxf>
  </rfmt>
  <rfmt sheetId="1" xfDxf="1" sqref="O6827" start="0" length="0">
    <dxf>
      <border outline="0">
        <left style="thin">
          <color indexed="64"/>
        </left>
        <right style="thin">
          <color indexed="64"/>
        </right>
        <top style="thin">
          <color indexed="64"/>
        </top>
        <bottom style="thin">
          <color indexed="64"/>
        </bottom>
      </border>
    </dxf>
  </rfmt>
  <rfmt sheetId="1" xfDxf="1" sqref="P6827" start="0" length="0">
    <dxf>
      <border outline="0">
        <left style="thin">
          <color indexed="64"/>
        </left>
        <right style="thin">
          <color indexed="64"/>
        </right>
        <top style="thin">
          <color indexed="64"/>
        </top>
        <bottom style="thin">
          <color indexed="64"/>
        </bottom>
      </border>
    </dxf>
  </rfmt>
  <rcc rId="11360" sId="1" xfDxf="1" dxf="1">
    <nc r="Q6827" t="inlineStr">
      <is>
        <t>Paraguay</t>
      </is>
    </nc>
    <ndxf>
      <border outline="0">
        <left style="thin">
          <color indexed="64"/>
        </left>
        <right style="thin">
          <color indexed="64"/>
        </right>
        <top style="thin">
          <color indexed="64"/>
        </top>
        <bottom style="thin">
          <color indexed="64"/>
        </bottom>
      </border>
    </ndxf>
  </rcc>
  <rfmt sheetId="1" xfDxf="1" sqref="R6827" start="0" length="0">
    <dxf>
      <border outline="0">
        <left style="thin">
          <color indexed="64"/>
        </left>
        <right style="thin">
          <color indexed="64"/>
        </right>
        <top style="thin">
          <color indexed="64"/>
        </top>
        <bottom style="thin">
          <color indexed="64"/>
        </bottom>
      </border>
    </dxf>
  </rfmt>
  <rcc rId="11361" sId="1" xfDxf="1" dxf="1">
    <nc r="B6828" t="inlineStr">
      <is>
        <t>DEPY52</t>
      </is>
    </nc>
    <ndxf>
      <alignment vertical="center" wrapText="1"/>
      <border outline="0">
        <left style="thin">
          <color indexed="64"/>
        </left>
        <right style="thin">
          <color indexed="64"/>
        </right>
        <top style="thin">
          <color indexed="64"/>
        </top>
        <bottom style="thin">
          <color indexed="64"/>
        </bottom>
      </border>
    </ndxf>
  </rcc>
  <rcc rId="11362" sId="1" xfDxf="1" dxf="1">
    <nc r="C6828" t="inlineStr">
      <is>
        <t>CAS Cuenta</t>
      </is>
    </nc>
    <ndxf>
      <alignment vertical="center" wrapText="1"/>
      <border outline="0">
        <left style="thin">
          <color indexed="64"/>
        </left>
        <right style="thin">
          <color indexed="64"/>
        </right>
        <top style="thin">
          <color indexed="64"/>
        </top>
        <bottom style="thin">
          <color indexed="64"/>
        </bottom>
      </border>
    </ndxf>
  </rcc>
  <rcc rId="11363" sId="1" xfDxf="1" dxf="1">
    <nc r="D6828" t="inlineStr">
      <is>
        <t>Datos</t>
      </is>
    </nc>
    <ndxf>
      <alignment vertical="center" wrapText="1"/>
      <border outline="0">
        <left style="thin">
          <color indexed="64"/>
        </left>
        <right style="thin">
          <color indexed="64"/>
        </right>
      </border>
    </ndxf>
  </rcc>
  <rfmt sheetId="1" xfDxf="1" sqref="E6828" start="0" length="0">
    <dxf>
      <alignment vertical="center" wrapText="1"/>
      <border outline="0">
        <left style="thin">
          <color indexed="64"/>
        </left>
        <right style="thin">
          <color indexed="64"/>
        </right>
        <top style="thin">
          <color indexed="64"/>
        </top>
        <bottom style="thin">
          <color indexed="64"/>
        </bottom>
      </border>
    </dxf>
  </rfmt>
  <rfmt sheetId="1" xfDxf="1" sqref="F6828" start="0" length="0">
    <dxf>
      <alignment vertical="center" wrapText="1"/>
      <border outline="0">
        <left style="thin">
          <color indexed="64"/>
        </left>
        <right style="thin">
          <color indexed="64"/>
        </right>
        <top style="thin">
          <color indexed="64"/>
        </top>
        <bottom style="thin">
          <color indexed="64"/>
        </bottom>
      </border>
    </dxf>
  </rfmt>
  <rfmt sheetId="1" xfDxf="1" sqref="G6828" start="0" length="0">
    <dxf>
      <alignment vertical="center" wrapText="1"/>
      <border outline="0">
        <left style="thin">
          <color indexed="64"/>
        </left>
        <right style="thin">
          <color indexed="64"/>
        </right>
        <top style="thin">
          <color indexed="64"/>
        </top>
        <bottom style="thin">
          <color indexed="64"/>
        </bottom>
      </border>
    </dxf>
  </rfmt>
  <rcc rId="11364" sId="1" xfDxf="1" dxf="1">
    <nc r="H6828" t="inlineStr">
      <is>
        <t>Pais</t>
      </is>
    </nc>
    <ndxf>
      <alignment vertical="center" wrapText="1"/>
      <border outline="0">
        <left style="thin">
          <color indexed="64"/>
        </left>
        <right style="thin">
          <color indexed="64"/>
        </right>
        <top style="thin">
          <color indexed="64"/>
        </top>
        <bottom style="thin">
          <color indexed="64"/>
        </bottom>
      </border>
    </ndxf>
  </rcc>
  <rcc rId="11365" sId="1" xfDxf="1" dxf="1" numFmtId="19">
    <nc r="I6828">
      <v>45152</v>
    </nc>
    <ndxf>
      <numFmt numFmtId="19" formatCode="d/m/yyyy"/>
      <alignment horizontal="center"/>
      <border outline="0">
        <left style="thin">
          <color indexed="64"/>
        </left>
        <right style="thin">
          <color indexed="64"/>
        </right>
        <top style="thin">
          <color indexed="64"/>
        </top>
        <bottom style="thin">
          <color indexed="64"/>
        </bottom>
      </border>
    </ndxf>
  </rcc>
  <rcc rId="11366" sId="1" xfDxf="1" dxf="1" numFmtId="19">
    <nc r="J6828">
      <v>45391</v>
    </nc>
    <ndxf>
      <numFmt numFmtId="19" formatCode="d/m/yyyy"/>
      <alignment horizontal="center"/>
      <border outline="0">
        <left style="thin">
          <color indexed="64"/>
        </left>
        <right style="thin">
          <color indexed="64"/>
        </right>
        <top style="thin">
          <color indexed="64"/>
        </top>
        <bottom style="thin">
          <color indexed="64"/>
        </bottom>
      </border>
    </ndxf>
  </rcc>
  <rcc rId="11367" sId="1" xfDxf="1" dxf="1">
    <nc r="K6828" t="inlineStr">
      <is>
        <t>ameriles</t>
      </is>
    </nc>
    <ndxf>
      <alignment vertical="center" wrapText="1"/>
      <border outline="0">
        <left style="thin">
          <color indexed="64"/>
        </left>
        <right style="thin">
          <color indexed="64"/>
        </right>
        <top style="thin">
          <color indexed="64"/>
        </top>
        <bottom style="thin">
          <color indexed="64"/>
        </bottom>
      </border>
    </ndxf>
  </rcc>
  <rfmt sheetId="1" xfDxf="1" sqref="L6828" start="0" length="0">
    <dxf>
      <border outline="0">
        <left style="thin">
          <color indexed="64"/>
        </left>
        <right style="thin">
          <color indexed="64"/>
        </right>
        <top style="thin">
          <color indexed="64"/>
        </top>
        <bottom style="thin">
          <color indexed="64"/>
        </bottom>
      </border>
    </dxf>
  </rfmt>
  <rfmt sheetId="1" xfDxf="1" sqref="M6828" start="0" length="0">
    <dxf>
      <border outline="0">
        <left style="thin">
          <color indexed="64"/>
        </left>
        <right style="thin">
          <color indexed="64"/>
        </right>
        <top style="thin">
          <color indexed="64"/>
        </top>
        <bottom style="thin">
          <color indexed="64"/>
        </bottom>
      </border>
    </dxf>
  </rfmt>
  <rfmt sheetId="1" xfDxf="1" sqref="N6828" start="0" length="0">
    <dxf>
      <border outline="0">
        <left style="thin">
          <color indexed="64"/>
        </left>
        <right style="thin">
          <color indexed="64"/>
        </right>
        <top style="thin">
          <color indexed="64"/>
        </top>
        <bottom style="thin">
          <color indexed="64"/>
        </bottom>
      </border>
    </dxf>
  </rfmt>
  <rfmt sheetId="1" xfDxf="1" sqref="O6828" start="0" length="0">
    <dxf>
      <border outline="0">
        <left style="thin">
          <color indexed="64"/>
        </left>
        <right style="thin">
          <color indexed="64"/>
        </right>
        <top style="thin">
          <color indexed="64"/>
        </top>
        <bottom style="thin">
          <color indexed="64"/>
        </bottom>
      </border>
    </dxf>
  </rfmt>
  <rfmt sheetId="1" xfDxf="1" sqref="P6828" start="0" length="0">
    <dxf>
      <border outline="0">
        <left style="thin">
          <color indexed="64"/>
        </left>
        <right style="thin">
          <color indexed="64"/>
        </right>
        <top style="thin">
          <color indexed="64"/>
        </top>
        <bottom style="thin">
          <color indexed="64"/>
        </bottom>
      </border>
    </dxf>
  </rfmt>
  <rcc rId="11368" sId="1" xfDxf="1" dxf="1">
    <nc r="Q6828" t="inlineStr">
      <is>
        <t>Paraguay</t>
      </is>
    </nc>
  </rcc>
  <rfmt sheetId="1" xfDxf="1" sqref="R6828" start="0" length="0">
    <dxf>
      <border outline="0">
        <left style="thin">
          <color indexed="64"/>
        </left>
        <right style="thin">
          <color indexed="64"/>
        </right>
        <top style="thin">
          <color indexed="64"/>
        </top>
        <bottom style="thin">
          <color indexed="64"/>
        </bottom>
      </border>
    </dxf>
  </rfmt>
  <rcc rId="11369" sId="1" xfDxf="1" dxf="1">
    <nc r="B6829" t="inlineStr">
      <is>
        <t>FXMX10</t>
      </is>
    </nc>
    <ndxf>
      <alignment vertical="center" wrapText="1"/>
      <border outline="0">
        <left style="thin">
          <color indexed="64"/>
        </left>
        <right style="thin">
          <color indexed="64"/>
        </right>
        <top style="thin">
          <color indexed="64"/>
        </top>
        <bottom style="thin">
          <color indexed="64"/>
        </bottom>
      </border>
    </ndxf>
  </rcc>
  <rcc rId="11370" sId="1" xfDxf="1" dxf="1">
    <nc r="C6829" t="inlineStr">
      <is>
        <t>Datos Adicionales FXMX01</t>
      </is>
    </nc>
    <ndxf>
      <alignment vertical="center" wrapText="1"/>
      <border outline="0">
        <left style="thin">
          <color indexed="64"/>
        </left>
        <right style="thin">
          <color indexed="64"/>
        </right>
        <top style="thin">
          <color indexed="64"/>
        </top>
        <bottom style="thin">
          <color indexed="64"/>
        </bottom>
      </border>
    </ndxf>
  </rcc>
  <rcc rId="11371" sId="1" xfDxf="1" dxf="1">
    <nc r="D6829" t="inlineStr">
      <is>
        <t>Datos</t>
      </is>
    </nc>
    <ndxf>
      <alignment vertical="center" wrapText="1"/>
      <border outline="0">
        <left style="thin">
          <color indexed="64"/>
        </left>
        <right style="thin">
          <color indexed="64"/>
        </right>
        <top style="thin">
          <color indexed="64"/>
        </top>
        <bottom style="thin">
          <color indexed="64"/>
        </bottom>
      </border>
    </ndxf>
  </rcc>
  <rfmt sheetId="1" xfDxf="1" sqref="E6829" start="0" length="0">
    <dxf>
      <alignment vertical="center" wrapText="1"/>
      <border outline="0">
        <left style="thin">
          <color indexed="64"/>
        </left>
        <right style="thin">
          <color indexed="64"/>
        </right>
        <top style="thin">
          <color indexed="64"/>
        </top>
        <bottom style="thin">
          <color indexed="64"/>
        </bottom>
      </border>
    </dxf>
  </rfmt>
  <rfmt sheetId="1" xfDxf="1" sqref="F6829" start="0" length="0">
    <dxf>
      <alignment vertical="center" wrapText="1"/>
      <border outline="0">
        <left style="thin">
          <color indexed="64"/>
        </left>
        <right style="thin">
          <color indexed="64"/>
        </right>
        <top style="thin">
          <color indexed="64"/>
        </top>
        <bottom style="thin">
          <color indexed="64"/>
        </bottom>
      </border>
    </dxf>
  </rfmt>
  <rfmt sheetId="1" xfDxf="1" sqref="G6829" start="0" length="0">
    <dxf>
      <alignment vertical="center" wrapText="1"/>
      <border outline="0">
        <left style="thin">
          <color indexed="64"/>
        </left>
        <right style="thin">
          <color indexed="64"/>
        </right>
        <top style="thin">
          <color indexed="64"/>
        </top>
        <bottom style="thin">
          <color indexed="64"/>
        </bottom>
      </border>
    </dxf>
  </rfmt>
  <rcc rId="11372" sId="1" xfDxf="1" dxf="1">
    <nc r="H6829" t="inlineStr">
      <is>
        <t>Pais</t>
      </is>
    </nc>
    <ndxf>
      <alignment vertical="center" wrapText="1"/>
      <border outline="0">
        <left style="thin">
          <color indexed="64"/>
        </left>
        <right style="thin">
          <color indexed="64"/>
        </right>
        <top style="thin">
          <color indexed="64"/>
        </top>
        <bottom style="thin">
          <color indexed="64"/>
        </bottom>
      </border>
    </ndxf>
  </rcc>
  <rcc rId="11373" sId="1" xfDxf="1" dxf="1" numFmtId="19">
    <nc r="I6829">
      <v>45331</v>
    </nc>
    <ndxf>
      <numFmt numFmtId="19" formatCode="d/m/yyyy"/>
      <border outline="0">
        <left style="thin">
          <color indexed="64"/>
        </left>
        <right style="thin">
          <color indexed="64"/>
        </right>
        <bottom style="thin">
          <color indexed="64"/>
        </bottom>
      </border>
    </ndxf>
  </rcc>
  <rfmt sheetId="1" xfDxf="1" sqref="J6829" start="0" length="0">
    <dxf>
      <numFmt numFmtId="19" formatCode="d/m/yyyy"/>
      <border outline="0">
        <left style="thin">
          <color indexed="64"/>
        </left>
        <right style="thin">
          <color indexed="64"/>
        </right>
        <bottom style="thin">
          <color indexed="64"/>
        </bottom>
      </border>
    </dxf>
  </rfmt>
  <rcc rId="11374" sId="1" xfDxf="1" dxf="1">
    <nc r="K6829" t="inlineStr">
      <is>
        <t>sortiz</t>
      </is>
    </nc>
    <ndxf>
      <alignment vertical="center" wrapText="1"/>
      <border outline="0">
        <left style="thin">
          <color indexed="64"/>
        </left>
        <right style="thin">
          <color indexed="64"/>
        </right>
        <top style="thin">
          <color indexed="64"/>
        </top>
        <bottom style="thin">
          <color indexed="64"/>
        </bottom>
      </border>
    </ndxf>
  </rcc>
  <rfmt sheetId="1" xfDxf="1" sqref="L6829" start="0" length="0">
    <dxf>
      <border outline="0">
        <left style="thin">
          <color indexed="64"/>
        </left>
        <right style="thin">
          <color indexed="64"/>
        </right>
        <top style="thin">
          <color indexed="64"/>
        </top>
        <bottom style="thin">
          <color indexed="64"/>
        </bottom>
      </border>
    </dxf>
  </rfmt>
  <rfmt sheetId="1" xfDxf="1" sqref="M6829" start="0" length="0">
    <dxf>
      <border outline="0">
        <left style="thin">
          <color indexed="64"/>
        </left>
        <right style="thin">
          <color indexed="64"/>
        </right>
        <top style="thin">
          <color indexed="64"/>
        </top>
        <bottom style="thin">
          <color indexed="64"/>
        </bottom>
      </border>
    </dxf>
  </rfmt>
  <rfmt sheetId="1" xfDxf="1" sqref="N6829" start="0" length="0">
    <dxf>
      <border outline="0">
        <left style="thin">
          <color indexed="64"/>
        </left>
        <right style="thin">
          <color indexed="64"/>
        </right>
        <top style="thin">
          <color indexed="64"/>
        </top>
        <bottom style="thin">
          <color indexed="64"/>
        </bottom>
      </border>
    </dxf>
  </rfmt>
  <rfmt sheetId="1" xfDxf="1" sqref="O6829" start="0" length="0">
    <dxf>
      <border outline="0">
        <left style="thin">
          <color indexed="64"/>
        </left>
        <right style="thin">
          <color indexed="64"/>
        </right>
        <top style="thin">
          <color indexed="64"/>
        </top>
        <bottom style="thin">
          <color indexed="64"/>
        </bottom>
      </border>
    </dxf>
  </rfmt>
  <rfmt sheetId="1" xfDxf="1" sqref="P6829" start="0" length="0">
    <dxf>
      <border outline="0">
        <left style="thin">
          <color indexed="64"/>
        </left>
        <right style="thin">
          <color indexed="64"/>
        </right>
        <top style="thin">
          <color indexed="64"/>
        </top>
        <bottom style="thin">
          <color indexed="64"/>
        </bottom>
      </border>
    </dxf>
  </rfmt>
  <rcc rId="11375" sId="1" xfDxf="1" dxf="1">
    <nc r="Q6829" t="inlineStr">
      <is>
        <t>Mejico</t>
      </is>
    </nc>
    <ndxf>
      <border outline="0">
        <left style="thin">
          <color indexed="64"/>
        </left>
        <right style="thin">
          <color indexed="64"/>
        </right>
        <top style="thin">
          <color indexed="64"/>
        </top>
        <bottom style="thin">
          <color indexed="64"/>
        </bottom>
      </border>
    </ndxf>
  </rcc>
  <rfmt sheetId="1" xfDxf="1" sqref="R6829" start="0" length="0">
    <dxf>
      <border outline="0">
        <left style="thin">
          <color indexed="64"/>
        </left>
        <right style="thin">
          <color indexed="64"/>
        </right>
        <top style="thin">
          <color indexed="64"/>
        </top>
        <bottom style="thin">
          <color indexed="64"/>
        </bottom>
      </border>
    </dxf>
  </rfmt>
  <rcc rId="11376" sId="1" xfDxf="1" dxf="1">
    <nc r="B6830" t="inlineStr">
      <is>
        <t>PASE2</t>
      </is>
    </nc>
    <ndxf>
      <alignment vertical="center" wrapText="1"/>
      <border outline="0">
        <left style="thin">
          <color indexed="64"/>
        </left>
        <right style="thin">
          <color indexed="64"/>
        </right>
        <top style="thin">
          <color indexed="64"/>
        </top>
        <bottom style="thin">
          <color indexed="64"/>
        </bottom>
      </border>
    </ndxf>
  </rcc>
  <rcc rId="11377" sId="1" xfDxf="1" dxf="1">
    <nc r="C6830" t="inlineStr">
      <is>
        <t>Pase Respuesta</t>
      </is>
    </nc>
    <ndxf>
      <alignment vertical="center" wrapText="1"/>
      <border outline="0">
        <left style="thin">
          <color indexed="64"/>
        </left>
        <right style="thin">
          <color indexed="64"/>
        </right>
        <top style="thin">
          <color indexed="64"/>
        </top>
        <bottom style="thin">
          <color indexed="64"/>
        </bottom>
      </border>
    </ndxf>
  </rcc>
  <rcc rId="11378" sId="1" xfDxf="1" dxf="1">
    <nc r="D6830" t="inlineStr">
      <is>
        <t>Datos</t>
      </is>
    </nc>
    <ndxf>
      <alignment vertical="center" wrapText="1"/>
      <border outline="0">
        <left style="thin">
          <color indexed="64"/>
        </left>
        <right style="thin">
          <color indexed="64"/>
        </right>
        <top style="thin">
          <color indexed="64"/>
        </top>
        <bottom style="thin">
          <color indexed="64"/>
        </bottom>
      </border>
    </ndxf>
  </rcc>
  <rfmt sheetId="1" xfDxf="1" sqref="E6830" start="0" length="0">
    <dxf>
      <alignment vertical="center" wrapText="1"/>
      <border outline="0">
        <left style="thin">
          <color indexed="64"/>
        </left>
        <right style="thin">
          <color indexed="64"/>
        </right>
        <top style="thin">
          <color indexed="64"/>
        </top>
        <bottom style="thin">
          <color indexed="64"/>
        </bottom>
      </border>
    </dxf>
  </rfmt>
  <rfmt sheetId="1" xfDxf="1" sqref="F6830" start="0" length="0">
    <dxf>
      <alignment vertical="center" wrapText="1"/>
      <border outline="0">
        <left style="thin">
          <color indexed="64"/>
        </left>
        <right style="thin">
          <color indexed="64"/>
        </right>
        <top style="thin">
          <color indexed="64"/>
        </top>
        <bottom style="thin">
          <color indexed="64"/>
        </bottom>
      </border>
    </dxf>
  </rfmt>
  <rfmt sheetId="1" xfDxf="1" sqref="G6830" start="0" length="0">
    <dxf>
      <alignment vertical="center" wrapText="1"/>
      <border outline="0">
        <left style="thin">
          <color indexed="64"/>
        </left>
        <right style="thin">
          <color indexed="64"/>
        </right>
        <top style="thin">
          <color indexed="64"/>
        </top>
        <bottom style="thin">
          <color indexed="64"/>
        </bottom>
      </border>
    </dxf>
  </rfmt>
  <rcc rId="11379" sId="1" xfDxf="1" dxf="1">
    <nc r="H6830" t="inlineStr">
      <is>
        <t>Core</t>
      </is>
    </nc>
    <ndxf>
      <alignment vertical="center" wrapText="1"/>
      <border outline="0">
        <left style="thin">
          <color indexed="64"/>
        </left>
        <right style="thin">
          <color indexed="64"/>
        </right>
        <top style="thin">
          <color indexed="64"/>
        </top>
        <bottom style="thin">
          <color indexed="64"/>
        </bottom>
      </border>
    </ndxf>
  </rcc>
  <rcc rId="11380" sId="1" xfDxf="1" dxf="1" numFmtId="19">
    <nc r="I6830">
      <v>45398</v>
    </nc>
    <ndxf>
      <numFmt numFmtId="19" formatCode="d/m/yyyy"/>
      <border outline="0">
        <left style="thin">
          <color indexed="64"/>
        </left>
        <right style="thin">
          <color indexed="64"/>
        </right>
        <bottom style="thin">
          <color indexed="64"/>
        </bottom>
      </border>
    </ndxf>
  </rcc>
  <rcc rId="11381" sId="1" xfDxf="1" dxf="1" numFmtId="19">
    <nc r="J6830">
      <v>45412</v>
    </nc>
    <ndxf>
      <numFmt numFmtId="19" formatCode="d/m/yyyy"/>
      <alignment horizontal="center"/>
      <border outline="0">
        <right style="thin">
          <color indexed="64"/>
        </right>
        <top style="thin">
          <color indexed="64"/>
        </top>
        <bottom style="thin">
          <color indexed="64"/>
        </bottom>
      </border>
    </ndxf>
  </rcc>
  <rcc rId="11382" sId="1" xfDxf="1" dxf="1">
    <nc r="K6830" t="inlineStr">
      <is>
        <t>JZURLO</t>
      </is>
    </nc>
    <ndxf>
      <alignment vertical="center" wrapText="1"/>
      <border outline="0">
        <left style="thin">
          <color indexed="64"/>
        </left>
        <right style="thin">
          <color indexed="64"/>
        </right>
        <top style="thin">
          <color indexed="64"/>
        </top>
        <bottom style="thin">
          <color indexed="64"/>
        </bottom>
      </border>
    </ndxf>
  </rcc>
  <rfmt sheetId="1" xfDxf="1" sqref="L6830" start="0" length="0">
    <dxf>
      <border outline="0">
        <left style="thin">
          <color indexed="64"/>
        </left>
        <right style="thin">
          <color indexed="64"/>
        </right>
        <top style="thin">
          <color indexed="64"/>
        </top>
        <bottom style="thin">
          <color indexed="64"/>
        </bottom>
      </border>
    </dxf>
  </rfmt>
  <rfmt sheetId="1" xfDxf="1" sqref="M6830" start="0" length="0">
    <dxf>
      <border outline="0">
        <left style="thin">
          <color indexed="64"/>
        </left>
        <right style="thin">
          <color indexed="64"/>
        </right>
        <top style="thin">
          <color indexed="64"/>
        </top>
        <bottom style="thin">
          <color indexed="64"/>
        </bottom>
      </border>
    </dxf>
  </rfmt>
  <rfmt sheetId="1" xfDxf="1" sqref="N6830" start="0" length="0">
    <dxf>
      <border outline="0">
        <left style="thin">
          <color indexed="64"/>
        </left>
        <right style="thin">
          <color indexed="64"/>
        </right>
        <top style="thin">
          <color indexed="64"/>
        </top>
        <bottom style="thin">
          <color indexed="64"/>
        </bottom>
      </border>
    </dxf>
  </rfmt>
  <rfmt sheetId="1" xfDxf="1" sqref="O6830" start="0" length="0">
    <dxf>
      <border outline="0">
        <left style="thin">
          <color indexed="64"/>
        </left>
        <right style="thin">
          <color indexed="64"/>
        </right>
        <top style="thin">
          <color indexed="64"/>
        </top>
        <bottom style="thin">
          <color indexed="64"/>
        </bottom>
      </border>
    </dxf>
  </rfmt>
  <rfmt sheetId="1" xfDxf="1" sqref="P6830" start="0" length="0">
    <dxf>
      <border outline="0">
        <left style="thin">
          <color indexed="64"/>
        </left>
        <right style="thin">
          <color indexed="64"/>
        </right>
        <top style="thin">
          <color indexed="64"/>
        </top>
        <bottom style="thin">
          <color indexed="64"/>
        </bottom>
      </border>
    </dxf>
  </rfmt>
  <rfmt sheetId="1" xfDxf="1" sqref="Q6830" start="0" length="0">
    <dxf>
      <border outline="0">
        <left style="thin">
          <color indexed="64"/>
        </left>
        <right style="thin">
          <color indexed="64"/>
        </right>
        <top style="thin">
          <color indexed="64"/>
        </top>
        <bottom style="thin">
          <color indexed="64"/>
        </bottom>
      </border>
    </dxf>
  </rfmt>
  <rfmt sheetId="1" xfDxf="1" sqref="R6830" start="0" length="0">
    <dxf>
      <border outline="0">
        <left style="thin">
          <color indexed="64"/>
        </left>
        <right style="thin">
          <color indexed="64"/>
        </right>
        <top style="thin">
          <color indexed="64"/>
        </top>
        <bottom style="thin">
          <color indexed="64"/>
        </bottom>
      </border>
    </dxf>
  </rfmt>
  <rcc rId="11383" sId="1" xfDxf="1" dxf="1">
    <nc r="B6831" t="inlineStr">
      <is>
        <t>PASR2</t>
      </is>
    </nc>
    <ndxf>
      <alignment vertical="center" wrapText="1"/>
      <border outline="0">
        <left style="thin">
          <color indexed="64"/>
        </left>
        <right style="thin">
          <color indexed="64"/>
        </right>
        <top style="thin">
          <color indexed="64"/>
        </top>
        <bottom style="thin">
          <color indexed="64"/>
        </bottom>
      </border>
    </ndxf>
  </rcc>
  <rcc rId="11384" sId="1" xfDxf="1" dxf="1">
    <nc r="C6831" t="inlineStr">
      <is>
        <t>Estado Actual Rueda</t>
      </is>
    </nc>
    <ndxf>
      <alignment vertical="center" wrapText="1"/>
      <border outline="0">
        <left style="thin">
          <color indexed="64"/>
        </left>
        <right style="thin">
          <color indexed="64"/>
        </right>
        <top style="thin">
          <color indexed="64"/>
        </top>
        <bottom style="thin">
          <color indexed="64"/>
        </bottom>
      </border>
    </ndxf>
  </rcc>
  <rcc rId="11385" sId="1" xfDxf="1" dxf="1">
    <nc r="D6831" t="inlineStr">
      <is>
        <t>Parametros</t>
      </is>
    </nc>
    <ndxf>
      <alignment vertical="center" wrapText="1"/>
      <border outline="0">
        <left style="thin">
          <color indexed="64"/>
        </left>
        <right style="thin">
          <color indexed="64"/>
        </right>
        <top style="thin">
          <color indexed="64"/>
        </top>
        <bottom style="thin">
          <color indexed="64"/>
        </bottom>
      </border>
    </ndxf>
  </rcc>
  <rfmt sheetId="1" xfDxf="1" sqref="E6831" start="0" length="0">
    <dxf>
      <alignment vertical="center" wrapText="1"/>
      <border outline="0">
        <left style="thin">
          <color indexed="64"/>
        </left>
        <right style="thin">
          <color indexed="64"/>
        </right>
        <top style="thin">
          <color indexed="64"/>
        </top>
        <bottom style="thin">
          <color indexed="64"/>
        </bottom>
      </border>
    </dxf>
  </rfmt>
  <rfmt sheetId="1" xfDxf="1" sqref="F6831" start="0" length="0">
    <dxf>
      <alignment vertical="center" wrapText="1"/>
      <border outline="0">
        <left style="thin">
          <color indexed="64"/>
        </left>
        <right style="thin">
          <color indexed="64"/>
        </right>
        <top style="thin">
          <color indexed="64"/>
        </top>
        <bottom style="thin">
          <color indexed="64"/>
        </bottom>
      </border>
    </dxf>
  </rfmt>
  <rfmt sheetId="1" xfDxf="1" sqref="G6831" start="0" length="0">
    <dxf>
      <alignment vertical="center" wrapText="1"/>
      <border outline="0">
        <left style="thin">
          <color indexed="64"/>
        </left>
        <right style="thin">
          <color indexed="64"/>
        </right>
        <top style="thin">
          <color indexed="64"/>
        </top>
        <bottom style="thin">
          <color indexed="64"/>
        </bottom>
      </border>
    </dxf>
  </rfmt>
  <rcc rId="11386" sId="1" xfDxf="1" dxf="1">
    <nc r="H6831" t="inlineStr">
      <is>
        <t>Core</t>
      </is>
    </nc>
    <ndxf>
      <alignment vertical="center" wrapText="1"/>
      <border outline="0">
        <left style="thin">
          <color indexed="64"/>
        </left>
        <right style="thin">
          <color indexed="64"/>
        </right>
        <top style="thin">
          <color indexed="64"/>
        </top>
        <bottom style="thin">
          <color indexed="64"/>
        </bottom>
      </border>
    </ndxf>
  </rcc>
  <rcc rId="11387" sId="1" xfDxf="1" dxf="1" numFmtId="19">
    <nc r="I6831">
      <v>45398</v>
    </nc>
    <ndxf>
      <numFmt numFmtId="19" formatCode="d/m/yyyy"/>
      <border outline="0">
        <left style="thin">
          <color indexed="64"/>
        </left>
        <right style="thin">
          <color indexed="64"/>
        </right>
        <bottom style="thin">
          <color indexed="64"/>
        </bottom>
      </border>
    </ndxf>
  </rcc>
  <rcc rId="11388" sId="1" xfDxf="1" dxf="1" numFmtId="19">
    <nc r="J6831">
      <v>45399</v>
    </nc>
    <ndxf>
      <numFmt numFmtId="19" formatCode="d/m/yyyy"/>
      <alignment horizontal="center"/>
      <border outline="0">
        <right style="thin">
          <color indexed="64"/>
        </right>
        <top style="thin">
          <color indexed="64"/>
        </top>
        <bottom style="thin">
          <color indexed="64"/>
        </bottom>
      </border>
    </ndxf>
  </rcc>
  <rcc rId="11389" sId="1" xfDxf="1" dxf="1">
    <nc r="K6831" t="inlineStr">
      <is>
        <t>sgraziani</t>
      </is>
    </nc>
    <ndxf>
      <alignment vertical="center" wrapText="1"/>
      <border outline="0">
        <left style="thin">
          <color indexed="64"/>
        </left>
        <right style="thin">
          <color indexed="64"/>
        </right>
        <top style="thin">
          <color indexed="64"/>
        </top>
        <bottom style="thin">
          <color indexed="64"/>
        </bottom>
      </border>
    </ndxf>
  </rcc>
  <rfmt sheetId="1" xfDxf="1" sqref="L6831" start="0" length="0">
    <dxf>
      <border outline="0">
        <left style="thin">
          <color indexed="64"/>
        </left>
        <right style="thin">
          <color indexed="64"/>
        </right>
        <top style="thin">
          <color indexed="64"/>
        </top>
        <bottom style="thin">
          <color indexed="64"/>
        </bottom>
      </border>
    </dxf>
  </rfmt>
  <rfmt sheetId="1" xfDxf="1" sqref="M6831" start="0" length="0">
    <dxf>
      <border outline="0">
        <left style="thin">
          <color indexed="64"/>
        </left>
        <right style="thin">
          <color indexed="64"/>
        </right>
        <top style="thin">
          <color indexed="64"/>
        </top>
        <bottom style="thin">
          <color indexed="64"/>
        </bottom>
      </border>
    </dxf>
  </rfmt>
  <rfmt sheetId="1" xfDxf="1" sqref="N6831" start="0" length="0">
    <dxf>
      <border outline="0">
        <left style="thin">
          <color indexed="64"/>
        </left>
        <right style="thin">
          <color indexed="64"/>
        </right>
        <top style="thin">
          <color indexed="64"/>
        </top>
        <bottom style="thin">
          <color indexed="64"/>
        </bottom>
      </border>
    </dxf>
  </rfmt>
  <rfmt sheetId="1" xfDxf="1" sqref="O6831" start="0" length="0">
    <dxf>
      <border outline="0">
        <left style="thin">
          <color indexed="64"/>
        </left>
        <right style="thin">
          <color indexed="64"/>
        </right>
        <top style="thin">
          <color indexed="64"/>
        </top>
        <bottom style="thin">
          <color indexed="64"/>
        </bottom>
      </border>
    </dxf>
  </rfmt>
  <rfmt sheetId="1" xfDxf="1" sqref="P6831" start="0" length="0">
    <dxf>
      <border outline="0">
        <left style="thin">
          <color indexed="64"/>
        </left>
        <right style="thin">
          <color indexed="64"/>
        </right>
        <top style="thin">
          <color indexed="64"/>
        </top>
        <bottom style="thin">
          <color indexed="64"/>
        </bottom>
      </border>
    </dxf>
  </rfmt>
  <rfmt sheetId="1" xfDxf="1" sqref="Q6831" start="0" length="0">
    <dxf>
      <border outline="0">
        <left style="thin">
          <color indexed="64"/>
        </left>
        <right style="thin">
          <color indexed="64"/>
        </right>
        <top style="thin">
          <color indexed="64"/>
        </top>
        <bottom style="thin">
          <color indexed="64"/>
        </bottom>
      </border>
    </dxf>
  </rfmt>
  <rfmt sheetId="1" xfDxf="1" sqref="R6831" start="0" length="0">
    <dxf>
      <border outline="0">
        <left style="thin">
          <color indexed="64"/>
        </left>
        <right style="thin">
          <color indexed="64"/>
        </right>
        <top style="thin">
          <color indexed="64"/>
        </top>
        <bottom style="thin">
          <color indexed="64"/>
        </bottom>
      </border>
    </dxf>
  </rfmt>
  <rcc rId="11390" sId="1" xfDxf="1" dxf="1">
    <nc r="B6832" t="inlineStr">
      <is>
        <t>SD4301</t>
      </is>
    </nc>
    <ndxf>
      <alignment vertical="center" wrapText="1"/>
      <border outline="0">
        <left style="thin">
          <color indexed="64"/>
        </left>
        <right style="thin">
          <color indexed="64"/>
        </right>
        <top style="thin">
          <color indexed="64"/>
        </top>
        <bottom style="thin">
          <color indexed="64"/>
        </bottom>
      </border>
    </ndxf>
  </rcc>
  <rcc rId="11391" sId="1" xfDxf="1" dxf="1">
    <nc r="C6832" t="inlineStr">
      <is>
        <t>Prin. Deu.: Datos de Entidad</t>
      </is>
    </nc>
    <ndxf>
      <alignment vertical="center" wrapText="1"/>
      <border outline="0">
        <left style="thin">
          <color indexed="64"/>
        </left>
        <right style="thin">
          <color indexed="64"/>
        </right>
        <top style="thin">
          <color indexed="64"/>
        </top>
        <bottom style="thin">
          <color indexed="64"/>
        </bottom>
      </border>
    </ndxf>
  </rcc>
  <rcc rId="11392" sId="1" xfDxf="1" dxf="1">
    <nc r="D6832" t="inlineStr">
      <is>
        <t>Datos</t>
      </is>
    </nc>
    <ndxf>
      <alignment vertical="center" wrapText="1"/>
      <border outline="0">
        <left style="thin">
          <color indexed="64"/>
        </left>
        <right style="thin">
          <color indexed="64"/>
        </right>
        <top style="thin">
          <color indexed="64"/>
        </top>
        <bottom style="thin">
          <color indexed="64"/>
        </bottom>
      </border>
    </ndxf>
  </rcc>
  <rfmt sheetId="1" xfDxf="1" sqref="E6832" start="0" length="0">
    <dxf>
      <alignment vertical="center" wrapText="1"/>
      <border outline="0">
        <left style="thin">
          <color indexed="64"/>
        </left>
        <right style="thin">
          <color indexed="64"/>
        </right>
        <top style="thin">
          <color indexed="64"/>
        </top>
        <bottom style="thin">
          <color indexed="64"/>
        </bottom>
      </border>
    </dxf>
  </rfmt>
  <rfmt sheetId="1" xfDxf="1" sqref="F6832" start="0" length="0">
    <dxf>
      <alignment vertical="center" wrapText="1"/>
      <border outline="0">
        <left style="thin">
          <color indexed="64"/>
        </left>
        <right style="thin">
          <color indexed="64"/>
        </right>
        <top style="thin">
          <color indexed="64"/>
        </top>
        <bottom style="thin">
          <color indexed="64"/>
        </bottom>
      </border>
    </dxf>
  </rfmt>
  <rfmt sheetId="1" xfDxf="1" sqref="G6832" start="0" length="0">
    <dxf>
      <alignment vertical="center" wrapText="1"/>
      <border outline="0">
        <left style="thin">
          <color indexed="64"/>
        </left>
        <right style="thin">
          <color indexed="64"/>
        </right>
        <top style="thin">
          <color indexed="64"/>
        </top>
        <bottom style="thin">
          <color indexed="64"/>
        </bottom>
      </border>
    </dxf>
  </rfmt>
  <rcc rId="11393" sId="1" xfDxf="1" dxf="1">
    <nc r="H6832" t="inlineStr">
      <is>
        <t>Core</t>
      </is>
    </nc>
    <ndxf>
      <alignment vertical="center" wrapText="1"/>
      <border outline="0">
        <left style="thin">
          <color indexed="64"/>
        </left>
        <right style="thin">
          <color indexed="64"/>
        </right>
        <top style="thin">
          <color indexed="64"/>
        </top>
        <bottom style="thin">
          <color indexed="64"/>
        </bottom>
      </border>
    </ndxf>
  </rcc>
  <rcc rId="11394" sId="1" xfDxf="1" dxf="1" numFmtId="19">
    <nc r="I6832">
      <v>40716</v>
    </nc>
    <ndxf>
      <numFmt numFmtId="19" formatCode="d/m/yyyy"/>
      <border outline="0">
        <left style="thin">
          <color indexed="64"/>
        </left>
        <right style="thin">
          <color indexed="64"/>
        </right>
        <bottom style="thin">
          <color indexed="64"/>
        </bottom>
      </border>
    </ndxf>
  </rcc>
  <rcc rId="11395" sId="1" xfDxf="1" dxf="1" numFmtId="19">
    <nc r="J6832">
      <v>45391</v>
    </nc>
    <ndxf>
      <numFmt numFmtId="19" formatCode="d/m/yyyy"/>
      <alignment horizontal="center"/>
      <border outline="0">
        <right style="thin">
          <color indexed="64"/>
        </right>
        <top style="thin">
          <color indexed="64"/>
        </top>
        <bottom style="thin">
          <color indexed="64"/>
        </bottom>
      </border>
    </ndxf>
  </rcc>
  <rcc rId="11396" sId="1" xfDxf="1" dxf="1">
    <nc r="K6832"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2" start="0" length="0">
    <dxf>
      <border outline="0">
        <left style="thin">
          <color indexed="64"/>
        </left>
        <right style="thin">
          <color indexed="64"/>
        </right>
        <top style="thin">
          <color indexed="64"/>
        </top>
        <bottom style="thin">
          <color indexed="64"/>
        </bottom>
      </border>
    </dxf>
  </rfmt>
  <rfmt sheetId="1" xfDxf="1" sqref="M6832" start="0" length="0">
    <dxf>
      <border outline="0">
        <left style="thin">
          <color indexed="64"/>
        </left>
        <right style="thin">
          <color indexed="64"/>
        </right>
        <top style="thin">
          <color indexed="64"/>
        </top>
        <bottom style="thin">
          <color indexed="64"/>
        </bottom>
      </border>
    </dxf>
  </rfmt>
  <rfmt sheetId="1" xfDxf="1" sqref="N6832" start="0" length="0">
    <dxf>
      <border outline="0">
        <left style="thin">
          <color indexed="64"/>
        </left>
        <right style="thin">
          <color indexed="64"/>
        </right>
        <top style="thin">
          <color indexed="64"/>
        </top>
        <bottom style="thin">
          <color indexed="64"/>
        </bottom>
      </border>
    </dxf>
  </rfmt>
  <rfmt sheetId="1" xfDxf="1" sqref="O6832" start="0" length="0">
    <dxf>
      <border outline="0">
        <left style="thin">
          <color indexed="64"/>
        </left>
        <right style="thin">
          <color indexed="64"/>
        </right>
        <top style="thin">
          <color indexed="64"/>
        </top>
        <bottom style="thin">
          <color indexed="64"/>
        </bottom>
      </border>
    </dxf>
  </rfmt>
  <rfmt sheetId="1" xfDxf="1" sqref="P6832" start="0" length="0">
    <dxf>
      <border outline="0">
        <left style="thin">
          <color indexed="64"/>
        </left>
        <right style="thin">
          <color indexed="64"/>
        </right>
        <top style="thin">
          <color indexed="64"/>
        </top>
        <bottom style="thin">
          <color indexed="64"/>
        </bottom>
      </border>
    </dxf>
  </rfmt>
  <rfmt sheetId="1" xfDxf="1" sqref="Q6832" start="0" length="0">
    <dxf>
      <border outline="0">
        <left style="thin">
          <color indexed="64"/>
        </left>
        <right style="thin">
          <color indexed="64"/>
        </right>
        <top style="thin">
          <color indexed="64"/>
        </top>
        <bottom style="thin">
          <color indexed="64"/>
        </bottom>
      </border>
    </dxf>
  </rfmt>
  <rfmt sheetId="1" xfDxf="1" sqref="R6832" start="0" length="0">
    <dxf>
      <border outline="0">
        <left style="thin">
          <color indexed="64"/>
        </left>
        <right style="thin">
          <color indexed="64"/>
        </right>
        <top style="thin">
          <color indexed="64"/>
        </top>
        <bottom style="thin">
          <color indexed="64"/>
        </bottom>
      </border>
    </dxf>
  </rfmt>
  <rcc rId="11397" sId="1" xfDxf="1" dxf="1">
    <nc r="B6833" t="inlineStr">
      <is>
        <t>SD4302</t>
      </is>
    </nc>
    <ndxf>
      <alignment vertical="center" wrapText="1"/>
      <border outline="0">
        <left style="thin">
          <color indexed="64"/>
        </left>
        <right style="thin">
          <color indexed="64"/>
        </right>
        <top style="thin">
          <color indexed="64"/>
        </top>
        <bottom style="thin">
          <color indexed="64"/>
        </bottom>
      </border>
    </ndxf>
  </rcc>
  <rcc rId="11398" sId="1" xfDxf="1" dxf="1">
    <nc r="C6833" t="inlineStr">
      <is>
        <t>Prin. Deu.: Datos de Entidad II</t>
      </is>
    </nc>
    <ndxf>
      <alignment vertical="center" wrapText="1"/>
      <border outline="0">
        <left style="thin">
          <color indexed="64"/>
        </left>
        <right style="thin">
          <color indexed="64"/>
        </right>
        <top style="thin">
          <color indexed="64"/>
        </top>
        <bottom style="thin">
          <color indexed="64"/>
        </bottom>
      </border>
    </ndxf>
  </rcc>
  <rcc rId="11399" sId="1" xfDxf="1" dxf="1">
    <nc r="D6833" t="inlineStr">
      <is>
        <t>Datos</t>
      </is>
    </nc>
    <ndxf>
      <alignment vertical="center" wrapText="1"/>
      <border outline="0">
        <left style="thin">
          <color indexed="64"/>
        </left>
        <right style="thin">
          <color indexed="64"/>
        </right>
        <top style="thin">
          <color indexed="64"/>
        </top>
        <bottom style="thin">
          <color indexed="64"/>
        </bottom>
      </border>
    </ndxf>
  </rcc>
  <rfmt sheetId="1" xfDxf="1" sqref="E6833" start="0" length="0">
    <dxf>
      <alignment vertical="center" wrapText="1"/>
      <border outline="0">
        <left style="thin">
          <color indexed="64"/>
        </left>
        <right style="thin">
          <color indexed="64"/>
        </right>
        <top style="thin">
          <color indexed="64"/>
        </top>
        <bottom style="thin">
          <color indexed="64"/>
        </bottom>
      </border>
    </dxf>
  </rfmt>
  <rfmt sheetId="1" xfDxf="1" sqref="F6833" start="0" length="0">
    <dxf>
      <border outline="0">
        <left style="thin">
          <color indexed="64"/>
        </left>
        <right style="thin">
          <color indexed="64"/>
        </right>
        <top style="thin">
          <color indexed="64"/>
        </top>
        <bottom style="thin">
          <color indexed="64"/>
        </bottom>
      </border>
    </dxf>
  </rfmt>
  <rfmt sheetId="1" xfDxf="1" sqref="G6833" start="0" length="0">
    <dxf>
      <border outline="0">
        <left style="thin">
          <color indexed="64"/>
        </left>
        <right style="thin">
          <color indexed="64"/>
        </right>
        <top style="thin">
          <color indexed="64"/>
        </top>
        <bottom style="thin">
          <color indexed="64"/>
        </bottom>
      </border>
    </dxf>
  </rfmt>
  <rcc rId="11400" sId="1" xfDxf="1" dxf="1">
    <nc r="H6833" t="inlineStr">
      <is>
        <t>Core</t>
      </is>
    </nc>
    <ndxf>
      <border outline="0">
        <left style="thin">
          <color indexed="64"/>
        </left>
        <right style="thin">
          <color indexed="64"/>
        </right>
        <top style="thin">
          <color indexed="64"/>
        </top>
        <bottom style="thin">
          <color indexed="64"/>
        </bottom>
      </border>
    </ndxf>
  </rcc>
  <rcc rId="11401" sId="1" xfDxf="1" dxf="1" numFmtId="19">
    <nc r="I6833">
      <v>40716</v>
    </nc>
    <ndxf>
      <numFmt numFmtId="19" formatCode="d/m/yyyy"/>
      <border outline="0">
        <left style="thin">
          <color indexed="64"/>
        </left>
        <right style="thin">
          <color indexed="64"/>
        </right>
        <bottom style="thin">
          <color indexed="64"/>
        </bottom>
      </border>
    </ndxf>
  </rcc>
  <rcc rId="11402" sId="1" xfDxf="1" dxf="1" numFmtId="19">
    <nc r="J6833">
      <v>45391</v>
    </nc>
    <ndxf>
      <numFmt numFmtId="19" formatCode="d/m/yyyy"/>
      <alignment horizontal="center"/>
      <border outline="0">
        <right style="thin">
          <color indexed="64"/>
        </right>
        <top style="thin">
          <color indexed="64"/>
        </top>
        <bottom style="thin">
          <color indexed="64"/>
        </bottom>
      </border>
    </ndxf>
  </rcc>
  <rcc rId="11403" sId="1" xfDxf="1" dxf="1">
    <nc r="K6833"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3" start="0" length="0">
    <dxf>
      <border outline="0">
        <left style="thin">
          <color indexed="64"/>
        </left>
        <right style="thin">
          <color indexed="64"/>
        </right>
        <top style="thin">
          <color indexed="64"/>
        </top>
        <bottom style="thin">
          <color indexed="64"/>
        </bottom>
      </border>
    </dxf>
  </rfmt>
  <rfmt sheetId="1" xfDxf="1" sqref="M6833" start="0" length="0">
    <dxf>
      <border outline="0">
        <left style="thin">
          <color indexed="64"/>
        </left>
        <right style="thin">
          <color indexed="64"/>
        </right>
        <top style="thin">
          <color indexed="64"/>
        </top>
        <bottom style="thin">
          <color indexed="64"/>
        </bottom>
      </border>
    </dxf>
  </rfmt>
  <rfmt sheetId="1" xfDxf="1" sqref="N6833" start="0" length="0">
    <dxf>
      <border outline="0">
        <left style="thin">
          <color indexed="64"/>
        </left>
        <right style="thin">
          <color indexed="64"/>
        </right>
        <top style="thin">
          <color indexed="64"/>
        </top>
        <bottom style="thin">
          <color indexed="64"/>
        </bottom>
      </border>
    </dxf>
  </rfmt>
  <rfmt sheetId="1" xfDxf="1" sqref="O6833" start="0" length="0">
    <dxf>
      <border outline="0">
        <left style="thin">
          <color indexed="64"/>
        </left>
        <right style="thin">
          <color indexed="64"/>
        </right>
        <top style="thin">
          <color indexed="64"/>
        </top>
        <bottom style="thin">
          <color indexed="64"/>
        </bottom>
      </border>
    </dxf>
  </rfmt>
  <rfmt sheetId="1" xfDxf="1" sqref="P6833" start="0" length="0">
    <dxf>
      <border outline="0">
        <left style="thin">
          <color indexed="64"/>
        </left>
        <right style="thin">
          <color indexed="64"/>
        </right>
        <top style="thin">
          <color indexed="64"/>
        </top>
        <bottom style="thin">
          <color indexed="64"/>
        </bottom>
      </border>
    </dxf>
  </rfmt>
  <rfmt sheetId="1" xfDxf="1" sqref="Q6833" start="0" length="0">
    <dxf>
      <border outline="0">
        <left style="thin">
          <color indexed="64"/>
        </left>
        <right style="thin">
          <color indexed="64"/>
        </right>
        <top style="thin">
          <color indexed="64"/>
        </top>
        <bottom style="thin">
          <color indexed="64"/>
        </bottom>
      </border>
    </dxf>
  </rfmt>
  <rfmt sheetId="1" xfDxf="1" sqref="R6833" start="0" length="0">
    <dxf>
      <border outline="0">
        <left style="thin">
          <color indexed="64"/>
        </left>
        <right style="thin">
          <color indexed="64"/>
        </right>
        <top style="thin">
          <color indexed="64"/>
        </top>
        <bottom style="thin">
          <color indexed="64"/>
        </bottom>
      </border>
    </dxf>
  </rfmt>
  <rcc rId="11404" sId="1" xfDxf="1" dxf="1">
    <nc r="B6834" t="inlineStr">
      <is>
        <t>SD4305</t>
      </is>
    </nc>
    <ndxf>
      <alignment vertical="center" wrapText="1"/>
      <border outline="0">
        <left style="thin">
          <color indexed="64"/>
        </left>
        <right style="thin">
          <color indexed="64"/>
        </right>
        <top style="thin">
          <color indexed="64"/>
        </top>
        <bottom style="thin">
          <color indexed="64"/>
        </bottom>
      </border>
    </ndxf>
  </rcc>
  <rcc rId="11405" sId="1" xfDxf="1" dxf="1">
    <nc r="C6834" t="inlineStr">
      <is>
        <t>Prin. Deu.: Datos Id. Deudor</t>
      </is>
    </nc>
    <ndxf>
      <alignment vertical="center" wrapText="1"/>
      <border outline="0">
        <left style="thin">
          <color indexed="64"/>
        </left>
        <right style="thin">
          <color indexed="64"/>
        </right>
        <top style="thin">
          <color indexed="64"/>
        </top>
        <bottom style="thin">
          <color indexed="64"/>
        </bottom>
      </border>
    </ndxf>
  </rcc>
  <rcc rId="11406" sId="1" xfDxf="1" dxf="1">
    <nc r="D6834" t="inlineStr">
      <is>
        <t>Datos</t>
      </is>
    </nc>
    <ndxf>
      <alignment vertical="center" wrapText="1"/>
      <border outline="0">
        <left style="thin">
          <color indexed="64"/>
        </left>
        <right style="thin">
          <color indexed="64"/>
        </right>
        <top style="thin">
          <color indexed="64"/>
        </top>
        <bottom style="thin">
          <color indexed="64"/>
        </bottom>
      </border>
    </ndxf>
  </rcc>
  <rfmt sheetId="1" xfDxf="1" sqref="E6834" start="0" length="0">
    <dxf>
      <alignment vertical="center" wrapText="1"/>
      <border outline="0">
        <left style="thin">
          <color indexed="64"/>
        </left>
        <right style="thin">
          <color indexed="64"/>
        </right>
        <top style="thin">
          <color indexed="64"/>
        </top>
        <bottom style="thin">
          <color indexed="64"/>
        </bottom>
      </border>
    </dxf>
  </rfmt>
  <rfmt sheetId="1" xfDxf="1" sqref="F6834" start="0" length="0">
    <dxf>
      <border outline="0">
        <left style="thin">
          <color indexed="64"/>
        </left>
        <right style="thin">
          <color indexed="64"/>
        </right>
        <top style="thin">
          <color indexed="64"/>
        </top>
        <bottom style="thin">
          <color indexed="64"/>
        </bottom>
      </border>
    </dxf>
  </rfmt>
  <rfmt sheetId="1" xfDxf="1" sqref="G6834" start="0" length="0">
    <dxf>
      <border outline="0">
        <left style="thin">
          <color indexed="64"/>
        </left>
        <right style="thin">
          <color indexed="64"/>
        </right>
        <top style="thin">
          <color indexed="64"/>
        </top>
        <bottom style="thin">
          <color indexed="64"/>
        </bottom>
      </border>
    </dxf>
  </rfmt>
  <rcc rId="11407" sId="1" xfDxf="1" dxf="1">
    <nc r="H6834" t="inlineStr">
      <is>
        <t>Core</t>
      </is>
    </nc>
    <ndxf>
      <border outline="0">
        <left style="thin">
          <color indexed="64"/>
        </left>
        <right style="thin">
          <color indexed="64"/>
        </right>
        <top style="thin">
          <color indexed="64"/>
        </top>
        <bottom style="thin">
          <color indexed="64"/>
        </bottom>
      </border>
    </ndxf>
  </rcc>
  <rcc rId="11408" sId="1" xfDxf="1" dxf="1" numFmtId="19">
    <nc r="I6834">
      <v>40716</v>
    </nc>
    <ndxf>
      <numFmt numFmtId="19" formatCode="d/m/yyyy"/>
      <border outline="0">
        <left style="thin">
          <color indexed="64"/>
        </left>
        <right style="thin">
          <color indexed="64"/>
        </right>
        <bottom style="thin">
          <color indexed="64"/>
        </bottom>
      </border>
    </ndxf>
  </rcc>
  <rcc rId="11409" sId="1" xfDxf="1" dxf="1">
    <nc r="J6834" t="inlineStr">
      <is>
        <t>9/4/24 </t>
      </is>
    </nc>
    <ndxf>
      <numFmt numFmtId="19" formatCode="d/m/yyyy"/>
      <alignment horizontal="center"/>
      <border outline="0">
        <right style="thin">
          <color indexed="64"/>
        </right>
        <top style="thin">
          <color indexed="64"/>
        </top>
        <bottom style="thin">
          <color indexed="64"/>
        </bottom>
      </border>
    </ndxf>
  </rcc>
  <rcc rId="11410" sId="1" xfDxf="1" dxf="1">
    <nc r="K6834"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4" start="0" length="0">
    <dxf>
      <border outline="0">
        <left style="thin">
          <color indexed="64"/>
        </left>
        <right style="thin">
          <color indexed="64"/>
        </right>
        <top style="thin">
          <color indexed="64"/>
        </top>
        <bottom style="thin">
          <color indexed="64"/>
        </bottom>
      </border>
    </dxf>
  </rfmt>
  <rfmt sheetId="1" xfDxf="1" sqref="M6834" start="0" length="0">
    <dxf>
      <border outline="0">
        <left style="thin">
          <color indexed="64"/>
        </left>
        <right style="thin">
          <color indexed="64"/>
        </right>
        <top style="thin">
          <color indexed="64"/>
        </top>
        <bottom style="thin">
          <color indexed="64"/>
        </bottom>
      </border>
    </dxf>
  </rfmt>
  <rfmt sheetId="1" xfDxf="1" sqref="N6834" start="0" length="0">
    <dxf>
      <border outline="0">
        <left style="thin">
          <color indexed="64"/>
        </left>
        <right style="thin">
          <color indexed="64"/>
        </right>
        <top style="thin">
          <color indexed="64"/>
        </top>
        <bottom style="thin">
          <color indexed="64"/>
        </bottom>
      </border>
    </dxf>
  </rfmt>
  <rfmt sheetId="1" xfDxf="1" sqref="O6834" start="0" length="0">
    <dxf>
      <border outline="0">
        <left style="thin">
          <color indexed="64"/>
        </left>
        <right style="thin">
          <color indexed="64"/>
        </right>
        <top style="thin">
          <color indexed="64"/>
        </top>
        <bottom style="thin">
          <color indexed="64"/>
        </bottom>
      </border>
    </dxf>
  </rfmt>
  <rfmt sheetId="1" xfDxf="1" sqref="P6834" start="0" length="0">
    <dxf>
      <border outline="0">
        <left style="thin">
          <color indexed="64"/>
        </left>
        <right style="thin">
          <color indexed="64"/>
        </right>
        <top style="thin">
          <color indexed="64"/>
        </top>
        <bottom style="thin">
          <color indexed="64"/>
        </bottom>
      </border>
    </dxf>
  </rfmt>
  <rfmt sheetId="1" xfDxf="1" sqref="Q6834" start="0" length="0">
    <dxf>
      <border outline="0">
        <left style="thin">
          <color indexed="64"/>
        </left>
        <right style="thin">
          <color indexed="64"/>
        </right>
        <top style="thin">
          <color indexed="64"/>
        </top>
        <bottom style="thin">
          <color indexed="64"/>
        </bottom>
      </border>
    </dxf>
  </rfmt>
  <rfmt sheetId="1" xfDxf="1" sqref="R6834" start="0" length="0">
    <dxf>
      <border outline="0">
        <left style="thin">
          <color indexed="64"/>
        </left>
        <right style="thin">
          <color indexed="64"/>
        </right>
        <top style="thin">
          <color indexed="64"/>
        </top>
        <bottom style="thin">
          <color indexed="64"/>
        </bottom>
      </border>
    </dxf>
  </rfmt>
  <rcc rId="11411" sId="1" xfDxf="1" dxf="1">
    <nc r="B6835" t="inlineStr">
      <is>
        <t>SD4306</t>
      </is>
    </nc>
    <ndxf>
      <alignment vertical="center" wrapText="1"/>
      <border outline="0">
        <left style="thin">
          <color indexed="64"/>
        </left>
        <right style="thin">
          <color indexed="64"/>
        </right>
        <top style="thin">
          <color indexed="64"/>
        </top>
        <bottom style="thin">
          <color indexed="64"/>
        </bottom>
      </border>
    </ndxf>
  </rcc>
  <rcc rId="11412" sId="1" xfDxf="1" dxf="1">
    <nc r="C6835" t="inlineStr">
      <is>
        <t>Prin. Deu.: Datos Asist. Deud.</t>
      </is>
    </nc>
    <ndxf>
      <alignment vertical="center" wrapText="1"/>
      <border outline="0">
        <left style="thin">
          <color indexed="64"/>
        </left>
        <right style="thin">
          <color indexed="64"/>
        </right>
        <top style="thin">
          <color indexed="64"/>
        </top>
        <bottom style="thin">
          <color indexed="64"/>
        </bottom>
      </border>
    </ndxf>
  </rcc>
  <rcc rId="11413" sId="1" xfDxf="1" dxf="1">
    <nc r="D6835" t="inlineStr">
      <is>
        <t>Datos</t>
      </is>
    </nc>
    <ndxf>
      <alignment vertical="center" wrapText="1"/>
      <border outline="0">
        <left style="thin">
          <color indexed="64"/>
        </left>
        <right style="thin">
          <color indexed="64"/>
        </right>
        <top style="thin">
          <color indexed="64"/>
        </top>
        <bottom style="thin">
          <color indexed="64"/>
        </bottom>
      </border>
    </ndxf>
  </rcc>
  <rfmt sheetId="1" xfDxf="1" sqref="E6835" start="0" length="0">
    <dxf>
      <alignment vertical="center" wrapText="1"/>
      <border outline="0">
        <left style="thin">
          <color indexed="64"/>
        </left>
        <right style="thin">
          <color indexed="64"/>
        </right>
        <top style="thin">
          <color indexed="64"/>
        </top>
        <bottom style="thin">
          <color indexed="64"/>
        </bottom>
      </border>
    </dxf>
  </rfmt>
  <rfmt sheetId="1" xfDxf="1" sqref="F6835" start="0" length="0">
    <dxf>
      <border outline="0">
        <left style="thin">
          <color indexed="64"/>
        </left>
        <right style="thin">
          <color indexed="64"/>
        </right>
        <top style="thin">
          <color indexed="64"/>
        </top>
        <bottom style="thin">
          <color indexed="64"/>
        </bottom>
      </border>
    </dxf>
  </rfmt>
  <rfmt sheetId="1" xfDxf="1" sqref="G6835" start="0" length="0">
    <dxf>
      <border outline="0">
        <left style="thin">
          <color indexed="64"/>
        </left>
        <right style="thin">
          <color indexed="64"/>
        </right>
        <top style="thin">
          <color indexed="64"/>
        </top>
        <bottom style="thin">
          <color indexed="64"/>
        </bottom>
      </border>
    </dxf>
  </rfmt>
  <rcc rId="11414" sId="1" xfDxf="1" dxf="1">
    <nc r="H6835" t="inlineStr">
      <is>
        <t>Core</t>
      </is>
    </nc>
    <ndxf>
      <border outline="0">
        <left style="thin">
          <color indexed="64"/>
        </left>
        <right style="thin">
          <color indexed="64"/>
        </right>
        <top style="thin">
          <color indexed="64"/>
        </top>
        <bottom style="thin">
          <color indexed="64"/>
        </bottom>
      </border>
    </ndxf>
  </rcc>
  <rcc rId="11415" sId="1" xfDxf="1" dxf="1" numFmtId="19">
    <nc r="I6835">
      <v>40716</v>
    </nc>
    <ndxf>
      <font>
        <sz val="7"/>
        <color rgb="FF676A6C"/>
        <name val="Arial"/>
        <scheme val="none"/>
      </font>
      <numFmt numFmtId="19" formatCode="d/m/yyyy"/>
    </ndxf>
  </rcc>
  <rcc rId="11416" sId="1" xfDxf="1" dxf="1" numFmtId="19">
    <nc r="J6835">
      <v>45391</v>
    </nc>
    <ndxf>
      <font>
        <sz val="7"/>
        <color rgb="FF676A6C"/>
        <name val="Arial"/>
        <scheme val="none"/>
      </font>
      <numFmt numFmtId="19" formatCode="d/m/yyyy"/>
    </ndxf>
  </rcc>
  <rcc rId="11417" sId="1" xfDxf="1" dxf="1">
    <nc r="K6835"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5" start="0" length="0">
    <dxf>
      <border outline="0">
        <left style="thin">
          <color indexed="64"/>
        </left>
        <right style="thin">
          <color indexed="64"/>
        </right>
        <top style="thin">
          <color indexed="64"/>
        </top>
        <bottom style="thin">
          <color indexed="64"/>
        </bottom>
      </border>
    </dxf>
  </rfmt>
  <rfmt sheetId="1" xfDxf="1" sqref="M6835" start="0" length="0">
    <dxf>
      <border outline="0">
        <left style="thin">
          <color indexed="64"/>
        </left>
        <right style="thin">
          <color indexed="64"/>
        </right>
        <top style="thin">
          <color indexed="64"/>
        </top>
        <bottom style="thin">
          <color indexed="64"/>
        </bottom>
      </border>
    </dxf>
  </rfmt>
  <rfmt sheetId="1" xfDxf="1" sqref="N6835" start="0" length="0">
    <dxf>
      <border outline="0">
        <left style="thin">
          <color indexed="64"/>
        </left>
        <right style="thin">
          <color indexed="64"/>
        </right>
        <top style="thin">
          <color indexed="64"/>
        </top>
        <bottom style="thin">
          <color indexed="64"/>
        </bottom>
      </border>
    </dxf>
  </rfmt>
  <rfmt sheetId="1" xfDxf="1" sqref="O6835" start="0" length="0">
    <dxf>
      <border outline="0">
        <left style="thin">
          <color indexed="64"/>
        </left>
        <right style="thin">
          <color indexed="64"/>
        </right>
        <top style="thin">
          <color indexed="64"/>
        </top>
        <bottom style="thin">
          <color indexed="64"/>
        </bottom>
      </border>
    </dxf>
  </rfmt>
  <rfmt sheetId="1" xfDxf="1" sqref="P6835" start="0" length="0">
    <dxf>
      <border outline="0">
        <left style="thin">
          <color indexed="64"/>
        </left>
        <right style="thin">
          <color indexed="64"/>
        </right>
        <top style="thin">
          <color indexed="64"/>
        </top>
        <bottom style="thin">
          <color indexed="64"/>
        </bottom>
      </border>
    </dxf>
  </rfmt>
  <rfmt sheetId="1" xfDxf="1" sqref="Q6835" start="0" length="0">
    <dxf>
      <border outline="0">
        <left style="thin">
          <color indexed="64"/>
        </left>
        <right style="thin">
          <color indexed="64"/>
        </right>
        <top style="thin">
          <color indexed="64"/>
        </top>
        <bottom style="thin">
          <color indexed="64"/>
        </bottom>
      </border>
    </dxf>
  </rfmt>
  <rfmt sheetId="1" xfDxf="1" sqref="R6835" start="0" length="0">
    <dxf>
      <border outline="0">
        <left style="thin">
          <color indexed="64"/>
        </left>
        <right style="thin">
          <color indexed="64"/>
        </right>
        <top style="thin">
          <color indexed="64"/>
        </top>
        <bottom style="thin">
          <color indexed="64"/>
        </bottom>
      </border>
    </dxf>
  </rfmt>
  <rcc rId="11418" sId="1" xfDxf="1" dxf="1">
    <nc r="B6836" t="inlineStr">
      <is>
        <t>SD4307</t>
      </is>
    </nc>
    <ndxf>
      <alignment vertical="center" wrapText="1"/>
      <border outline="0">
        <left style="thin">
          <color indexed="64"/>
        </left>
        <right style="thin">
          <color indexed="64"/>
        </right>
        <top style="thin">
          <color indexed="64"/>
        </top>
        <bottom style="thin">
          <color indexed="64"/>
        </bottom>
      </border>
    </ndxf>
  </rcc>
  <rcc rId="11419" sId="1" xfDxf="1" dxf="1">
    <nc r="C6836" t="inlineStr">
      <is>
        <t>Prin. Deu.:Part. Y Ctas. Ord.</t>
      </is>
    </nc>
    <ndxf>
      <alignment vertical="center" wrapText="1"/>
      <border outline="0">
        <left style="thin">
          <color indexed="64"/>
        </left>
        <right style="thin">
          <color indexed="64"/>
        </right>
        <top style="thin">
          <color indexed="64"/>
        </top>
        <bottom style="thin">
          <color indexed="64"/>
        </bottom>
      </border>
    </ndxf>
  </rcc>
  <rcc rId="11420" sId="1" xfDxf="1" dxf="1">
    <nc r="D6836" t="inlineStr">
      <is>
        <t>Datos</t>
      </is>
    </nc>
    <ndxf>
      <alignment vertical="center" wrapText="1"/>
      <border outline="0">
        <left style="thin">
          <color indexed="64"/>
        </left>
        <right style="thin">
          <color indexed="64"/>
        </right>
        <top style="thin">
          <color indexed="64"/>
        </top>
        <bottom style="thin">
          <color indexed="64"/>
        </bottom>
      </border>
    </ndxf>
  </rcc>
  <rfmt sheetId="1" xfDxf="1" sqref="E6836" start="0" length="0">
    <dxf>
      <alignment vertical="center" wrapText="1"/>
      <border outline="0">
        <left style="thin">
          <color indexed="64"/>
        </left>
        <right style="thin">
          <color indexed="64"/>
        </right>
        <top style="thin">
          <color indexed="64"/>
        </top>
        <bottom style="thin">
          <color indexed="64"/>
        </bottom>
      </border>
    </dxf>
  </rfmt>
  <rfmt sheetId="1" xfDxf="1" sqref="F6836" start="0" length="0">
    <dxf>
      <border outline="0">
        <left style="thin">
          <color indexed="64"/>
        </left>
        <right style="thin">
          <color indexed="64"/>
        </right>
        <top style="thin">
          <color indexed="64"/>
        </top>
        <bottom style="thin">
          <color indexed="64"/>
        </bottom>
      </border>
    </dxf>
  </rfmt>
  <rfmt sheetId="1" xfDxf="1" sqref="G6836" start="0" length="0">
    <dxf>
      <border outline="0">
        <left style="thin">
          <color indexed="64"/>
        </left>
        <right style="thin">
          <color indexed="64"/>
        </right>
        <top style="thin">
          <color indexed="64"/>
        </top>
        <bottom style="thin">
          <color indexed="64"/>
        </bottom>
      </border>
    </dxf>
  </rfmt>
  <rcc rId="11421" sId="1" xfDxf="1" dxf="1">
    <nc r="H6836" t="inlineStr">
      <is>
        <t>Core</t>
      </is>
    </nc>
    <ndxf>
      <border outline="0">
        <left style="thin">
          <color indexed="64"/>
        </left>
        <right style="thin">
          <color indexed="64"/>
        </right>
        <top style="thin">
          <color indexed="64"/>
        </top>
        <bottom style="thin">
          <color indexed="64"/>
        </bottom>
      </border>
    </ndxf>
  </rcc>
  <rcc rId="11422" sId="1" xfDxf="1" dxf="1" numFmtId="19">
    <nc r="I6836">
      <v>40716</v>
    </nc>
    <ndxf>
      <font>
        <sz val="7"/>
        <color rgb="FF676A6C"/>
        <name val="Arial"/>
        <scheme val="none"/>
      </font>
      <numFmt numFmtId="19" formatCode="d/m/yyyy"/>
    </ndxf>
  </rcc>
  <rcc rId="11423" sId="1" xfDxf="1" dxf="1" numFmtId="19">
    <nc r="J6836">
      <v>45391</v>
    </nc>
    <ndxf>
      <font>
        <sz val="7"/>
        <color rgb="FF676A6C"/>
        <name val="Arial"/>
        <scheme val="none"/>
      </font>
      <numFmt numFmtId="19" formatCode="d/m/yyyy"/>
    </ndxf>
  </rcc>
  <rcc rId="11424" sId="1" xfDxf="1" dxf="1">
    <nc r="K6836"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6" start="0" length="0">
    <dxf>
      <border outline="0">
        <left style="thin">
          <color indexed="64"/>
        </left>
        <right style="thin">
          <color indexed="64"/>
        </right>
        <top style="thin">
          <color indexed="64"/>
        </top>
        <bottom style="thin">
          <color indexed="64"/>
        </bottom>
      </border>
    </dxf>
  </rfmt>
  <rfmt sheetId="1" xfDxf="1" sqref="M6836" start="0" length="0">
    <dxf>
      <border outline="0">
        <left style="thin">
          <color indexed="64"/>
        </left>
        <right style="thin">
          <color indexed="64"/>
        </right>
        <top style="thin">
          <color indexed="64"/>
        </top>
        <bottom style="thin">
          <color indexed="64"/>
        </bottom>
      </border>
    </dxf>
  </rfmt>
  <rfmt sheetId="1" xfDxf="1" sqref="N6836" start="0" length="0">
    <dxf>
      <border outline="0">
        <left style="thin">
          <color indexed="64"/>
        </left>
        <right style="thin">
          <color indexed="64"/>
        </right>
        <top style="thin">
          <color indexed="64"/>
        </top>
        <bottom style="thin">
          <color indexed="64"/>
        </bottom>
      </border>
    </dxf>
  </rfmt>
  <rfmt sheetId="1" xfDxf="1" sqref="O6836" start="0" length="0">
    <dxf>
      <border outline="0">
        <left style="thin">
          <color indexed="64"/>
        </left>
        <right style="thin">
          <color indexed="64"/>
        </right>
        <top style="thin">
          <color indexed="64"/>
        </top>
        <bottom style="thin">
          <color indexed="64"/>
        </bottom>
      </border>
    </dxf>
  </rfmt>
  <rfmt sheetId="1" xfDxf="1" sqref="P6836" start="0" length="0">
    <dxf>
      <border outline="0">
        <left style="thin">
          <color indexed="64"/>
        </left>
        <right style="thin">
          <color indexed="64"/>
        </right>
        <top style="thin">
          <color indexed="64"/>
        </top>
        <bottom style="thin">
          <color indexed="64"/>
        </bottom>
      </border>
    </dxf>
  </rfmt>
  <rfmt sheetId="1" xfDxf="1" sqref="Q6836" start="0" length="0">
    <dxf>
      <border outline="0">
        <left style="thin">
          <color indexed="64"/>
        </left>
        <right style="thin">
          <color indexed="64"/>
        </right>
        <top style="thin">
          <color indexed="64"/>
        </top>
        <bottom style="thin">
          <color indexed="64"/>
        </bottom>
      </border>
    </dxf>
  </rfmt>
  <rfmt sheetId="1" xfDxf="1" sqref="R6836" start="0" length="0">
    <dxf>
      <border outline="0">
        <left style="thin">
          <color indexed="64"/>
        </left>
        <right style="thin">
          <color indexed="64"/>
        </right>
        <top style="thin">
          <color indexed="64"/>
        </top>
        <bottom style="thin">
          <color indexed="64"/>
        </bottom>
      </border>
    </dxf>
  </rfmt>
  <rcc rId="11425" sId="1" xfDxf="1" dxf="1">
    <nc r="B6837" t="inlineStr">
      <is>
        <t>SD4310</t>
      </is>
    </nc>
    <ndxf>
      <alignment vertical="center" wrapText="1"/>
      <border outline="0">
        <left style="thin">
          <color indexed="64"/>
        </left>
        <right style="thin">
          <color indexed="64"/>
        </right>
        <top style="thin">
          <color indexed="64"/>
        </top>
        <bottom style="thin">
          <color indexed="64"/>
        </bottom>
      </border>
    </ndxf>
  </rcc>
  <rcc rId="11426" sId="1" xfDxf="1" dxf="1">
    <nc r="C6837" t="inlineStr">
      <is>
        <t>Prin. Deu.: Deud. Dados de Baja</t>
      </is>
    </nc>
    <ndxf>
      <alignment vertical="center" wrapText="1"/>
      <border outline="0">
        <left style="thin">
          <color indexed="64"/>
        </left>
        <right style="thin">
          <color indexed="64"/>
        </right>
        <top style="thin">
          <color indexed="64"/>
        </top>
        <bottom style="thin">
          <color indexed="64"/>
        </bottom>
      </border>
    </ndxf>
  </rcc>
  <rcc rId="11427" sId="1" xfDxf="1" dxf="1">
    <nc r="D6837" t="inlineStr">
      <is>
        <t>Datos</t>
      </is>
    </nc>
    <ndxf>
      <alignment vertical="center" wrapText="1"/>
      <border outline="0">
        <left style="thin">
          <color indexed="64"/>
        </left>
        <right style="thin">
          <color indexed="64"/>
        </right>
        <top style="thin">
          <color indexed="64"/>
        </top>
        <bottom style="thin">
          <color indexed="64"/>
        </bottom>
      </border>
    </ndxf>
  </rcc>
  <rfmt sheetId="1" xfDxf="1" sqref="E6837" start="0" length="0">
    <dxf>
      <alignment vertical="center" wrapText="1"/>
      <border outline="0">
        <left style="thin">
          <color indexed="64"/>
        </left>
        <right style="thin">
          <color indexed="64"/>
        </right>
        <top style="thin">
          <color indexed="64"/>
        </top>
        <bottom style="thin">
          <color indexed="64"/>
        </bottom>
      </border>
    </dxf>
  </rfmt>
  <rfmt sheetId="1" xfDxf="1" sqref="F6837" start="0" length="0">
    <dxf>
      <border outline="0">
        <left style="thin">
          <color indexed="64"/>
        </left>
        <right style="thin">
          <color indexed="64"/>
        </right>
        <top style="thin">
          <color indexed="64"/>
        </top>
        <bottom style="thin">
          <color indexed="64"/>
        </bottom>
      </border>
    </dxf>
  </rfmt>
  <rfmt sheetId="1" xfDxf="1" sqref="G6837" start="0" length="0">
    <dxf>
      <border outline="0">
        <left style="thin">
          <color indexed="64"/>
        </left>
        <right style="thin">
          <color indexed="64"/>
        </right>
        <top style="thin">
          <color indexed="64"/>
        </top>
        <bottom style="thin">
          <color indexed="64"/>
        </bottom>
      </border>
    </dxf>
  </rfmt>
  <rcc rId="11428" sId="1" xfDxf="1" dxf="1">
    <nc r="H6837" t="inlineStr">
      <is>
        <t>Core</t>
      </is>
    </nc>
    <ndxf>
      <border outline="0">
        <left style="thin">
          <color indexed="64"/>
        </left>
        <right style="thin">
          <color indexed="64"/>
        </right>
        <top style="thin">
          <color indexed="64"/>
        </top>
        <bottom style="thin">
          <color indexed="64"/>
        </bottom>
      </border>
    </ndxf>
  </rcc>
  <rcc rId="11429" sId="1" xfDxf="1" dxf="1" numFmtId="19">
    <nc r="I6837">
      <v>40716</v>
    </nc>
    <ndxf>
      <font>
        <sz val="7"/>
        <color rgb="FF676A6C"/>
        <name val="Arial"/>
        <scheme val="none"/>
      </font>
      <numFmt numFmtId="19" formatCode="d/m/yyyy"/>
    </ndxf>
  </rcc>
  <rcc rId="11430" sId="1" xfDxf="1" dxf="1" numFmtId="19">
    <nc r="J6837">
      <v>45391</v>
    </nc>
    <ndxf>
      <font>
        <sz val="7"/>
        <color rgb="FF676A6C"/>
        <name val="Arial"/>
        <scheme val="none"/>
      </font>
      <numFmt numFmtId="19" formatCode="d/m/yyyy"/>
    </ndxf>
  </rcc>
  <rcc rId="11431" sId="1" xfDxf="1" dxf="1">
    <nc r="K6837"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7" start="0" length="0">
    <dxf>
      <border outline="0">
        <left style="thin">
          <color indexed="64"/>
        </left>
        <right style="thin">
          <color indexed="64"/>
        </right>
        <top style="thin">
          <color indexed="64"/>
        </top>
        <bottom style="thin">
          <color indexed="64"/>
        </bottom>
      </border>
    </dxf>
  </rfmt>
  <rfmt sheetId="1" xfDxf="1" sqref="M6837" start="0" length="0">
    <dxf>
      <border outline="0">
        <left style="thin">
          <color indexed="64"/>
        </left>
        <right style="thin">
          <color indexed="64"/>
        </right>
        <top style="thin">
          <color indexed="64"/>
        </top>
        <bottom style="thin">
          <color indexed="64"/>
        </bottom>
      </border>
    </dxf>
  </rfmt>
  <rfmt sheetId="1" xfDxf="1" sqref="N6837" start="0" length="0">
    <dxf>
      <border outline="0">
        <left style="thin">
          <color indexed="64"/>
        </left>
        <right style="thin">
          <color indexed="64"/>
        </right>
        <top style="thin">
          <color indexed="64"/>
        </top>
        <bottom style="thin">
          <color indexed="64"/>
        </bottom>
      </border>
    </dxf>
  </rfmt>
  <rfmt sheetId="1" xfDxf="1" sqref="O6837" start="0" length="0">
    <dxf>
      <border outline="0">
        <left style="thin">
          <color indexed="64"/>
        </left>
        <right style="thin">
          <color indexed="64"/>
        </right>
        <top style="thin">
          <color indexed="64"/>
        </top>
        <bottom style="thin">
          <color indexed="64"/>
        </bottom>
      </border>
    </dxf>
  </rfmt>
  <rfmt sheetId="1" xfDxf="1" sqref="P6837" start="0" length="0">
    <dxf>
      <border outline="0">
        <left style="thin">
          <color indexed="64"/>
        </left>
        <right style="thin">
          <color indexed="64"/>
        </right>
        <top style="thin">
          <color indexed="64"/>
        </top>
        <bottom style="thin">
          <color indexed="64"/>
        </bottom>
      </border>
    </dxf>
  </rfmt>
  <rfmt sheetId="1" xfDxf="1" sqref="Q6837" start="0" length="0">
    <dxf>
      <border outline="0">
        <left style="thin">
          <color indexed="64"/>
        </left>
        <right style="thin">
          <color indexed="64"/>
        </right>
        <top style="thin">
          <color indexed="64"/>
        </top>
        <bottom style="thin">
          <color indexed="64"/>
        </bottom>
      </border>
    </dxf>
  </rfmt>
  <rfmt sheetId="1" xfDxf="1" sqref="R6837" start="0" length="0">
    <dxf>
      <border outline="0">
        <left style="thin">
          <color indexed="64"/>
        </left>
        <right style="thin">
          <color indexed="64"/>
        </right>
        <top style="thin">
          <color indexed="64"/>
        </top>
        <bottom style="thin">
          <color indexed="64"/>
        </bottom>
      </border>
    </dxf>
  </rfmt>
  <rcc rId="11432" sId="1" xfDxf="1" dxf="1">
    <nc r="B6838" t="inlineStr">
      <is>
        <t>SD4311</t>
      </is>
    </nc>
    <ndxf>
      <alignment vertical="center" wrapText="1"/>
      <border outline="0">
        <left style="thin">
          <color indexed="64"/>
        </left>
        <right style="thin">
          <color indexed="64"/>
        </right>
        <top style="thin">
          <color indexed="64"/>
        </top>
        <bottom style="thin">
          <color indexed="64"/>
        </bottom>
      </border>
    </ndxf>
  </rcc>
  <rcc rId="11433" sId="1" xfDxf="1" dxf="1">
    <nc r="C6838" t="inlineStr">
      <is>
        <t>Prin. Deu.: Inf. Complementaria Diseño 4306</t>
      </is>
    </nc>
    <ndxf>
      <alignment vertical="center" wrapText="1"/>
      <border outline="0">
        <left style="thin">
          <color indexed="64"/>
        </left>
        <right style="thin">
          <color indexed="64"/>
        </right>
        <top style="thin">
          <color indexed="64"/>
        </top>
        <bottom style="thin">
          <color indexed="64"/>
        </bottom>
      </border>
    </ndxf>
  </rcc>
  <rcc rId="11434" sId="1" xfDxf="1" dxf="1">
    <nc r="D6838" t="inlineStr">
      <is>
        <t>Datos</t>
      </is>
    </nc>
    <ndxf>
      <alignment vertical="center" wrapText="1"/>
      <border outline="0">
        <left style="thin">
          <color indexed="64"/>
        </left>
        <right style="thin">
          <color indexed="64"/>
        </right>
        <top style="thin">
          <color indexed="64"/>
        </top>
        <bottom style="thin">
          <color indexed="64"/>
        </bottom>
      </border>
    </ndxf>
  </rcc>
  <rfmt sheetId="1" xfDxf="1" sqref="E6838" start="0" length="0">
    <dxf>
      <alignment vertical="center" wrapText="1"/>
      <border outline="0">
        <left style="thin">
          <color indexed="64"/>
        </left>
        <right style="thin">
          <color indexed="64"/>
        </right>
        <top style="thin">
          <color indexed="64"/>
        </top>
        <bottom style="thin">
          <color indexed="64"/>
        </bottom>
      </border>
    </dxf>
  </rfmt>
  <rfmt sheetId="1" xfDxf="1" sqref="F6838" start="0" length="0">
    <dxf>
      <border outline="0">
        <left style="thin">
          <color indexed="64"/>
        </left>
        <right style="thin">
          <color indexed="64"/>
        </right>
        <top style="thin">
          <color indexed="64"/>
        </top>
        <bottom style="thin">
          <color indexed="64"/>
        </bottom>
      </border>
    </dxf>
  </rfmt>
  <rfmt sheetId="1" xfDxf="1" sqref="G6838" start="0" length="0">
    <dxf>
      <border outline="0">
        <left style="thin">
          <color indexed="64"/>
        </left>
        <right style="thin">
          <color indexed="64"/>
        </right>
        <top style="thin">
          <color indexed="64"/>
        </top>
        <bottom style="thin">
          <color indexed="64"/>
        </bottom>
      </border>
    </dxf>
  </rfmt>
  <rcc rId="11435" sId="1" xfDxf="1" dxf="1">
    <nc r="H6838" t="inlineStr">
      <is>
        <t>Core</t>
      </is>
    </nc>
    <ndxf>
      <border outline="0">
        <left style="thin">
          <color indexed="64"/>
        </left>
        <right style="thin">
          <color indexed="64"/>
        </right>
        <top style="thin">
          <color indexed="64"/>
        </top>
        <bottom style="thin">
          <color indexed="64"/>
        </bottom>
      </border>
    </ndxf>
  </rcc>
  <rcc rId="11436" sId="1" xfDxf="1" dxf="1" numFmtId="19">
    <nc r="I6838">
      <v>42710</v>
    </nc>
    <ndxf>
      <font>
        <sz val="7"/>
        <color rgb="FF676A6C"/>
        <name val="Arial"/>
        <scheme val="none"/>
      </font>
      <numFmt numFmtId="19" formatCode="d/m/yyyy"/>
    </ndxf>
  </rcc>
  <rcc rId="11437" sId="1" xfDxf="1" dxf="1" numFmtId="19">
    <nc r="J6838">
      <v>45391</v>
    </nc>
    <ndxf>
      <font>
        <sz val="7"/>
        <color rgb="FF676A6C"/>
        <name val="Arial"/>
        <scheme val="none"/>
      </font>
      <numFmt numFmtId="19" formatCode="d/m/yyyy"/>
    </ndxf>
  </rcc>
  <rcc rId="11438" sId="1" xfDxf="1" dxf="1">
    <nc r="K6838"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8" start="0" length="0">
    <dxf>
      <border outline="0">
        <left style="thin">
          <color indexed="64"/>
        </left>
        <right style="thin">
          <color indexed="64"/>
        </right>
        <top style="thin">
          <color indexed="64"/>
        </top>
        <bottom style="thin">
          <color indexed="64"/>
        </bottom>
      </border>
    </dxf>
  </rfmt>
  <rfmt sheetId="1" xfDxf="1" sqref="M6838" start="0" length="0">
    <dxf>
      <border outline="0">
        <left style="thin">
          <color indexed="64"/>
        </left>
        <right style="thin">
          <color indexed="64"/>
        </right>
        <top style="thin">
          <color indexed="64"/>
        </top>
        <bottom style="thin">
          <color indexed="64"/>
        </bottom>
      </border>
    </dxf>
  </rfmt>
  <rfmt sheetId="1" xfDxf="1" sqref="N6838" start="0" length="0">
    <dxf>
      <border outline="0">
        <left style="thin">
          <color indexed="64"/>
        </left>
        <right style="thin">
          <color indexed="64"/>
        </right>
        <top style="thin">
          <color indexed="64"/>
        </top>
        <bottom style="thin">
          <color indexed="64"/>
        </bottom>
      </border>
    </dxf>
  </rfmt>
  <rfmt sheetId="1" xfDxf="1" sqref="O6838" start="0" length="0">
    <dxf>
      <border outline="0">
        <left style="thin">
          <color indexed="64"/>
        </left>
        <right style="thin">
          <color indexed="64"/>
        </right>
        <top style="thin">
          <color indexed="64"/>
        </top>
        <bottom style="thin">
          <color indexed="64"/>
        </bottom>
      </border>
    </dxf>
  </rfmt>
  <rfmt sheetId="1" xfDxf="1" sqref="P6838" start="0" length="0">
    <dxf>
      <border outline="0">
        <left style="thin">
          <color indexed="64"/>
        </left>
        <right style="thin">
          <color indexed="64"/>
        </right>
        <top style="thin">
          <color indexed="64"/>
        </top>
        <bottom style="thin">
          <color indexed="64"/>
        </bottom>
      </border>
    </dxf>
  </rfmt>
  <rfmt sheetId="1" xfDxf="1" sqref="Q6838" start="0" length="0">
    <dxf>
      <border outline="0">
        <left style="thin">
          <color indexed="64"/>
        </left>
        <right style="thin">
          <color indexed="64"/>
        </right>
        <top style="thin">
          <color indexed="64"/>
        </top>
        <bottom style="thin">
          <color indexed="64"/>
        </bottom>
      </border>
    </dxf>
  </rfmt>
  <rfmt sheetId="1" xfDxf="1" sqref="R6838" start="0" length="0">
    <dxf>
      <border outline="0">
        <left style="thin">
          <color indexed="64"/>
        </left>
        <right style="thin">
          <color indexed="64"/>
        </right>
        <top style="thin">
          <color indexed="64"/>
        </top>
        <bottom style="thin">
          <color indexed="64"/>
        </bottom>
      </border>
    </dxf>
  </rfmt>
  <rcc rId="11439" sId="1" xfDxf="1" dxf="1">
    <nc r="B6839" t="inlineStr">
      <is>
        <t>SD4316</t>
      </is>
    </nc>
    <ndxf>
      <alignment vertical="center" wrapText="1"/>
      <border outline="0">
        <left style="thin">
          <color indexed="64"/>
        </left>
        <right style="thin">
          <color indexed="64"/>
        </right>
        <top style="thin">
          <color indexed="64"/>
        </top>
        <bottom style="thin">
          <color indexed="64"/>
        </bottom>
      </border>
    </ndxf>
  </rcc>
  <rcc rId="11440" sId="1" xfDxf="1" dxf="1">
    <nc r="C6839" t="inlineStr">
      <is>
        <t>Previsiones</t>
      </is>
    </nc>
    <ndxf>
      <alignment vertical="center" wrapText="1"/>
      <border outline="0">
        <left style="thin">
          <color indexed="64"/>
        </left>
        <right style="thin">
          <color indexed="64"/>
        </right>
        <top style="thin">
          <color indexed="64"/>
        </top>
        <bottom style="thin">
          <color indexed="64"/>
        </bottom>
      </border>
    </ndxf>
  </rcc>
  <rcc rId="11441" sId="1" xfDxf="1" dxf="1">
    <nc r="D6839" t="inlineStr">
      <is>
        <t>Datos</t>
      </is>
    </nc>
    <ndxf>
      <alignment vertical="center" wrapText="1"/>
      <border outline="0">
        <left style="thin">
          <color indexed="64"/>
        </left>
        <right style="thin">
          <color indexed="64"/>
        </right>
        <top style="thin">
          <color indexed="64"/>
        </top>
        <bottom style="thin">
          <color indexed="64"/>
        </bottom>
      </border>
    </ndxf>
  </rcc>
  <rfmt sheetId="1" xfDxf="1" sqref="E6839" start="0" length="0">
    <dxf>
      <alignment vertical="center" wrapText="1"/>
      <border outline="0">
        <left style="thin">
          <color indexed="64"/>
        </left>
        <right style="thin">
          <color indexed="64"/>
        </right>
        <top style="thin">
          <color indexed="64"/>
        </top>
        <bottom style="thin">
          <color indexed="64"/>
        </bottom>
      </border>
    </dxf>
  </rfmt>
  <rfmt sheetId="1" xfDxf="1" sqref="F6839" start="0" length="0">
    <dxf>
      <border outline="0">
        <left style="thin">
          <color indexed="64"/>
        </left>
        <right style="thin">
          <color indexed="64"/>
        </right>
        <top style="thin">
          <color indexed="64"/>
        </top>
        <bottom style="thin">
          <color indexed="64"/>
        </bottom>
      </border>
    </dxf>
  </rfmt>
  <rfmt sheetId="1" xfDxf="1" sqref="G6839" start="0" length="0">
    <dxf>
      <border outline="0">
        <left style="thin">
          <color indexed="64"/>
        </left>
        <right style="thin">
          <color indexed="64"/>
        </right>
        <top style="thin">
          <color indexed="64"/>
        </top>
        <bottom style="thin">
          <color indexed="64"/>
        </bottom>
      </border>
    </dxf>
  </rfmt>
  <rcc rId="11442" sId="1" xfDxf="1" dxf="1">
    <nc r="H6839" t="inlineStr">
      <is>
        <t>Core</t>
      </is>
    </nc>
    <ndxf>
      <border outline="0">
        <left style="thin">
          <color indexed="64"/>
        </left>
        <right style="thin">
          <color indexed="64"/>
        </right>
        <top style="thin">
          <color indexed="64"/>
        </top>
        <bottom style="thin">
          <color indexed="64"/>
        </bottom>
      </border>
    </ndxf>
  </rcc>
  <rcc rId="11443" sId="1" xfDxf="1" dxf="1" numFmtId="19">
    <nc r="I6839">
      <v>40716</v>
    </nc>
    <ndxf>
      <font>
        <sz val="7"/>
        <color rgb="FF676A6C"/>
        <name val="Arial"/>
        <scheme val="none"/>
      </font>
      <numFmt numFmtId="19" formatCode="d/m/yyyy"/>
    </ndxf>
  </rcc>
  <rcc rId="11444" sId="1" xfDxf="1" dxf="1" numFmtId="19">
    <nc r="J6839">
      <v>45391</v>
    </nc>
    <ndxf>
      <font>
        <sz val="7"/>
        <color rgb="FF676A6C"/>
        <name val="Arial"/>
        <scheme val="none"/>
      </font>
      <numFmt numFmtId="19" formatCode="d/m/yyyy"/>
    </ndxf>
  </rcc>
  <rcc rId="11445" sId="1" xfDxf="1" dxf="1">
    <nc r="K6839" t="inlineStr">
      <is>
        <t>AMARSICANO</t>
      </is>
    </nc>
    <ndxf>
      <alignment vertical="center" wrapText="1"/>
      <border outline="0">
        <left style="thin">
          <color indexed="64"/>
        </left>
        <right style="thin">
          <color indexed="64"/>
        </right>
        <top style="thin">
          <color indexed="64"/>
        </top>
        <bottom style="thin">
          <color indexed="64"/>
        </bottom>
      </border>
    </ndxf>
  </rcc>
  <rfmt sheetId="1" xfDxf="1" sqref="L6839" start="0" length="0">
    <dxf>
      <border outline="0">
        <left style="thin">
          <color indexed="64"/>
        </left>
        <right style="thin">
          <color indexed="64"/>
        </right>
        <top style="thin">
          <color indexed="64"/>
        </top>
        <bottom style="thin">
          <color indexed="64"/>
        </bottom>
      </border>
    </dxf>
  </rfmt>
  <rfmt sheetId="1" xfDxf="1" sqref="M6839" start="0" length="0">
    <dxf>
      <border outline="0">
        <left style="thin">
          <color indexed="64"/>
        </left>
        <right style="thin">
          <color indexed="64"/>
        </right>
        <top style="thin">
          <color indexed="64"/>
        </top>
        <bottom style="thin">
          <color indexed="64"/>
        </bottom>
      </border>
    </dxf>
  </rfmt>
  <rfmt sheetId="1" xfDxf="1" sqref="N6839" start="0" length="0">
    <dxf>
      <border outline="0">
        <left style="thin">
          <color indexed="64"/>
        </left>
        <right style="thin">
          <color indexed="64"/>
        </right>
        <top style="thin">
          <color indexed="64"/>
        </top>
        <bottom style="thin">
          <color indexed="64"/>
        </bottom>
      </border>
    </dxf>
  </rfmt>
  <rfmt sheetId="1" xfDxf="1" sqref="O6839" start="0" length="0">
    <dxf>
      <border outline="0">
        <left style="thin">
          <color indexed="64"/>
        </left>
        <right style="thin">
          <color indexed="64"/>
        </right>
        <top style="thin">
          <color indexed="64"/>
        </top>
        <bottom style="thin">
          <color indexed="64"/>
        </bottom>
      </border>
    </dxf>
  </rfmt>
  <rfmt sheetId="1" xfDxf="1" sqref="P6839" start="0" length="0">
    <dxf>
      <border outline="0">
        <left style="thin">
          <color indexed="64"/>
        </left>
        <right style="thin">
          <color indexed="64"/>
        </right>
        <top style="thin">
          <color indexed="64"/>
        </top>
        <bottom style="thin">
          <color indexed="64"/>
        </bottom>
      </border>
    </dxf>
  </rfmt>
  <rfmt sheetId="1" xfDxf="1" sqref="Q6839" start="0" length="0">
    <dxf>
      <border outline="0">
        <left style="thin">
          <color indexed="64"/>
        </left>
        <right style="thin">
          <color indexed="64"/>
        </right>
        <top style="thin">
          <color indexed="64"/>
        </top>
        <bottom style="thin">
          <color indexed="64"/>
        </bottom>
      </border>
    </dxf>
  </rfmt>
  <rfmt sheetId="1" xfDxf="1" sqref="R6839" start="0" length="0">
    <dxf>
      <border outline="0">
        <left style="thin">
          <color indexed="64"/>
        </left>
        <right style="thin">
          <color indexed="64"/>
        </right>
        <top style="thin">
          <color indexed="64"/>
        </top>
        <bottom style="thin">
          <color indexed="64"/>
        </bottom>
      </border>
    </dxf>
  </rfmt>
  <rcc rId="11446" sId="1" xfDxf="1" dxf="1">
    <nc r="B6840" t="inlineStr">
      <is>
        <t>TBC004</t>
      </is>
    </nc>
    <ndxf>
      <alignment vertical="center" wrapText="1"/>
      <border outline="0">
        <left style="thin">
          <color indexed="64"/>
        </left>
        <right style="thin">
          <color indexed="64"/>
        </right>
        <top style="thin">
          <color indexed="64"/>
        </top>
        <bottom style="thin">
          <color indexed="64"/>
        </bottom>
      </border>
    </ndxf>
  </rcc>
  <rcc rId="11447" sId="1" xfDxf="1" dxf="1">
    <nc r="C6840" t="inlineStr">
      <is>
        <t>Capitales Minimos</t>
      </is>
    </nc>
    <ndxf>
      <alignment vertical="center" wrapText="1"/>
      <border outline="0">
        <left style="thin">
          <color indexed="64"/>
        </left>
        <right style="thin">
          <color indexed="64"/>
        </right>
        <top style="thin">
          <color indexed="64"/>
        </top>
        <bottom style="thin">
          <color indexed="64"/>
        </bottom>
      </border>
    </ndxf>
  </rcc>
  <rcc rId="11448" sId="1" xfDxf="1" dxf="1">
    <nc r="D6840" t="inlineStr">
      <is>
        <t>Datos</t>
      </is>
    </nc>
    <ndxf>
      <alignment vertical="center" wrapText="1"/>
      <border outline="0">
        <left style="thin">
          <color indexed="64"/>
        </left>
        <right style="thin">
          <color indexed="64"/>
        </right>
        <top style="thin">
          <color indexed="64"/>
        </top>
        <bottom style="thin">
          <color indexed="64"/>
        </bottom>
      </border>
    </ndxf>
  </rcc>
  <rfmt sheetId="1" xfDxf="1" sqref="E6840" start="0" length="0">
    <dxf>
      <alignment vertical="center" wrapText="1"/>
      <border outline="0">
        <left style="thin">
          <color indexed="64"/>
        </left>
        <right style="thin">
          <color indexed="64"/>
        </right>
        <top style="thin">
          <color indexed="64"/>
        </top>
        <bottom style="thin">
          <color indexed="64"/>
        </bottom>
      </border>
    </dxf>
  </rfmt>
  <rfmt sheetId="1" xfDxf="1" sqref="F6840" start="0" length="0">
    <dxf>
      <border outline="0">
        <left style="thin">
          <color indexed="64"/>
        </left>
        <right style="thin">
          <color indexed="64"/>
        </right>
        <top style="thin">
          <color indexed="64"/>
        </top>
        <bottom style="thin">
          <color indexed="64"/>
        </bottom>
      </border>
    </dxf>
  </rfmt>
  <rfmt sheetId="1" xfDxf="1" sqref="G6840" start="0" length="0">
    <dxf>
      <border outline="0">
        <left style="thin">
          <color indexed="64"/>
        </left>
        <right style="thin">
          <color indexed="64"/>
        </right>
        <top style="thin">
          <color indexed="64"/>
        </top>
        <bottom style="thin">
          <color indexed="64"/>
        </bottom>
      </border>
    </dxf>
  </rfmt>
  <rcc rId="11449" sId="1" xfDxf="1" dxf="1">
    <nc r="H6840" t="inlineStr">
      <is>
        <t>Core</t>
      </is>
    </nc>
    <ndxf>
      <border outline="0">
        <left style="thin">
          <color indexed="64"/>
        </left>
        <right style="thin">
          <color indexed="64"/>
        </right>
        <top style="thin">
          <color indexed="64"/>
        </top>
        <bottom style="thin">
          <color indexed="64"/>
        </bottom>
      </border>
    </ndxf>
  </rcc>
  <rcc rId="11450" sId="1" xfDxf="1" dxf="1" numFmtId="19">
    <nc r="I6840">
      <v>40701</v>
    </nc>
    <ndxf>
      <font>
        <sz val="7"/>
        <color rgb="FF676A6C"/>
        <name val="Arial"/>
        <scheme val="none"/>
      </font>
      <numFmt numFmtId="19" formatCode="d/m/yyyy"/>
    </ndxf>
  </rcc>
  <rcc rId="11451" sId="1" xfDxf="1" dxf="1" numFmtId="19">
    <nc r="J6840">
      <v>45477</v>
    </nc>
    <ndxf>
      <font>
        <sz val="7"/>
        <color rgb="FF676A6C"/>
        <name val="Arial"/>
        <scheme val="none"/>
      </font>
      <numFmt numFmtId="19" formatCode="d/m/yyyy"/>
    </ndxf>
  </rcc>
  <rcc rId="11452" sId="1" xfDxf="1" dxf="1">
    <nc r="K6840" t="inlineStr">
      <is>
        <t>AMARSICANO</t>
      </is>
    </nc>
    <ndxf>
      <border outline="0">
        <left style="thin">
          <color indexed="64"/>
        </left>
        <right style="thin">
          <color indexed="64"/>
        </right>
        <top style="thin">
          <color indexed="64"/>
        </top>
        <bottom style="thin">
          <color indexed="64"/>
        </bottom>
      </border>
    </ndxf>
  </rcc>
  <rfmt sheetId="1" xfDxf="1" sqref="L6840" start="0" length="0">
    <dxf>
      <border outline="0">
        <left style="thin">
          <color indexed="64"/>
        </left>
        <right style="thin">
          <color indexed="64"/>
        </right>
        <top style="thin">
          <color indexed="64"/>
        </top>
        <bottom style="thin">
          <color indexed="64"/>
        </bottom>
      </border>
    </dxf>
  </rfmt>
  <rfmt sheetId="1" xfDxf="1" sqref="M6840" start="0" length="0">
    <dxf>
      <border outline="0">
        <left style="thin">
          <color indexed="64"/>
        </left>
        <right style="thin">
          <color indexed="64"/>
        </right>
        <top style="thin">
          <color indexed="64"/>
        </top>
        <bottom style="thin">
          <color indexed="64"/>
        </bottom>
      </border>
    </dxf>
  </rfmt>
  <rfmt sheetId="1" xfDxf="1" sqref="N6840" start="0" length="0">
    <dxf>
      <border outline="0">
        <left style="thin">
          <color indexed="64"/>
        </left>
        <right style="thin">
          <color indexed="64"/>
        </right>
        <top style="thin">
          <color indexed="64"/>
        </top>
        <bottom style="thin">
          <color indexed="64"/>
        </bottom>
      </border>
    </dxf>
  </rfmt>
  <rfmt sheetId="1" xfDxf="1" sqref="O6840" start="0" length="0">
    <dxf>
      <border outline="0">
        <left style="thin">
          <color indexed="64"/>
        </left>
        <right style="thin">
          <color indexed="64"/>
        </right>
        <top style="thin">
          <color indexed="64"/>
        </top>
        <bottom style="thin">
          <color indexed="64"/>
        </bottom>
      </border>
    </dxf>
  </rfmt>
  <rfmt sheetId="1" xfDxf="1" sqref="P6840" start="0" length="0">
    <dxf>
      <border outline="0">
        <left style="thin">
          <color indexed="64"/>
        </left>
        <right style="thin">
          <color indexed="64"/>
        </right>
        <top style="thin">
          <color indexed="64"/>
        </top>
        <bottom style="thin">
          <color indexed="64"/>
        </bottom>
      </border>
    </dxf>
  </rfmt>
  <rfmt sheetId="1" xfDxf="1" sqref="Q6840" start="0" length="0">
    <dxf>
      <border outline="0">
        <left style="thin">
          <color indexed="64"/>
        </left>
        <right style="thin">
          <color indexed="64"/>
        </right>
        <top style="thin">
          <color indexed="64"/>
        </top>
        <bottom style="thin">
          <color indexed="64"/>
        </bottom>
      </border>
    </dxf>
  </rfmt>
  <rfmt sheetId="1" xfDxf="1" sqref="R6840" start="0" length="0">
    <dxf>
      <border outline="0">
        <left style="thin">
          <color indexed="64"/>
        </left>
        <right style="thin">
          <color indexed="64"/>
        </right>
        <top style="thin">
          <color indexed="64"/>
        </top>
        <bottom style="thin">
          <color indexed="64"/>
        </bottom>
      </border>
    </dxf>
  </rfmt>
  <rcc rId="11453" sId="1" xfDxf="1" dxf="1">
    <nc r="B6841" t="inlineStr">
      <is>
        <t>BC076</t>
      </is>
    </nc>
    <ndxf>
      <alignment wrapText="1"/>
      <border outline="0">
        <left style="thin">
          <color indexed="64"/>
        </left>
        <right style="thin">
          <color indexed="64"/>
        </right>
        <top style="thin">
          <color indexed="64"/>
        </top>
        <bottom style="thin">
          <color indexed="64"/>
        </bottom>
      </border>
    </ndxf>
  </rcc>
  <rcc rId="11454" sId="1" xfDxf="1" dxf="1">
    <nc r="C6841" t="inlineStr">
      <is>
        <t>Tabla Auxiliar</t>
      </is>
    </nc>
    <ndxf>
      <alignment wrapText="1"/>
      <border outline="0">
        <left style="thin">
          <color indexed="64"/>
        </left>
        <right style="thin">
          <color indexed="64"/>
        </right>
        <top style="thin">
          <color indexed="64"/>
        </top>
        <bottom style="thin">
          <color indexed="64"/>
        </bottom>
      </border>
    </ndxf>
  </rcc>
  <rcc rId="11455" sId="1" xfDxf="1" dxf="1">
    <nc r="D6841" t="inlineStr">
      <is>
        <t>Datos</t>
      </is>
    </nc>
    <ndxf>
      <alignment wrapText="1"/>
      <border outline="0">
        <left style="thin">
          <color indexed="64"/>
        </left>
        <right style="thin">
          <color indexed="64"/>
        </right>
        <top style="thin">
          <color indexed="64"/>
        </top>
        <bottom style="thin">
          <color indexed="64"/>
        </bottom>
      </border>
    </ndxf>
  </rcc>
  <rfmt sheetId="1" xfDxf="1" sqref="E6841" start="0" length="0">
    <dxf>
      <alignment wrapText="1"/>
      <border outline="0">
        <left style="thin">
          <color indexed="64"/>
        </left>
        <right style="thin">
          <color indexed="64"/>
        </right>
        <top style="thin">
          <color indexed="64"/>
        </top>
        <bottom style="thin">
          <color indexed="64"/>
        </bottom>
      </border>
    </dxf>
  </rfmt>
  <rfmt sheetId="1" xfDxf="1" sqref="F6841" start="0" length="0">
    <dxf>
      <border outline="0">
        <left style="thin">
          <color indexed="64"/>
        </left>
        <right style="thin">
          <color indexed="64"/>
        </right>
        <top style="thin">
          <color indexed="64"/>
        </top>
        <bottom style="thin">
          <color indexed="64"/>
        </bottom>
      </border>
    </dxf>
  </rfmt>
  <rfmt sheetId="1" xfDxf="1" sqref="G6841" start="0" length="0">
    <dxf>
      <border outline="0">
        <left style="thin">
          <color indexed="64"/>
        </left>
        <right style="thin">
          <color indexed="64"/>
        </right>
        <top style="thin">
          <color indexed="64"/>
        </top>
        <bottom style="thin">
          <color indexed="64"/>
        </bottom>
      </border>
    </dxf>
  </rfmt>
  <rcc rId="11456" sId="1" xfDxf="1" dxf="1">
    <nc r="H6841" t="inlineStr">
      <is>
        <t>Pais</t>
      </is>
    </nc>
    <ndxf>
      <border outline="0">
        <left style="thin">
          <color indexed="64"/>
        </left>
        <right style="thin">
          <color indexed="64"/>
        </right>
        <top style="thin">
          <color indexed="64"/>
        </top>
        <bottom style="thin">
          <color indexed="64"/>
        </bottom>
      </border>
    </ndxf>
  </rcc>
  <rcc rId="11457" sId="1" xfDxf="1" dxf="1" numFmtId="19">
    <nc r="I6841">
      <v>44692</v>
    </nc>
    <ndxf>
      <font>
        <sz val="7"/>
        <color rgb="FF676A6C"/>
        <name val="Arial"/>
        <scheme val="none"/>
      </font>
      <numFmt numFmtId="19" formatCode="d/m/yyyy"/>
    </ndxf>
  </rcc>
  <rfmt sheetId="1" xfDxf="1" sqref="J6841" start="0" length="0">
    <dxf>
      <border outline="0">
        <left style="thin">
          <color indexed="64"/>
        </left>
        <right style="thin">
          <color indexed="64"/>
        </right>
        <top style="thin">
          <color indexed="64"/>
        </top>
        <bottom style="thin">
          <color indexed="64"/>
        </bottom>
      </border>
    </dxf>
  </rfmt>
  <rcc rId="11458" sId="1" xfDxf="1" dxf="1">
    <nc r="K6841" t="inlineStr">
      <is>
        <t>AMARSICANO</t>
      </is>
    </nc>
    <ndxf>
      <border outline="0">
        <left style="thin">
          <color indexed="64"/>
        </left>
        <right style="thin">
          <color indexed="64"/>
        </right>
        <top style="thin">
          <color indexed="64"/>
        </top>
        <bottom style="thin">
          <color indexed="64"/>
        </bottom>
      </border>
    </ndxf>
  </rcc>
  <rfmt sheetId="1" xfDxf="1" sqref="L6841" start="0" length="0">
    <dxf>
      <border outline="0">
        <left style="thin">
          <color indexed="64"/>
        </left>
        <right style="thin">
          <color indexed="64"/>
        </right>
        <top style="thin">
          <color indexed="64"/>
        </top>
        <bottom style="thin">
          <color indexed="64"/>
        </bottom>
      </border>
    </dxf>
  </rfmt>
  <rfmt sheetId="1" xfDxf="1" sqref="M6841" start="0" length="0">
    <dxf>
      <border outline="0">
        <left style="thin">
          <color indexed="64"/>
        </left>
        <right style="thin">
          <color indexed="64"/>
        </right>
        <top style="thin">
          <color indexed="64"/>
        </top>
        <bottom style="thin">
          <color indexed="64"/>
        </bottom>
      </border>
    </dxf>
  </rfmt>
  <rfmt sheetId="1" xfDxf="1" sqref="N6841" start="0" length="0">
    <dxf>
      <border outline="0">
        <left style="thin">
          <color indexed="64"/>
        </left>
        <right style="thin">
          <color indexed="64"/>
        </right>
        <top style="thin">
          <color indexed="64"/>
        </top>
        <bottom style="thin">
          <color indexed="64"/>
        </bottom>
      </border>
    </dxf>
  </rfmt>
  <rfmt sheetId="1" xfDxf="1" sqref="O6841" start="0" length="0">
    <dxf>
      <border outline="0">
        <left style="thin">
          <color indexed="64"/>
        </left>
        <right style="thin">
          <color indexed="64"/>
        </right>
        <top style="thin">
          <color indexed="64"/>
        </top>
        <bottom style="thin">
          <color indexed="64"/>
        </bottom>
      </border>
    </dxf>
  </rfmt>
  <rfmt sheetId="1" xfDxf="1" sqref="P6841" start="0" length="0">
    <dxf>
      <border outline="0">
        <left style="thin">
          <color indexed="64"/>
        </left>
        <right style="thin">
          <color indexed="64"/>
        </right>
        <top style="thin">
          <color indexed="64"/>
        </top>
        <bottom style="thin">
          <color indexed="64"/>
        </bottom>
      </border>
    </dxf>
  </rfmt>
  <rcc rId="11459" sId="1" xfDxf="1" dxf="1">
    <nc r="Q6841" t="inlineStr">
      <is>
        <t>Paraguay</t>
      </is>
    </nc>
    <ndxf>
      <border outline="0">
        <left style="thin">
          <color indexed="64"/>
        </left>
        <right style="thin">
          <color indexed="64"/>
        </right>
        <top style="thin">
          <color indexed="64"/>
        </top>
        <bottom style="thin">
          <color indexed="64"/>
        </bottom>
      </border>
    </ndxf>
  </rcc>
  <rfmt sheetId="1" xfDxf="1" sqref="R6841" start="0" length="0">
    <dxf>
      <border outline="0">
        <left style="thin">
          <color indexed="64"/>
        </left>
        <right style="thin">
          <color indexed="64"/>
        </right>
        <top style="thin">
          <color indexed="64"/>
        </top>
        <bottom style="thin">
          <color indexed="64"/>
        </bottom>
      </border>
    </dxf>
  </rfmt>
  <rcc rId="11460" sId="1" xfDxf="1" dxf="1">
    <nc r="B6842" t="inlineStr">
      <is>
        <t>DEAR71</t>
      </is>
    </nc>
    <ndxf>
      <alignment wrapText="1"/>
      <border outline="0">
        <left style="thin">
          <color indexed="64"/>
        </left>
        <right style="thin">
          <color indexed="64"/>
        </right>
        <top style="thin">
          <color indexed="64"/>
        </top>
        <bottom style="thin">
          <color indexed="64"/>
        </bottom>
      </border>
    </ndxf>
  </rcc>
  <rcc rId="11461" sId="1" xfDxf="1" dxf="1">
    <nc r="C6842" t="inlineStr">
      <is>
        <t>CEDIPs de otros bancos</t>
      </is>
    </nc>
    <ndxf>
      <alignment wrapText="1"/>
      <border outline="0">
        <left style="thin">
          <color indexed="64"/>
        </left>
        <right style="thin">
          <color indexed="64"/>
        </right>
        <top style="thin">
          <color indexed="64"/>
        </top>
        <bottom style="thin">
          <color indexed="64"/>
        </bottom>
      </border>
    </ndxf>
  </rcc>
  <rcc rId="11462" sId="1" xfDxf="1" dxf="1">
    <nc r="D6842" t="inlineStr">
      <is>
        <t>Datos</t>
      </is>
    </nc>
    <ndxf>
      <alignment wrapText="1"/>
      <border outline="0">
        <left style="thin">
          <color indexed="64"/>
        </left>
        <right style="thin">
          <color indexed="64"/>
        </right>
        <top style="thin">
          <color indexed="64"/>
        </top>
        <bottom style="thin">
          <color indexed="64"/>
        </bottom>
      </border>
    </ndxf>
  </rcc>
  <rfmt sheetId="1" xfDxf="1" sqref="E6842" start="0" length="0">
    <dxf>
      <alignment wrapText="1"/>
      <border outline="0">
        <left style="thin">
          <color indexed="64"/>
        </left>
        <right style="thin">
          <color indexed="64"/>
        </right>
        <top style="thin">
          <color indexed="64"/>
        </top>
        <bottom style="thin">
          <color indexed="64"/>
        </bottom>
      </border>
    </dxf>
  </rfmt>
  <rfmt sheetId="1" xfDxf="1" sqref="F6842" start="0" length="0">
    <dxf>
      <border outline="0">
        <left style="thin">
          <color indexed="64"/>
        </left>
        <right style="thin">
          <color indexed="64"/>
        </right>
        <top style="thin">
          <color indexed="64"/>
        </top>
        <bottom style="thin">
          <color indexed="64"/>
        </bottom>
      </border>
    </dxf>
  </rfmt>
  <rfmt sheetId="1" xfDxf="1" sqref="G6842" start="0" length="0">
    <dxf>
      <border outline="0">
        <left style="thin">
          <color indexed="64"/>
        </left>
        <right style="thin">
          <color indexed="64"/>
        </right>
        <top style="thin">
          <color indexed="64"/>
        </top>
        <bottom style="thin">
          <color indexed="64"/>
        </bottom>
      </border>
    </dxf>
  </rfmt>
  <rcc rId="11463" sId="1" xfDxf="1" dxf="1">
    <nc r="H6842" t="inlineStr">
      <is>
        <t>Pais</t>
      </is>
    </nc>
    <ndxf>
      <border outline="0">
        <left style="thin">
          <color indexed="64"/>
        </left>
        <right style="thin">
          <color indexed="64"/>
        </right>
        <top style="thin">
          <color indexed="64"/>
        </top>
        <bottom style="thin">
          <color indexed="64"/>
        </bottom>
      </border>
    </ndxf>
  </rcc>
  <rcc rId="11464" sId="1" xfDxf="1" dxf="1" numFmtId="19">
    <nc r="I6842">
      <v>45441</v>
    </nc>
    <ndxf>
      <font>
        <sz val="7"/>
        <color rgb="FF676A6C"/>
        <name val="Arial"/>
        <scheme val="none"/>
      </font>
      <numFmt numFmtId="19" formatCode="d/m/yyyy"/>
    </ndxf>
  </rcc>
  <rfmt sheetId="1" xfDxf="1" sqref="J6842" start="0" length="0">
    <dxf>
      <border outline="0">
        <left style="thin">
          <color indexed="64"/>
        </left>
        <right style="thin">
          <color indexed="64"/>
        </right>
        <top style="thin">
          <color indexed="64"/>
        </top>
        <bottom style="thin">
          <color indexed="64"/>
        </bottom>
      </border>
    </dxf>
  </rfmt>
  <rcc rId="11465" sId="1" xfDxf="1" dxf="1">
    <nc r="K6842" t="inlineStr">
      <is>
        <t>CLARROSA</t>
      </is>
    </nc>
    <ndxf>
      <font>
        <sz val="7"/>
        <color rgb="FF676A6C"/>
        <name val="Arial"/>
        <scheme val="none"/>
      </font>
    </ndxf>
  </rcc>
  <rfmt sheetId="1" xfDxf="1" sqref="L6842" start="0" length="0">
    <dxf>
      <border outline="0">
        <left style="thin">
          <color indexed="64"/>
        </left>
        <right style="thin">
          <color indexed="64"/>
        </right>
        <top style="thin">
          <color indexed="64"/>
        </top>
        <bottom style="thin">
          <color indexed="64"/>
        </bottom>
      </border>
    </dxf>
  </rfmt>
  <rfmt sheetId="1" xfDxf="1" sqref="M6842" start="0" length="0">
    <dxf>
      <border outline="0">
        <left style="thin">
          <color indexed="64"/>
        </left>
        <right style="thin">
          <color indexed="64"/>
        </right>
        <top style="thin">
          <color indexed="64"/>
        </top>
        <bottom style="thin">
          <color indexed="64"/>
        </bottom>
      </border>
    </dxf>
  </rfmt>
  <rfmt sheetId="1" xfDxf="1" sqref="N6842" start="0" length="0">
    <dxf>
      <border outline="0">
        <left style="thin">
          <color indexed="64"/>
        </left>
        <right style="thin">
          <color indexed="64"/>
        </right>
        <top style="thin">
          <color indexed="64"/>
        </top>
        <bottom style="thin">
          <color indexed="64"/>
        </bottom>
      </border>
    </dxf>
  </rfmt>
  <rfmt sheetId="1" xfDxf="1" sqref="O6842" start="0" length="0">
    <dxf>
      <border outline="0">
        <left style="thin">
          <color indexed="64"/>
        </left>
        <right style="thin">
          <color indexed="64"/>
        </right>
        <top style="thin">
          <color indexed="64"/>
        </top>
        <bottom style="thin">
          <color indexed="64"/>
        </bottom>
      </border>
    </dxf>
  </rfmt>
  <rfmt sheetId="1" xfDxf="1" sqref="P6842" start="0" length="0">
    <dxf>
      <border outline="0">
        <left style="thin">
          <color indexed="64"/>
        </left>
        <right style="thin">
          <color indexed="64"/>
        </right>
        <top style="thin">
          <color indexed="64"/>
        </top>
        <bottom style="thin">
          <color indexed="64"/>
        </bottom>
      </border>
    </dxf>
  </rfmt>
  <rcc rId="11466" sId="1" xfDxf="1" dxf="1">
    <nc r="Q6842" t="inlineStr">
      <is>
        <t>Argentina</t>
      </is>
    </nc>
    <ndxf>
      <border outline="0">
        <left style="thin">
          <color indexed="64"/>
        </left>
        <right style="thin">
          <color indexed="64"/>
        </right>
        <top style="thin">
          <color indexed="64"/>
        </top>
        <bottom style="thin">
          <color indexed="64"/>
        </bottom>
      </border>
    </ndxf>
  </rcc>
  <rfmt sheetId="1" xfDxf="1" sqref="R6842" start="0" length="0">
    <dxf>
      <border outline="0">
        <left style="thin">
          <color indexed="64"/>
        </left>
        <right style="thin">
          <color indexed="64"/>
        </right>
        <top style="thin">
          <color indexed="64"/>
        </top>
        <bottom style="thin">
          <color indexed="64"/>
        </bottom>
      </border>
    </dxf>
  </rfmt>
  <rcc rId="11467" sId="1" xfDxf="1" dxf="1">
    <nc r="B6843" t="inlineStr">
      <is>
        <t>FDOM02</t>
      </is>
    </nc>
    <ndxf>
      <alignment wrapText="1"/>
      <border outline="0">
        <left style="thin">
          <color indexed="64"/>
        </left>
        <right style="thin">
          <color indexed="64"/>
        </right>
        <top style="thin">
          <color indexed="64"/>
        </top>
        <bottom style="thin">
          <color indexed="64"/>
        </bottom>
      </border>
    </ndxf>
  </rcc>
  <rcc rId="11468" sId="1" xfDxf="1" dxf="1">
    <nc r="C6843" t="inlineStr">
      <is>
        <t>Datos Remitente Transferencias</t>
      </is>
    </nc>
    <ndxf>
      <alignment wrapText="1"/>
      <border outline="0">
        <left style="thin">
          <color indexed="64"/>
        </left>
        <right style="thin">
          <color indexed="64"/>
        </right>
        <top style="thin">
          <color indexed="64"/>
        </top>
        <bottom style="thin">
          <color indexed="64"/>
        </bottom>
      </border>
    </ndxf>
  </rcc>
  <rcc rId="11469" sId="1" xfDxf="1" dxf="1">
    <nc r="D6843" t="inlineStr">
      <is>
        <t>Datos</t>
      </is>
    </nc>
    <ndxf>
      <alignment wrapText="1"/>
      <border outline="0">
        <left style="thin">
          <color indexed="64"/>
        </left>
        <right style="thin">
          <color indexed="64"/>
        </right>
        <top style="thin">
          <color indexed="64"/>
        </top>
        <bottom style="thin">
          <color indexed="64"/>
        </bottom>
      </border>
    </ndxf>
  </rcc>
  <rfmt sheetId="1" xfDxf="1" sqref="E6843" start="0" length="0">
    <dxf>
      <alignment wrapText="1"/>
      <border outline="0">
        <left style="thin">
          <color indexed="64"/>
        </left>
        <right style="thin">
          <color indexed="64"/>
        </right>
        <top style="thin">
          <color indexed="64"/>
        </top>
        <bottom style="thin">
          <color indexed="64"/>
        </bottom>
      </border>
    </dxf>
  </rfmt>
  <rfmt sheetId="1" xfDxf="1" sqref="F6843" start="0" length="0">
    <dxf>
      <border outline="0">
        <left style="thin">
          <color indexed="64"/>
        </left>
        <right style="thin">
          <color indexed="64"/>
        </right>
        <top style="thin">
          <color indexed="64"/>
        </top>
        <bottom style="thin">
          <color indexed="64"/>
        </bottom>
      </border>
    </dxf>
  </rfmt>
  <rfmt sheetId="1" xfDxf="1" sqref="G6843" start="0" length="0">
    <dxf>
      <border outline="0">
        <left style="thin">
          <color indexed="64"/>
        </left>
        <right style="thin">
          <color indexed="64"/>
        </right>
        <top style="thin">
          <color indexed="64"/>
        </top>
        <bottom style="thin">
          <color indexed="64"/>
        </bottom>
      </border>
    </dxf>
  </rfmt>
  <rcc rId="11470" sId="1" xfDxf="1" dxf="1">
    <nc r="H6843" t="inlineStr">
      <is>
        <t>Core</t>
      </is>
    </nc>
    <ndxf>
      <border outline="0">
        <left style="thin">
          <color indexed="64"/>
        </left>
        <right style="thin">
          <color indexed="64"/>
        </right>
        <top style="thin">
          <color indexed="64"/>
        </top>
        <bottom style="thin">
          <color indexed="64"/>
        </bottom>
      </border>
    </ndxf>
  </rcc>
  <rcc rId="11471" sId="1" xfDxf="1" dxf="1" numFmtId="19">
    <nc r="I6843">
      <v>45474</v>
    </nc>
    <ndxf>
      <font>
        <sz val="7"/>
        <color rgb="FF676A6C"/>
        <name val="Arial"/>
        <scheme val="none"/>
      </font>
      <numFmt numFmtId="19" formatCode="d/m/yyyy"/>
    </ndxf>
  </rcc>
  <rfmt sheetId="1" xfDxf="1" sqref="J6843" start="0" length="0">
    <dxf>
      <border outline="0">
        <left style="thin">
          <color indexed="64"/>
        </left>
        <right style="thin">
          <color indexed="64"/>
        </right>
        <top style="thin">
          <color indexed="64"/>
        </top>
        <bottom style="thin">
          <color indexed="64"/>
        </bottom>
      </border>
    </dxf>
  </rfmt>
  <rcc rId="11472" sId="1" xfDxf="1" dxf="1">
    <nc r="K6843" t="inlineStr">
      <is>
        <t>WVALDEZ</t>
      </is>
    </nc>
    <ndxf>
      <font>
        <sz val="7"/>
        <color rgb="FF676A6C"/>
        <name val="Arial"/>
        <scheme val="none"/>
      </font>
    </ndxf>
  </rcc>
  <rfmt sheetId="1" xfDxf="1" sqref="L6843" start="0" length="0">
    <dxf>
      <border outline="0">
        <left style="thin">
          <color indexed="64"/>
        </left>
        <right style="thin">
          <color indexed="64"/>
        </right>
        <top style="thin">
          <color indexed="64"/>
        </top>
        <bottom style="thin">
          <color indexed="64"/>
        </bottom>
      </border>
    </dxf>
  </rfmt>
  <rfmt sheetId="1" xfDxf="1" sqref="M6843" start="0" length="0">
    <dxf>
      <border outline="0">
        <left style="thin">
          <color indexed="64"/>
        </left>
        <right style="thin">
          <color indexed="64"/>
        </right>
        <top style="thin">
          <color indexed="64"/>
        </top>
        <bottom style="thin">
          <color indexed="64"/>
        </bottom>
      </border>
    </dxf>
  </rfmt>
  <rfmt sheetId="1" xfDxf="1" sqref="N6843" start="0" length="0">
    <dxf>
      <border outline="0">
        <left style="thin">
          <color indexed="64"/>
        </left>
        <right style="thin">
          <color indexed="64"/>
        </right>
        <top style="thin">
          <color indexed="64"/>
        </top>
        <bottom style="thin">
          <color indexed="64"/>
        </bottom>
      </border>
    </dxf>
  </rfmt>
  <rfmt sheetId="1" xfDxf="1" sqref="O6843" start="0" length="0">
    <dxf>
      <border outline="0">
        <left style="thin">
          <color indexed="64"/>
        </left>
        <right style="thin">
          <color indexed="64"/>
        </right>
        <top style="thin">
          <color indexed="64"/>
        </top>
        <bottom style="thin">
          <color indexed="64"/>
        </bottom>
      </border>
    </dxf>
  </rfmt>
  <rfmt sheetId="1" xfDxf="1" sqref="P6843" start="0" length="0">
    <dxf>
      <border outline="0">
        <left style="thin">
          <color indexed="64"/>
        </left>
        <right style="thin">
          <color indexed="64"/>
        </right>
        <top style="thin">
          <color indexed="64"/>
        </top>
        <bottom style="thin">
          <color indexed="64"/>
        </bottom>
      </border>
    </dxf>
  </rfmt>
  <rfmt sheetId="1" xfDxf="1" sqref="Q6843" start="0" length="0">
    <dxf>
      <border outline="0">
        <left style="thin">
          <color indexed="64"/>
        </left>
        <right style="thin">
          <color indexed="64"/>
        </right>
        <top style="thin">
          <color indexed="64"/>
        </top>
        <bottom style="thin">
          <color indexed="64"/>
        </bottom>
      </border>
    </dxf>
  </rfmt>
  <rfmt sheetId="1" xfDxf="1" sqref="R6843" start="0" length="0">
    <dxf>
      <border outline="0">
        <left style="thin">
          <color indexed="64"/>
        </left>
        <right style="thin">
          <color indexed="64"/>
        </right>
        <top style="thin">
          <color indexed="64"/>
        </top>
        <bottom style="thin">
          <color indexed="64"/>
        </bottom>
      </border>
    </dxf>
  </rfmt>
  <rcc rId="11473" sId="1" xfDxf="1" dxf="1">
    <nc r="B6844" t="inlineStr">
      <is>
        <t>FXMXR4</t>
      </is>
    </nc>
    <ndxf>
      <alignment wrapText="1"/>
      <border outline="0">
        <left style="thin">
          <color indexed="64"/>
        </left>
        <right style="thin">
          <color indexed="64"/>
        </right>
        <top style="thin">
          <color indexed="64"/>
        </top>
        <bottom style="thin">
          <color indexed="64"/>
        </bottom>
      </border>
    </ndxf>
  </rcc>
  <rcc rId="11474" sId="1" xfDxf="1" dxf="1">
    <nc r="C6844" t="inlineStr">
      <is>
        <t>Relaciona MX Rec. Y Asiento</t>
      </is>
    </nc>
    <ndxf>
      <alignment wrapText="1"/>
      <border outline="0">
        <left style="thin">
          <color indexed="64"/>
        </left>
        <right style="thin">
          <color indexed="64"/>
        </right>
        <top style="thin">
          <color indexed="64"/>
        </top>
        <bottom style="thin">
          <color indexed="64"/>
        </bottom>
      </border>
    </ndxf>
  </rcc>
  <rcc rId="11475" sId="1" xfDxf="1" dxf="1">
    <nc r="D6844" t="inlineStr">
      <is>
        <t>Datos</t>
      </is>
    </nc>
    <ndxf>
      <alignment wrapText="1"/>
      <border outline="0">
        <left style="thin">
          <color indexed="64"/>
        </left>
        <right style="thin">
          <color indexed="64"/>
        </right>
        <top style="thin">
          <color indexed="64"/>
        </top>
        <bottom style="thin">
          <color indexed="64"/>
        </bottom>
      </border>
    </ndxf>
  </rcc>
  <rfmt sheetId="1" xfDxf="1" sqref="E6844" start="0" length="0">
    <dxf>
      <alignment wrapText="1"/>
      <border outline="0">
        <left style="thin">
          <color indexed="64"/>
        </left>
        <right style="thin">
          <color indexed="64"/>
        </right>
        <top style="thin">
          <color indexed="64"/>
        </top>
        <bottom style="thin">
          <color indexed="64"/>
        </bottom>
      </border>
    </dxf>
  </rfmt>
  <rfmt sheetId="1" xfDxf="1" sqref="F6844" start="0" length="0">
    <dxf>
      <border outline="0">
        <left style="thin">
          <color indexed="64"/>
        </left>
        <right style="thin">
          <color indexed="64"/>
        </right>
        <top style="thin">
          <color indexed="64"/>
        </top>
        <bottom style="thin">
          <color indexed="64"/>
        </bottom>
      </border>
    </dxf>
  </rfmt>
  <rfmt sheetId="1" xfDxf="1" sqref="G6844" start="0" length="0">
    <dxf>
      <border outline="0">
        <left style="thin">
          <color indexed="64"/>
        </left>
        <right style="thin">
          <color indexed="64"/>
        </right>
        <top style="thin">
          <color indexed="64"/>
        </top>
        <bottom style="thin">
          <color indexed="64"/>
        </bottom>
      </border>
    </dxf>
  </rfmt>
  <rcc rId="11476" sId="1" xfDxf="1" dxf="1">
    <nc r="H6844" t="inlineStr">
      <is>
        <t>Pais</t>
      </is>
    </nc>
    <ndxf>
      <border outline="0">
        <left style="thin">
          <color indexed="64"/>
        </left>
        <right style="thin">
          <color indexed="64"/>
        </right>
        <top style="thin">
          <color indexed="64"/>
        </top>
        <bottom style="thin">
          <color indexed="64"/>
        </bottom>
      </border>
    </ndxf>
  </rcc>
  <rcc rId="11477" sId="1" xfDxf="1" dxf="1" numFmtId="19">
    <nc r="I6844">
      <v>45469</v>
    </nc>
    <ndxf>
      <font>
        <sz val="7"/>
        <color rgb="FF676A6C"/>
        <name val="Arial"/>
        <scheme val="none"/>
      </font>
      <numFmt numFmtId="19" formatCode="d/m/yyyy"/>
    </ndxf>
  </rcc>
  <rfmt sheetId="1" xfDxf="1" sqref="J6844" start="0" length="0">
    <dxf>
      <border outline="0">
        <left style="thin">
          <color indexed="64"/>
        </left>
        <right style="thin">
          <color indexed="64"/>
        </right>
        <top style="thin">
          <color indexed="64"/>
        </top>
        <bottom style="thin">
          <color indexed="64"/>
        </bottom>
      </border>
    </dxf>
  </rfmt>
  <rcc rId="11478" sId="1" xfDxf="1" dxf="1">
    <nc r="K6844" t="inlineStr">
      <is>
        <t>RBENITEZ</t>
      </is>
    </nc>
    <ndxf>
      <font>
        <sz val="7"/>
        <color rgb="FF676A6C"/>
        <name val="Arial"/>
        <scheme val="none"/>
      </font>
    </ndxf>
  </rcc>
  <rfmt sheetId="1" xfDxf="1" sqref="L6844" start="0" length="0">
    <dxf>
      <border outline="0">
        <left style="thin">
          <color indexed="64"/>
        </left>
        <right style="thin">
          <color indexed="64"/>
        </right>
        <top style="thin">
          <color indexed="64"/>
        </top>
        <bottom style="thin">
          <color indexed="64"/>
        </bottom>
      </border>
    </dxf>
  </rfmt>
  <rfmt sheetId="1" xfDxf="1" sqref="M6844" start="0" length="0">
    <dxf>
      <border outline="0">
        <left style="thin">
          <color indexed="64"/>
        </left>
        <right style="thin">
          <color indexed="64"/>
        </right>
        <top style="thin">
          <color indexed="64"/>
        </top>
        <bottom style="thin">
          <color indexed="64"/>
        </bottom>
      </border>
    </dxf>
  </rfmt>
  <rfmt sheetId="1" xfDxf="1" sqref="N6844" start="0" length="0">
    <dxf>
      <border outline="0">
        <left style="thin">
          <color indexed="64"/>
        </left>
        <right style="thin">
          <color indexed="64"/>
        </right>
        <top style="thin">
          <color indexed="64"/>
        </top>
        <bottom style="thin">
          <color indexed="64"/>
        </bottom>
      </border>
    </dxf>
  </rfmt>
  <rfmt sheetId="1" xfDxf="1" sqref="O6844" start="0" length="0">
    <dxf>
      <border outline="0">
        <left style="thin">
          <color indexed="64"/>
        </left>
        <right style="thin">
          <color indexed="64"/>
        </right>
        <top style="thin">
          <color indexed="64"/>
        </top>
        <bottom style="thin">
          <color indexed="64"/>
        </bottom>
      </border>
    </dxf>
  </rfmt>
  <rfmt sheetId="1" xfDxf="1" sqref="P6844" start="0" length="0">
    <dxf>
      <border outline="0">
        <left style="thin">
          <color indexed="64"/>
        </left>
        <right style="thin">
          <color indexed="64"/>
        </right>
        <top style="thin">
          <color indexed="64"/>
        </top>
        <bottom style="thin">
          <color indexed="64"/>
        </bottom>
      </border>
    </dxf>
  </rfmt>
  <rcc rId="11479" sId="1" xfDxf="1" dxf="1">
    <nc r="Q6844" t="inlineStr">
      <is>
        <t>Mejico</t>
      </is>
    </nc>
    <ndxf>
      <border outline="0">
        <left style="thin">
          <color indexed="64"/>
        </left>
        <right style="thin">
          <color indexed="64"/>
        </right>
        <top style="thin">
          <color indexed="64"/>
        </top>
        <bottom style="thin">
          <color indexed="64"/>
        </bottom>
      </border>
    </ndxf>
  </rcc>
  <rfmt sheetId="1" xfDxf="1" sqref="R6844" start="0" length="0">
    <dxf>
      <border outline="0">
        <left style="thin">
          <color indexed="64"/>
        </left>
        <right style="thin">
          <color indexed="64"/>
        </right>
        <top style="thin">
          <color indexed="64"/>
        </top>
        <bottom style="thin">
          <color indexed="64"/>
        </bottom>
      </border>
    </dxf>
  </rfmt>
  <rcc rId="11480" sId="1" xfDxf="1" dxf="1">
    <nc r="B6845" t="inlineStr">
      <is>
        <t>RNPE16</t>
      </is>
    </nc>
    <ndxf>
      <alignment wrapText="1"/>
      <border outline="0">
        <left style="thin">
          <color indexed="64"/>
        </left>
        <right style="thin">
          <color indexed="64"/>
        </right>
        <top style="thin">
          <color indexed="64"/>
        </top>
        <bottom style="thin">
          <color indexed="64"/>
        </bottom>
      </border>
    </ndxf>
  </rcc>
  <rcc rId="11481" sId="1" xfDxf="1" dxf="1">
    <nc r="C6845" t="inlineStr">
      <is>
        <t>Alta de Crédito</t>
      </is>
    </nc>
    <ndxf>
      <alignment wrapText="1"/>
      <border outline="0">
        <left style="thin">
          <color indexed="64"/>
        </left>
        <right style="thin">
          <color indexed="64"/>
        </right>
        <top style="thin">
          <color indexed="64"/>
        </top>
        <bottom style="thin">
          <color indexed="64"/>
        </bottom>
      </border>
    </ndxf>
  </rcc>
  <rcc rId="11482" sId="1" xfDxf="1" dxf="1">
    <nc r="D6845" t="inlineStr">
      <is>
        <t>Datos</t>
      </is>
    </nc>
    <ndxf>
      <alignment wrapText="1"/>
      <border outline="0">
        <left style="thin">
          <color indexed="64"/>
        </left>
        <right style="thin">
          <color indexed="64"/>
        </right>
        <top style="thin">
          <color indexed="64"/>
        </top>
        <bottom style="thin">
          <color indexed="64"/>
        </bottom>
      </border>
    </ndxf>
  </rcc>
  <rfmt sheetId="1" xfDxf="1" sqref="E6845" start="0" length="0">
    <dxf>
      <alignment wrapText="1"/>
      <border outline="0">
        <left style="thin">
          <color indexed="64"/>
        </left>
        <right style="thin">
          <color indexed="64"/>
        </right>
        <top style="thin">
          <color indexed="64"/>
        </top>
        <bottom style="thin">
          <color indexed="64"/>
        </bottom>
      </border>
    </dxf>
  </rfmt>
  <rfmt sheetId="1" xfDxf="1" sqref="F6845" start="0" length="0">
    <dxf>
      <border outline="0">
        <left style="thin">
          <color indexed="64"/>
        </left>
        <right style="thin">
          <color indexed="64"/>
        </right>
        <top style="thin">
          <color indexed="64"/>
        </top>
        <bottom style="thin">
          <color indexed="64"/>
        </bottom>
      </border>
    </dxf>
  </rfmt>
  <rfmt sheetId="1" xfDxf="1" sqref="G6845" start="0" length="0">
    <dxf>
      <border outline="0">
        <left style="thin">
          <color indexed="64"/>
        </left>
        <right style="thin">
          <color indexed="64"/>
        </right>
        <top style="thin">
          <color indexed="64"/>
        </top>
        <bottom style="thin">
          <color indexed="64"/>
        </bottom>
      </border>
    </dxf>
  </rfmt>
  <rcc rId="11483" sId="1" xfDxf="1" dxf="1">
    <nc r="H6845" t="inlineStr">
      <is>
        <t>Pais</t>
      </is>
    </nc>
    <ndxf>
      <border outline="0">
        <left style="thin">
          <color indexed="64"/>
        </left>
        <right style="thin">
          <color indexed="64"/>
        </right>
        <top style="thin">
          <color indexed="64"/>
        </top>
        <bottom style="thin">
          <color indexed="64"/>
        </bottom>
      </border>
    </ndxf>
  </rcc>
  <rcc rId="11484" sId="1" xfDxf="1" dxf="1" numFmtId="19">
    <nc r="I6845">
      <v>45301</v>
    </nc>
    <ndxf>
      <font>
        <sz val="7"/>
        <color rgb="FF676A6C"/>
        <name val="Arial"/>
        <scheme val="none"/>
      </font>
      <numFmt numFmtId="19" formatCode="d/m/yyyy"/>
    </ndxf>
  </rcc>
  <rfmt sheetId="1" xfDxf="1" sqref="J6845" start="0" length="0">
    <dxf>
      <border outline="0">
        <left style="thin">
          <color indexed="64"/>
        </left>
        <right style="thin">
          <color indexed="64"/>
        </right>
        <top style="thin">
          <color indexed="64"/>
        </top>
        <bottom style="thin">
          <color indexed="64"/>
        </bottom>
      </border>
    </dxf>
  </rfmt>
  <rcc rId="11485" sId="1" xfDxf="1" dxf="1">
    <nc r="K6845" t="inlineStr">
      <is>
        <t>echavez</t>
      </is>
    </nc>
    <ndxf>
      <font>
        <sz val="7"/>
        <color rgb="FF676A6C"/>
        <name val="Arial"/>
        <scheme val="none"/>
      </font>
    </ndxf>
  </rcc>
  <rfmt sheetId="1" xfDxf="1" sqref="L6845" start="0" length="0">
    <dxf>
      <border outline="0">
        <left style="thin">
          <color indexed="64"/>
        </left>
        <right style="thin">
          <color indexed="64"/>
        </right>
        <top style="thin">
          <color indexed="64"/>
        </top>
        <bottom style="thin">
          <color indexed="64"/>
        </bottom>
      </border>
    </dxf>
  </rfmt>
  <rfmt sheetId="1" xfDxf="1" sqref="M6845" start="0" length="0">
    <dxf>
      <border outline="0">
        <left style="thin">
          <color indexed="64"/>
        </left>
        <right style="thin">
          <color indexed="64"/>
        </right>
        <top style="thin">
          <color indexed="64"/>
        </top>
        <bottom style="thin">
          <color indexed="64"/>
        </bottom>
      </border>
    </dxf>
  </rfmt>
  <rfmt sheetId="1" xfDxf="1" sqref="N6845" start="0" length="0">
    <dxf>
      <border outline="0">
        <left style="thin">
          <color indexed="64"/>
        </left>
        <right style="thin">
          <color indexed="64"/>
        </right>
        <top style="thin">
          <color indexed="64"/>
        </top>
        <bottom style="thin">
          <color indexed="64"/>
        </bottom>
      </border>
    </dxf>
  </rfmt>
  <rfmt sheetId="1" xfDxf="1" sqref="O6845" start="0" length="0">
    <dxf>
      <border outline="0">
        <left style="thin">
          <color indexed="64"/>
        </left>
        <right style="thin">
          <color indexed="64"/>
        </right>
        <top style="thin">
          <color indexed="64"/>
        </top>
        <bottom style="thin">
          <color indexed="64"/>
        </bottom>
      </border>
    </dxf>
  </rfmt>
  <rfmt sheetId="1" xfDxf="1" sqref="P6845" start="0" length="0">
    <dxf>
      <border outline="0">
        <left style="thin">
          <color indexed="64"/>
        </left>
        <right style="thin">
          <color indexed="64"/>
        </right>
        <top style="thin">
          <color indexed="64"/>
        </top>
        <bottom style="thin">
          <color indexed="64"/>
        </bottom>
      </border>
    </dxf>
  </rfmt>
  <rcc rId="11486" sId="1" xfDxf="1" dxf="1">
    <nc r="Q6845" t="inlineStr">
      <is>
        <t>Peru</t>
      </is>
    </nc>
    <ndxf>
      <border outline="0">
        <left style="thin">
          <color indexed="64"/>
        </left>
        <right style="thin">
          <color indexed="64"/>
        </right>
        <top style="thin">
          <color indexed="64"/>
        </top>
        <bottom style="thin">
          <color indexed="64"/>
        </bottom>
      </border>
    </ndxf>
  </rcc>
  <rfmt sheetId="1" xfDxf="1" sqref="R6845" start="0" length="0">
    <dxf>
      <border outline="0">
        <left style="thin">
          <color indexed="64"/>
        </left>
        <right style="thin">
          <color indexed="64"/>
        </right>
        <top style="thin">
          <color indexed="64"/>
        </top>
        <bottom style="thin">
          <color indexed="64"/>
        </bottom>
      </border>
    </dxf>
  </rfmt>
  <rcc rId="11487" sId="1" xfDxf="1" dxf="1">
    <nc r="B6846" t="inlineStr">
      <is>
        <t>BTSBT5</t>
      </is>
    </nc>
    <ndxf>
      <border outline="0">
        <left style="thin">
          <color indexed="64"/>
        </left>
        <right style="thin">
          <color indexed="64"/>
        </right>
        <top style="thin">
          <color indexed="64"/>
        </top>
        <bottom style="thin">
          <color indexed="64"/>
        </bottom>
      </border>
    </ndxf>
  </rcc>
  <rcc rId="11488" sId="1" xfDxf="1" dxf="1">
    <nc r="C6846" t="inlineStr">
      <is>
        <t>Transacción por Servicio - Producto</t>
      </is>
    </nc>
    <ndxf>
      <border outline="0">
        <left style="thin">
          <color indexed="64"/>
        </left>
        <right style="thin">
          <color indexed="64"/>
        </right>
        <top style="thin">
          <color indexed="64"/>
        </top>
        <bottom style="thin">
          <color indexed="64"/>
        </bottom>
      </border>
    </ndxf>
  </rcc>
  <rcc rId="11489" sId="1" xfDxf="1" dxf="1">
    <nc r="D6846" t="inlineStr">
      <is>
        <t>Datos</t>
      </is>
    </nc>
    <ndxf>
      <border outline="0">
        <left style="thin">
          <color indexed="64"/>
        </left>
        <right style="thin">
          <color indexed="64"/>
        </right>
        <top style="thin">
          <color indexed="64"/>
        </top>
        <bottom style="thin">
          <color indexed="64"/>
        </bottom>
      </border>
    </ndxf>
  </rcc>
  <rfmt sheetId="1" xfDxf="1" sqref="E6846" start="0" length="0">
    <dxf>
      <border outline="0">
        <left style="thin">
          <color indexed="64"/>
        </left>
        <right style="thin">
          <color indexed="64"/>
        </right>
        <top style="thin">
          <color indexed="64"/>
        </top>
        <bottom style="thin">
          <color indexed="64"/>
        </bottom>
      </border>
    </dxf>
  </rfmt>
  <rfmt sheetId="1" xfDxf="1" sqref="F6846" start="0" length="0">
    <dxf>
      <border outline="0">
        <left style="thin">
          <color indexed="64"/>
        </left>
        <right style="thin">
          <color indexed="64"/>
        </right>
        <top style="thin">
          <color indexed="64"/>
        </top>
        <bottom style="thin">
          <color indexed="64"/>
        </bottom>
      </border>
    </dxf>
  </rfmt>
  <rfmt sheetId="1" xfDxf="1" sqref="G6846" start="0" length="0">
    <dxf>
      <border outline="0">
        <left style="thin">
          <color indexed="64"/>
        </left>
        <right style="thin">
          <color indexed="64"/>
        </right>
        <top style="thin">
          <color indexed="64"/>
        </top>
        <bottom style="thin">
          <color indexed="64"/>
        </bottom>
      </border>
    </dxf>
  </rfmt>
  <rcc rId="11490" sId="1" xfDxf="1" dxf="1">
    <nc r="H6846" t="inlineStr">
      <is>
        <t>Core</t>
      </is>
    </nc>
    <ndxf>
      <border outline="0">
        <left style="thin">
          <color indexed="64"/>
        </left>
        <right style="thin">
          <color indexed="64"/>
        </right>
        <top style="thin">
          <color indexed="64"/>
        </top>
        <bottom style="thin">
          <color indexed="64"/>
        </bottom>
      </border>
    </ndxf>
  </rcc>
  <rcc rId="11491" sId="1" xfDxf="1" dxf="1">
    <nc r="I6846" t="inlineStr">
      <is>
        <t>20/8/20 </t>
      </is>
    </nc>
    <ndxf>
      <font>
        <sz val="7"/>
        <color rgb="FF676A6C"/>
        <name val="Arial"/>
        <scheme val="none"/>
      </font>
    </ndxf>
  </rcc>
  <rcc rId="11492" sId="1" xfDxf="1" dxf="1" numFmtId="19">
    <nc r="J6846">
      <v>44876</v>
    </nc>
    <ndxf>
      <font>
        <sz val="7"/>
        <color rgb="FF676A6C"/>
        <name val="Arial"/>
        <scheme val="none"/>
      </font>
      <numFmt numFmtId="19" formatCode="d/m/yyyy"/>
    </ndxf>
  </rcc>
  <rcc rId="11493" sId="1" xfDxf="1" dxf="1">
    <nc r="K6846" t="inlineStr">
      <is>
        <t>GLANZZERI</t>
      </is>
    </nc>
    <ndxf>
      <font>
        <sz val="7"/>
        <color rgb="FF676A6C"/>
        <name val="Arial"/>
        <scheme val="none"/>
      </font>
    </ndxf>
  </rcc>
  <rfmt sheetId="1" xfDxf="1" sqref="L6846" start="0" length="0">
    <dxf>
      <border outline="0">
        <left style="thin">
          <color indexed="64"/>
        </left>
        <right style="thin">
          <color indexed="64"/>
        </right>
        <top style="thin">
          <color indexed="64"/>
        </top>
        <bottom style="thin">
          <color indexed="64"/>
        </bottom>
      </border>
    </dxf>
  </rfmt>
  <rfmt sheetId="1" xfDxf="1" sqref="M6846" start="0" length="0">
    <dxf>
      <border outline="0">
        <left style="thin">
          <color indexed="64"/>
        </left>
        <right style="thin">
          <color indexed="64"/>
        </right>
        <top style="thin">
          <color indexed="64"/>
        </top>
        <bottom style="thin">
          <color indexed="64"/>
        </bottom>
      </border>
    </dxf>
  </rfmt>
  <rfmt sheetId="1" xfDxf="1" sqref="N6846" start="0" length="0">
    <dxf>
      <border outline="0">
        <left style="thin">
          <color indexed="64"/>
        </left>
        <right style="thin">
          <color indexed="64"/>
        </right>
        <top style="thin">
          <color indexed="64"/>
        </top>
        <bottom style="thin">
          <color indexed="64"/>
        </bottom>
      </border>
    </dxf>
  </rfmt>
  <rfmt sheetId="1" xfDxf="1" sqref="O6846" start="0" length="0">
    <dxf>
      <border outline="0">
        <left style="thin">
          <color indexed="64"/>
        </left>
        <right style="thin">
          <color indexed="64"/>
        </right>
        <top style="thin">
          <color indexed="64"/>
        </top>
        <bottom style="thin">
          <color indexed="64"/>
        </bottom>
      </border>
    </dxf>
  </rfmt>
  <rfmt sheetId="1" xfDxf="1" sqref="P6846" start="0" length="0">
    <dxf>
      <border outline="0">
        <left style="thin">
          <color indexed="64"/>
        </left>
        <right style="thin">
          <color indexed="64"/>
        </right>
        <top style="thin">
          <color indexed="64"/>
        </top>
        <bottom style="thin">
          <color indexed="64"/>
        </bottom>
      </border>
    </dxf>
  </rfmt>
  <rfmt sheetId="1" xfDxf="1" sqref="Q6846" start="0" length="0">
    <dxf>
      <border outline="0">
        <left style="thin">
          <color indexed="64"/>
        </left>
        <right style="thin">
          <color indexed="64"/>
        </right>
        <top style="thin">
          <color indexed="64"/>
        </top>
        <bottom style="thin">
          <color indexed="64"/>
        </bottom>
      </border>
    </dxf>
  </rfmt>
  <rfmt sheetId="1" xfDxf="1" sqref="R6846" start="0" length="0">
    <dxf>
      <border outline="0">
        <left style="thin">
          <color indexed="64"/>
        </left>
        <right style="thin">
          <color indexed="64"/>
        </right>
        <top style="thin">
          <color indexed="64"/>
        </top>
        <bottom style="thin">
          <color indexed="64"/>
        </bottom>
      </border>
    </dxf>
  </rfmt>
  <rcc rId="11494" sId="1" xfDxf="1" dxf="1">
    <nc r="B6847" t="inlineStr">
      <is>
        <t>CLE321</t>
      </is>
    </nc>
    <ndxf>
      <border outline="0">
        <left style="thin">
          <color indexed="64"/>
        </left>
        <right style="thin">
          <color indexed="64"/>
        </right>
        <top style="thin">
          <color indexed="64"/>
        </top>
        <bottom style="thin">
          <color indexed="64"/>
        </bottom>
      </border>
    </ndxf>
  </rcc>
  <rcc rId="11495" sId="1" xfDxf="1" dxf="1">
    <nc r="C6847" t="inlineStr">
      <is>
        <t>Log de estados en CLE112</t>
      </is>
    </nc>
    <ndxf>
      <border outline="0">
        <left style="thin">
          <color indexed="64"/>
        </left>
        <right style="thin">
          <color indexed="64"/>
        </right>
        <top style="thin">
          <color indexed="64"/>
        </top>
        <bottom style="thin">
          <color indexed="64"/>
        </bottom>
      </border>
    </ndxf>
  </rcc>
  <rcc rId="11496" sId="1" xfDxf="1" dxf="1">
    <nc r="D6847" t="inlineStr">
      <is>
        <t>Datos</t>
      </is>
    </nc>
    <ndxf>
      <border outline="0">
        <left style="thin">
          <color indexed="64"/>
        </left>
        <right style="thin">
          <color indexed="64"/>
        </right>
        <top style="thin">
          <color indexed="64"/>
        </top>
        <bottom style="thin">
          <color indexed="64"/>
        </bottom>
      </border>
    </ndxf>
  </rcc>
  <rfmt sheetId="1" xfDxf="1" sqref="E6847" start="0" length="0">
    <dxf>
      <border outline="0">
        <left style="thin">
          <color indexed="64"/>
        </left>
        <right style="thin">
          <color indexed="64"/>
        </right>
        <top style="thin">
          <color indexed="64"/>
        </top>
        <bottom style="thin">
          <color indexed="64"/>
        </bottom>
      </border>
    </dxf>
  </rfmt>
  <rfmt sheetId="1" xfDxf="1" sqref="F6847" start="0" length="0">
    <dxf>
      <border outline="0">
        <left style="thin">
          <color indexed="64"/>
        </left>
        <right style="thin">
          <color indexed="64"/>
        </right>
        <top style="thin">
          <color indexed="64"/>
        </top>
        <bottom style="thin">
          <color indexed="64"/>
        </bottom>
      </border>
    </dxf>
  </rfmt>
  <rfmt sheetId="1" xfDxf="1" sqref="G6847" start="0" length="0">
    <dxf>
      <border outline="0">
        <left style="thin">
          <color indexed="64"/>
        </left>
        <right style="thin">
          <color indexed="64"/>
        </right>
        <top style="thin">
          <color indexed="64"/>
        </top>
        <bottom style="thin">
          <color indexed="64"/>
        </bottom>
      </border>
    </dxf>
  </rfmt>
  <rcc rId="11497" sId="1" xfDxf="1" dxf="1">
    <nc r="H6847" t="inlineStr">
      <is>
        <t>Core</t>
      </is>
    </nc>
    <ndxf>
      <border outline="0">
        <left style="thin">
          <color indexed="64"/>
        </left>
        <right style="thin">
          <color indexed="64"/>
        </right>
        <top style="thin">
          <color indexed="64"/>
        </top>
        <bottom style="thin">
          <color indexed="64"/>
        </bottom>
      </border>
    </ndxf>
  </rcc>
  <rcc rId="11498" sId="1" xfDxf="1" dxf="1" numFmtId="19">
    <nc r="I6847">
      <v>43509</v>
    </nc>
    <ndxf>
      <font>
        <sz val="7"/>
        <color rgb="FF676A6C"/>
        <name val="Arial"/>
        <scheme val="none"/>
      </font>
      <numFmt numFmtId="19" formatCode="d/m/yyyy"/>
      <fill>
        <patternFill patternType="solid">
          <bgColor rgb="FFFFFFFF"/>
        </patternFill>
      </fill>
      <alignment vertical="top" wrapText="1"/>
      <border outline="0">
        <left style="medium">
          <color rgb="FFEBEBEB"/>
        </left>
        <right style="medium">
          <color rgb="FFEBEBEB"/>
        </right>
        <top style="medium">
          <color rgb="FFEBEBEB"/>
        </top>
        <bottom style="medium">
          <color rgb="FFEBEBEB"/>
        </bottom>
      </border>
    </ndxf>
  </rcc>
  <rcc rId="11499" sId="1" xfDxf="1" dxf="1" numFmtId="19">
    <nc r="J6847">
      <v>45475</v>
    </nc>
    <ndxf>
      <font>
        <sz val="7"/>
        <color rgb="FF676A6C"/>
        <name val="Arial"/>
        <scheme val="none"/>
      </font>
      <numFmt numFmtId="19" formatCode="d/m/yyyy"/>
    </ndxf>
  </rcc>
  <rcc rId="11500" sId="1" xfDxf="1" dxf="1">
    <nc r="K6847" t="inlineStr">
      <is>
        <t>CLARROSA</t>
      </is>
    </nc>
    <ndxf>
      <font>
        <sz val="7"/>
        <color rgb="FF676A6C"/>
        <name val="Arial"/>
        <scheme val="none"/>
      </font>
    </ndxf>
  </rcc>
  <rfmt sheetId="1" xfDxf="1" sqref="L6847" start="0" length="0">
    <dxf>
      <border outline="0">
        <left style="thin">
          <color indexed="64"/>
        </left>
        <right style="thin">
          <color indexed="64"/>
        </right>
        <top style="thin">
          <color indexed="64"/>
        </top>
        <bottom style="thin">
          <color indexed="64"/>
        </bottom>
      </border>
    </dxf>
  </rfmt>
  <rfmt sheetId="1" xfDxf="1" sqref="M6847" start="0" length="0">
    <dxf>
      <border outline="0">
        <left style="thin">
          <color indexed="64"/>
        </left>
        <right style="thin">
          <color indexed="64"/>
        </right>
        <top style="thin">
          <color indexed="64"/>
        </top>
        <bottom style="thin">
          <color indexed="64"/>
        </bottom>
      </border>
    </dxf>
  </rfmt>
  <rfmt sheetId="1" xfDxf="1" sqref="N6847" start="0" length="0">
    <dxf>
      <border outline="0">
        <left style="thin">
          <color indexed="64"/>
        </left>
        <right style="thin">
          <color indexed="64"/>
        </right>
        <top style="thin">
          <color indexed="64"/>
        </top>
        <bottom style="thin">
          <color indexed="64"/>
        </bottom>
      </border>
    </dxf>
  </rfmt>
  <rfmt sheetId="1" xfDxf="1" sqref="O6847" start="0" length="0">
    <dxf>
      <border outline="0">
        <left style="thin">
          <color indexed="64"/>
        </left>
        <right style="thin">
          <color indexed="64"/>
        </right>
        <top style="thin">
          <color indexed="64"/>
        </top>
        <bottom style="thin">
          <color indexed="64"/>
        </bottom>
      </border>
    </dxf>
  </rfmt>
  <rfmt sheetId="1" xfDxf="1" sqref="P6847" start="0" length="0">
    <dxf>
      <border outline="0">
        <left style="thin">
          <color indexed="64"/>
        </left>
        <right style="thin">
          <color indexed="64"/>
        </right>
        <top style="thin">
          <color indexed="64"/>
        </top>
        <bottom style="thin">
          <color indexed="64"/>
        </bottom>
      </border>
    </dxf>
  </rfmt>
  <rfmt sheetId="1" xfDxf="1" sqref="Q6847" start="0" length="0">
    <dxf>
      <border outline="0">
        <left style="thin">
          <color indexed="64"/>
        </left>
        <right style="thin">
          <color indexed="64"/>
        </right>
        <top style="thin">
          <color indexed="64"/>
        </top>
        <bottom style="thin">
          <color indexed="64"/>
        </bottom>
      </border>
    </dxf>
  </rfmt>
  <rfmt sheetId="1" xfDxf="1" sqref="R6847" start="0" length="0">
    <dxf>
      <border outline="0">
        <left style="thin">
          <color indexed="64"/>
        </left>
        <right style="thin">
          <color indexed="64"/>
        </right>
        <top style="thin">
          <color indexed="64"/>
        </top>
        <bottom style="thin">
          <color indexed="64"/>
        </bottom>
      </border>
    </dxf>
  </rfmt>
  <rcc rId="11501" sId="1" xfDxf="1" dxf="1">
    <nc r="B6848" t="inlineStr">
      <is>
        <t>DEAR10</t>
      </is>
    </nc>
    <ndxf>
      <border outline="0">
        <left style="thin">
          <color indexed="64"/>
        </left>
        <right style="thin">
          <color indexed="64"/>
        </right>
        <top style="thin">
          <color indexed="64"/>
        </top>
        <bottom style="thin">
          <color indexed="64"/>
        </bottom>
      </border>
    </ndxf>
  </rcc>
  <rcc rId="11502" sId="1" xfDxf="1" dxf="1">
    <nc r="C6848" t="inlineStr">
      <is>
        <t>Parametrización p/cuenta - Límites</t>
      </is>
    </nc>
    <ndxf>
      <border outline="0">
        <left style="thin">
          <color indexed="64"/>
        </left>
        <right style="thin">
          <color indexed="64"/>
        </right>
        <top style="thin">
          <color indexed="64"/>
        </top>
        <bottom style="thin">
          <color indexed="64"/>
        </bottom>
      </border>
    </ndxf>
  </rcc>
  <rcc rId="11503" sId="1" xfDxf="1" dxf="1">
    <nc r="D6848" t="inlineStr">
      <is>
        <t>Parametros</t>
      </is>
    </nc>
    <ndxf>
      <border outline="0">
        <left style="thin">
          <color indexed="64"/>
        </left>
        <right style="thin">
          <color indexed="64"/>
        </right>
        <top style="thin">
          <color indexed="64"/>
        </top>
        <bottom style="thin">
          <color indexed="64"/>
        </bottom>
      </border>
    </ndxf>
  </rcc>
  <rfmt sheetId="1" xfDxf="1" sqref="E6848" start="0" length="0">
    <dxf>
      <border outline="0">
        <left style="thin">
          <color indexed="64"/>
        </left>
        <right style="thin">
          <color indexed="64"/>
        </right>
        <top style="thin">
          <color indexed="64"/>
        </top>
        <bottom style="thin">
          <color indexed="64"/>
        </bottom>
      </border>
    </dxf>
  </rfmt>
  <rfmt sheetId="1" xfDxf="1" sqref="F6848" start="0" length="0">
    <dxf>
      <border outline="0">
        <left style="thin">
          <color indexed="64"/>
        </left>
        <right style="thin">
          <color indexed="64"/>
        </right>
        <top style="thin">
          <color indexed="64"/>
        </top>
        <bottom style="thin">
          <color indexed="64"/>
        </bottom>
      </border>
    </dxf>
  </rfmt>
  <rfmt sheetId="1" xfDxf="1" sqref="G6848" start="0" length="0">
    <dxf>
      <border outline="0">
        <left style="thin">
          <color indexed="64"/>
        </left>
        <right style="thin">
          <color indexed="64"/>
        </right>
        <top style="thin">
          <color indexed="64"/>
        </top>
        <bottom style="thin">
          <color indexed="64"/>
        </bottom>
      </border>
    </dxf>
  </rfmt>
  <rcc rId="11504" sId="1" xfDxf="1" dxf="1">
    <nc r="H6848" t="inlineStr">
      <is>
        <t>Pais</t>
      </is>
    </nc>
    <ndxf>
      <border outline="0">
        <left style="thin">
          <color indexed="64"/>
        </left>
        <right style="thin">
          <color indexed="64"/>
        </right>
        <top style="thin">
          <color indexed="64"/>
        </top>
        <bottom style="thin">
          <color indexed="64"/>
        </bottom>
      </border>
    </ndxf>
  </rcc>
  <rcc rId="11505" sId="1" xfDxf="1" dxf="1" numFmtId="19">
    <nc r="I6848">
      <v>43616</v>
    </nc>
    <ndxf>
      <font>
        <sz val="7"/>
        <color rgb="FF676A6C"/>
        <name val="Arial"/>
        <scheme val="none"/>
      </font>
      <numFmt numFmtId="19" formatCode="d/m/yyyy"/>
    </ndxf>
  </rcc>
  <rcc rId="11506" sId="1" xfDxf="1" dxf="1" numFmtId="19">
    <nc r="J6848">
      <v>43685</v>
    </nc>
    <ndxf>
      <font>
        <sz val="7"/>
        <color rgb="FF676A6C"/>
        <name val="Arial"/>
        <scheme val="none"/>
      </font>
      <numFmt numFmtId="19" formatCode="d/m/yyyy"/>
    </ndxf>
  </rcc>
  <rcc rId="11507" sId="1" xfDxf="1" dxf="1">
    <nc r="K6848" t="inlineStr">
      <is>
        <t>RPISTÓN</t>
      </is>
    </nc>
    <ndxf>
      <font>
        <sz val="7"/>
        <color rgb="FF676A6C"/>
        <name val="Arial"/>
        <scheme val="none"/>
      </font>
    </ndxf>
  </rcc>
  <rfmt sheetId="1" xfDxf="1" sqref="L6848" start="0" length="0">
    <dxf>
      <border outline="0">
        <left style="thin">
          <color indexed="64"/>
        </left>
        <right style="thin">
          <color indexed="64"/>
        </right>
        <top style="thin">
          <color indexed="64"/>
        </top>
        <bottom style="thin">
          <color indexed="64"/>
        </bottom>
      </border>
    </dxf>
  </rfmt>
  <rfmt sheetId="1" xfDxf="1" sqref="M6848" start="0" length="0">
    <dxf>
      <border outline="0">
        <left style="thin">
          <color indexed="64"/>
        </left>
        <right style="thin">
          <color indexed="64"/>
        </right>
        <top style="thin">
          <color indexed="64"/>
        </top>
        <bottom style="thin">
          <color indexed="64"/>
        </bottom>
      </border>
    </dxf>
  </rfmt>
  <rfmt sheetId="1" xfDxf="1" sqref="N6848" start="0" length="0">
    <dxf>
      <border outline="0">
        <left style="thin">
          <color indexed="64"/>
        </left>
        <right style="thin">
          <color indexed="64"/>
        </right>
        <top style="thin">
          <color indexed="64"/>
        </top>
        <bottom style="thin">
          <color indexed="64"/>
        </bottom>
      </border>
    </dxf>
  </rfmt>
  <rfmt sheetId="1" xfDxf="1" sqref="O6848" start="0" length="0">
    <dxf>
      <border outline="0">
        <left style="thin">
          <color indexed="64"/>
        </left>
        <right style="thin">
          <color indexed="64"/>
        </right>
        <top style="thin">
          <color indexed="64"/>
        </top>
        <bottom style="thin">
          <color indexed="64"/>
        </bottom>
      </border>
    </dxf>
  </rfmt>
  <rfmt sheetId="1" xfDxf="1" sqref="P6848" start="0" length="0">
    <dxf>
      <border outline="0">
        <left style="thin">
          <color indexed="64"/>
        </left>
        <right style="thin">
          <color indexed="64"/>
        </right>
        <top style="thin">
          <color indexed="64"/>
        </top>
        <bottom style="thin">
          <color indexed="64"/>
        </bottom>
      </border>
    </dxf>
  </rfmt>
  <rcc rId="11508" sId="1" xfDxf="1" dxf="1">
    <nc r="Q6848" t="inlineStr">
      <is>
        <t>Argentina</t>
      </is>
    </nc>
    <ndxf>
      <border outline="0">
        <left style="thin">
          <color indexed="64"/>
        </left>
        <right style="thin">
          <color indexed="64"/>
        </right>
        <top style="thin">
          <color indexed="64"/>
        </top>
        <bottom style="thin">
          <color indexed="64"/>
        </bottom>
      </border>
    </ndxf>
  </rcc>
  <rfmt sheetId="1" xfDxf="1" sqref="R6848" start="0" length="0">
    <dxf>
      <border outline="0">
        <left style="thin">
          <color indexed="64"/>
        </left>
        <right style="thin">
          <color indexed="64"/>
        </right>
        <top style="thin">
          <color indexed="64"/>
        </top>
        <bottom style="thin">
          <color indexed="64"/>
        </bottom>
      </border>
    </dxf>
  </rfmt>
  <rcc rId="11509" sId="1" xfDxf="1" dxf="1">
    <nc r="B6849" t="inlineStr">
      <is>
        <t>DEAR74</t>
      </is>
    </nc>
    <ndxf>
      <border outline="0">
        <left style="thin">
          <color indexed="64"/>
        </left>
        <right style="thin">
          <color indexed="64"/>
        </right>
        <top style="thin">
          <color indexed="64"/>
        </top>
        <bottom style="thin">
          <color indexed="64"/>
        </bottom>
      </border>
    </ndxf>
  </rcc>
  <rcc rId="11510" sId="1" xfDxf="1" dxf="1">
    <nc r="C6849" t="inlineStr">
      <is>
        <t>Cabecera Compensacion CEDIP</t>
      </is>
    </nc>
    <ndxf>
      <border outline="0">
        <left style="thin">
          <color indexed="64"/>
        </left>
        <right style="thin">
          <color indexed="64"/>
        </right>
        <top style="thin">
          <color indexed="64"/>
        </top>
        <bottom style="thin">
          <color indexed="64"/>
        </bottom>
      </border>
    </ndxf>
  </rcc>
  <rcc rId="11511" sId="1" xfDxf="1" dxf="1">
    <nc r="D6849" t="inlineStr">
      <is>
        <t>Datos</t>
      </is>
    </nc>
    <ndxf>
      <border outline="0">
        <left style="thin">
          <color indexed="64"/>
        </left>
        <right style="thin">
          <color indexed="64"/>
        </right>
        <top style="thin">
          <color indexed="64"/>
        </top>
        <bottom style="thin">
          <color indexed="64"/>
        </bottom>
      </border>
    </ndxf>
  </rcc>
  <rfmt sheetId="1" xfDxf="1" sqref="E6849" start="0" length="0">
    <dxf>
      <border outline="0">
        <left style="thin">
          <color indexed="64"/>
        </left>
        <right style="thin">
          <color indexed="64"/>
        </right>
        <top style="thin">
          <color indexed="64"/>
        </top>
        <bottom style="thin">
          <color indexed="64"/>
        </bottom>
      </border>
    </dxf>
  </rfmt>
  <rfmt sheetId="1" xfDxf="1" sqref="F6849" start="0" length="0">
    <dxf>
      <border outline="0">
        <left style="thin">
          <color indexed="64"/>
        </left>
        <right style="thin">
          <color indexed="64"/>
        </right>
        <top style="thin">
          <color indexed="64"/>
        </top>
        <bottom style="thin">
          <color indexed="64"/>
        </bottom>
      </border>
    </dxf>
  </rfmt>
  <rfmt sheetId="1" xfDxf="1" sqref="G6849" start="0" length="0">
    <dxf>
      <border outline="0">
        <left style="thin">
          <color indexed="64"/>
        </left>
        <right style="thin">
          <color indexed="64"/>
        </right>
        <top style="thin">
          <color indexed="64"/>
        </top>
        <bottom style="thin">
          <color indexed="64"/>
        </bottom>
      </border>
    </dxf>
  </rfmt>
  <rcc rId="11512" sId="1" xfDxf="1" dxf="1">
    <nc r="H6849" t="inlineStr">
      <is>
        <t>Pais</t>
      </is>
    </nc>
    <ndxf>
      <border outline="0">
        <left style="thin">
          <color indexed="64"/>
        </left>
        <right style="thin">
          <color indexed="64"/>
        </right>
        <top style="thin">
          <color indexed="64"/>
        </top>
        <bottom style="thin">
          <color indexed="64"/>
        </bottom>
      </border>
    </ndxf>
  </rcc>
  <rcc rId="11513" sId="1" xfDxf="1" dxf="1" numFmtId="19">
    <nc r="I6849">
      <v>45238</v>
    </nc>
    <ndxf>
      <font>
        <sz val="7"/>
        <color rgb="FF676A6C"/>
        <name val="Arial"/>
        <scheme val="none"/>
      </font>
      <numFmt numFmtId="19" formatCode="d/m/yyyy"/>
    </ndxf>
  </rcc>
  <rcc rId="11514" sId="1" xfDxf="1" dxf="1" numFmtId="19">
    <nc r="J6849">
      <v>45448</v>
    </nc>
    <ndxf>
      <font>
        <sz val="7"/>
        <color rgb="FF676A6C"/>
        <name val="Arial"/>
        <scheme val="none"/>
      </font>
      <numFmt numFmtId="19" formatCode="d/m/yyyy"/>
    </ndxf>
  </rcc>
  <rcc rId="11515" sId="1" xfDxf="1" dxf="1">
    <nc r="K6849" t="inlineStr">
      <is>
        <t>mfleitas</t>
      </is>
    </nc>
    <ndxf>
      <font>
        <sz val="7"/>
        <color rgb="FF676A6C"/>
        <name val="Arial"/>
        <scheme val="none"/>
      </font>
    </ndxf>
  </rcc>
  <rfmt sheetId="1" xfDxf="1" sqref="L6849" start="0" length="0">
    <dxf>
      <border outline="0">
        <left style="thin">
          <color indexed="64"/>
        </left>
        <right style="thin">
          <color indexed="64"/>
        </right>
        <top style="thin">
          <color indexed="64"/>
        </top>
        <bottom style="thin">
          <color indexed="64"/>
        </bottom>
      </border>
    </dxf>
  </rfmt>
  <rfmt sheetId="1" xfDxf="1" sqref="M6849" start="0" length="0">
    <dxf>
      <border outline="0">
        <left style="thin">
          <color indexed="64"/>
        </left>
        <right style="thin">
          <color indexed="64"/>
        </right>
        <top style="thin">
          <color indexed="64"/>
        </top>
        <bottom style="thin">
          <color indexed="64"/>
        </bottom>
      </border>
    </dxf>
  </rfmt>
  <rfmt sheetId="1" xfDxf="1" sqref="N6849" start="0" length="0">
    <dxf>
      <border outline="0">
        <left style="thin">
          <color indexed="64"/>
        </left>
        <right style="thin">
          <color indexed="64"/>
        </right>
        <top style="thin">
          <color indexed="64"/>
        </top>
        <bottom style="thin">
          <color indexed="64"/>
        </bottom>
      </border>
    </dxf>
  </rfmt>
  <rfmt sheetId="1" xfDxf="1" sqref="O6849" start="0" length="0">
    <dxf>
      <border outline="0">
        <left style="thin">
          <color indexed="64"/>
        </left>
        <right style="thin">
          <color indexed="64"/>
        </right>
        <top style="thin">
          <color indexed="64"/>
        </top>
        <bottom style="thin">
          <color indexed="64"/>
        </bottom>
      </border>
    </dxf>
  </rfmt>
  <rfmt sheetId="1" xfDxf="1" sqref="P6849" start="0" length="0">
    <dxf>
      <border outline="0">
        <left style="thin">
          <color indexed="64"/>
        </left>
        <right style="thin">
          <color indexed="64"/>
        </right>
        <top style="thin">
          <color indexed="64"/>
        </top>
        <bottom style="thin">
          <color indexed="64"/>
        </bottom>
      </border>
    </dxf>
  </rfmt>
  <rcc rId="11516" sId="1" xfDxf="1" dxf="1">
    <nc r="Q6849" t="inlineStr">
      <is>
        <t>Argentina</t>
      </is>
    </nc>
    <ndxf>
      <border outline="0">
        <left style="thin">
          <color indexed="64"/>
        </left>
        <right style="thin">
          <color indexed="64"/>
        </right>
        <top style="thin">
          <color indexed="64"/>
        </top>
        <bottom style="thin">
          <color indexed="64"/>
        </bottom>
      </border>
    </ndxf>
  </rcc>
  <rfmt sheetId="1" xfDxf="1" sqref="R6849" start="0" length="0">
    <dxf>
      <border outline="0">
        <left style="thin">
          <color indexed="64"/>
        </left>
        <right style="thin">
          <color indexed="64"/>
        </right>
        <top style="thin">
          <color indexed="64"/>
        </top>
        <bottom style="thin">
          <color indexed="64"/>
        </bottom>
      </border>
    </dxf>
  </rfmt>
  <rcc rId="11517" sId="1" xfDxf="1" dxf="1">
    <nc r="B6850" t="inlineStr">
      <is>
        <t>DEAR75</t>
      </is>
    </nc>
    <ndxf>
      <border outline="0">
        <left style="thin">
          <color indexed="64"/>
        </left>
        <right style="thin">
          <color indexed="64"/>
        </right>
        <top style="thin">
          <color indexed="64"/>
        </top>
        <bottom style="thin">
          <color indexed="64"/>
        </bottom>
      </border>
    </ndxf>
  </rcc>
  <rcc rId="11518" sId="1" xfDxf="1" dxf="1">
    <nc r="C6850" t="inlineStr">
      <is>
        <t>Detalle Lote Compensacion CEDIP</t>
      </is>
    </nc>
    <ndxf>
      <border outline="0">
        <left style="thin">
          <color indexed="64"/>
        </left>
        <right style="thin">
          <color indexed="64"/>
        </right>
        <top style="thin">
          <color indexed="64"/>
        </top>
        <bottom style="thin">
          <color indexed="64"/>
        </bottom>
      </border>
    </ndxf>
  </rcc>
  <rcc rId="11519" sId="1" xfDxf="1" dxf="1">
    <nc r="D6850" t="inlineStr">
      <is>
        <t>Datos</t>
      </is>
    </nc>
    <ndxf>
      <border outline="0">
        <left style="thin">
          <color indexed="64"/>
        </left>
        <right style="thin">
          <color indexed="64"/>
        </right>
        <top style="thin">
          <color indexed="64"/>
        </top>
        <bottom style="thin">
          <color indexed="64"/>
        </bottom>
      </border>
    </ndxf>
  </rcc>
  <rfmt sheetId="1" xfDxf="1" sqref="E6850" start="0" length="0">
    <dxf>
      <border outline="0">
        <left style="thin">
          <color indexed="64"/>
        </left>
        <right style="thin">
          <color indexed="64"/>
        </right>
        <top style="thin">
          <color indexed="64"/>
        </top>
        <bottom style="thin">
          <color indexed="64"/>
        </bottom>
      </border>
    </dxf>
  </rfmt>
  <rfmt sheetId="1" xfDxf="1" sqref="F6850" start="0" length="0">
    <dxf>
      <border outline="0">
        <left style="thin">
          <color indexed="64"/>
        </left>
        <right style="thin">
          <color indexed="64"/>
        </right>
        <top style="thin">
          <color indexed="64"/>
        </top>
        <bottom style="thin">
          <color indexed="64"/>
        </bottom>
      </border>
    </dxf>
  </rfmt>
  <rfmt sheetId="1" xfDxf="1" sqref="G6850" start="0" length="0">
    <dxf>
      <border outline="0">
        <left style="thin">
          <color indexed="64"/>
        </left>
        <right style="thin">
          <color indexed="64"/>
        </right>
        <top style="thin">
          <color indexed="64"/>
        </top>
        <bottom style="thin">
          <color indexed="64"/>
        </bottom>
      </border>
    </dxf>
  </rfmt>
  <rcc rId="11520" sId="1" xfDxf="1" dxf="1">
    <nc r="H6850" t="inlineStr">
      <is>
        <t>Pais</t>
      </is>
    </nc>
    <ndxf>
      <border outline="0">
        <left style="thin">
          <color indexed="64"/>
        </left>
        <right style="thin">
          <color indexed="64"/>
        </right>
        <top style="thin">
          <color indexed="64"/>
        </top>
        <bottom style="thin">
          <color indexed="64"/>
        </bottom>
      </border>
    </ndxf>
  </rcc>
  <rcc rId="11521" sId="1" xfDxf="1" dxf="1" numFmtId="19">
    <nc r="I6850">
      <v>45238</v>
    </nc>
    <ndxf>
      <font>
        <sz val="7"/>
        <color rgb="FF676A6C"/>
        <name val="Arial"/>
        <scheme val="none"/>
      </font>
      <numFmt numFmtId="19" formatCode="d/m/yyyy"/>
    </ndxf>
  </rcc>
  <rcc rId="11522" sId="1" xfDxf="1" dxf="1" numFmtId="19">
    <nc r="J6850">
      <v>45448</v>
    </nc>
    <ndxf>
      <font>
        <sz val="7"/>
        <color rgb="FF676A6C"/>
        <name val="Arial"/>
        <scheme val="none"/>
      </font>
      <numFmt numFmtId="19" formatCode="d/m/yyyy"/>
    </ndxf>
  </rcc>
  <rcc rId="11523" sId="1" xfDxf="1" dxf="1">
    <nc r="K6850" t="inlineStr">
      <is>
        <t>mfleitas</t>
      </is>
    </nc>
    <ndxf>
      <font>
        <sz val="7"/>
        <color rgb="FF676A6C"/>
        <name val="Arial"/>
        <scheme val="none"/>
      </font>
    </ndxf>
  </rcc>
  <rfmt sheetId="1" xfDxf="1" sqref="L6850" start="0" length="0">
    <dxf>
      <border outline="0">
        <left style="thin">
          <color indexed="64"/>
        </left>
        <right style="thin">
          <color indexed="64"/>
        </right>
        <top style="thin">
          <color indexed="64"/>
        </top>
        <bottom style="thin">
          <color indexed="64"/>
        </bottom>
      </border>
    </dxf>
  </rfmt>
  <rfmt sheetId="1" xfDxf="1" sqref="M6850" start="0" length="0">
    <dxf>
      <border outline="0">
        <left style="thin">
          <color indexed="64"/>
        </left>
        <right style="thin">
          <color indexed="64"/>
        </right>
        <top style="thin">
          <color indexed="64"/>
        </top>
        <bottom style="thin">
          <color indexed="64"/>
        </bottom>
      </border>
    </dxf>
  </rfmt>
  <rfmt sheetId="1" xfDxf="1" sqref="N6850" start="0" length="0">
    <dxf>
      <border outline="0">
        <left style="thin">
          <color indexed="64"/>
        </left>
        <right style="thin">
          <color indexed="64"/>
        </right>
        <top style="thin">
          <color indexed="64"/>
        </top>
        <bottom style="thin">
          <color indexed="64"/>
        </bottom>
      </border>
    </dxf>
  </rfmt>
  <rfmt sheetId="1" xfDxf="1" sqref="O6850" start="0" length="0">
    <dxf>
      <border outline="0">
        <left style="thin">
          <color indexed="64"/>
        </left>
        <right style="thin">
          <color indexed="64"/>
        </right>
        <top style="thin">
          <color indexed="64"/>
        </top>
        <bottom style="thin">
          <color indexed="64"/>
        </bottom>
      </border>
    </dxf>
  </rfmt>
  <rfmt sheetId="1" xfDxf="1" sqref="P6850" start="0" length="0">
    <dxf>
      <border outline="0">
        <left style="thin">
          <color indexed="64"/>
        </left>
        <right style="thin">
          <color indexed="64"/>
        </right>
        <top style="thin">
          <color indexed="64"/>
        </top>
        <bottom style="thin">
          <color indexed="64"/>
        </bottom>
      </border>
    </dxf>
  </rfmt>
  <rcc rId="11524" sId="1" xfDxf="1" dxf="1">
    <nc r="Q6850" t="inlineStr">
      <is>
        <t>Argentina</t>
      </is>
    </nc>
    <ndxf>
      <border outline="0">
        <left style="thin">
          <color indexed="64"/>
        </left>
        <right style="thin">
          <color indexed="64"/>
        </right>
        <top style="thin">
          <color indexed="64"/>
        </top>
        <bottom style="thin">
          <color indexed="64"/>
        </bottom>
      </border>
    </ndxf>
  </rcc>
  <rfmt sheetId="1" xfDxf="1" sqref="R6850" start="0" length="0">
    <dxf>
      <border outline="0">
        <left style="thin">
          <color indexed="64"/>
        </left>
        <right style="thin">
          <color indexed="64"/>
        </right>
        <top style="thin">
          <color indexed="64"/>
        </top>
        <bottom style="thin">
          <color indexed="64"/>
        </bottom>
      </border>
    </dxf>
  </rfmt>
  <rcc rId="11525" sId="1" xfDxf="1" dxf="1">
    <nc r="B6851" t="inlineStr">
      <is>
        <t>FOCA01</t>
      </is>
    </nc>
    <ndxf>
      <border outline="0">
        <left style="thin">
          <color indexed="64"/>
        </left>
        <right style="thin">
          <color indexed="64"/>
        </right>
        <top style="thin">
          <color indexed="64"/>
        </top>
        <bottom style="thin">
          <color indexed="64"/>
        </bottom>
      </border>
    </ndxf>
  </rcc>
  <rcc rId="11526" sId="1" xfDxf="1" dxf="1">
    <nc r="C6851" t="inlineStr">
      <is>
        <t>FOCA01: Boleto de Cambio TEMP Det. Perm. Emb. Y Despachos</t>
      </is>
    </nc>
    <ndxf>
      <border outline="0">
        <left style="thin">
          <color indexed="64"/>
        </left>
        <right style="thin">
          <color indexed="64"/>
        </right>
        <top style="thin">
          <color indexed="64"/>
        </top>
        <bottom style="thin">
          <color indexed="64"/>
        </bottom>
      </border>
    </ndxf>
  </rcc>
  <rcc rId="11527" sId="1" xfDxf="1" dxf="1">
    <nc r="D6851" t="inlineStr">
      <is>
        <t>Datos</t>
      </is>
    </nc>
    <ndxf>
      <border outline="0">
        <left style="thin">
          <color indexed="64"/>
        </left>
        <right style="thin">
          <color indexed="64"/>
        </right>
        <top style="thin">
          <color indexed="64"/>
        </top>
        <bottom style="thin">
          <color indexed="64"/>
        </bottom>
      </border>
    </ndxf>
  </rcc>
  <rfmt sheetId="1" xfDxf="1" sqref="E6851" start="0" length="0">
    <dxf>
      <border outline="0">
        <left style="thin">
          <color indexed="64"/>
        </left>
        <right style="thin">
          <color indexed="64"/>
        </right>
        <top style="thin">
          <color indexed="64"/>
        </top>
        <bottom style="thin">
          <color indexed="64"/>
        </bottom>
      </border>
    </dxf>
  </rfmt>
  <rfmt sheetId="1" xfDxf="1" sqref="F6851" start="0" length="0">
    <dxf>
      <border outline="0">
        <left style="thin">
          <color indexed="64"/>
        </left>
        <right style="thin">
          <color indexed="64"/>
        </right>
        <top style="thin">
          <color indexed="64"/>
        </top>
        <bottom style="thin">
          <color indexed="64"/>
        </bottom>
      </border>
    </dxf>
  </rfmt>
  <rfmt sheetId="1" xfDxf="1" sqref="G6851" start="0" length="0">
    <dxf>
      <border outline="0">
        <left style="thin">
          <color indexed="64"/>
        </left>
        <right style="thin">
          <color indexed="64"/>
        </right>
        <top style="thin">
          <color indexed="64"/>
        </top>
        <bottom style="thin">
          <color indexed="64"/>
        </bottom>
      </border>
    </dxf>
  </rfmt>
  <rcc rId="11528" sId="1" xfDxf="1" dxf="1">
    <nc r="H6851" t="inlineStr">
      <is>
        <t>Core</t>
      </is>
    </nc>
    <ndxf>
      <border outline="0">
        <left style="thin">
          <color indexed="64"/>
        </left>
        <right style="thin">
          <color indexed="64"/>
        </right>
        <top style="thin">
          <color indexed="64"/>
        </top>
        <bottom style="thin">
          <color indexed="64"/>
        </bottom>
      </border>
    </ndxf>
  </rcc>
  <rcc rId="11529" sId="1" xfDxf="1" dxf="1" numFmtId="19">
    <nc r="I6851">
      <v>40982</v>
    </nc>
    <ndxf>
      <font>
        <sz val="7"/>
        <color rgb="FF676A6C"/>
        <name val="Arial"/>
        <scheme val="none"/>
      </font>
      <numFmt numFmtId="19" formatCode="d/m/yyyy"/>
    </ndxf>
  </rcc>
  <rfmt sheetId="1" xfDxf="1" sqref="J6851" start="0" length="0">
    <dxf>
      <border outline="0">
        <left style="thin">
          <color indexed="64"/>
        </left>
        <right style="thin">
          <color indexed="64"/>
        </right>
        <top style="thin">
          <color indexed="64"/>
        </top>
        <bottom style="thin">
          <color indexed="64"/>
        </bottom>
      </border>
    </dxf>
  </rfmt>
  <rfmt sheetId="1" xfDxf="1" sqref="K6851" start="0" length="0">
    <dxf>
      <border outline="0">
        <left style="thin">
          <color indexed="64"/>
        </left>
        <right style="thin">
          <color indexed="64"/>
        </right>
        <top style="thin">
          <color indexed="64"/>
        </top>
        <bottom style="thin">
          <color indexed="64"/>
        </bottom>
      </border>
    </dxf>
  </rfmt>
  <rfmt sheetId="1" xfDxf="1" sqref="L6851" start="0" length="0">
    <dxf>
      <border outline="0">
        <left style="thin">
          <color indexed="64"/>
        </left>
        <right style="thin">
          <color indexed="64"/>
        </right>
        <top style="thin">
          <color indexed="64"/>
        </top>
        <bottom style="thin">
          <color indexed="64"/>
        </bottom>
      </border>
    </dxf>
  </rfmt>
  <rfmt sheetId="1" xfDxf="1" sqref="M6851" start="0" length="0">
    <dxf>
      <border outline="0">
        <left style="thin">
          <color indexed="64"/>
        </left>
        <right style="thin">
          <color indexed="64"/>
        </right>
        <top style="thin">
          <color indexed="64"/>
        </top>
        <bottom style="thin">
          <color indexed="64"/>
        </bottom>
      </border>
    </dxf>
  </rfmt>
  <rfmt sheetId="1" xfDxf="1" sqref="N6851" start="0" length="0">
    <dxf>
      <border outline="0">
        <left style="thin">
          <color indexed="64"/>
        </left>
        <right style="thin">
          <color indexed="64"/>
        </right>
        <top style="thin">
          <color indexed="64"/>
        </top>
        <bottom style="thin">
          <color indexed="64"/>
        </bottom>
      </border>
    </dxf>
  </rfmt>
  <rfmt sheetId="1" xfDxf="1" sqref="O6851" start="0" length="0">
    <dxf>
      <border outline="0">
        <left style="thin">
          <color indexed="64"/>
        </left>
        <right style="thin">
          <color indexed="64"/>
        </right>
        <top style="thin">
          <color indexed="64"/>
        </top>
        <bottom style="thin">
          <color indexed="64"/>
        </bottom>
      </border>
    </dxf>
  </rfmt>
  <rfmt sheetId="1" xfDxf="1" sqref="P6851" start="0" length="0">
    <dxf>
      <border outline="0">
        <left style="thin">
          <color indexed="64"/>
        </left>
        <right style="thin">
          <color indexed="64"/>
        </right>
        <top style="thin">
          <color indexed="64"/>
        </top>
        <bottom style="thin">
          <color indexed="64"/>
        </bottom>
      </border>
    </dxf>
  </rfmt>
  <rfmt sheetId="1" xfDxf="1" sqref="Q6851" start="0" length="0">
    <dxf>
      <border outline="0">
        <left style="thin">
          <color indexed="64"/>
        </left>
        <right style="thin">
          <color indexed="64"/>
        </right>
        <top style="thin">
          <color indexed="64"/>
        </top>
        <bottom style="thin">
          <color indexed="64"/>
        </bottom>
      </border>
    </dxf>
  </rfmt>
  <rfmt sheetId="1" xfDxf="1" sqref="R6851" start="0" length="0">
    <dxf>
      <border outline="0">
        <left style="thin">
          <color indexed="64"/>
        </left>
        <right style="thin">
          <color indexed="64"/>
        </right>
        <top style="thin">
          <color indexed="64"/>
        </top>
        <bottom style="thin">
          <color indexed="64"/>
        </bottom>
      </border>
    </dxf>
  </rfmt>
  <rcc rId="11530" sId="1" xfDxf="1" dxf="1">
    <nc r="B6852" t="inlineStr">
      <is>
        <t>FSFW07</t>
      </is>
    </nc>
    <ndxf>
      <border outline="0">
        <left style="thin">
          <color indexed="64"/>
        </left>
        <right style="thin">
          <color indexed="64"/>
        </right>
        <top style="thin">
          <color indexed="64"/>
        </top>
        <bottom style="thin">
          <color indexed="64"/>
        </bottom>
      </border>
    </ndxf>
  </rcc>
  <rcc rId="11531" sId="1" xfDxf="1" dxf="1">
    <nc r="C6852" t="inlineStr">
      <is>
        <t>TWR Agrupador - Histórica de Importes</t>
      </is>
    </nc>
    <ndxf>
      <border outline="0">
        <left style="thin">
          <color indexed="64"/>
        </left>
        <right style="thin">
          <color indexed="64"/>
        </right>
        <top style="thin">
          <color indexed="64"/>
        </top>
        <bottom style="thin">
          <color indexed="64"/>
        </bottom>
      </border>
    </ndxf>
  </rcc>
  <rcc rId="11532" sId="1" xfDxf="1" dxf="1">
    <nc r="D6852" t="inlineStr">
      <is>
        <t>Datos</t>
      </is>
    </nc>
    <ndxf>
      <border outline="0">
        <left style="thin">
          <color indexed="64"/>
        </left>
        <right style="thin">
          <color indexed="64"/>
        </right>
        <top style="thin">
          <color indexed="64"/>
        </top>
        <bottom style="thin">
          <color indexed="64"/>
        </bottom>
      </border>
    </ndxf>
  </rcc>
  <rfmt sheetId="1" xfDxf="1" sqref="E6852" start="0" length="0">
    <dxf>
      <border outline="0">
        <left style="thin">
          <color indexed="64"/>
        </left>
        <right style="thin">
          <color indexed="64"/>
        </right>
        <top style="thin">
          <color indexed="64"/>
        </top>
        <bottom style="thin">
          <color indexed="64"/>
        </bottom>
      </border>
    </dxf>
  </rfmt>
  <rfmt sheetId="1" xfDxf="1" sqref="F6852" start="0" length="0">
    <dxf>
      <border outline="0">
        <left style="thin">
          <color indexed="64"/>
        </left>
        <right style="thin">
          <color indexed="64"/>
        </right>
        <top style="thin">
          <color indexed="64"/>
        </top>
        <bottom style="thin">
          <color indexed="64"/>
        </bottom>
      </border>
    </dxf>
  </rfmt>
  <rfmt sheetId="1" xfDxf="1" sqref="G6852" start="0" length="0">
    <dxf>
      <border outline="0">
        <left style="thin">
          <color indexed="64"/>
        </left>
        <right style="thin">
          <color indexed="64"/>
        </right>
        <top style="thin">
          <color indexed="64"/>
        </top>
        <bottom style="thin">
          <color indexed="64"/>
        </bottom>
      </border>
    </dxf>
  </rfmt>
  <rcc rId="11533" sId="1" xfDxf="1" dxf="1">
    <nc r="H6852" t="inlineStr">
      <is>
        <t>Core</t>
      </is>
    </nc>
    <ndxf>
      <border outline="0">
        <left style="thin">
          <color indexed="64"/>
        </left>
        <right style="thin">
          <color indexed="64"/>
        </right>
        <top style="thin">
          <color indexed="64"/>
        </top>
        <bottom style="thin">
          <color indexed="64"/>
        </bottom>
      </border>
    </ndxf>
  </rcc>
  <rcc rId="11534" sId="1" xfDxf="1" dxf="1">
    <nc r="I6852" t="inlineStr">
      <is>
        <t>29/12/16 </t>
      </is>
    </nc>
    <ndxf>
      <font>
        <sz val="7"/>
        <color rgb="FF676A6C"/>
        <name val="Arial"/>
        <scheme val="none"/>
      </font>
    </ndxf>
  </rcc>
  <rcc rId="11535" sId="1" xfDxf="1" dxf="1" numFmtId="19">
    <nc r="J6852">
      <v>45433</v>
    </nc>
    <ndxf>
      <font>
        <sz val="7"/>
        <color rgb="FF676A6C"/>
        <name val="Arial"/>
        <scheme val="none"/>
      </font>
      <numFmt numFmtId="19" formatCode="d/m/yyyy"/>
    </ndxf>
  </rcc>
  <rcc rId="11536" sId="1" xfDxf="1" dxf="1">
    <nc r="K6852" t="inlineStr">
      <is>
        <t>sequeiram</t>
      </is>
    </nc>
    <ndxf>
      <font>
        <sz val="7"/>
        <color rgb="FF676A6C"/>
        <name val="Arial"/>
        <scheme val="none"/>
      </font>
    </ndxf>
  </rcc>
  <rfmt sheetId="1" xfDxf="1" sqref="L6852" start="0" length="0">
    <dxf>
      <border outline="0">
        <left style="thin">
          <color indexed="64"/>
        </left>
        <right style="thin">
          <color indexed="64"/>
        </right>
        <top style="thin">
          <color indexed="64"/>
        </top>
        <bottom style="thin">
          <color indexed="64"/>
        </bottom>
      </border>
    </dxf>
  </rfmt>
  <rfmt sheetId="1" xfDxf="1" sqref="M6852" start="0" length="0">
    <dxf>
      <border outline="0">
        <left style="thin">
          <color indexed="64"/>
        </left>
        <right style="thin">
          <color indexed="64"/>
        </right>
        <top style="thin">
          <color indexed="64"/>
        </top>
        <bottom style="thin">
          <color indexed="64"/>
        </bottom>
      </border>
    </dxf>
  </rfmt>
  <rfmt sheetId="1" xfDxf="1" sqref="N6852" start="0" length="0">
    <dxf>
      <border outline="0">
        <left style="thin">
          <color indexed="64"/>
        </left>
        <right style="thin">
          <color indexed="64"/>
        </right>
        <top style="thin">
          <color indexed="64"/>
        </top>
        <bottom style="thin">
          <color indexed="64"/>
        </bottom>
      </border>
    </dxf>
  </rfmt>
  <rfmt sheetId="1" xfDxf="1" sqref="O6852" start="0" length="0">
    <dxf>
      <border outline="0">
        <left style="thin">
          <color indexed="64"/>
        </left>
        <right style="thin">
          <color indexed="64"/>
        </right>
        <top style="thin">
          <color indexed="64"/>
        </top>
        <bottom style="thin">
          <color indexed="64"/>
        </bottom>
      </border>
    </dxf>
  </rfmt>
  <rfmt sheetId="1" xfDxf="1" sqref="P6852" start="0" length="0">
    <dxf>
      <border outline="0">
        <left style="thin">
          <color indexed="64"/>
        </left>
        <right style="thin">
          <color indexed="64"/>
        </right>
        <top style="thin">
          <color indexed="64"/>
        </top>
        <bottom style="thin">
          <color indexed="64"/>
        </bottom>
      </border>
    </dxf>
  </rfmt>
  <rfmt sheetId="1" xfDxf="1" sqref="Q6852" start="0" length="0">
    <dxf>
      <border outline="0">
        <left style="thin">
          <color indexed="64"/>
        </left>
        <right style="thin">
          <color indexed="64"/>
        </right>
        <top style="thin">
          <color indexed="64"/>
        </top>
        <bottom style="thin">
          <color indexed="64"/>
        </bottom>
      </border>
    </dxf>
  </rfmt>
  <rfmt sheetId="1" xfDxf="1" sqref="R6852" start="0" length="0">
    <dxf>
      <border outline="0">
        <left style="thin">
          <color indexed="64"/>
        </left>
        <right style="thin">
          <color indexed="64"/>
        </right>
        <top style="thin">
          <color indexed="64"/>
        </top>
        <bottom style="thin">
          <color indexed="64"/>
        </bottom>
      </border>
    </dxf>
  </rfmt>
  <rcc rId="11537" sId="1" xfDxf="1" dxf="1">
    <nc r="B6853" t="inlineStr">
      <is>
        <t>FXMX10</t>
      </is>
    </nc>
    <ndxf>
      <border outline="0">
        <left style="thin">
          <color indexed="64"/>
        </left>
        <right style="thin">
          <color indexed="64"/>
        </right>
        <top style="thin">
          <color indexed="64"/>
        </top>
        <bottom style="thin">
          <color indexed="64"/>
        </bottom>
      </border>
    </ndxf>
  </rcc>
  <rcc rId="11538" sId="1" xfDxf="1" dxf="1">
    <nc r="C6853" t="inlineStr">
      <is>
        <t>Datos Adicionales FXMX01</t>
      </is>
    </nc>
    <ndxf>
      <border outline="0">
        <left style="thin">
          <color indexed="64"/>
        </left>
        <right style="thin">
          <color indexed="64"/>
        </right>
        <top style="thin">
          <color indexed="64"/>
        </top>
        <bottom style="thin">
          <color indexed="64"/>
        </bottom>
      </border>
    </ndxf>
  </rcc>
  <rcc rId="11539" sId="1" xfDxf="1" dxf="1">
    <nc r="D6853" t="inlineStr">
      <is>
        <t>Datos</t>
      </is>
    </nc>
    <ndxf>
      <border outline="0">
        <left style="thin">
          <color indexed="64"/>
        </left>
        <right style="thin">
          <color indexed="64"/>
        </right>
        <top style="thin">
          <color indexed="64"/>
        </top>
        <bottom style="thin">
          <color indexed="64"/>
        </bottom>
      </border>
    </ndxf>
  </rcc>
  <rfmt sheetId="1" xfDxf="1" sqref="E6853" start="0" length="0">
    <dxf>
      <border outline="0">
        <left style="thin">
          <color indexed="64"/>
        </left>
        <right style="thin">
          <color indexed="64"/>
        </right>
        <top style="thin">
          <color indexed="64"/>
        </top>
        <bottom style="thin">
          <color indexed="64"/>
        </bottom>
      </border>
    </dxf>
  </rfmt>
  <rfmt sheetId="1" xfDxf="1" sqref="F6853" start="0" length="0">
    <dxf>
      <border outline="0">
        <left style="thin">
          <color indexed="64"/>
        </left>
        <right style="thin">
          <color indexed="64"/>
        </right>
        <top style="thin">
          <color indexed="64"/>
        </top>
        <bottom style="thin">
          <color indexed="64"/>
        </bottom>
      </border>
    </dxf>
  </rfmt>
  <rfmt sheetId="1" xfDxf="1" sqref="G6853" start="0" length="0">
    <dxf>
      <border outline="0">
        <left style="thin">
          <color indexed="64"/>
        </left>
        <right style="thin">
          <color indexed="64"/>
        </right>
        <top style="thin">
          <color indexed="64"/>
        </top>
        <bottom style="thin">
          <color indexed="64"/>
        </bottom>
      </border>
    </dxf>
  </rfmt>
  <rcc rId="11540" sId="1" xfDxf="1" dxf="1">
    <nc r="H6853" t="inlineStr">
      <is>
        <t>Pais</t>
      </is>
    </nc>
    <ndxf>
      <border outline="0">
        <left style="thin">
          <color indexed="64"/>
        </left>
        <right style="thin">
          <color indexed="64"/>
        </right>
        <top style="thin">
          <color indexed="64"/>
        </top>
        <bottom style="thin">
          <color indexed="64"/>
        </bottom>
      </border>
    </ndxf>
  </rcc>
  <rcc rId="11541" sId="1" xfDxf="1" dxf="1">
    <nc r="I6853" t="inlineStr">
      <is>
        <t>17/8/23 </t>
      </is>
    </nc>
    <ndxf>
      <font>
        <sz val="7"/>
        <color rgb="FF676A6C"/>
        <name val="Arial"/>
        <scheme val="none"/>
      </font>
    </ndxf>
  </rcc>
  <rcc rId="11542" sId="1" xfDxf="1" dxf="1" numFmtId="19">
    <nc r="J6853">
      <v>45477</v>
    </nc>
    <ndxf>
      <font>
        <sz val="7"/>
        <color rgb="FF676A6C"/>
        <name val="Arial"/>
        <scheme val="none"/>
      </font>
      <numFmt numFmtId="19" formatCode="d/m/yyyy"/>
    </ndxf>
  </rcc>
  <rcc rId="11543" sId="1" xfDxf="1" dxf="1">
    <nc r="K6853" t="inlineStr">
      <is>
        <t>RBENITEZ</t>
      </is>
    </nc>
    <ndxf>
      <border outline="0">
        <left style="thin">
          <color indexed="64"/>
        </left>
        <right style="thin">
          <color indexed="64"/>
        </right>
        <top style="thin">
          <color indexed="64"/>
        </top>
        <bottom style="thin">
          <color indexed="64"/>
        </bottom>
      </border>
    </ndxf>
  </rcc>
  <rfmt sheetId="1" xfDxf="1" sqref="L6853" start="0" length="0">
    <dxf>
      <border outline="0">
        <left style="thin">
          <color indexed="64"/>
        </left>
        <right style="thin">
          <color indexed="64"/>
        </right>
        <top style="thin">
          <color indexed="64"/>
        </top>
        <bottom style="thin">
          <color indexed="64"/>
        </bottom>
      </border>
    </dxf>
  </rfmt>
  <rfmt sheetId="1" xfDxf="1" sqref="M6853" start="0" length="0">
    <dxf>
      <border outline="0">
        <left style="thin">
          <color indexed="64"/>
        </left>
        <right style="thin">
          <color indexed="64"/>
        </right>
        <top style="thin">
          <color indexed="64"/>
        </top>
        <bottom style="thin">
          <color indexed="64"/>
        </bottom>
      </border>
    </dxf>
  </rfmt>
  <rfmt sheetId="1" xfDxf="1" sqref="N6853" start="0" length="0">
    <dxf>
      <border outline="0">
        <left style="thin">
          <color indexed="64"/>
        </left>
        <right style="thin">
          <color indexed="64"/>
        </right>
        <top style="thin">
          <color indexed="64"/>
        </top>
        <bottom style="thin">
          <color indexed="64"/>
        </bottom>
      </border>
    </dxf>
  </rfmt>
  <rfmt sheetId="1" xfDxf="1" sqref="O6853" start="0" length="0">
    <dxf>
      <border outline="0">
        <left style="thin">
          <color indexed="64"/>
        </left>
        <right style="thin">
          <color indexed="64"/>
        </right>
        <top style="thin">
          <color indexed="64"/>
        </top>
        <bottom style="thin">
          <color indexed="64"/>
        </bottom>
      </border>
    </dxf>
  </rfmt>
  <rfmt sheetId="1" xfDxf="1" sqref="P6853" start="0" length="0">
    <dxf>
      <border outline="0">
        <left style="thin">
          <color indexed="64"/>
        </left>
        <right style="thin">
          <color indexed="64"/>
        </right>
        <top style="thin">
          <color indexed="64"/>
        </top>
        <bottom style="thin">
          <color indexed="64"/>
        </bottom>
      </border>
    </dxf>
  </rfmt>
  <rcc rId="11544" sId="1" xfDxf="1" dxf="1">
    <nc r="Q6853" t="inlineStr">
      <is>
        <t>Mejico</t>
      </is>
    </nc>
    <ndxf>
      <border outline="0">
        <left style="thin">
          <color indexed="64"/>
        </left>
        <right style="thin">
          <color indexed="64"/>
        </right>
        <top style="thin">
          <color indexed="64"/>
        </top>
        <bottom style="thin">
          <color indexed="64"/>
        </bottom>
      </border>
    </ndxf>
  </rcc>
  <rfmt sheetId="1" xfDxf="1" sqref="R6853" start="0" length="0">
    <dxf>
      <border outline="0">
        <left style="thin">
          <color indexed="64"/>
        </left>
        <right style="thin">
          <color indexed="64"/>
        </right>
        <top style="thin">
          <color indexed="64"/>
        </top>
        <bottom style="thin">
          <color indexed="64"/>
        </bottom>
      </border>
    </dxf>
  </rfmt>
  <rcc rId="11545" sId="1" xfDxf="1" dxf="1">
    <nc r="B6854" t="inlineStr">
      <is>
        <t>PASE2</t>
      </is>
    </nc>
    <ndxf>
      <border outline="0">
        <left style="thin">
          <color indexed="64"/>
        </left>
        <right style="thin">
          <color indexed="64"/>
        </right>
        <top style="thin">
          <color indexed="64"/>
        </top>
        <bottom style="thin">
          <color indexed="64"/>
        </bottom>
      </border>
    </ndxf>
  </rcc>
  <rcc rId="11546" sId="1" xfDxf="1" dxf="1">
    <nc r="C6854" t="inlineStr">
      <is>
        <t>Pase Respuesta</t>
      </is>
    </nc>
    <ndxf>
      <border outline="0">
        <left style="thin">
          <color indexed="64"/>
        </left>
        <right style="thin">
          <color indexed="64"/>
        </right>
        <top style="thin">
          <color indexed="64"/>
        </top>
        <bottom style="thin">
          <color indexed="64"/>
        </bottom>
      </border>
    </ndxf>
  </rcc>
  <rcc rId="11547" sId="1" xfDxf="1" dxf="1">
    <nc r="D6854" t="inlineStr">
      <is>
        <t>Datos</t>
      </is>
    </nc>
    <ndxf>
      <border outline="0">
        <left style="thin">
          <color indexed="64"/>
        </left>
        <right style="thin">
          <color indexed="64"/>
        </right>
        <top style="thin">
          <color indexed="64"/>
        </top>
        <bottom style="thin">
          <color indexed="64"/>
        </bottom>
      </border>
    </ndxf>
  </rcc>
  <rfmt sheetId="1" xfDxf="1" sqref="E6854" start="0" length="0">
    <dxf>
      <border outline="0">
        <left style="thin">
          <color indexed="64"/>
        </left>
        <right style="thin">
          <color indexed="64"/>
        </right>
        <top style="thin">
          <color indexed="64"/>
        </top>
        <bottom style="thin">
          <color indexed="64"/>
        </bottom>
      </border>
    </dxf>
  </rfmt>
  <rfmt sheetId="1" xfDxf="1" sqref="F6854" start="0" length="0">
    <dxf>
      <border outline="0">
        <left style="thin">
          <color indexed="64"/>
        </left>
        <right style="thin">
          <color indexed="64"/>
        </right>
        <top style="thin">
          <color indexed="64"/>
        </top>
        <bottom style="thin">
          <color indexed="64"/>
        </bottom>
      </border>
    </dxf>
  </rfmt>
  <rfmt sheetId="1" xfDxf="1" sqref="G6854" start="0" length="0">
    <dxf>
      <border outline="0">
        <left style="thin">
          <color indexed="64"/>
        </left>
        <right style="thin">
          <color indexed="64"/>
        </right>
        <top style="thin">
          <color indexed="64"/>
        </top>
        <bottom style="thin">
          <color indexed="64"/>
        </bottom>
      </border>
    </dxf>
  </rfmt>
  <rcc rId="11548" sId="1" xfDxf="1" dxf="1">
    <nc r="H6854" t="inlineStr">
      <is>
        <t>Core</t>
      </is>
    </nc>
    <ndxf>
      <border outline="0">
        <left style="thin">
          <color indexed="64"/>
        </left>
        <right style="thin">
          <color indexed="64"/>
        </right>
        <top style="thin">
          <color indexed="64"/>
        </top>
        <bottom style="thin">
          <color indexed="64"/>
        </bottom>
      </border>
    </ndxf>
  </rcc>
  <rcc rId="11549" sId="1" xfDxf="1" dxf="1" numFmtId="19">
    <nc r="I6854">
      <v>45398</v>
    </nc>
    <ndxf>
      <font>
        <sz val="7"/>
        <color rgb="FF676A6C"/>
        <name val="Arial"/>
        <scheme val="none"/>
      </font>
      <numFmt numFmtId="19" formatCode="d/m/yyyy"/>
    </ndxf>
  </rcc>
  <rcc rId="11550" sId="1" xfDxf="1" dxf="1" numFmtId="19">
    <nc r="J6854">
      <v>45412</v>
    </nc>
    <ndxf>
      <font>
        <sz val="7"/>
        <color rgb="FF676A6C"/>
        <name val="Arial"/>
        <scheme val="none"/>
      </font>
      <numFmt numFmtId="19" formatCode="d/m/yyyy"/>
    </ndxf>
  </rcc>
  <rcc rId="11551" sId="1" xfDxf="1" dxf="1">
    <nc r="K6854" t="inlineStr">
      <is>
        <t>JZURLO</t>
      </is>
    </nc>
    <ndxf>
      <font>
        <sz val="7"/>
        <color rgb="FF676A6C"/>
        <name val="Arial"/>
        <scheme val="none"/>
      </font>
    </ndxf>
  </rcc>
  <rfmt sheetId="1" xfDxf="1" sqref="L6854" start="0" length="0">
    <dxf>
      <border outline="0">
        <left style="thin">
          <color indexed="64"/>
        </left>
        <right style="thin">
          <color indexed="64"/>
        </right>
        <top style="thin">
          <color indexed="64"/>
        </top>
        <bottom style="thin">
          <color indexed="64"/>
        </bottom>
      </border>
    </dxf>
  </rfmt>
  <rfmt sheetId="1" xfDxf="1" sqref="M6854" start="0" length="0">
    <dxf>
      <border outline="0">
        <left style="thin">
          <color indexed="64"/>
        </left>
        <right style="thin">
          <color indexed="64"/>
        </right>
        <top style="thin">
          <color indexed="64"/>
        </top>
        <bottom style="thin">
          <color indexed="64"/>
        </bottom>
      </border>
    </dxf>
  </rfmt>
  <rfmt sheetId="1" xfDxf="1" sqref="N6854" start="0" length="0">
    <dxf>
      <border outline="0">
        <left style="thin">
          <color indexed="64"/>
        </left>
        <right style="thin">
          <color indexed="64"/>
        </right>
        <top style="thin">
          <color indexed="64"/>
        </top>
        <bottom style="thin">
          <color indexed="64"/>
        </bottom>
      </border>
    </dxf>
  </rfmt>
  <rfmt sheetId="1" xfDxf="1" sqref="O6854" start="0" length="0">
    <dxf>
      <border outline="0">
        <left style="thin">
          <color indexed="64"/>
        </left>
        <right style="thin">
          <color indexed="64"/>
        </right>
        <top style="thin">
          <color indexed="64"/>
        </top>
        <bottom style="thin">
          <color indexed="64"/>
        </bottom>
      </border>
    </dxf>
  </rfmt>
  <rfmt sheetId="1" xfDxf="1" sqref="P6854" start="0" length="0">
    <dxf>
      <border outline="0">
        <left style="thin">
          <color indexed="64"/>
        </left>
        <right style="thin">
          <color indexed="64"/>
        </right>
        <top style="thin">
          <color indexed="64"/>
        </top>
        <bottom style="thin">
          <color indexed="64"/>
        </bottom>
      </border>
    </dxf>
  </rfmt>
  <rfmt sheetId="1" xfDxf="1" sqref="Q6854" start="0" length="0">
    <dxf>
      <border outline="0">
        <left style="thin">
          <color indexed="64"/>
        </left>
        <right style="thin">
          <color indexed="64"/>
        </right>
        <top style="thin">
          <color indexed="64"/>
        </top>
        <bottom style="thin">
          <color indexed="64"/>
        </bottom>
      </border>
    </dxf>
  </rfmt>
  <rfmt sheetId="1" xfDxf="1" sqref="R6854" start="0" length="0">
    <dxf>
      <border outline="0">
        <left style="thin">
          <color indexed="64"/>
        </left>
        <right style="thin">
          <color indexed="64"/>
        </right>
        <top style="thin">
          <color indexed="64"/>
        </top>
        <bottom style="thin">
          <color indexed="64"/>
        </bottom>
      </border>
    </dxf>
  </rfmt>
  <rcc rId="11552" sId="1" xfDxf="1" dxf="1">
    <nc r="B6855" t="inlineStr">
      <is>
        <t>TBC004</t>
      </is>
    </nc>
    <ndxf>
      <border outline="0">
        <left style="thin">
          <color indexed="64"/>
        </left>
        <right style="thin">
          <color indexed="64"/>
        </right>
        <top style="thin">
          <color indexed="64"/>
        </top>
        <bottom style="thin">
          <color indexed="64"/>
        </bottom>
      </border>
    </ndxf>
  </rcc>
  <rcc rId="11553" sId="1" xfDxf="1" dxf="1">
    <nc r="C6855" t="inlineStr">
      <is>
        <t>Capitales Minimos</t>
      </is>
    </nc>
    <ndxf>
      <border outline="0">
        <left style="thin">
          <color indexed="64"/>
        </left>
        <right style="thin">
          <color indexed="64"/>
        </right>
        <top style="thin">
          <color indexed="64"/>
        </top>
        <bottom style="thin">
          <color indexed="64"/>
        </bottom>
      </border>
    </ndxf>
  </rcc>
  <rcc rId="11554" sId="1" xfDxf="1" dxf="1">
    <nc r="D6855" t="inlineStr">
      <is>
        <t>Datos</t>
      </is>
    </nc>
    <ndxf>
      <border outline="0">
        <left style="thin">
          <color indexed="64"/>
        </left>
        <right style="thin">
          <color indexed="64"/>
        </right>
        <top style="thin">
          <color indexed="64"/>
        </top>
        <bottom style="thin">
          <color indexed="64"/>
        </bottom>
      </border>
    </ndxf>
  </rcc>
  <rfmt sheetId="1" xfDxf="1" sqref="E6855" start="0" length="0">
    <dxf>
      <border outline="0">
        <left style="thin">
          <color indexed="64"/>
        </left>
        <right style="thin">
          <color indexed="64"/>
        </right>
        <top style="thin">
          <color indexed="64"/>
        </top>
        <bottom style="thin">
          <color indexed="64"/>
        </bottom>
      </border>
    </dxf>
  </rfmt>
  <rfmt sheetId="1" xfDxf="1" sqref="F6855" start="0" length="0">
    <dxf>
      <border outline="0">
        <left style="thin">
          <color indexed="64"/>
        </left>
        <right style="thin">
          <color indexed="64"/>
        </right>
        <top style="thin">
          <color indexed="64"/>
        </top>
        <bottom style="thin">
          <color indexed="64"/>
        </bottom>
      </border>
    </dxf>
  </rfmt>
  <rfmt sheetId="1" xfDxf="1" sqref="G6855" start="0" length="0">
    <dxf>
      <border outline="0">
        <left style="thin">
          <color indexed="64"/>
        </left>
        <right style="thin">
          <color indexed="64"/>
        </right>
        <top style="thin">
          <color indexed="64"/>
        </top>
        <bottom style="thin">
          <color indexed="64"/>
        </bottom>
      </border>
    </dxf>
  </rfmt>
  <rcc rId="11555" sId="1" xfDxf="1" dxf="1">
    <nc r="H6855" t="inlineStr">
      <is>
        <t>Core</t>
      </is>
    </nc>
    <ndxf>
      <border outline="0">
        <left style="thin">
          <color indexed="64"/>
        </left>
        <right style="thin">
          <color indexed="64"/>
        </right>
        <top style="thin">
          <color indexed="64"/>
        </top>
        <bottom style="thin">
          <color indexed="64"/>
        </bottom>
      </border>
    </ndxf>
  </rcc>
  <rcc rId="11556" sId="1" xfDxf="1" dxf="1" numFmtId="19">
    <nc r="I6855">
      <v>40701</v>
    </nc>
    <ndxf>
      <font>
        <sz val="7"/>
        <color rgb="FF676A6C"/>
        <name val="Arial"/>
        <scheme val="none"/>
      </font>
      <numFmt numFmtId="19" formatCode="d/m/yyyy"/>
    </ndxf>
  </rcc>
  <rcc rId="11557" sId="1" xfDxf="1" dxf="1">
    <nc r="J6855" t="inlineStr">
      <is>
        <t>4/7/24 </t>
      </is>
    </nc>
    <ndxf>
      <font>
        <sz val="7"/>
        <color rgb="FF676A6C"/>
        <name val="Arial"/>
        <scheme val="none"/>
      </font>
    </ndxf>
  </rcc>
  <rcc rId="11558" sId="1" xfDxf="1" dxf="1">
    <nc r="K6855" t="inlineStr">
      <is>
        <t>AMARSICANO</t>
      </is>
    </nc>
    <ndxf>
      <font>
        <sz val="7"/>
        <color rgb="FF676A6C"/>
        <name val="Arial"/>
        <scheme val="none"/>
      </font>
    </ndxf>
  </rcc>
  <rfmt sheetId="1" xfDxf="1" sqref="L6855" start="0" length="0">
    <dxf>
      <border outline="0">
        <left style="thin">
          <color indexed="64"/>
        </left>
        <right style="thin">
          <color indexed="64"/>
        </right>
        <top style="thin">
          <color indexed="64"/>
        </top>
        <bottom style="thin">
          <color indexed="64"/>
        </bottom>
      </border>
    </dxf>
  </rfmt>
  <rfmt sheetId="1" xfDxf="1" sqref="M6855" start="0" length="0">
    <dxf>
      <border outline="0">
        <left style="thin">
          <color indexed="64"/>
        </left>
        <right style="thin">
          <color indexed="64"/>
        </right>
        <top style="thin">
          <color indexed="64"/>
        </top>
        <bottom style="thin">
          <color indexed="64"/>
        </bottom>
      </border>
    </dxf>
  </rfmt>
  <rfmt sheetId="1" xfDxf="1" sqref="N6855" start="0" length="0">
    <dxf>
      <border outline="0">
        <left style="thin">
          <color indexed="64"/>
        </left>
        <right style="thin">
          <color indexed="64"/>
        </right>
        <top style="thin">
          <color indexed="64"/>
        </top>
        <bottom style="thin">
          <color indexed="64"/>
        </bottom>
      </border>
    </dxf>
  </rfmt>
  <rfmt sheetId="1" xfDxf="1" sqref="O6855" start="0" length="0">
    <dxf>
      <border outline="0">
        <left style="thin">
          <color indexed="64"/>
        </left>
        <right style="thin">
          <color indexed="64"/>
        </right>
        <top style="thin">
          <color indexed="64"/>
        </top>
        <bottom style="thin">
          <color indexed="64"/>
        </bottom>
      </border>
    </dxf>
  </rfmt>
  <rfmt sheetId="1" xfDxf="1" sqref="P6855" start="0" length="0">
    <dxf>
      <border outline="0">
        <left style="thin">
          <color indexed="64"/>
        </left>
        <right style="thin">
          <color indexed="64"/>
        </right>
        <top style="thin">
          <color indexed="64"/>
        </top>
        <bottom style="thin">
          <color indexed="64"/>
        </bottom>
      </border>
    </dxf>
  </rfmt>
  <rfmt sheetId="1" xfDxf="1" sqref="Q6855" start="0" length="0">
    <dxf>
      <border outline="0">
        <left style="thin">
          <color indexed="64"/>
        </left>
        <right style="thin">
          <color indexed="64"/>
        </right>
        <top style="thin">
          <color indexed="64"/>
        </top>
        <bottom style="thin">
          <color indexed="64"/>
        </bottom>
      </border>
    </dxf>
  </rfmt>
  <rfmt sheetId="1" xfDxf="1" sqref="R6855" start="0" length="0">
    <dxf>
      <border outline="0">
        <left style="thin">
          <color indexed="64"/>
        </left>
        <right style="thin">
          <color indexed="64"/>
        </right>
        <top style="thin">
          <color indexed="64"/>
        </top>
        <bottom style="thin">
          <color indexed="64"/>
        </bottom>
      </border>
    </dxf>
  </rfmt>
  <rcc rId="11559" sId="1" xfDxf="1" dxf="1">
    <nc r="B6856" t="inlineStr">
      <is>
        <t>TRE014</t>
      </is>
    </nc>
    <ndxf>
      <border outline="0">
        <left style="thin">
          <color indexed="64"/>
        </left>
        <right style="thin">
          <color indexed="64"/>
        </right>
        <top style="thin">
          <color indexed="64"/>
        </top>
        <bottom style="thin">
          <color indexed="64"/>
        </bottom>
      </border>
    </ndxf>
  </rcc>
  <rcc rId="11560" sId="1" xfDxf="1" dxf="1">
    <nc r="C6856" t="inlineStr">
      <is>
        <t>Extension CV - Perd Acred, Tasa, Com</t>
      </is>
    </nc>
    <ndxf>
      <border outline="0">
        <left style="thin">
          <color indexed="64"/>
        </left>
        <right style="thin">
          <color indexed="64"/>
        </right>
        <top style="thin">
          <color indexed="64"/>
        </top>
        <bottom style="thin">
          <color indexed="64"/>
        </bottom>
      </border>
    </ndxf>
  </rcc>
  <rcc rId="11561" sId="1" xfDxf="1" dxf="1">
    <nc r="D6856" t="inlineStr">
      <is>
        <t>Datos</t>
      </is>
    </nc>
    <ndxf>
      <border outline="0">
        <left style="thin">
          <color indexed="64"/>
        </left>
        <right style="thin">
          <color indexed="64"/>
        </right>
        <top style="thin">
          <color indexed="64"/>
        </top>
        <bottom style="thin">
          <color indexed="64"/>
        </bottom>
      </border>
    </ndxf>
  </rcc>
  <rfmt sheetId="1" xfDxf="1" sqref="E6856" start="0" length="0">
    <dxf>
      <border outline="0">
        <left style="thin">
          <color indexed="64"/>
        </left>
        <right style="thin">
          <color indexed="64"/>
        </right>
        <top style="thin">
          <color indexed="64"/>
        </top>
        <bottom style="thin">
          <color indexed="64"/>
        </bottom>
      </border>
    </dxf>
  </rfmt>
  <rfmt sheetId="1" xfDxf="1" sqref="F6856" start="0" length="0">
    <dxf>
      <border outline="0">
        <left style="thin">
          <color indexed="64"/>
        </left>
        <right style="thin">
          <color indexed="64"/>
        </right>
        <top style="thin">
          <color indexed="64"/>
        </top>
        <bottom style="thin">
          <color indexed="64"/>
        </bottom>
      </border>
    </dxf>
  </rfmt>
  <rfmt sheetId="1" xfDxf="1" sqref="G6856" start="0" length="0">
    <dxf>
      <border outline="0">
        <left style="thin">
          <color indexed="64"/>
        </left>
        <right style="thin">
          <color indexed="64"/>
        </right>
        <top style="thin">
          <color indexed="64"/>
        </top>
        <bottom style="thin">
          <color indexed="64"/>
        </bottom>
      </border>
    </dxf>
  </rfmt>
  <rcc rId="11562" sId="1" xfDxf="1" dxf="1">
    <nc r="H6856" t="inlineStr">
      <is>
        <t>Core</t>
      </is>
    </nc>
    <ndxf>
      <border outline="0">
        <left style="thin">
          <color indexed="64"/>
        </left>
        <right style="thin">
          <color indexed="64"/>
        </right>
        <top style="thin">
          <color indexed="64"/>
        </top>
        <bottom style="thin">
          <color indexed="64"/>
        </bottom>
      </border>
    </ndxf>
  </rcc>
  <rcc rId="11563" sId="1" xfDxf="1" dxf="1" numFmtId="19">
    <nc r="I6856">
      <v>44462</v>
    </nc>
    <ndxf>
      <font>
        <sz val="7"/>
        <color rgb="FF676A6C"/>
        <name val="Arial"/>
        <scheme val="none"/>
      </font>
      <numFmt numFmtId="19" formatCode="d/m/yyyy"/>
    </ndxf>
  </rcc>
  <rfmt sheetId="1" xfDxf="1" sqref="J6856" start="0" length="0">
    <dxf>
      <border outline="0">
        <left style="thin">
          <color indexed="64"/>
        </left>
        <right style="thin">
          <color indexed="64"/>
        </right>
        <top style="thin">
          <color indexed="64"/>
        </top>
        <bottom style="thin">
          <color indexed="64"/>
        </bottom>
      </border>
    </dxf>
  </rfmt>
  <rcc rId="11564" sId="1" xfDxf="1" dxf="1">
    <nc r="K6856" t="inlineStr">
      <is>
        <t>JBERNET</t>
      </is>
    </nc>
    <ndxf>
      <font>
        <sz val="7"/>
        <color rgb="FF676A6C"/>
        <name val="Arial"/>
        <scheme val="none"/>
      </font>
    </ndxf>
  </rcc>
  <rfmt sheetId="1" xfDxf="1" sqref="L6856" start="0" length="0">
    <dxf>
      <border outline="0">
        <left style="thin">
          <color indexed="64"/>
        </left>
        <right style="thin">
          <color indexed="64"/>
        </right>
        <top style="thin">
          <color indexed="64"/>
        </top>
        <bottom style="thin">
          <color indexed="64"/>
        </bottom>
      </border>
    </dxf>
  </rfmt>
  <rfmt sheetId="1" xfDxf="1" sqref="M6856" start="0" length="0">
    <dxf>
      <border outline="0">
        <left style="thin">
          <color indexed="64"/>
        </left>
        <right style="thin">
          <color indexed="64"/>
        </right>
        <top style="thin">
          <color indexed="64"/>
        </top>
        <bottom style="thin">
          <color indexed="64"/>
        </bottom>
      </border>
    </dxf>
  </rfmt>
  <rfmt sheetId="1" xfDxf="1" sqref="N6856" start="0" length="0">
    <dxf>
      <border outline="0">
        <left style="thin">
          <color indexed="64"/>
        </left>
        <right style="thin">
          <color indexed="64"/>
        </right>
        <top style="thin">
          <color indexed="64"/>
        </top>
        <bottom style="thin">
          <color indexed="64"/>
        </bottom>
      </border>
    </dxf>
  </rfmt>
  <rfmt sheetId="1" xfDxf="1" sqref="O6856" start="0" length="0">
    <dxf>
      <border outline="0">
        <left style="thin">
          <color indexed="64"/>
        </left>
        <right style="thin">
          <color indexed="64"/>
        </right>
        <top style="thin">
          <color indexed="64"/>
        </top>
        <bottom style="thin">
          <color indexed="64"/>
        </bottom>
      </border>
    </dxf>
  </rfmt>
  <rfmt sheetId="1" xfDxf="1" sqref="P6856" start="0" length="0">
    <dxf>
      <border outline="0">
        <left style="thin">
          <color indexed="64"/>
        </left>
        <right style="thin">
          <color indexed="64"/>
        </right>
        <top style="thin">
          <color indexed="64"/>
        </top>
        <bottom style="thin">
          <color indexed="64"/>
        </bottom>
      </border>
    </dxf>
  </rfmt>
  <rfmt sheetId="1" xfDxf="1" sqref="Q6856" start="0" length="0">
    <dxf>
      <border outline="0">
        <left style="thin">
          <color indexed="64"/>
        </left>
        <right style="thin">
          <color indexed="64"/>
        </right>
        <top style="thin">
          <color indexed="64"/>
        </top>
        <bottom style="thin">
          <color indexed="64"/>
        </bottom>
      </border>
    </dxf>
  </rfmt>
  <rfmt sheetId="1" xfDxf="1" sqref="R6856" start="0" length="0">
    <dxf>
      <border outline="0">
        <left style="thin">
          <color indexed="64"/>
        </left>
        <right style="thin">
          <color indexed="64"/>
        </right>
        <top style="thin">
          <color indexed="64"/>
        </top>
        <bottom style="thin">
          <color indexed="64"/>
        </bottom>
      </border>
    </dxf>
  </rfmt>
  <rdn rId="0" localSheetId="1" customView="1" name="Z_FED60004_C791_4ADD_AF07_891C513D4177_.wvu.Cols" hidden="1" oldHidden="1">
    <formula>Inventario!$I:$J</formula>
  </rdn>
  <rdn rId="0" localSheetId="1" customView="1" name="Z_FED60004_C791_4ADD_AF07_891C513D4177_.wvu.FilterData" hidden="1" oldHidden="1">
    <formula>Inventario!$B$6:$R$6266</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6">
  <userInfo guid="{E8CE14C5-ABFD-46A4-A648-2DC84F4302C1}" name="Rodrigo Barquín" id="-1473098088" dateTime="2024-07-10T09:26:53"/>
  <userInfo guid="{8CA70CF1-8BD7-43A0-A853-7EAFF3DC3417}" name="Rodrigo Barquín" id="-1473069496" dateTime="2024-07-31T10:48:40"/>
  <userInfo guid="{8CA70CF1-8BD7-43A0-A853-7EAFF3DC3417}" name="Anahí Morales" id="-1497351682" dateTime="2024-10-07T10:51:23"/>
  <userInfo guid="{E35E6CE7-3E13-4BED-B9A2-0E6E3998E2F7}" name="Anahí Morales" id="-1497362807" dateTime="2024-10-30T10:58:50"/>
  <userInfo guid="{B9EA22AA-44A6-4F73-A36D-BBE0FBA06802}" name="Anahí Morales" id="-1497324934" dateTime="2024-10-31T10:42:23"/>
  <userInfo guid="{B9EA22AA-44A6-4F73-A36D-BBE0FBA06802}" name="Anahí Morales" id="-1497350127" dateTime="2024-11-08T09:39:27"/>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537"/>
  <sheetViews>
    <sheetView tabSelected="1" zoomScale="80" zoomScaleNormal="55" workbookViewId="0">
      <pane ySplit="5" topLeftCell="A5754" activePane="bottomLeft" state="frozen"/>
      <selection pane="bottomLeft" activeCell="D5758" sqref="D5758"/>
    </sheetView>
  </sheetViews>
  <sheetFormatPr baseColWidth="10" defaultRowHeight="15" x14ac:dyDescent="0.25"/>
  <cols>
    <col min="1" max="1" width="11.42578125" style="71"/>
    <col min="2" max="2" width="15.28515625" customWidth="1"/>
    <col min="3" max="3" width="62" customWidth="1"/>
    <col min="4" max="4" width="18" customWidth="1"/>
    <col min="5" max="5" width="26.85546875" customWidth="1"/>
    <col min="6" max="6" width="58" customWidth="1"/>
    <col min="7" max="7" width="14.140625" bestFit="1" customWidth="1"/>
    <col min="8" max="8" width="9.140625" customWidth="1"/>
    <col min="9" max="9" width="12.42578125" hidden="1" customWidth="1"/>
    <col min="10" max="10" width="11.28515625" hidden="1" customWidth="1"/>
    <col min="11" max="11" width="17.28515625" customWidth="1"/>
    <col min="12" max="12" width="38.28515625" customWidth="1"/>
    <col min="13" max="13" width="14" style="233" customWidth="1"/>
    <col min="14" max="14" width="46.140625" customWidth="1"/>
    <col min="16" max="16" width="31.140625" customWidth="1"/>
    <col min="19" max="22" width="11.42578125" style="71"/>
  </cols>
  <sheetData>
    <row r="1" spans="1:18" s="71" customFormat="1" ht="15.75" x14ac:dyDescent="0.25">
      <c r="A1" s="387"/>
    </row>
    <row r="2" spans="1:18" s="71" customFormat="1" x14ac:dyDescent="0.25"/>
    <row r="3" spans="1:18" s="71" customFormat="1" x14ac:dyDescent="0.25">
      <c r="B3" s="426" t="s">
        <v>11169</v>
      </c>
      <c r="C3" s="426"/>
      <c r="D3" s="426"/>
      <c r="E3" s="426"/>
      <c r="F3" s="426"/>
      <c r="G3" s="426"/>
      <c r="H3" s="426"/>
      <c r="I3" s="426"/>
      <c r="J3" s="426"/>
      <c r="K3" s="426"/>
      <c r="L3" s="426"/>
      <c r="M3" s="426"/>
      <c r="N3" s="426"/>
      <c r="O3" s="426"/>
      <c r="P3" s="426"/>
      <c r="Q3" s="426"/>
      <c r="R3" s="426"/>
    </row>
    <row r="4" spans="1:18" x14ac:dyDescent="0.25">
      <c r="B4" s="426"/>
      <c r="C4" s="426"/>
      <c r="D4" s="426"/>
      <c r="E4" s="426"/>
      <c r="F4" s="426"/>
      <c r="G4" s="426"/>
      <c r="H4" s="426"/>
      <c r="I4" s="426"/>
      <c r="J4" s="426"/>
      <c r="K4" s="426"/>
      <c r="L4" s="426"/>
      <c r="M4" s="426"/>
      <c r="N4" s="426"/>
      <c r="O4" s="426"/>
      <c r="P4" s="426"/>
      <c r="Q4" s="426"/>
      <c r="R4" s="426"/>
    </row>
    <row r="5" spans="1:18" ht="54" x14ac:dyDescent="0.25">
      <c r="B5" s="235" t="s">
        <v>0</v>
      </c>
      <c r="C5" s="1" t="s">
        <v>1</v>
      </c>
      <c r="D5" s="1" t="s">
        <v>29</v>
      </c>
      <c r="E5" s="1" t="s">
        <v>3</v>
      </c>
      <c r="F5" s="1" t="s">
        <v>2</v>
      </c>
      <c r="G5" s="1" t="s">
        <v>503</v>
      </c>
      <c r="H5" s="1" t="s">
        <v>4</v>
      </c>
      <c r="I5" s="1" t="s">
        <v>5</v>
      </c>
      <c r="J5" s="1" t="s">
        <v>6</v>
      </c>
      <c r="K5" s="1" t="s">
        <v>7</v>
      </c>
      <c r="L5" s="1" t="s">
        <v>8</v>
      </c>
      <c r="M5" s="1" t="s">
        <v>8575</v>
      </c>
      <c r="N5" s="1" t="s">
        <v>9</v>
      </c>
      <c r="O5" s="83" t="s">
        <v>10</v>
      </c>
      <c r="P5" s="1" t="s">
        <v>11</v>
      </c>
      <c r="Q5" s="1" t="s">
        <v>12</v>
      </c>
      <c r="R5" s="84" t="s">
        <v>13</v>
      </c>
    </row>
    <row r="6" spans="1:18" ht="67.5" x14ac:dyDescent="0.25">
      <c r="B6" s="2" t="s">
        <v>0</v>
      </c>
      <c r="C6" s="3" t="s">
        <v>14</v>
      </c>
      <c r="D6" s="3" t="s">
        <v>8151</v>
      </c>
      <c r="E6" s="3" t="s">
        <v>16</v>
      </c>
      <c r="F6" s="3" t="s">
        <v>15</v>
      </c>
      <c r="G6" s="3" t="s">
        <v>17</v>
      </c>
      <c r="H6" s="3" t="s">
        <v>18</v>
      </c>
      <c r="I6" s="3" t="s">
        <v>19</v>
      </c>
      <c r="J6" s="3" t="s">
        <v>20</v>
      </c>
      <c r="K6" s="3" t="s">
        <v>21</v>
      </c>
      <c r="L6" s="3"/>
      <c r="M6" s="228" t="s">
        <v>8576</v>
      </c>
      <c r="N6" s="3" t="s">
        <v>22</v>
      </c>
      <c r="O6" s="85" t="s">
        <v>23</v>
      </c>
      <c r="P6" s="86" t="s">
        <v>24</v>
      </c>
      <c r="Q6" s="86" t="s">
        <v>12</v>
      </c>
      <c r="R6" s="86" t="s">
        <v>25</v>
      </c>
    </row>
    <row r="7" spans="1:18" x14ac:dyDescent="0.25">
      <c r="B7" s="4" t="s">
        <v>26</v>
      </c>
      <c r="C7" s="5" t="s">
        <v>27</v>
      </c>
      <c r="D7" s="5" t="s">
        <v>29</v>
      </c>
      <c r="E7" s="5"/>
      <c r="F7" s="5"/>
      <c r="G7" s="5" t="s">
        <v>28</v>
      </c>
      <c r="H7" s="5"/>
      <c r="I7" s="5"/>
      <c r="J7" s="5"/>
      <c r="K7" s="5"/>
      <c r="L7" s="246"/>
      <c r="M7" s="246"/>
      <c r="N7" s="5"/>
      <c r="O7" s="7"/>
      <c r="P7" s="5" t="s">
        <v>30</v>
      </c>
      <c r="Q7" s="5"/>
      <c r="R7" s="5" t="s">
        <v>8149</v>
      </c>
    </row>
    <row r="8" spans="1:18" ht="54" x14ac:dyDescent="0.25">
      <c r="B8" s="4" t="s">
        <v>31</v>
      </c>
      <c r="C8" s="5" t="s">
        <v>32</v>
      </c>
      <c r="D8" s="5" t="s">
        <v>29</v>
      </c>
      <c r="E8" s="5" t="s">
        <v>34</v>
      </c>
      <c r="F8" s="5" t="s">
        <v>33</v>
      </c>
      <c r="G8" s="5" t="s">
        <v>35</v>
      </c>
      <c r="H8" s="5" t="s">
        <v>36</v>
      </c>
      <c r="I8" s="5"/>
      <c r="J8" s="5"/>
      <c r="K8" s="5"/>
      <c r="L8" s="5" t="s">
        <v>37</v>
      </c>
      <c r="M8" s="5"/>
      <c r="N8" s="5"/>
      <c r="O8" s="7" t="s">
        <v>38</v>
      </c>
      <c r="P8" s="5" t="s">
        <v>39</v>
      </c>
      <c r="Q8" s="5"/>
      <c r="R8" s="5"/>
    </row>
    <row r="9" spans="1:18" ht="40.5" x14ac:dyDescent="0.25">
      <c r="B9" s="8" t="s">
        <v>40</v>
      </c>
      <c r="C9" s="9" t="s">
        <v>41</v>
      </c>
      <c r="D9" s="10" t="s">
        <v>29</v>
      </c>
      <c r="E9" s="10"/>
      <c r="F9" s="10"/>
      <c r="G9" s="10" t="s">
        <v>28</v>
      </c>
      <c r="H9" s="10" t="s">
        <v>36</v>
      </c>
      <c r="I9" s="10"/>
      <c r="J9" s="10"/>
      <c r="K9" s="10"/>
      <c r="L9" s="5" t="s">
        <v>42</v>
      </c>
      <c r="M9" s="10"/>
      <c r="N9" s="10" t="s">
        <v>43</v>
      </c>
      <c r="O9" s="11" t="s">
        <v>38</v>
      </c>
      <c r="P9" s="5" t="s">
        <v>44</v>
      </c>
      <c r="Q9" s="5"/>
      <c r="R9" s="5" t="s">
        <v>8149</v>
      </c>
    </row>
    <row r="10" spans="1:18" ht="40.5" x14ac:dyDescent="0.25">
      <c r="B10" s="4" t="s">
        <v>45</v>
      </c>
      <c r="C10" s="5" t="s">
        <v>46</v>
      </c>
      <c r="D10" s="5" t="s">
        <v>29</v>
      </c>
      <c r="E10" s="5"/>
      <c r="F10" s="5"/>
      <c r="G10" s="5" t="s">
        <v>28</v>
      </c>
      <c r="H10" s="5" t="s">
        <v>36</v>
      </c>
      <c r="I10" s="5"/>
      <c r="J10" s="5"/>
      <c r="K10" s="5"/>
      <c r="L10" s="5" t="s">
        <v>42</v>
      </c>
      <c r="M10" s="5"/>
      <c r="N10" s="5" t="s">
        <v>43</v>
      </c>
      <c r="O10" s="7" t="s">
        <v>38</v>
      </c>
      <c r="P10" s="5" t="s">
        <v>47</v>
      </c>
      <c r="Q10" s="5"/>
      <c r="R10" s="5" t="s">
        <v>8149</v>
      </c>
    </row>
    <row r="11" spans="1:18" ht="40.5" x14ac:dyDescent="0.25">
      <c r="B11" s="12" t="s">
        <v>48</v>
      </c>
      <c r="C11" s="5" t="s">
        <v>49</v>
      </c>
      <c r="D11" s="5" t="s">
        <v>29</v>
      </c>
      <c r="E11" s="5"/>
      <c r="F11" s="5"/>
      <c r="G11" s="5" t="s">
        <v>28</v>
      </c>
      <c r="H11" s="5" t="s">
        <v>36</v>
      </c>
      <c r="I11" s="5"/>
      <c r="J11" s="5"/>
      <c r="K11" s="5"/>
      <c r="L11" s="5" t="s">
        <v>42</v>
      </c>
      <c r="M11" s="5"/>
      <c r="N11" s="5" t="s">
        <v>43</v>
      </c>
      <c r="O11" s="7" t="s">
        <v>38</v>
      </c>
      <c r="P11" s="5" t="s">
        <v>50</v>
      </c>
      <c r="Q11" s="5"/>
      <c r="R11" s="5" t="s">
        <v>8149</v>
      </c>
    </row>
    <row r="12" spans="1:18" x14ac:dyDescent="0.25">
      <c r="B12" s="12" t="s">
        <v>51</v>
      </c>
      <c r="C12" s="13" t="s">
        <v>52</v>
      </c>
      <c r="D12" s="5" t="s">
        <v>8152</v>
      </c>
      <c r="E12" s="5" t="s">
        <v>54</v>
      </c>
      <c r="F12" s="5" t="s">
        <v>53</v>
      </c>
      <c r="G12" s="5" t="s">
        <v>35</v>
      </c>
      <c r="H12" s="5" t="s">
        <v>36</v>
      </c>
      <c r="I12" s="5"/>
      <c r="J12" s="5"/>
      <c r="K12" s="5"/>
      <c r="L12" s="5"/>
      <c r="M12" s="5"/>
      <c r="N12" s="5"/>
      <c r="O12" s="7" t="s">
        <v>387</v>
      </c>
      <c r="P12" s="5" t="s">
        <v>55</v>
      </c>
      <c r="Q12" s="5"/>
      <c r="R12" s="5"/>
    </row>
    <row r="13" spans="1:18" x14ac:dyDescent="0.25">
      <c r="B13" s="4" t="s">
        <v>56</v>
      </c>
      <c r="C13" s="5" t="s">
        <v>57</v>
      </c>
      <c r="D13" s="5" t="s">
        <v>8152</v>
      </c>
      <c r="E13" s="5" t="s">
        <v>54</v>
      </c>
      <c r="F13" s="5" t="s">
        <v>53</v>
      </c>
      <c r="G13" s="5" t="s">
        <v>35</v>
      </c>
      <c r="H13" s="5" t="s">
        <v>36</v>
      </c>
      <c r="I13" s="5"/>
      <c r="J13" s="5"/>
      <c r="K13" s="5"/>
      <c r="L13" s="5"/>
      <c r="M13" s="5"/>
      <c r="N13" s="5"/>
      <c r="O13" s="7" t="s">
        <v>387</v>
      </c>
      <c r="P13" s="5" t="s">
        <v>55</v>
      </c>
      <c r="Q13" s="5"/>
      <c r="R13" s="5"/>
    </row>
    <row r="14" spans="1:18" x14ac:dyDescent="0.25">
      <c r="B14" s="12" t="s">
        <v>58</v>
      </c>
      <c r="C14" s="13" t="s">
        <v>59</v>
      </c>
      <c r="D14" s="5" t="s">
        <v>8152</v>
      </c>
      <c r="E14" s="5" t="s">
        <v>54</v>
      </c>
      <c r="F14" s="5" t="s">
        <v>53</v>
      </c>
      <c r="G14" s="5" t="s">
        <v>35</v>
      </c>
      <c r="H14" s="5" t="s">
        <v>36</v>
      </c>
      <c r="I14" s="5"/>
      <c r="J14" s="5"/>
      <c r="K14" s="5"/>
      <c r="L14" s="5"/>
      <c r="M14" s="5"/>
      <c r="N14" s="5"/>
      <c r="O14" s="7" t="s">
        <v>387</v>
      </c>
      <c r="P14" s="5"/>
      <c r="Q14" s="5"/>
      <c r="R14" s="5"/>
    </row>
    <row r="15" spans="1:18" x14ac:dyDescent="0.25">
      <c r="B15" s="4" t="s">
        <v>60</v>
      </c>
      <c r="C15" s="5" t="s">
        <v>61</v>
      </c>
      <c r="D15" s="5" t="s">
        <v>8152</v>
      </c>
      <c r="E15" s="5" t="s">
        <v>54</v>
      </c>
      <c r="F15" s="5" t="s">
        <v>53</v>
      </c>
      <c r="G15" s="5" t="s">
        <v>35</v>
      </c>
      <c r="H15" s="5" t="s">
        <v>36</v>
      </c>
      <c r="I15" s="5"/>
      <c r="J15" s="5"/>
      <c r="K15" s="5"/>
      <c r="L15" s="5"/>
      <c r="M15" s="5"/>
      <c r="N15" s="5"/>
      <c r="O15" s="7" t="s">
        <v>387</v>
      </c>
      <c r="P15" s="5"/>
      <c r="Q15" s="5"/>
      <c r="R15" s="5"/>
    </row>
    <row r="16" spans="1:18" x14ac:dyDescent="0.25">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25">
      <c r="B17" s="4" t="s">
        <v>65</v>
      </c>
      <c r="C17" s="5" t="s">
        <v>66</v>
      </c>
      <c r="D17" s="5" t="s">
        <v>8152</v>
      </c>
      <c r="E17" s="5" t="s">
        <v>54</v>
      </c>
      <c r="F17" s="5" t="s">
        <v>53</v>
      </c>
      <c r="G17" s="5" t="s">
        <v>35</v>
      </c>
      <c r="H17" s="5" t="s">
        <v>36</v>
      </c>
      <c r="I17" s="5"/>
      <c r="J17" s="5"/>
      <c r="K17" s="5"/>
      <c r="L17" s="5"/>
      <c r="M17" s="5"/>
      <c r="N17" s="5"/>
      <c r="O17" s="7" t="s">
        <v>387</v>
      </c>
      <c r="P17" s="5" t="s">
        <v>55</v>
      </c>
      <c r="Q17" s="5"/>
      <c r="R17" s="5"/>
    </row>
    <row r="18" spans="1:18" x14ac:dyDescent="0.25">
      <c r="B18" s="12" t="s">
        <v>67</v>
      </c>
      <c r="C18" s="5" t="s">
        <v>68</v>
      </c>
      <c r="D18" s="5" t="s">
        <v>8152</v>
      </c>
      <c r="E18" s="5" t="s">
        <v>54</v>
      </c>
      <c r="F18" s="5" t="s">
        <v>53</v>
      </c>
      <c r="G18" s="5" t="s">
        <v>35</v>
      </c>
      <c r="H18" s="5" t="s">
        <v>36</v>
      </c>
      <c r="I18" s="5"/>
      <c r="J18" s="5"/>
      <c r="K18" s="5"/>
      <c r="L18" s="14"/>
      <c r="M18" s="14"/>
      <c r="N18" s="5"/>
      <c r="O18" s="7" t="s">
        <v>38</v>
      </c>
      <c r="P18" s="5" t="s">
        <v>55</v>
      </c>
      <c r="Q18" s="5"/>
      <c r="R18" s="5"/>
    </row>
    <row r="19" spans="1:18" x14ac:dyDescent="0.25">
      <c r="B19" s="12" t="s">
        <v>69</v>
      </c>
      <c r="C19" s="5" t="s">
        <v>68</v>
      </c>
      <c r="D19" s="5" t="s">
        <v>8152</v>
      </c>
      <c r="E19" s="5" t="s">
        <v>54</v>
      </c>
      <c r="F19" s="5" t="s">
        <v>53</v>
      </c>
      <c r="G19" s="5" t="s">
        <v>35</v>
      </c>
      <c r="H19" s="5" t="s">
        <v>36</v>
      </c>
      <c r="I19" s="5"/>
      <c r="J19" s="5"/>
      <c r="K19" s="5"/>
      <c r="L19" s="14"/>
      <c r="M19" s="14"/>
      <c r="N19" s="5"/>
      <c r="O19" s="7" t="s">
        <v>38</v>
      </c>
      <c r="P19" s="5" t="s">
        <v>55</v>
      </c>
      <c r="Q19" s="5"/>
      <c r="R19" s="5"/>
    </row>
    <row r="20" spans="1:18" x14ac:dyDescent="0.25">
      <c r="B20" s="15" t="s">
        <v>70</v>
      </c>
      <c r="C20" s="16" t="s">
        <v>68</v>
      </c>
      <c r="D20" s="16" t="s">
        <v>8152</v>
      </c>
      <c r="E20" s="16" t="s">
        <v>54</v>
      </c>
      <c r="F20" s="5" t="s">
        <v>53</v>
      </c>
      <c r="G20" s="16" t="s">
        <v>35</v>
      </c>
      <c r="H20" s="16" t="s">
        <v>36</v>
      </c>
      <c r="I20" s="16"/>
      <c r="J20" s="16"/>
      <c r="K20" s="16"/>
      <c r="L20" s="16"/>
      <c r="M20" s="16"/>
      <c r="N20" s="16"/>
      <c r="O20" s="7" t="s">
        <v>38</v>
      </c>
      <c r="P20" s="5" t="s">
        <v>55</v>
      </c>
      <c r="Q20" s="5"/>
      <c r="R20" s="5"/>
    </row>
    <row r="21" spans="1:18" x14ac:dyDescent="0.25">
      <c r="B21" s="15" t="s">
        <v>71</v>
      </c>
      <c r="C21" s="16" t="s">
        <v>68</v>
      </c>
      <c r="D21" s="16" t="s">
        <v>8152</v>
      </c>
      <c r="E21" s="16" t="s">
        <v>54</v>
      </c>
      <c r="F21" s="5" t="s">
        <v>53</v>
      </c>
      <c r="G21" s="16" t="s">
        <v>35</v>
      </c>
      <c r="H21" s="16" t="s">
        <v>36</v>
      </c>
      <c r="I21" s="16"/>
      <c r="J21" s="16"/>
      <c r="K21" s="16"/>
      <c r="L21" s="16"/>
      <c r="M21" s="16"/>
      <c r="N21" s="16"/>
      <c r="O21" s="7" t="s">
        <v>38</v>
      </c>
      <c r="P21" s="5" t="s">
        <v>55</v>
      </c>
      <c r="Q21" s="5"/>
      <c r="R21" s="5"/>
    </row>
    <row r="22" spans="1:18" x14ac:dyDescent="0.25">
      <c r="B22" s="15" t="s">
        <v>72</v>
      </c>
      <c r="C22" s="16" t="s">
        <v>73</v>
      </c>
      <c r="D22" s="16" t="s">
        <v>8152</v>
      </c>
      <c r="E22" s="16" t="s">
        <v>54</v>
      </c>
      <c r="F22" s="5" t="s">
        <v>74</v>
      </c>
      <c r="G22" s="16" t="s">
        <v>35</v>
      </c>
      <c r="H22" s="16" t="s">
        <v>36</v>
      </c>
      <c r="I22" s="16"/>
      <c r="J22" s="16"/>
      <c r="K22" s="16"/>
      <c r="L22" s="16"/>
      <c r="M22" s="16"/>
      <c r="N22" s="16"/>
      <c r="O22" s="17" t="s">
        <v>38</v>
      </c>
      <c r="P22" s="5" t="s">
        <v>55</v>
      </c>
      <c r="Q22" s="5"/>
      <c r="R22" s="5"/>
    </row>
    <row r="23" spans="1:18" x14ac:dyDescent="0.25">
      <c r="B23" s="15" t="s">
        <v>75</v>
      </c>
      <c r="C23" s="16" t="s">
        <v>76</v>
      </c>
      <c r="D23" s="16" t="s">
        <v>8152</v>
      </c>
      <c r="E23" s="16" t="s">
        <v>54</v>
      </c>
      <c r="F23" s="5" t="s">
        <v>74</v>
      </c>
      <c r="G23" s="16" t="s">
        <v>35</v>
      </c>
      <c r="H23" s="16" t="s">
        <v>36</v>
      </c>
      <c r="I23" s="16"/>
      <c r="J23" s="16"/>
      <c r="K23" s="16"/>
      <c r="L23" s="16"/>
      <c r="M23" s="16"/>
      <c r="N23" s="16"/>
      <c r="O23" s="17" t="s">
        <v>38</v>
      </c>
      <c r="P23" s="5" t="s">
        <v>55</v>
      </c>
      <c r="Q23" s="5"/>
      <c r="R23" s="5"/>
    </row>
    <row r="24" spans="1:18" x14ac:dyDescent="0.25">
      <c r="B24" s="15" t="s">
        <v>77</v>
      </c>
      <c r="C24" s="305" t="s">
        <v>9835</v>
      </c>
      <c r="D24" s="16" t="s">
        <v>8152</v>
      </c>
      <c r="E24" s="16" t="s">
        <v>54</v>
      </c>
      <c r="F24" s="5" t="s">
        <v>74</v>
      </c>
      <c r="G24" s="16" t="s">
        <v>35</v>
      </c>
      <c r="H24" s="16" t="s">
        <v>36</v>
      </c>
      <c r="I24" s="16"/>
      <c r="J24" s="16"/>
      <c r="K24" s="16"/>
      <c r="L24" s="16"/>
      <c r="M24" s="16"/>
      <c r="N24" s="16"/>
      <c r="O24" s="17"/>
      <c r="P24" s="5" t="s">
        <v>78</v>
      </c>
      <c r="Q24" s="5"/>
      <c r="R24" s="5"/>
    </row>
    <row r="25" spans="1:18" x14ac:dyDescent="0.25">
      <c r="B25" s="5" t="s">
        <v>79</v>
      </c>
      <c r="C25" s="5" t="s">
        <v>80</v>
      </c>
      <c r="D25" s="5" t="s">
        <v>8152</v>
      </c>
      <c r="E25" s="16" t="s">
        <v>54</v>
      </c>
      <c r="F25" s="5" t="s">
        <v>74</v>
      </c>
      <c r="G25" s="5" t="s">
        <v>35</v>
      </c>
      <c r="H25" s="5" t="s">
        <v>36</v>
      </c>
      <c r="I25" s="5"/>
      <c r="J25" s="5"/>
      <c r="K25" s="5"/>
      <c r="L25" s="5"/>
      <c r="M25" s="16"/>
      <c r="N25" s="5"/>
      <c r="O25" s="7" t="s">
        <v>38</v>
      </c>
      <c r="P25" s="5" t="s">
        <v>55</v>
      </c>
      <c r="Q25" s="5"/>
      <c r="R25" s="5"/>
    </row>
    <row r="26" spans="1:18" x14ac:dyDescent="0.25">
      <c r="B26" s="12" t="s">
        <v>81</v>
      </c>
      <c r="C26" s="5" t="s">
        <v>82</v>
      </c>
      <c r="D26" s="5" t="s">
        <v>8152</v>
      </c>
      <c r="E26" s="16" t="s">
        <v>54</v>
      </c>
      <c r="F26" s="5" t="s">
        <v>74</v>
      </c>
      <c r="G26" s="5" t="s">
        <v>35</v>
      </c>
      <c r="H26" s="5" t="s">
        <v>36</v>
      </c>
      <c r="I26" s="5"/>
      <c r="J26" s="5"/>
      <c r="K26" s="5"/>
      <c r="L26" s="5"/>
      <c r="M26" s="16"/>
      <c r="N26" s="5"/>
      <c r="O26" s="7" t="s">
        <v>38</v>
      </c>
      <c r="P26" s="5" t="s">
        <v>55</v>
      </c>
      <c r="Q26" s="5"/>
      <c r="R26" s="5"/>
    </row>
    <row r="27" spans="1:18" x14ac:dyDescent="0.25">
      <c r="B27" s="12" t="s">
        <v>83</v>
      </c>
      <c r="C27" s="5" t="s">
        <v>84</v>
      </c>
      <c r="D27" s="5" t="s">
        <v>8152</v>
      </c>
      <c r="E27" s="16" t="s">
        <v>54</v>
      </c>
      <c r="F27" s="5" t="s">
        <v>74</v>
      </c>
      <c r="G27" s="5" t="s">
        <v>35</v>
      </c>
      <c r="H27" s="5" t="s">
        <v>36</v>
      </c>
      <c r="I27" s="5"/>
      <c r="J27" s="5"/>
      <c r="K27" s="5"/>
      <c r="L27" s="5"/>
      <c r="M27" s="16"/>
      <c r="N27" s="5"/>
      <c r="O27" s="7" t="s">
        <v>38</v>
      </c>
      <c r="P27" s="5" t="s">
        <v>55</v>
      </c>
      <c r="Q27" s="5"/>
      <c r="R27" s="5"/>
    </row>
    <row r="28" spans="1:18" x14ac:dyDescent="0.25">
      <c r="B28" s="12" t="s">
        <v>85</v>
      </c>
      <c r="C28" s="5" t="s">
        <v>86</v>
      </c>
      <c r="D28" s="5" t="s">
        <v>8152</v>
      </c>
      <c r="E28" s="16" t="s">
        <v>54</v>
      </c>
      <c r="F28" s="5" t="s">
        <v>74</v>
      </c>
      <c r="G28" s="5" t="s">
        <v>35</v>
      </c>
      <c r="H28" s="5" t="s">
        <v>36</v>
      </c>
      <c r="I28" s="5"/>
      <c r="J28" s="5"/>
      <c r="K28" s="5"/>
      <c r="L28" s="5"/>
      <c r="M28" s="16"/>
      <c r="N28" s="5"/>
      <c r="O28" s="7" t="s">
        <v>38</v>
      </c>
      <c r="P28" s="5" t="s">
        <v>55</v>
      </c>
      <c r="Q28" s="5"/>
      <c r="R28" s="5"/>
    </row>
    <row r="29" spans="1:18" s="306" customFormat="1" x14ac:dyDescent="0.25">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25">
      <c r="B30" s="12" t="s">
        <v>89</v>
      </c>
      <c r="C30" s="5" t="s">
        <v>90</v>
      </c>
      <c r="D30" s="5" t="s">
        <v>8152</v>
      </c>
      <c r="E30" s="16" t="s">
        <v>54</v>
      </c>
      <c r="F30" s="5" t="s">
        <v>74</v>
      </c>
      <c r="G30" s="5" t="s">
        <v>35</v>
      </c>
      <c r="H30" s="5" t="s">
        <v>36</v>
      </c>
      <c r="I30" s="5"/>
      <c r="J30" s="5"/>
      <c r="K30" s="5"/>
      <c r="L30" s="5"/>
      <c r="M30" s="16"/>
      <c r="N30" s="5"/>
      <c r="O30" s="7" t="s">
        <v>38</v>
      </c>
      <c r="P30" s="5" t="s">
        <v>55</v>
      </c>
      <c r="Q30" s="5"/>
      <c r="R30" s="5"/>
    </row>
    <row r="31" spans="1:18" x14ac:dyDescent="0.25">
      <c r="B31" s="12" t="s">
        <v>91</v>
      </c>
      <c r="C31" s="5" t="s">
        <v>92</v>
      </c>
      <c r="D31" s="5" t="s">
        <v>8152</v>
      </c>
      <c r="E31" s="16" t="s">
        <v>54</v>
      </c>
      <c r="F31" s="5" t="s">
        <v>74</v>
      </c>
      <c r="G31" s="5" t="s">
        <v>35</v>
      </c>
      <c r="H31" s="5" t="s">
        <v>36</v>
      </c>
      <c r="I31" s="5"/>
      <c r="J31" s="5"/>
      <c r="K31" s="5"/>
      <c r="L31" s="5"/>
      <c r="M31" s="16"/>
      <c r="N31" s="5"/>
      <c r="O31" s="7" t="s">
        <v>38</v>
      </c>
      <c r="P31" s="5" t="s">
        <v>55</v>
      </c>
      <c r="Q31" s="5"/>
      <c r="R31" s="5"/>
    </row>
    <row r="32" spans="1:18" x14ac:dyDescent="0.25">
      <c r="B32" s="12" t="s">
        <v>93</v>
      </c>
      <c r="C32" s="5" t="s">
        <v>94</v>
      </c>
      <c r="D32" s="5" t="s">
        <v>8152</v>
      </c>
      <c r="E32" s="16" t="s">
        <v>54</v>
      </c>
      <c r="F32" s="5" t="s">
        <v>74</v>
      </c>
      <c r="G32" s="5" t="s">
        <v>35</v>
      </c>
      <c r="H32" s="5" t="s">
        <v>36</v>
      </c>
      <c r="I32" s="5"/>
      <c r="J32" s="5"/>
      <c r="K32" s="5"/>
      <c r="L32" s="5"/>
      <c r="M32" s="16"/>
      <c r="N32" s="5"/>
      <c r="O32" s="7" t="s">
        <v>38</v>
      </c>
      <c r="P32" s="5" t="s">
        <v>55</v>
      </c>
      <c r="Q32" s="5"/>
      <c r="R32" s="5"/>
    </row>
    <row r="33" spans="1:18" x14ac:dyDescent="0.25">
      <c r="B33" s="12" t="s">
        <v>95</v>
      </c>
      <c r="C33" s="5" t="s">
        <v>96</v>
      </c>
      <c r="D33" s="5" t="s">
        <v>8152</v>
      </c>
      <c r="E33" s="16" t="s">
        <v>54</v>
      </c>
      <c r="F33" s="5" t="s">
        <v>74</v>
      </c>
      <c r="G33" s="5" t="s">
        <v>35</v>
      </c>
      <c r="H33" s="5" t="s">
        <v>36</v>
      </c>
      <c r="I33" s="5"/>
      <c r="J33" s="5"/>
      <c r="K33" s="5"/>
      <c r="L33" s="5"/>
      <c r="M33" s="16"/>
      <c r="N33" s="5"/>
      <c r="O33" s="7" t="s">
        <v>38</v>
      </c>
      <c r="P33" s="5" t="s">
        <v>55</v>
      </c>
      <c r="Q33" s="5"/>
      <c r="R33" s="5"/>
    </row>
    <row r="34" spans="1:18" x14ac:dyDescent="0.25">
      <c r="B34" s="12" t="s">
        <v>97</v>
      </c>
      <c r="C34" s="5" t="s">
        <v>98</v>
      </c>
      <c r="D34" s="5" t="s">
        <v>8152</v>
      </c>
      <c r="E34" s="16" t="s">
        <v>54</v>
      </c>
      <c r="F34" s="5" t="s">
        <v>74</v>
      </c>
      <c r="G34" s="5" t="s">
        <v>35</v>
      </c>
      <c r="H34" s="5" t="s">
        <v>36</v>
      </c>
      <c r="I34" s="5"/>
      <c r="J34" s="5"/>
      <c r="K34" s="5"/>
      <c r="L34" s="5"/>
      <c r="M34" s="16"/>
      <c r="N34" s="5"/>
      <c r="O34" s="7" t="s">
        <v>38</v>
      </c>
      <c r="P34" s="5" t="s">
        <v>55</v>
      </c>
      <c r="Q34" s="5"/>
      <c r="R34" s="5"/>
    </row>
    <row r="35" spans="1:18" x14ac:dyDescent="0.25">
      <c r="B35" s="12" t="s">
        <v>99</v>
      </c>
      <c r="C35" s="16" t="s">
        <v>8681</v>
      </c>
      <c r="D35" s="5" t="s">
        <v>29</v>
      </c>
      <c r="E35" s="16" t="s">
        <v>54</v>
      </c>
      <c r="F35" s="5" t="s">
        <v>74</v>
      </c>
      <c r="G35" s="5" t="s">
        <v>35</v>
      </c>
      <c r="H35" s="5" t="s">
        <v>36</v>
      </c>
      <c r="I35" s="5"/>
      <c r="J35" s="5"/>
      <c r="K35" s="5"/>
      <c r="L35" s="5"/>
      <c r="M35" s="5"/>
      <c r="N35" s="5"/>
      <c r="O35" s="7"/>
      <c r="P35" s="5" t="s">
        <v>100</v>
      </c>
      <c r="Q35" s="5"/>
      <c r="R35" s="5"/>
    </row>
    <row r="36" spans="1:18" x14ac:dyDescent="0.25">
      <c r="B36" s="12" t="s">
        <v>101</v>
      </c>
      <c r="C36" s="16" t="s">
        <v>8682</v>
      </c>
      <c r="D36" s="5" t="s">
        <v>29</v>
      </c>
      <c r="E36" s="5"/>
      <c r="F36" s="5"/>
      <c r="G36" s="5" t="s">
        <v>35</v>
      </c>
      <c r="H36" s="5"/>
      <c r="I36" s="5"/>
      <c r="J36" s="5"/>
      <c r="K36" s="5"/>
      <c r="L36" s="5"/>
      <c r="M36" s="5"/>
      <c r="N36" s="5"/>
      <c r="O36" s="7"/>
      <c r="P36" s="5" t="s">
        <v>102</v>
      </c>
      <c r="Q36" s="5"/>
      <c r="R36" s="5"/>
    </row>
    <row r="37" spans="1:18" x14ac:dyDescent="0.25">
      <c r="B37" s="12" t="s">
        <v>103</v>
      </c>
      <c r="C37" s="16" t="s">
        <v>8683</v>
      </c>
      <c r="D37" s="5" t="s">
        <v>29</v>
      </c>
      <c r="E37" s="5"/>
      <c r="F37" s="5"/>
      <c r="G37" s="5" t="s">
        <v>35</v>
      </c>
      <c r="H37" s="5"/>
      <c r="I37" s="5"/>
      <c r="J37" s="5"/>
      <c r="K37" s="5"/>
      <c r="L37" s="5"/>
      <c r="M37" s="5"/>
      <c r="N37" s="5"/>
      <c r="O37" s="7"/>
      <c r="P37" s="5" t="s">
        <v>104</v>
      </c>
      <c r="Q37" s="5"/>
      <c r="R37" s="5"/>
    </row>
    <row r="38" spans="1:18" x14ac:dyDescent="0.25">
      <c r="B38" s="12" t="s">
        <v>105</v>
      </c>
      <c r="C38" s="305" t="s">
        <v>9837</v>
      </c>
      <c r="D38" s="5" t="s">
        <v>29</v>
      </c>
      <c r="E38" s="5"/>
      <c r="F38" s="5"/>
      <c r="G38" s="5" t="s">
        <v>35</v>
      </c>
      <c r="H38" s="5"/>
      <c r="I38" s="5"/>
      <c r="J38" s="5"/>
      <c r="K38" s="5"/>
      <c r="L38" s="5"/>
      <c r="M38" s="5"/>
      <c r="N38" s="5"/>
      <c r="O38" s="7"/>
      <c r="P38" s="5" t="s">
        <v>106</v>
      </c>
      <c r="Q38" s="5"/>
      <c r="R38" s="5"/>
    </row>
    <row r="39" spans="1:18" s="306" customFormat="1" x14ac:dyDescent="0.25">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25">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25">
      <c r="B41" s="12" t="s">
        <v>111</v>
      </c>
      <c r="C41" s="305" t="s">
        <v>9838</v>
      </c>
      <c r="D41" s="5" t="s">
        <v>29</v>
      </c>
      <c r="E41" s="5"/>
      <c r="F41" s="5"/>
      <c r="G41" s="5" t="s">
        <v>35</v>
      </c>
      <c r="H41" s="5"/>
      <c r="I41" s="5"/>
      <c r="J41" s="5"/>
      <c r="K41" s="5"/>
      <c r="L41" s="5"/>
      <c r="M41" s="5"/>
      <c r="N41" s="5"/>
      <c r="O41" s="7"/>
      <c r="P41" s="5" t="s">
        <v>112</v>
      </c>
      <c r="Q41" s="5"/>
      <c r="R41" s="5"/>
    </row>
    <row r="42" spans="1:18" ht="40.5" x14ac:dyDescent="0.25">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0.5" x14ac:dyDescent="0.25">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25">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25">
      <c r="B45" s="12" t="s">
        <v>122</v>
      </c>
      <c r="C45" s="16" t="s">
        <v>8684</v>
      </c>
      <c r="D45" s="5" t="s">
        <v>29</v>
      </c>
      <c r="E45" s="5"/>
      <c r="F45" s="5"/>
      <c r="G45" s="5" t="s">
        <v>35</v>
      </c>
      <c r="H45" s="5"/>
      <c r="I45" s="5"/>
      <c r="J45" s="5"/>
      <c r="K45" s="5"/>
      <c r="L45" s="5"/>
      <c r="M45" s="5"/>
      <c r="N45" s="5"/>
      <c r="O45" s="7"/>
      <c r="P45" s="5" t="s">
        <v>123</v>
      </c>
      <c r="Q45" s="5"/>
      <c r="R45" s="5"/>
    </row>
    <row r="46" spans="1:18" x14ac:dyDescent="0.25">
      <c r="B46" s="12" t="s">
        <v>124</v>
      </c>
      <c r="C46" s="16" t="s">
        <v>8685</v>
      </c>
      <c r="D46" s="5" t="s">
        <v>29</v>
      </c>
      <c r="E46" s="5"/>
      <c r="F46" s="5"/>
      <c r="G46" s="5" t="s">
        <v>35</v>
      </c>
      <c r="H46" s="5"/>
      <c r="I46" s="5"/>
      <c r="J46" s="5"/>
      <c r="K46" s="5"/>
      <c r="L46" s="5"/>
      <c r="M46" s="5"/>
      <c r="N46" s="5"/>
      <c r="O46" s="7"/>
      <c r="P46" s="5" t="s">
        <v>125</v>
      </c>
      <c r="Q46" s="5"/>
      <c r="R46" s="5"/>
    </row>
    <row r="47" spans="1:18" x14ac:dyDescent="0.25">
      <c r="B47" s="12" t="s">
        <v>126</v>
      </c>
      <c r="C47" s="16" t="s">
        <v>8686</v>
      </c>
      <c r="D47" s="5" t="s">
        <v>29</v>
      </c>
      <c r="E47" s="5"/>
      <c r="F47" s="5"/>
      <c r="G47" s="5" t="s">
        <v>35</v>
      </c>
      <c r="H47" s="5"/>
      <c r="I47" s="5"/>
      <c r="J47" s="5"/>
      <c r="K47" s="5"/>
      <c r="L47" s="5"/>
      <c r="M47" s="5"/>
      <c r="N47" s="5"/>
      <c r="O47" s="7"/>
      <c r="P47" s="5" t="s">
        <v>127</v>
      </c>
      <c r="Q47" s="5"/>
      <c r="R47" s="5"/>
    </row>
    <row r="48" spans="1:18" x14ac:dyDescent="0.25">
      <c r="B48" s="12" t="s">
        <v>128</v>
      </c>
      <c r="C48" s="16" t="s">
        <v>8687</v>
      </c>
      <c r="D48" s="5" t="s">
        <v>29</v>
      </c>
      <c r="E48" s="5"/>
      <c r="F48" s="5"/>
      <c r="G48" s="5" t="s">
        <v>35</v>
      </c>
      <c r="H48" s="5"/>
      <c r="I48" s="5"/>
      <c r="J48" s="5"/>
      <c r="K48" s="5"/>
      <c r="L48" s="5"/>
      <c r="M48" s="5"/>
      <c r="N48" s="5"/>
      <c r="O48" s="7"/>
      <c r="P48" s="5" t="s">
        <v>129</v>
      </c>
      <c r="Q48" s="5"/>
      <c r="R48" s="5"/>
    </row>
    <row r="49" spans="1:18" x14ac:dyDescent="0.25">
      <c r="B49" s="12" t="s">
        <v>130</v>
      </c>
      <c r="C49" s="16" t="s">
        <v>8688</v>
      </c>
      <c r="D49" s="5" t="s">
        <v>29</v>
      </c>
      <c r="E49" s="5"/>
      <c r="F49" s="5"/>
      <c r="G49" s="5" t="s">
        <v>35</v>
      </c>
      <c r="H49" s="5"/>
      <c r="I49" s="5"/>
      <c r="J49" s="5"/>
      <c r="K49" s="5"/>
      <c r="L49" s="5"/>
      <c r="M49" s="5"/>
      <c r="N49" s="5"/>
      <c r="O49" s="7"/>
      <c r="P49" s="5" t="s">
        <v>131</v>
      </c>
      <c r="Q49" s="5"/>
      <c r="R49" s="5"/>
    </row>
    <row r="50" spans="1:18" x14ac:dyDescent="0.25">
      <c r="B50" s="12" t="s">
        <v>132</v>
      </c>
      <c r="C50" s="16" t="s">
        <v>8689</v>
      </c>
      <c r="D50" s="5" t="s">
        <v>29</v>
      </c>
      <c r="E50" s="5"/>
      <c r="F50" s="5"/>
      <c r="G50" s="5" t="s">
        <v>35</v>
      </c>
      <c r="H50" s="5"/>
      <c r="I50" s="5"/>
      <c r="J50" s="5"/>
      <c r="K50" s="5"/>
      <c r="L50" s="5"/>
      <c r="M50" s="5"/>
      <c r="N50" s="5"/>
      <c r="O50" s="7"/>
      <c r="P50" s="5" t="s">
        <v>133</v>
      </c>
      <c r="Q50" s="5"/>
      <c r="R50" s="5"/>
    </row>
    <row r="51" spans="1:18" x14ac:dyDescent="0.25">
      <c r="B51" s="12" t="s">
        <v>134</v>
      </c>
      <c r="C51" s="16" t="s">
        <v>8691</v>
      </c>
      <c r="D51" s="5" t="s">
        <v>29</v>
      </c>
      <c r="E51" s="5"/>
      <c r="F51" s="5"/>
      <c r="G51" s="5" t="s">
        <v>35</v>
      </c>
      <c r="H51" s="5"/>
      <c r="I51" s="5"/>
      <c r="J51" s="5"/>
      <c r="K51" s="5"/>
      <c r="L51" s="5"/>
      <c r="M51" s="5"/>
      <c r="N51" s="5"/>
      <c r="O51" s="7"/>
      <c r="P51" s="5" t="s">
        <v>135</v>
      </c>
      <c r="Q51" s="5"/>
      <c r="R51" s="5"/>
    </row>
    <row r="52" spans="1:18" x14ac:dyDescent="0.25">
      <c r="B52" s="12" t="s">
        <v>136</v>
      </c>
      <c r="C52" s="16" t="s">
        <v>8690</v>
      </c>
      <c r="D52" s="5" t="s">
        <v>29</v>
      </c>
      <c r="E52" s="5"/>
      <c r="F52" s="5"/>
      <c r="G52" s="5" t="s">
        <v>35</v>
      </c>
      <c r="H52" s="5"/>
      <c r="I52" s="5"/>
      <c r="J52" s="5"/>
      <c r="K52" s="5"/>
      <c r="L52" s="5"/>
      <c r="M52" s="5"/>
      <c r="N52" s="5"/>
      <c r="O52" s="7"/>
      <c r="P52" s="5" t="s">
        <v>137</v>
      </c>
      <c r="Q52" s="5"/>
      <c r="R52" s="5"/>
    </row>
    <row r="53" spans="1:18" x14ac:dyDescent="0.25">
      <c r="B53" s="12" t="s">
        <v>138</v>
      </c>
      <c r="C53" s="16" t="s">
        <v>8692</v>
      </c>
      <c r="D53" s="5" t="s">
        <v>29</v>
      </c>
      <c r="E53" s="5"/>
      <c r="F53" s="5"/>
      <c r="G53" s="5" t="s">
        <v>35</v>
      </c>
      <c r="H53" s="5"/>
      <c r="I53" s="5"/>
      <c r="J53" s="5"/>
      <c r="K53" s="5"/>
      <c r="L53" s="5"/>
      <c r="M53" s="5"/>
      <c r="N53" s="5"/>
      <c r="O53" s="7"/>
      <c r="P53" s="5" t="s">
        <v>139</v>
      </c>
      <c r="Q53" s="5"/>
      <c r="R53" s="5"/>
    </row>
    <row r="54" spans="1:18" x14ac:dyDescent="0.25">
      <c r="B54" s="12" t="s">
        <v>140</v>
      </c>
      <c r="C54" s="16" t="s">
        <v>8693</v>
      </c>
      <c r="D54" s="5" t="s">
        <v>29</v>
      </c>
      <c r="E54" s="5"/>
      <c r="F54" s="5"/>
      <c r="G54" s="5" t="s">
        <v>35</v>
      </c>
      <c r="H54" s="5"/>
      <c r="I54" s="5"/>
      <c r="J54" s="5"/>
      <c r="K54" s="5"/>
      <c r="L54" s="5"/>
      <c r="M54" s="5"/>
      <c r="N54" s="5"/>
      <c r="O54" s="7"/>
      <c r="P54" s="5" t="s">
        <v>141</v>
      </c>
      <c r="Q54" s="5"/>
      <c r="R54" s="5"/>
    </row>
    <row r="55" spans="1:18" x14ac:dyDescent="0.25">
      <c r="B55" s="12" t="s">
        <v>142</v>
      </c>
      <c r="C55" s="16" t="s">
        <v>8694</v>
      </c>
      <c r="D55" s="5" t="s">
        <v>29</v>
      </c>
      <c r="E55" s="5"/>
      <c r="F55" s="5"/>
      <c r="G55" s="5" t="s">
        <v>35</v>
      </c>
      <c r="H55" s="5"/>
      <c r="I55" s="5"/>
      <c r="J55" s="5"/>
      <c r="K55" s="5"/>
      <c r="L55" s="5"/>
      <c r="M55" s="5"/>
      <c r="N55" s="5"/>
      <c r="O55" s="7"/>
      <c r="P55" s="5" t="s">
        <v>143</v>
      </c>
      <c r="Q55" s="5"/>
      <c r="R55" s="5"/>
    </row>
    <row r="56" spans="1:18" x14ac:dyDescent="0.25">
      <c r="B56" s="12" t="s">
        <v>144</v>
      </c>
      <c r="C56" s="16" t="s">
        <v>8695</v>
      </c>
      <c r="D56" s="5" t="s">
        <v>29</v>
      </c>
      <c r="E56" s="5"/>
      <c r="F56" s="5"/>
      <c r="G56" s="5" t="s">
        <v>35</v>
      </c>
      <c r="H56" s="5"/>
      <c r="I56" s="5"/>
      <c r="J56" s="5"/>
      <c r="K56" s="5"/>
      <c r="L56" s="5"/>
      <c r="M56" s="5"/>
      <c r="N56" s="5"/>
      <c r="O56" s="7"/>
      <c r="P56" s="5" t="s">
        <v>145</v>
      </c>
      <c r="Q56" s="5"/>
      <c r="R56" s="5"/>
    </row>
    <row r="57" spans="1:18" s="306" customFormat="1" x14ac:dyDescent="0.25">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25">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4" x14ac:dyDescent="0.2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x14ac:dyDescent="0.2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25">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25">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25">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25">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25">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25">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25">
      <c r="A67" s="71"/>
      <c r="B67" s="293" t="s">
        <v>175</v>
      </c>
      <c r="C67" s="40" t="s">
        <v>8696</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25">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25">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25">
      <c r="A70" s="71"/>
      <c r="B70" s="293" t="s">
        <v>179</v>
      </c>
      <c r="C70" s="40" t="s">
        <v>8697</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25">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25">
      <c r="A72" s="71"/>
      <c r="B72" s="293" t="s">
        <v>181</v>
      </c>
      <c r="C72" s="40" t="s">
        <v>8698</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25">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25">
      <c r="A74" s="71"/>
      <c r="B74" s="293" t="s">
        <v>185</v>
      </c>
      <c r="C74" s="40" t="s">
        <v>8699</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25">
      <c r="A75" s="71"/>
      <c r="B75" s="293" t="s">
        <v>186</v>
      </c>
      <c r="C75" s="40" t="s">
        <v>3048</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25">
      <c r="A76" s="71"/>
      <c r="B76" s="293" t="s">
        <v>187</v>
      </c>
      <c r="C76" s="40" t="s">
        <v>3050</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25">
      <c r="A77" s="71"/>
      <c r="B77" s="293" t="s">
        <v>188</v>
      </c>
      <c r="C77" s="40" t="s">
        <v>8700</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25">
      <c r="A78" s="71"/>
      <c r="B78" s="293" t="s">
        <v>189</v>
      </c>
      <c r="C78" s="40" t="s">
        <v>8701</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25">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25">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25">
      <c r="A81" s="71"/>
      <c r="B81" s="293" t="s">
        <v>192</v>
      </c>
      <c r="C81" s="40" t="s">
        <v>8702</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25">
      <c r="A82" s="71"/>
      <c r="B82" s="293" t="s">
        <v>193</v>
      </c>
      <c r="C82" s="40" t="s">
        <v>8703</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25">
      <c r="A83" s="71"/>
      <c r="B83" s="293" t="s">
        <v>194</v>
      </c>
      <c r="C83" s="40" t="s">
        <v>8704</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25">
      <c r="A84" s="71"/>
      <c r="B84" s="293" t="s">
        <v>195</v>
      </c>
      <c r="C84" s="40" t="s">
        <v>8705</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25">
      <c r="A85" s="71"/>
      <c r="B85" s="293" t="s">
        <v>196</v>
      </c>
      <c r="C85" s="40" t="s">
        <v>8706</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25">
      <c r="A86" s="71"/>
      <c r="B86" s="293" t="s">
        <v>197</v>
      </c>
      <c r="C86" s="40" t="s">
        <v>8707</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25">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25">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25">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25">
      <c r="A90" s="71"/>
      <c r="B90" s="293" t="s">
        <v>203</v>
      </c>
      <c r="C90" s="40" t="s">
        <v>8708</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25">
      <c r="A91" s="71"/>
      <c r="B91" s="293" t="s">
        <v>204</v>
      </c>
      <c r="C91" s="40" t="s">
        <v>8709</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25">
      <c r="A92" s="71"/>
      <c r="B92" s="293" t="s">
        <v>205</v>
      </c>
      <c r="C92" s="40" t="s">
        <v>8710</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25">
      <c r="A93" s="71"/>
      <c r="B93" s="293" t="s">
        <v>206</v>
      </c>
      <c r="C93" s="40" t="s">
        <v>8711</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25">
      <c r="A94" s="71"/>
      <c r="B94" s="293" t="s">
        <v>207</v>
      </c>
      <c r="C94" s="40" t="s">
        <v>9657</v>
      </c>
      <c r="D94" s="40" t="s">
        <v>29</v>
      </c>
      <c r="E94" s="40"/>
      <c r="F94" s="40"/>
      <c r="G94" s="40" t="s">
        <v>35</v>
      </c>
      <c r="H94" s="40"/>
      <c r="I94" s="40"/>
      <c r="J94" s="40"/>
      <c r="K94" s="40" t="s">
        <v>9658</v>
      </c>
      <c r="L94" s="40"/>
      <c r="M94" s="40"/>
      <c r="N94" s="40"/>
      <c r="O94" s="294"/>
      <c r="P94" s="40" t="str">
        <f t="shared" si="1"/>
        <v>Truncate table BJR411;</v>
      </c>
      <c r="Q94" s="40"/>
      <c r="R94" s="40"/>
    </row>
    <row r="95" spans="1:18" s="292" customFormat="1" x14ac:dyDescent="0.25">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25">
      <c r="B96" s="12" t="s">
        <v>211</v>
      </c>
      <c r="C96" s="16" t="s">
        <v>8712</v>
      </c>
      <c r="D96" s="5" t="s">
        <v>29</v>
      </c>
      <c r="E96" s="5"/>
      <c r="F96" s="5" t="s">
        <v>166</v>
      </c>
      <c r="G96" s="5" t="s">
        <v>35</v>
      </c>
      <c r="H96" s="5"/>
      <c r="I96" s="5"/>
      <c r="J96" s="5"/>
      <c r="K96" s="5"/>
      <c r="L96" s="5"/>
      <c r="M96" s="5"/>
      <c r="N96" s="5"/>
      <c r="O96" s="7"/>
      <c r="P96" s="5" t="str">
        <f t="shared" si="1"/>
        <v>Truncate table BJX001;</v>
      </c>
      <c r="Q96" s="5"/>
      <c r="R96" s="5"/>
    </row>
    <row r="97" spans="1:18" x14ac:dyDescent="0.25">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25">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25">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25">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25">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25">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25">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25">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25">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25">
      <c r="A106" s="71"/>
      <c r="B106" s="293" t="s">
        <v>232</v>
      </c>
      <c r="C106" s="40" t="s">
        <v>8713</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25">
      <c r="A107" s="71"/>
      <c r="B107" s="293" t="s">
        <v>233</v>
      </c>
      <c r="C107" s="40" t="s">
        <v>234</v>
      </c>
      <c r="D107" s="40" t="s">
        <v>8152</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25">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25">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25">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25">
      <c r="A111" s="71"/>
      <c r="B111" s="293" t="s">
        <v>244</v>
      </c>
      <c r="C111" s="40" t="s">
        <v>8714</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25">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25">
      <c r="A113" s="71"/>
      <c r="B113" s="293" t="s">
        <v>246</v>
      </c>
      <c r="C113" s="40" t="s">
        <v>8715</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25">
      <c r="A114" s="71"/>
      <c r="B114" s="293" t="s">
        <v>247</v>
      </c>
      <c r="C114" s="40" t="s">
        <v>8716</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x14ac:dyDescent="0.2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25">
      <c r="A116" s="71"/>
      <c r="B116" s="293" t="s">
        <v>250</v>
      </c>
      <c r="C116" s="40" t="s">
        <v>8717</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25">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25">
      <c r="A118" s="71"/>
      <c r="B118" s="293" t="s">
        <v>253</v>
      </c>
      <c r="C118" s="40" t="s">
        <v>3638</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25">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25">
      <c r="A120" s="71"/>
      <c r="B120" s="293" t="s">
        <v>255</v>
      </c>
      <c r="C120" s="40" t="s">
        <v>8718</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25">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25">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25">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25">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25">
      <c r="A125" s="71"/>
      <c r="B125" s="293" t="s">
        <v>261</v>
      </c>
      <c r="C125" s="40" t="s">
        <v>8719</v>
      </c>
      <c r="D125" s="40" t="s">
        <v>29</v>
      </c>
      <c r="E125" s="40" t="s">
        <v>151</v>
      </c>
      <c r="F125" s="40" t="s">
        <v>8215</v>
      </c>
      <c r="G125" s="40" t="s">
        <v>35</v>
      </c>
      <c r="H125" s="40"/>
      <c r="I125" s="40"/>
      <c r="J125" s="40"/>
      <c r="K125" s="40" t="s">
        <v>9651</v>
      </c>
      <c r="L125" s="40"/>
      <c r="M125" s="40"/>
      <c r="N125" s="40"/>
      <c r="O125" s="294"/>
      <c r="P125" s="40" t="str">
        <f t="shared" si="2"/>
        <v>Truncate table BNJ040;</v>
      </c>
      <c r="Q125" s="40"/>
      <c r="R125" s="40"/>
    </row>
    <row r="126" spans="1:18" s="292" customFormat="1" x14ac:dyDescent="0.25">
      <c r="A126" s="71"/>
      <c r="B126" s="293" t="s">
        <v>262</v>
      </c>
      <c r="C126" s="40" t="s">
        <v>8720</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25">
      <c r="A127" s="71"/>
      <c r="B127" s="293" t="s">
        <v>263</v>
      </c>
      <c r="C127" s="40" t="s">
        <v>8721</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25">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25">
      <c r="A129" s="71"/>
      <c r="B129" s="293" t="s">
        <v>265</v>
      </c>
      <c r="C129" s="40" t="s">
        <v>8722</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25">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25">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25">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25">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25">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25">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25">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25">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25">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25">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25">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25">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25">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25">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25">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25">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25">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25">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25">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25">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25">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25">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25">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x14ac:dyDescent="0.2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x14ac:dyDescent="0.2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25">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25">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25">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25">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25">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25">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25">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25">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25">
      <c r="A163" s="71"/>
      <c r="B163" s="293" t="s">
        <v>308</v>
      </c>
      <c r="C163" s="40" t="s">
        <v>8723</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25">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25">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25">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25">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25">
      <c r="A168" s="71"/>
      <c r="B168" s="293" t="s">
        <v>316</v>
      </c>
      <c r="C168" s="40" t="s">
        <v>8724</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25">
      <c r="A169" s="71"/>
      <c r="B169" s="293" t="s">
        <v>317</v>
      </c>
      <c r="C169" s="40" t="s">
        <v>8725</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25">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25">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25">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25">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25">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25">
      <c r="A175" s="71"/>
      <c r="B175" s="293" t="s">
        <v>323</v>
      </c>
      <c r="C175" s="40" t="s">
        <v>324</v>
      </c>
      <c r="D175" s="40" t="s">
        <v>8152</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25">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25">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25">
      <c r="A178" s="71"/>
      <c r="B178" s="293" t="s">
        <v>328</v>
      </c>
      <c r="C178" s="40" t="s">
        <v>8726</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25">
      <c r="A179" s="71"/>
      <c r="B179" s="293" t="s">
        <v>329</v>
      </c>
      <c r="C179" s="383" t="s">
        <v>9840</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25">
      <c r="A180" s="71"/>
      <c r="B180" s="293" t="s">
        <v>330</v>
      </c>
      <c r="C180" s="40" t="s">
        <v>8727</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25">
      <c r="A181" s="71"/>
      <c r="B181" s="293" t="s">
        <v>331</v>
      </c>
      <c r="C181" s="40" t="s">
        <v>8728</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25">
      <c r="A182" s="71"/>
      <c r="B182" s="293" t="s">
        <v>332</v>
      </c>
      <c r="C182" s="40" t="s">
        <v>8729</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25">
      <c r="A183" s="71"/>
      <c r="B183" s="293" t="s">
        <v>333</v>
      </c>
      <c r="C183" s="40" t="s">
        <v>8730</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25">
      <c r="A184" s="71"/>
      <c r="B184" s="293" t="s">
        <v>334</v>
      </c>
      <c r="C184" s="40" t="s">
        <v>8731</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25">
      <c r="A185" s="71"/>
      <c r="B185" s="293" t="s">
        <v>335</v>
      </c>
      <c r="C185" s="383" t="s">
        <v>9841</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25">
      <c r="A186" s="71"/>
      <c r="B186" s="293" t="s">
        <v>336</v>
      </c>
      <c r="C186" s="340" t="s">
        <v>9842</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25">
      <c r="A187" s="71"/>
      <c r="B187" s="293" t="s">
        <v>337</v>
      </c>
      <c r="C187" s="340" t="s">
        <v>9843</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25">
      <c r="A188" s="71"/>
      <c r="B188" s="293" t="s">
        <v>338</v>
      </c>
      <c r="C188" s="340" t="s">
        <v>9844</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25">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25">
      <c r="B190" s="19" t="s">
        <v>340</v>
      </c>
      <c r="C190" s="16" t="s">
        <v>8732</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25">
      <c r="B191" s="19" t="s">
        <v>341</v>
      </c>
      <c r="C191" s="16" t="s">
        <v>8733</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25">
      <c r="B192" s="19" t="s">
        <v>342</v>
      </c>
      <c r="C192" s="16" t="s">
        <v>8734</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25">
      <c r="B193" s="19" t="s">
        <v>343</v>
      </c>
      <c r="C193" s="16" t="s">
        <v>8735</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25">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25">
      <c r="B195" s="19" t="s">
        <v>345</v>
      </c>
      <c r="C195" s="16" t="s">
        <v>8736</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25">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25">
      <c r="B197" s="19" t="s">
        <v>347</v>
      </c>
      <c r="C197" s="16" t="s">
        <v>8737</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25">
      <c r="B198" s="19" t="s">
        <v>348</v>
      </c>
      <c r="C198" s="16" t="s">
        <v>2910</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25">
      <c r="B199" s="19" t="s">
        <v>349</v>
      </c>
      <c r="C199" s="16" t="s">
        <v>8738</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25">
      <c r="B200" s="19" t="s">
        <v>350</v>
      </c>
      <c r="C200" s="16" t="s">
        <v>8739</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25">
      <c r="B201" s="19" t="s">
        <v>351</v>
      </c>
      <c r="C201" s="16" t="s">
        <v>8740</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25">
      <c r="B202" s="19" t="s">
        <v>352</v>
      </c>
      <c r="C202" s="16" t="s">
        <v>8741</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25">
      <c r="B203" s="19" t="s">
        <v>353</v>
      </c>
      <c r="C203" s="16" t="s">
        <v>8742</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25">
      <c r="B204" s="19" t="s">
        <v>354</v>
      </c>
      <c r="C204" s="16" t="s">
        <v>8743</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25">
      <c r="B205" s="19" t="s">
        <v>355</v>
      </c>
      <c r="C205" s="16" t="s">
        <v>8744</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25">
      <c r="B206" s="19" t="s">
        <v>356</v>
      </c>
      <c r="C206" s="16" t="s">
        <v>8745</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25">
      <c r="B207" s="19" t="s">
        <v>357</v>
      </c>
      <c r="C207" s="16" t="s">
        <v>8746</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25">
      <c r="B208" s="19" t="s">
        <v>358</v>
      </c>
      <c r="C208" s="305" t="s">
        <v>9845</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25">
      <c r="B209" s="19" t="s">
        <v>359</v>
      </c>
      <c r="C209" s="16" t="s">
        <v>8747</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25">
      <c r="B210" s="19" t="s">
        <v>360</v>
      </c>
      <c r="C210" s="16" t="s">
        <v>8748</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25">
      <c r="B211" s="19" t="s">
        <v>361</v>
      </c>
      <c r="C211" s="16" t="s">
        <v>8749</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25">
      <c r="B212" s="19" t="s">
        <v>362</v>
      </c>
      <c r="C212" s="16" t="s">
        <v>8750</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25">
      <c r="B213" s="19" t="s">
        <v>363</v>
      </c>
      <c r="C213" s="16" t="s">
        <v>8751</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25">
      <c r="B214" s="19" t="s">
        <v>364</v>
      </c>
      <c r="C214" s="16" t="s">
        <v>8752</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25">
      <c r="B215" s="19" t="s">
        <v>365</v>
      </c>
      <c r="C215" s="16" t="s">
        <v>8753</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25">
      <c r="B216" s="19" t="s">
        <v>366</v>
      </c>
      <c r="C216" s="16" t="s">
        <v>8754</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25">
      <c r="B217" s="19" t="s">
        <v>367</v>
      </c>
      <c r="C217" s="16" t="s">
        <v>8755</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25">
      <c r="B218" s="19" t="s">
        <v>368</v>
      </c>
      <c r="C218" s="16" t="s">
        <v>8756</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25">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25">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25">
      <c r="B221" s="19" t="s">
        <v>371</v>
      </c>
      <c r="C221" s="16" t="s">
        <v>8757</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25">
      <c r="B222" s="19" t="s">
        <v>372</v>
      </c>
      <c r="C222" s="16" t="s">
        <v>8758</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25">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25">
      <c r="B224" s="19" t="s">
        <v>374</v>
      </c>
      <c r="C224" s="16" t="s">
        <v>8759</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25">
      <c r="B225" s="19" t="s">
        <v>375</v>
      </c>
      <c r="C225" s="16" t="s">
        <v>8760</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25">
      <c r="B226" s="19" t="s">
        <v>376</v>
      </c>
      <c r="C226" s="16" t="s">
        <v>8761</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25">
      <c r="B227" s="19" t="s">
        <v>377</v>
      </c>
      <c r="C227" s="16" t="s">
        <v>8762</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25">
      <c r="B228" s="19" t="s">
        <v>378</v>
      </c>
      <c r="C228" s="16" t="s">
        <v>9846</v>
      </c>
      <c r="D228" s="16" t="s">
        <v>29</v>
      </c>
      <c r="E228" s="16"/>
      <c r="F228" s="5"/>
      <c r="G228" s="16" t="s">
        <v>35</v>
      </c>
      <c r="H228" s="16"/>
      <c r="I228" s="16"/>
      <c r="J228" s="16"/>
      <c r="K228" s="16"/>
      <c r="L228" s="16"/>
      <c r="M228" s="16"/>
      <c r="N228" s="16"/>
      <c r="O228" s="17"/>
      <c r="P228" s="5" t="str">
        <f t="shared" si="5"/>
        <v>Truncate table BT_CLIENTE;</v>
      </c>
      <c r="Q228" s="5"/>
      <c r="R228" s="5"/>
    </row>
    <row r="229" spans="1:18" ht="27" x14ac:dyDescent="0.25">
      <c r="B229" s="19" t="s">
        <v>379</v>
      </c>
      <c r="C229" s="16" t="s">
        <v>9847</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25">
      <c r="B230" s="19" t="s">
        <v>380</v>
      </c>
      <c r="C230" s="16" t="s">
        <v>9848</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 x14ac:dyDescent="0.25">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25">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 x14ac:dyDescent="0.25">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5" customHeight="1" x14ac:dyDescent="0.25">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25">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25">
      <c r="B236" s="19" t="s">
        <v>389</v>
      </c>
      <c r="C236" s="16" t="s">
        <v>8763</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25">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7.5" x14ac:dyDescent="0.25">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7.5" x14ac:dyDescent="0.25">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0.5" x14ac:dyDescent="0.25">
      <c r="B240" s="4" t="s">
        <v>401</v>
      </c>
      <c r="C240" s="5" t="s">
        <v>402</v>
      </c>
      <c r="D240" s="5" t="s">
        <v>8152</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25">
      <c r="B241" s="12" t="s">
        <v>405</v>
      </c>
      <c r="C241" s="5" t="s">
        <v>406</v>
      </c>
      <c r="D241" s="5" t="s">
        <v>8152</v>
      </c>
      <c r="E241" s="5" t="s">
        <v>54</v>
      </c>
      <c r="F241" s="5" t="s">
        <v>53</v>
      </c>
      <c r="G241" s="5" t="s">
        <v>35</v>
      </c>
      <c r="H241" s="5" t="s">
        <v>36</v>
      </c>
      <c r="I241" s="5"/>
      <c r="J241" s="5"/>
      <c r="K241" s="5"/>
      <c r="L241" s="5" t="s">
        <v>396</v>
      </c>
      <c r="M241" s="5"/>
      <c r="N241" s="5"/>
      <c r="O241" s="7" t="s">
        <v>38</v>
      </c>
      <c r="P241" s="5" t="str">
        <f t="shared" si="6"/>
        <v/>
      </c>
      <c r="Q241" s="5"/>
      <c r="R241" s="5"/>
    </row>
    <row r="242" spans="2:18" x14ac:dyDescent="0.25">
      <c r="B242" s="12" t="s">
        <v>407</v>
      </c>
      <c r="C242" s="13" t="s">
        <v>408</v>
      </c>
      <c r="D242" s="5" t="s">
        <v>8152</v>
      </c>
      <c r="E242" s="5" t="s">
        <v>54</v>
      </c>
      <c r="F242" s="5" t="s">
        <v>53</v>
      </c>
      <c r="G242" s="5" t="s">
        <v>35</v>
      </c>
      <c r="H242" s="5" t="s">
        <v>36</v>
      </c>
      <c r="I242" s="5"/>
      <c r="J242" s="5"/>
      <c r="K242" s="5"/>
      <c r="L242" s="5" t="s">
        <v>396</v>
      </c>
      <c r="M242" s="5"/>
      <c r="N242" s="5"/>
      <c r="O242" s="7" t="s">
        <v>38</v>
      </c>
      <c r="P242" s="5" t="str">
        <f t="shared" si="6"/>
        <v/>
      </c>
      <c r="Q242" s="5"/>
      <c r="R242" s="5"/>
    </row>
    <row r="243" spans="2:18" ht="40.5" x14ac:dyDescent="0.25">
      <c r="B243" s="4" t="s">
        <v>409</v>
      </c>
      <c r="C243" s="5" t="s">
        <v>410</v>
      </c>
      <c r="D243" s="5" t="s">
        <v>8152</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25">
      <c r="B244" s="12" t="s">
        <v>413</v>
      </c>
      <c r="C244" s="13" t="s">
        <v>414</v>
      </c>
      <c r="D244" s="5" t="s">
        <v>8152</v>
      </c>
      <c r="E244" s="5" t="s">
        <v>54</v>
      </c>
      <c r="F244" s="5" t="s">
        <v>53</v>
      </c>
      <c r="G244" s="5" t="s">
        <v>35</v>
      </c>
      <c r="H244" s="5" t="s">
        <v>36</v>
      </c>
      <c r="I244" s="5"/>
      <c r="J244" s="5"/>
      <c r="K244" s="5"/>
      <c r="L244" s="5" t="s">
        <v>396</v>
      </c>
      <c r="M244" s="5"/>
      <c r="N244" s="5"/>
      <c r="O244" s="7" t="s">
        <v>38</v>
      </c>
      <c r="P244" s="5" t="str">
        <f t="shared" si="6"/>
        <v/>
      </c>
      <c r="Q244" s="5"/>
      <c r="R244" s="5"/>
    </row>
    <row r="245" spans="2:18" ht="40.5" x14ac:dyDescent="0.25">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25">
      <c r="B246" s="12" t="s">
        <v>419</v>
      </c>
      <c r="C246" s="5" t="s">
        <v>420</v>
      </c>
      <c r="D246" s="5" t="s">
        <v>8152</v>
      </c>
      <c r="E246" s="5" t="s">
        <v>54</v>
      </c>
      <c r="F246" s="5" t="s">
        <v>53</v>
      </c>
      <c r="G246" s="5" t="s">
        <v>35</v>
      </c>
      <c r="H246" s="5" t="s">
        <v>36</v>
      </c>
      <c r="I246" s="5"/>
      <c r="J246" s="5"/>
      <c r="K246" s="5"/>
      <c r="L246" s="5" t="s">
        <v>396</v>
      </c>
      <c r="M246" s="5"/>
      <c r="N246" s="5"/>
      <c r="O246" s="7" t="s">
        <v>38</v>
      </c>
      <c r="P246" s="5" t="str">
        <f t="shared" si="6"/>
        <v/>
      </c>
      <c r="Q246" s="5"/>
      <c r="R246" s="5"/>
    </row>
    <row r="247" spans="2:18" ht="40.5" x14ac:dyDescent="0.25">
      <c r="B247" s="4" t="s">
        <v>421</v>
      </c>
      <c r="C247" s="5" t="s">
        <v>422</v>
      </c>
      <c r="D247" s="5" t="s">
        <v>8152</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25">
      <c r="B248" s="19" t="s">
        <v>425</v>
      </c>
      <c r="C248" s="16" t="s">
        <v>426</v>
      </c>
      <c r="D248" s="16" t="s">
        <v>8152</v>
      </c>
      <c r="E248" s="16" t="s">
        <v>428</v>
      </c>
      <c r="F248" s="5" t="s">
        <v>427</v>
      </c>
      <c r="G248" s="16" t="s">
        <v>35</v>
      </c>
      <c r="H248" s="16" t="s">
        <v>36</v>
      </c>
      <c r="I248" s="16"/>
      <c r="J248" s="16"/>
      <c r="K248" s="16"/>
      <c r="L248" s="16"/>
      <c r="M248" s="16"/>
      <c r="N248" s="16"/>
      <c r="O248" s="7" t="s">
        <v>38</v>
      </c>
      <c r="P248" s="5" t="str">
        <f t="shared" si="6"/>
        <v/>
      </c>
      <c r="Q248" s="5"/>
      <c r="R248" s="5"/>
    </row>
    <row r="249" spans="2:18" x14ac:dyDescent="0.25">
      <c r="B249" s="19" t="s">
        <v>429</v>
      </c>
      <c r="C249" s="16" t="s">
        <v>430</v>
      </c>
      <c r="D249" s="16" t="s">
        <v>8152</v>
      </c>
      <c r="E249" s="16" t="s">
        <v>428</v>
      </c>
      <c r="F249" s="5" t="s">
        <v>427</v>
      </c>
      <c r="G249" s="16" t="s">
        <v>35</v>
      </c>
      <c r="H249" s="16" t="s">
        <v>36</v>
      </c>
      <c r="I249" s="16"/>
      <c r="J249" s="16"/>
      <c r="K249" s="16"/>
      <c r="L249" s="16"/>
      <c r="M249" s="16"/>
      <c r="N249" s="16"/>
      <c r="O249" s="17"/>
      <c r="P249" s="5" t="str">
        <f t="shared" si="6"/>
        <v/>
      </c>
      <c r="Q249" s="5"/>
      <c r="R249" s="5"/>
    </row>
    <row r="250" spans="2:18" ht="67.5" x14ac:dyDescent="0.2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25">
      <c r="B251" s="19" t="s">
        <v>437</v>
      </c>
      <c r="C251" s="16" t="s">
        <v>438</v>
      </c>
      <c r="D251" s="16" t="s">
        <v>29</v>
      </c>
      <c r="E251" s="16" t="s">
        <v>428</v>
      </c>
      <c r="F251" s="5" t="s">
        <v>427</v>
      </c>
      <c r="G251" s="16" t="s">
        <v>35</v>
      </c>
      <c r="H251" s="16" t="s">
        <v>36</v>
      </c>
      <c r="I251" s="16"/>
      <c r="J251" s="16"/>
      <c r="K251" s="16"/>
      <c r="L251" s="16"/>
      <c r="M251" s="16"/>
      <c r="N251" s="16"/>
      <c r="O251" s="17"/>
      <c r="P251" s="5" t="str">
        <f t="shared" si="6"/>
        <v>Truncate table BTI003;</v>
      </c>
      <c r="Q251" s="5"/>
      <c r="R251" s="5"/>
    </row>
    <row r="252" spans="2:18" x14ac:dyDescent="0.25">
      <c r="B252" s="19" t="s">
        <v>439</v>
      </c>
      <c r="C252" s="378" t="s">
        <v>9849</v>
      </c>
      <c r="D252" s="16" t="s">
        <v>8152</v>
      </c>
      <c r="E252" s="16" t="s">
        <v>428</v>
      </c>
      <c r="F252" s="5" t="s">
        <v>427</v>
      </c>
      <c r="G252" s="16" t="s">
        <v>35</v>
      </c>
      <c r="H252" s="16" t="s">
        <v>36</v>
      </c>
      <c r="I252" s="16"/>
      <c r="J252" s="16"/>
      <c r="K252" s="16"/>
      <c r="L252" s="16"/>
      <c r="M252" s="16"/>
      <c r="N252" s="16"/>
      <c r="O252" s="7" t="s">
        <v>38</v>
      </c>
      <c r="P252" s="5" t="str">
        <f t="shared" si="6"/>
        <v/>
      </c>
      <c r="Q252" s="5"/>
      <c r="R252" s="5"/>
    </row>
    <row r="253" spans="2:18" x14ac:dyDescent="0.25">
      <c r="B253" s="19" t="s">
        <v>440</v>
      </c>
      <c r="C253" s="16" t="s">
        <v>441</v>
      </c>
      <c r="D253" s="16" t="s">
        <v>29</v>
      </c>
      <c r="E253" s="16" t="s">
        <v>428</v>
      </c>
      <c r="F253" s="5" t="s">
        <v>427</v>
      </c>
      <c r="G253" s="16" t="s">
        <v>35</v>
      </c>
      <c r="H253" s="16" t="s">
        <v>36</v>
      </c>
      <c r="I253" s="16"/>
      <c r="J253" s="16"/>
      <c r="K253" s="16"/>
      <c r="L253" s="16"/>
      <c r="M253" s="16"/>
      <c r="N253" s="16"/>
      <c r="O253" s="17"/>
      <c r="P253" s="5" t="str">
        <f t="shared" si="6"/>
        <v>Truncate table BTI005;</v>
      </c>
      <c r="Q253" s="5"/>
      <c r="R253" s="5"/>
    </row>
    <row r="254" spans="2:18" x14ac:dyDescent="0.25">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25">
      <c r="B255" s="19" t="s">
        <v>444</v>
      </c>
      <c r="C255" s="16" t="s">
        <v>445</v>
      </c>
      <c r="D255" s="16" t="s">
        <v>8152</v>
      </c>
      <c r="E255" s="16" t="s">
        <v>428</v>
      </c>
      <c r="F255" s="5" t="s">
        <v>427</v>
      </c>
      <c r="G255" s="16" t="s">
        <v>35</v>
      </c>
      <c r="H255" s="16" t="s">
        <v>36</v>
      </c>
      <c r="I255" s="16"/>
      <c r="J255" s="16"/>
      <c r="K255" s="16"/>
      <c r="L255" s="16"/>
      <c r="M255" s="16"/>
      <c r="N255" s="16"/>
      <c r="O255" s="7" t="s">
        <v>38</v>
      </c>
      <c r="P255" s="5" t="str">
        <f t="shared" si="6"/>
        <v/>
      </c>
      <c r="Q255" s="5"/>
      <c r="R255" s="5"/>
    </row>
    <row r="256" spans="2:18" x14ac:dyDescent="0.25">
      <c r="B256" s="19" t="s">
        <v>446</v>
      </c>
      <c r="C256" s="16" t="s">
        <v>447</v>
      </c>
      <c r="D256" s="16" t="s">
        <v>8152</v>
      </c>
      <c r="E256" s="16" t="s">
        <v>428</v>
      </c>
      <c r="F256" s="5" t="s">
        <v>427</v>
      </c>
      <c r="G256" s="16" t="s">
        <v>35</v>
      </c>
      <c r="H256" s="16" t="s">
        <v>36</v>
      </c>
      <c r="I256" s="16"/>
      <c r="J256" s="16"/>
      <c r="K256" s="16"/>
      <c r="L256" s="16"/>
      <c r="M256" s="16"/>
      <c r="N256" s="16"/>
      <c r="O256" s="7" t="s">
        <v>38</v>
      </c>
      <c r="P256" s="5" t="str">
        <f t="shared" si="6"/>
        <v/>
      </c>
      <c r="Q256" s="5"/>
      <c r="R256" s="5"/>
    </row>
    <row r="257" spans="2:18" x14ac:dyDescent="0.25">
      <c r="B257" s="19" t="s">
        <v>448</v>
      </c>
      <c r="C257" s="16" t="s">
        <v>449</v>
      </c>
      <c r="D257" s="16" t="s">
        <v>29</v>
      </c>
      <c r="E257" s="16" t="s">
        <v>428</v>
      </c>
      <c r="F257" s="5" t="s">
        <v>427</v>
      </c>
      <c r="G257" s="16" t="s">
        <v>35</v>
      </c>
      <c r="H257" s="16" t="s">
        <v>36</v>
      </c>
      <c r="I257" s="16"/>
      <c r="J257" s="16"/>
      <c r="K257" s="16"/>
      <c r="L257" s="16"/>
      <c r="M257" s="16"/>
      <c r="N257" s="16"/>
      <c r="O257" s="17"/>
      <c r="P257" s="5" t="str">
        <f t="shared" si="6"/>
        <v>Truncate table BTI010;</v>
      </c>
      <c r="Q257" s="5"/>
      <c r="R257" s="5"/>
    </row>
    <row r="258" spans="2:18" ht="67.5" x14ac:dyDescent="0.25">
      <c r="B258" s="23" t="s">
        <v>450</v>
      </c>
      <c r="C258" s="23" t="s">
        <v>451</v>
      </c>
      <c r="D258" s="16" t="s">
        <v>8152</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7.5" x14ac:dyDescent="0.25">
      <c r="B259" s="19" t="s">
        <v>455</v>
      </c>
      <c r="C259" s="16" t="s">
        <v>456</v>
      </c>
      <c r="D259" s="16" t="s">
        <v>8152</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25">
      <c r="B260" s="19" t="s">
        <v>460</v>
      </c>
      <c r="C260" s="16" t="s">
        <v>461</v>
      </c>
      <c r="D260" s="16" t="s">
        <v>8152</v>
      </c>
      <c r="E260" s="16" t="s">
        <v>428</v>
      </c>
      <c r="F260" s="5" t="s">
        <v>427</v>
      </c>
      <c r="G260" s="16" t="s">
        <v>35</v>
      </c>
      <c r="H260" s="16" t="s">
        <v>36</v>
      </c>
      <c r="I260" s="16"/>
      <c r="J260" s="16"/>
      <c r="K260" s="16"/>
      <c r="L260" s="16"/>
      <c r="M260" s="16"/>
      <c r="N260" s="16"/>
      <c r="O260" s="7" t="s">
        <v>38</v>
      </c>
      <c r="P260" s="5" t="str">
        <f t="shared" si="6"/>
        <v/>
      </c>
      <c r="Q260" s="5"/>
      <c r="R260" s="5"/>
    </row>
    <row r="261" spans="2:18" ht="121.5" x14ac:dyDescent="0.25">
      <c r="B261" s="23" t="s">
        <v>462</v>
      </c>
      <c r="C261" s="23" t="s">
        <v>463</v>
      </c>
      <c r="D261" s="19" t="s">
        <v>8152</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5" x14ac:dyDescent="0.25">
      <c r="B262" s="4" t="s">
        <v>469</v>
      </c>
      <c r="C262" s="5" t="s">
        <v>470</v>
      </c>
      <c r="D262" s="5" t="s">
        <v>8152</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25">
      <c r="B263" s="118" t="s">
        <v>11597</v>
      </c>
      <c r="C263" s="118" t="s">
        <v>11598</v>
      </c>
      <c r="D263" s="118" t="s">
        <v>8152</v>
      </c>
      <c r="E263" s="5" t="s">
        <v>428</v>
      </c>
      <c r="F263" s="5" t="s">
        <v>427</v>
      </c>
      <c r="G263" s="16" t="s">
        <v>35</v>
      </c>
      <c r="H263" s="16" t="s">
        <v>36</v>
      </c>
      <c r="I263" s="5"/>
      <c r="J263" s="5"/>
      <c r="K263" s="118" t="s">
        <v>454</v>
      </c>
      <c r="L263" s="186"/>
      <c r="M263" s="118" t="s">
        <v>10170</v>
      </c>
      <c r="N263" s="16"/>
      <c r="O263" s="16" t="s">
        <v>38</v>
      </c>
      <c r="P263" s="5" t="str">
        <f t="shared" si="6"/>
        <v/>
      </c>
      <c r="Q263" s="5"/>
      <c r="R263" s="5"/>
    </row>
    <row r="264" spans="2:18" x14ac:dyDescent="0.25">
      <c r="B264" s="4" t="s">
        <v>9686</v>
      </c>
      <c r="C264" s="5" t="s">
        <v>9687</v>
      </c>
      <c r="D264" s="5" t="s">
        <v>8152</v>
      </c>
      <c r="E264" s="5" t="s">
        <v>734</v>
      </c>
      <c r="F264" s="5" t="s">
        <v>8217</v>
      </c>
      <c r="G264" s="16" t="s">
        <v>35</v>
      </c>
      <c r="H264" s="5" t="s">
        <v>36</v>
      </c>
      <c r="I264" s="5"/>
      <c r="J264" s="5"/>
      <c r="K264" s="5"/>
      <c r="L264" s="118"/>
      <c r="M264" s="118"/>
      <c r="N264" s="16"/>
      <c r="O264" s="17"/>
      <c r="P264" s="5" t="str">
        <f t="shared" si="6"/>
        <v/>
      </c>
      <c r="Q264" s="5"/>
      <c r="R264" s="5"/>
    </row>
    <row r="265" spans="2:18" x14ac:dyDescent="0.25">
      <c r="B265" s="118" t="s">
        <v>11595</v>
      </c>
      <c r="C265" s="118" t="s">
        <v>11596</v>
      </c>
      <c r="D265" s="118" t="s">
        <v>8152</v>
      </c>
      <c r="E265" s="5" t="s">
        <v>428</v>
      </c>
      <c r="F265" s="5" t="s">
        <v>427</v>
      </c>
      <c r="G265" s="16" t="s">
        <v>35</v>
      </c>
      <c r="H265" s="5" t="s">
        <v>36</v>
      </c>
      <c r="I265" s="5"/>
      <c r="J265" s="5"/>
      <c r="K265" s="118" t="s">
        <v>454</v>
      </c>
      <c r="L265" s="118"/>
      <c r="M265" s="118" t="s">
        <v>10170</v>
      </c>
      <c r="N265" s="16"/>
      <c r="O265" s="16" t="s">
        <v>38</v>
      </c>
      <c r="P265" s="5" t="str">
        <f t="shared" si="6"/>
        <v/>
      </c>
      <c r="Q265" s="5"/>
      <c r="R265" s="5"/>
    </row>
    <row r="266" spans="2:18" x14ac:dyDescent="0.25">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25">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25">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25">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25">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25">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25">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25">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25">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25">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25">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25">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25">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25">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25">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25">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25">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0.5" x14ac:dyDescent="0.25">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25">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0.5" x14ac:dyDescent="0.25">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25">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0.5" x14ac:dyDescent="0.25">
      <c r="B287" s="4" t="s">
        <v>512</v>
      </c>
      <c r="C287" s="5" t="s">
        <v>513</v>
      </c>
      <c r="D287" s="25" t="s">
        <v>8152</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25">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25">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0.5" x14ac:dyDescent="0.25">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3" si="8">IF(D290="Datos","Truncate table "&amp; B290&amp; ";","")</f>
        <v>Truncate table BTTYPEBT;</v>
      </c>
      <c r="Q290" s="5"/>
      <c r="R290" s="5"/>
    </row>
    <row r="291" spans="2:18" x14ac:dyDescent="0.25">
      <c r="B291" s="19" t="s">
        <v>522</v>
      </c>
      <c r="C291" s="20" t="s">
        <v>523</v>
      </c>
      <c r="D291" s="16" t="s">
        <v>8152</v>
      </c>
      <c r="E291" s="16" t="s">
        <v>54</v>
      </c>
      <c r="F291" s="16" t="s">
        <v>216</v>
      </c>
      <c r="G291" s="16" t="s">
        <v>35</v>
      </c>
      <c r="H291" s="16" t="s">
        <v>36</v>
      </c>
      <c r="I291" s="16"/>
      <c r="J291" s="16"/>
      <c r="K291" s="16"/>
      <c r="L291" s="16"/>
      <c r="M291" s="16"/>
      <c r="N291" s="16"/>
      <c r="O291" s="17" t="s">
        <v>38</v>
      </c>
      <c r="P291" s="16" t="str">
        <f t="shared" si="8"/>
        <v/>
      </c>
      <c r="Q291" s="16"/>
      <c r="R291" s="16"/>
    </row>
    <row r="292" spans="2:18" x14ac:dyDescent="0.2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25">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25">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25">
      <c r="B295" s="19" t="s">
        <v>528</v>
      </c>
      <c r="C295" s="305" t="s">
        <v>9850</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25">
      <c r="B296" s="19" t="s">
        <v>529</v>
      </c>
      <c r="C296" s="305" t="s">
        <v>9851</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25">
      <c r="B297" s="19" t="s">
        <v>530</v>
      </c>
      <c r="C297" s="305" t="s">
        <v>9852</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25">
      <c r="B298" s="19" t="s">
        <v>531</v>
      </c>
      <c r="C298" s="305" t="s">
        <v>9853</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25">
      <c r="B299" s="19" t="s">
        <v>532</v>
      </c>
      <c r="C299" s="16" t="s">
        <v>533</v>
      </c>
      <c r="D299" s="16" t="s">
        <v>8152</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25">
      <c r="B300" s="19" t="s">
        <v>535</v>
      </c>
      <c r="C300" s="323" t="s">
        <v>9854</v>
      </c>
      <c r="D300" s="16" t="s">
        <v>8152</v>
      </c>
      <c r="E300" s="16"/>
      <c r="F300" s="16"/>
      <c r="G300" s="16" t="s">
        <v>35</v>
      </c>
      <c r="H300" s="16"/>
      <c r="I300" s="16"/>
      <c r="J300" s="16"/>
      <c r="K300" s="16"/>
      <c r="L300" s="16"/>
      <c r="M300" s="229"/>
      <c r="N300" s="16"/>
      <c r="O300" s="17"/>
      <c r="P300" s="5" t="str">
        <f t="shared" si="8"/>
        <v/>
      </c>
      <c r="Q300" s="5"/>
      <c r="R300" s="5"/>
    </row>
    <row r="301" spans="2:18" x14ac:dyDescent="0.25">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25">
      <c r="B302" s="19" t="s">
        <v>537</v>
      </c>
      <c r="C302" s="16" t="s">
        <v>538</v>
      </c>
      <c r="D302" s="16" t="s">
        <v>8152</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25">
      <c r="B303" s="49" t="s">
        <v>539</v>
      </c>
      <c r="C303" s="26" t="s">
        <v>540</v>
      </c>
      <c r="D303" s="50" t="s">
        <v>8152</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25">
      <c r="B304" s="19" t="s">
        <v>541</v>
      </c>
      <c r="C304" s="305" t="s">
        <v>9855</v>
      </c>
      <c r="D304" s="16" t="s">
        <v>8152</v>
      </c>
      <c r="E304" s="16"/>
      <c r="F304" s="5"/>
      <c r="G304" s="16" t="s">
        <v>35</v>
      </c>
      <c r="H304" s="16"/>
      <c r="I304" s="16"/>
      <c r="J304" s="16"/>
      <c r="K304" s="16"/>
      <c r="L304" s="16"/>
      <c r="M304" s="229"/>
      <c r="N304" s="16"/>
      <c r="O304" s="17"/>
      <c r="P304" s="5" t="str">
        <f t="shared" si="8"/>
        <v/>
      </c>
      <c r="Q304" s="5"/>
      <c r="R304" s="5"/>
    </row>
    <row r="305" spans="2:18" x14ac:dyDescent="0.25">
      <c r="B305" s="19" t="s">
        <v>542</v>
      </c>
      <c r="C305" s="16" t="s">
        <v>543</v>
      </c>
      <c r="D305" s="16" t="s">
        <v>8152</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25">
      <c r="B306" s="19" t="s">
        <v>545</v>
      </c>
      <c r="C306" s="16" t="s">
        <v>546</v>
      </c>
      <c r="D306" s="16" t="s">
        <v>29</v>
      </c>
      <c r="E306" s="16" t="s">
        <v>151</v>
      </c>
      <c r="F306" s="5" t="s">
        <v>544</v>
      </c>
      <c r="G306" s="16" t="s">
        <v>35</v>
      </c>
      <c r="H306" s="16" t="s">
        <v>36</v>
      </c>
      <c r="I306" s="16"/>
      <c r="J306" s="16"/>
      <c r="K306" s="16"/>
      <c r="L306" s="16"/>
      <c r="M306" s="16"/>
      <c r="N306" s="16"/>
      <c r="O306" s="7" t="s">
        <v>38</v>
      </c>
      <c r="P306" s="5" t="str">
        <f t="shared" si="8"/>
        <v>Truncate table CAJ0120;</v>
      </c>
      <c r="Q306" s="5"/>
      <c r="R306" s="5"/>
    </row>
    <row r="307" spans="2:18" x14ac:dyDescent="0.25">
      <c r="B307" s="19" t="s">
        <v>547</v>
      </c>
      <c r="C307" s="16" t="s">
        <v>548</v>
      </c>
      <c r="D307" s="16" t="s">
        <v>8152</v>
      </c>
      <c r="E307" s="16" t="s">
        <v>151</v>
      </c>
      <c r="F307" s="5" t="s">
        <v>544</v>
      </c>
      <c r="G307" s="16" t="s">
        <v>35</v>
      </c>
      <c r="H307" s="5" t="s">
        <v>36</v>
      </c>
      <c r="I307" s="16"/>
      <c r="J307" s="16"/>
      <c r="K307" s="16"/>
      <c r="L307" s="16"/>
      <c r="M307" s="229"/>
      <c r="N307" s="16"/>
      <c r="O307" s="7" t="s">
        <v>38</v>
      </c>
      <c r="P307" s="5" t="str">
        <f t="shared" si="8"/>
        <v/>
      </c>
      <c r="Q307" s="5"/>
      <c r="R307" s="5"/>
    </row>
    <row r="308" spans="2:18" x14ac:dyDescent="0.25">
      <c r="B308" s="19" t="s">
        <v>549</v>
      </c>
      <c r="C308" s="16" t="s">
        <v>550</v>
      </c>
      <c r="D308" s="16" t="s">
        <v>8152</v>
      </c>
      <c r="E308" s="16" t="s">
        <v>151</v>
      </c>
      <c r="F308" s="5" t="s">
        <v>544</v>
      </c>
      <c r="G308" s="16" t="s">
        <v>35</v>
      </c>
      <c r="H308" s="5" t="s">
        <v>36</v>
      </c>
      <c r="I308" s="16"/>
      <c r="J308" s="16"/>
      <c r="K308" s="16"/>
      <c r="L308" s="16"/>
      <c r="M308" s="229"/>
      <c r="N308" s="16"/>
      <c r="O308" s="7" t="s">
        <v>38</v>
      </c>
      <c r="P308" s="5" t="str">
        <f t="shared" si="8"/>
        <v/>
      </c>
      <c r="Q308" s="5"/>
      <c r="R308" s="5"/>
    </row>
    <row r="309" spans="2:18" x14ac:dyDescent="0.25">
      <c r="B309" s="19" t="s">
        <v>551</v>
      </c>
      <c r="C309" s="16" t="s">
        <v>9856</v>
      </c>
      <c r="D309" s="16" t="s">
        <v>8152</v>
      </c>
      <c r="E309" s="16"/>
      <c r="F309" s="5"/>
      <c r="G309" s="16" t="s">
        <v>35</v>
      </c>
      <c r="H309" s="16"/>
      <c r="I309" s="16"/>
      <c r="J309" s="16"/>
      <c r="K309" s="16"/>
      <c r="L309" s="16"/>
      <c r="M309" s="229"/>
      <c r="N309" s="16"/>
      <c r="O309" s="17"/>
      <c r="P309" s="5" t="str">
        <f t="shared" si="8"/>
        <v/>
      </c>
      <c r="Q309" s="5"/>
      <c r="R309" s="5"/>
    </row>
    <row r="310" spans="2:18" x14ac:dyDescent="0.25">
      <c r="B310" s="19" t="s">
        <v>552</v>
      </c>
      <c r="C310" s="16" t="s">
        <v>9857</v>
      </c>
      <c r="D310" s="16" t="s">
        <v>8152</v>
      </c>
      <c r="E310" s="16"/>
      <c r="F310" s="5"/>
      <c r="G310" s="16" t="s">
        <v>35</v>
      </c>
      <c r="H310" s="16"/>
      <c r="I310" s="16"/>
      <c r="J310" s="16"/>
      <c r="K310" s="16"/>
      <c r="L310" s="16"/>
      <c r="M310" s="229"/>
      <c r="N310" s="16"/>
      <c r="O310" s="17"/>
      <c r="P310" s="5" t="str">
        <f t="shared" si="8"/>
        <v/>
      </c>
      <c r="Q310" s="5"/>
      <c r="R310" s="5"/>
    </row>
    <row r="311" spans="2:18" x14ac:dyDescent="0.25">
      <c r="B311" s="19" t="s">
        <v>553</v>
      </c>
      <c r="C311" s="16" t="s">
        <v>526</v>
      </c>
      <c r="D311" s="16" t="s">
        <v>8152</v>
      </c>
      <c r="E311" s="16" t="s">
        <v>54</v>
      </c>
      <c r="F311" s="16" t="s">
        <v>216</v>
      </c>
      <c r="G311" s="16" t="s">
        <v>35</v>
      </c>
      <c r="H311" s="16" t="s">
        <v>36</v>
      </c>
      <c r="I311" s="16"/>
      <c r="J311" s="16"/>
      <c r="K311" s="16"/>
      <c r="L311" s="16"/>
      <c r="M311" s="16"/>
      <c r="N311" s="16"/>
      <c r="O311" s="17" t="s">
        <v>38</v>
      </c>
      <c r="P311" s="16" t="str">
        <f t="shared" si="8"/>
        <v/>
      </c>
      <c r="Q311" s="16"/>
      <c r="R311" s="16"/>
    </row>
    <row r="312" spans="2:18" x14ac:dyDescent="0.25">
      <c r="B312" s="19" t="s">
        <v>554</v>
      </c>
      <c r="C312" s="16" t="s">
        <v>8764</v>
      </c>
      <c r="D312" s="16" t="s">
        <v>29</v>
      </c>
      <c r="E312" s="16"/>
      <c r="F312" s="5"/>
      <c r="G312" s="16" t="s">
        <v>35</v>
      </c>
      <c r="H312" s="16"/>
      <c r="I312" s="16"/>
      <c r="J312" s="16"/>
      <c r="K312" s="16"/>
      <c r="L312" s="16"/>
      <c r="M312" s="16"/>
      <c r="N312" s="16"/>
      <c r="O312" s="17"/>
      <c r="P312" s="5" t="str">
        <f t="shared" si="8"/>
        <v>Truncate table CAP001;</v>
      </c>
      <c r="Q312" s="5"/>
      <c r="R312" s="5"/>
    </row>
    <row r="313" spans="2:18" x14ac:dyDescent="0.25">
      <c r="B313" s="15" t="s">
        <v>555</v>
      </c>
      <c r="C313" s="16" t="s">
        <v>556</v>
      </c>
      <c r="D313" s="16" t="s">
        <v>8152</v>
      </c>
      <c r="E313" s="16" t="s">
        <v>54</v>
      </c>
      <c r="F313" s="5" t="s">
        <v>557</v>
      </c>
      <c r="G313" s="16" t="s">
        <v>35</v>
      </c>
      <c r="H313" s="16"/>
      <c r="I313" s="16"/>
      <c r="J313" s="16"/>
      <c r="K313" s="16"/>
      <c r="L313" s="16"/>
      <c r="M313" s="16"/>
      <c r="N313" s="16" t="s">
        <v>558</v>
      </c>
      <c r="O313" s="7" t="s">
        <v>38</v>
      </c>
      <c r="P313" s="5" t="str">
        <f t="shared" si="8"/>
        <v/>
      </c>
      <c r="Q313" s="5"/>
      <c r="R313" s="5"/>
    </row>
    <row r="314" spans="2:18" x14ac:dyDescent="0.25">
      <c r="B314" s="19" t="s">
        <v>559</v>
      </c>
      <c r="C314" s="16" t="s">
        <v>560</v>
      </c>
      <c r="D314" s="16" t="s">
        <v>8152</v>
      </c>
      <c r="E314" s="16" t="s">
        <v>54</v>
      </c>
      <c r="F314" s="5" t="s">
        <v>216</v>
      </c>
      <c r="G314" s="16" t="s">
        <v>35</v>
      </c>
      <c r="H314" s="16" t="s">
        <v>36</v>
      </c>
      <c r="I314" s="16"/>
      <c r="J314" s="16"/>
      <c r="K314" s="16"/>
      <c r="L314" s="16"/>
      <c r="M314" s="16"/>
      <c r="N314" s="16"/>
      <c r="O314" s="7" t="s">
        <v>38</v>
      </c>
      <c r="P314" s="5" t="str">
        <f t="shared" si="8"/>
        <v/>
      </c>
      <c r="Q314" s="5"/>
      <c r="R314" s="5"/>
    </row>
    <row r="315" spans="2:18" x14ac:dyDescent="0.25">
      <c r="B315" s="19" t="s">
        <v>561</v>
      </c>
      <c r="C315" s="16" t="s">
        <v>533</v>
      </c>
      <c r="D315" s="16" t="s">
        <v>8152</v>
      </c>
      <c r="E315" s="16" t="s">
        <v>54</v>
      </c>
      <c r="F315" s="16" t="s">
        <v>216</v>
      </c>
      <c r="G315" s="16" t="s">
        <v>35</v>
      </c>
      <c r="H315" s="16" t="s">
        <v>36</v>
      </c>
      <c r="I315" s="16"/>
      <c r="J315" s="16"/>
      <c r="K315" s="16"/>
      <c r="L315" s="16"/>
      <c r="M315" s="16"/>
      <c r="N315" s="16" t="s">
        <v>562</v>
      </c>
      <c r="O315" s="17" t="s">
        <v>38</v>
      </c>
      <c r="P315" s="16" t="str">
        <f t="shared" si="8"/>
        <v/>
      </c>
      <c r="Q315" s="16"/>
      <c r="R315" s="16"/>
    </row>
    <row r="316" spans="2:18" x14ac:dyDescent="0.25">
      <c r="B316" s="19" t="s">
        <v>563</v>
      </c>
      <c r="C316" s="16" t="s">
        <v>8765</v>
      </c>
      <c r="D316" s="16" t="s">
        <v>29</v>
      </c>
      <c r="E316" s="16"/>
      <c r="F316" s="5"/>
      <c r="G316" s="16" t="s">
        <v>35</v>
      </c>
      <c r="H316" s="16"/>
      <c r="I316" s="16"/>
      <c r="J316" s="16"/>
      <c r="K316" s="16"/>
      <c r="L316" s="16"/>
      <c r="M316" s="16"/>
      <c r="N316" s="16"/>
      <c r="O316" s="17"/>
      <c r="P316" s="5" t="str">
        <f t="shared" si="8"/>
        <v>Truncate table CCCE01;</v>
      </c>
      <c r="Q316" s="5"/>
      <c r="R316" s="5"/>
    </row>
    <row r="317" spans="2:18" x14ac:dyDescent="0.25">
      <c r="B317" s="19" t="s">
        <v>564</v>
      </c>
      <c r="C317" s="16" t="s">
        <v>8766</v>
      </c>
      <c r="D317" s="16" t="s">
        <v>29</v>
      </c>
      <c r="E317" s="16"/>
      <c r="F317" s="5"/>
      <c r="G317" s="16" t="s">
        <v>35</v>
      </c>
      <c r="H317" s="16"/>
      <c r="I317" s="16"/>
      <c r="J317" s="16"/>
      <c r="K317" s="16"/>
      <c r="L317" s="16"/>
      <c r="M317" s="16"/>
      <c r="N317" s="16"/>
      <c r="O317" s="17"/>
      <c r="P317" s="5" t="str">
        <f t="shared" si="8"/>
        <v>Truncate table CCCE02;</v>
      </c>
      <c r="Q317" s="5"/>
      <c r="R317" s="5"/>
    </row>
    <row r="318" spans="2:18" x14ac:dyDescent="0.25">
      <c r="B318" s="19" t="s">
        <v>565</v>
      </c>
      <c r="C318" s="16" t="s">
        <v>8767</v>
      </c>
      <c r="D318" s="16" t="s">
        <v>29</v>
      </c>
      <c r="E318" s="16"/>
      <c r="F318" s="5"/>
      <c r="G318" s="16" t="s">
        <v>35</v>
      </c>
      <c r="H318" s="16"/>
      <c r="I318" s="16"/>
      <c r="J318" s="16"/>
      <c r="K318" s="16"/>
      <c r="L318" s="16"/>
      <c r="M318" s="16"/>
      <c r="N318" s="16"/>
      <c r="O318" s="17"/>
      <c r="P318" s="5" t="str">
        <f t="shared" si="8"/>
        <v>Truncate table CCCE03;</v>
      </c>
      <c r="Q318" s="5"/>
      <c r="R318" s="5"/>
    </row>
    <row r="319" spans="2:18" x14ac:dyDescent="0.25">
      <c r="B319" s="19" t="s">
        <v>566</v>
      </c>
      <c r="C319" s="16" t="s">
        <v>8768</v>
      </c>
      <c r="D319" s="16" t="s">
        <v>29</v>
      </c>
      <c r="E319" s="16"/>
      <c r="F319" s="5"/>
      <c r="G319" s="16" t="s">
        <v>35</v>
      </c>
      <c r="H319" s="16"/>
      <c r="I319" s="16"/>
      <c r="J319" s="16"/>
      <c r="K319" s="16"/>
      <c r="L319" s="16"/>
      <c r="M319" s="16"/>
      <c r="N319" s="16"/>
      <c r="O319" s="17"/>
      <c r="P319" s="5" t="str">
        <f t="shared" si="8"/>
        <v>Truncate table CCIR01;</v>
      </c>
      <c r="Q319" s="5"/>
      <c r="R319" s="5"/>
    </row>
    <row r="320" spans="2:18" x14ac:dyDescent="0.25">
      <c r="B320" s="19" t="s">
        <v>567</v>
      </c>
      <c r="C320" s="16" t="s">
        <v>8769</v>
      </c>
      <c r="D320" s="16" t="s">
        <v>29</v>
      </c>
      <c r="E320" s="16"/>
      <c r="F320" s="5"/>
      <c r="G320" s="16" t="s">
        <v>35</v>
      </c>
      <c r="H320" s="16"/>
      <c r="I320" s="16"/>
      <c r="J320" s="16"/>
      <c r="K320" s="16"/>
      <c r="L320" s="16"/>
      <c r="M320" s="16"/>
      <c r="N320" s="16"/>
      <c r="O320" s="17"/>
      <c r="P320" s="5" t="str">
        <f t="shared" si="8"/>
        <v>Truncate table CDCCAD0;</v>
      </c>
      <c r="Q320" s="5"/>
      <c r="R320" s="5"/>
    </row>
    <row r="321" spans="2:18" x14ac:dyDescent="0.25">
      <c r="B321" s="19" t="s">
        <v>568</v>
      </c>
      <c r="C321" s="26" t="s">
        <v>8770</v>
      </c>
      <c r="D321" s="16" t="s">
        <v>29</v>
      </c>
      <c r="E321" s="16"/>
      <c r="F321" s="5"/>
      <c r="G321" s="16" t="s">
        <v>35</v>
      </c>
      <c r="H321" s="16"/>
      <c r="I321" s="16"/>
      <c r="J321" s="16"/>
      <c r="K321" s="16"/>
      <c r="L321" s="16"/>
      <c r="M321" s="16"/>
      <c r="N321" s="16"/>
      <c r="O321" s="17"/>
      <c r="P321" s="5" t="str">
        <f t="shared" si="8"/>
        <v>Truncate table CDCCAD1;</v>
      </c>
      <c r="Q321" s="5"/>
      <c r="R321" s="5"/>
    </row>
    <row r="322" spans="2:18" x14ac:dyDescent="0.25">
      <c r="B322" s="19" t="s">
        <v>569</v>
      </c>
      <c r="C322" s="16" t="s">
        <v>8771</v>
      </c>
      <c r="D322" s="16" t="s">
        <v>29</v>
      </c>
      <c r="E322" s="16"/>
      <c r="F322" s="5"/>
      <c r="G322" s="16" t="s">
        <v>35</v>
      </c>
      <c r="H322" s="16"/>
      <c r="I322" s="16"/>
      <c r="J322" s="16"/>
      <c r="K322" s="16"/>
      <c r="L322" s="16"/>
      <c r="M322" s="16"/>
      <c r="N322" s="16"/>
      <c r="O322" s="17"/>
      <c r="P322" s="5" t="str">
        <f t="shared" si="8"/>
        <v>Truncate table CDCCAD2;</v>
      </c>
      <c r="Q322" s="5"/>
      <c r="R322" s="5"/>
    </row>
    <row r="323" spans="2:18" x14ac:dyDescent="0.25">
      <c r="B323" s="19" t="s">
        <v>570</v>
      </c>
      <c r="C323" s="16" t="s">
        <v>8772</v>
      </c>
      <c r="D323" s="16" t="s">
        <v>29</v>
      </c>
      <c r="E323" s="16"/>
      <c r="F323" s="5"/>
      <c r="G323" s="16" t="s">
        <v>35</v>
      </c>
      <c r="H323" s="16"/>
      <c r="I323" s="16"/>
      <c r="J323" s="16"/>
      <c r="K323" s="16"/>
      <c r="L323" s="16"/>
      <c r="M323" s="16"/>
      <c r="N323" s="16"/>
      <c r="O323" s="17"/>
      <c r="P323" s="5" t="str">
        <f t="shared" si="8"/>
        <v>Truncate table CDCCAD5;</v>
      </c>
      <c r="Q323" s="5"/>
      <c r="R323" s="5"/>
    </row>
    <row r="324" spans="2:18" x14ac:dyDescent="0.25">
      <c r="B324" s="19" t="s">
        <v>571</v>
      </c>
      <c r="C324" s="16" t="s">
        <v>8773</v>
      </c>
      <c r="D324" s="16" t="s">
        <v>29</v>
      </c>
      <c r="E324" s="16"/>
      <c r="F324" s="5"/>
      <c r="G324" s="16" t="s">
        <v>35</v>
      </c>
      <c r="H324" s="16"/>
      <c r="I324" s="16"/>
      <c r="J324" s="16"/>
      <c r="K324" s="16"/>
      <c r="L324" s="16"/>
      <c r="M324" s="16"/>
      <c r="N324" s="16"/>
      <c r="O324" s="17"/>
      <c r="P324" s="5" t="str">
        <f t="shared" si="8"/>
        <v>Truncate table CDCCAD6;</v>
      </c>
      <c r="Q324" s="5"/>
      <c r="R324" s="5"/>
    </row>
    <row r="325" spans="2:18" x14ac:dyDescent="0.25">
      <c r="B325" s="19" t="s">
        <v>572</v>
      </c>
      <c r="C325" s="16" t="s">
        <v>8774</v>
      </c>
      <c r="D325" s="16" t="s">
        <v>29</v>
      </c>
      <c r="E325" s="16"/>
      <c r="F325" s="5"/>
      <c r="G325" s="16" t="s">
        <v>35</v>
      </c>
      <c r="H325" s="16"/>
      <c r="I325" s="16"/>
      <c r="J325" s="16"/>
      <c r="K325" s="16"/>
      <c r="L325" s="16"/>
      <c r="M325" s="16"/>
      <c r="N325" s="16"/>
      <c r="O325" s="17"/>
      <c r="P325" s="5" t="str">
        <f t="shared" si="8"/>
        <v>Truncate table CDCCAD7;</v>
      </c>
      <c r="Q325" s="5"/>
      <c r="R325" s="5"/>
    </row>
    <row r="326" spans="2:18" x14ac:dyDescent="0.25">
      <c r="B326" s="19" t="s">
        <v>573</v>
      </c>
      <c r="C326" s="16" t="s">
        <v>8775</v>
      </c>
      <c r="D326" s="16" t="s">
        <v>29</v>
      </c>
      <c r="E326" s="16"/>
      <c r="F326" s="5"/>
      <c r="G326" s="16" t="s">
        <v>35</v>
      </c>
      <c r="H326" s="16"/>
      <c r="I326" s="16"/>
      <c r="J326" s="16"/>
      <c r="K326" s="16"/>
      <c r="L326" s="16"/>
      <c r="M326" s="16"/>
      <c r="N326" s="16"/>
      <c r="O326" s="17"/>
      <c r="P326" s="5" t="str">
        <f t="shared" si="8"/>
        <v>Truncate table CDCCAD8;</v>
      </c>
      <c r="Q326" s="5"/>
      <c r="R326" s="5"/>
    </row>
    <row r="327" spans="2:18" x14ac:dyDescent="0.25">
      <c r="B327" s="19" t="s">
        <v>574</v>
      </c>
      <c r="C327" s="16" t="s">
        <v>8776</v>
      </c>
      <c r="D327" s="16" t="s">
        <v>29</v>
      </c>
      <c r="E327" s="16"/>
      <c r="F327" s="5"/>
      <c r="G327" s="16" t="s">
        <v>35</v>
      </c>
      <c r="H327" s="16"/>
      <c r="I327" s="16"/>
      <c r="J327" s="16"/>
      <c r="K327" s="16"/>
      <c r="L327" s="16"/>
      <c r="M327" s="16"/>
      <c r="N327" s="16"/>
      <c r="O327" s="17"/>
      <c r="P327" s="5" t="str">
        <f t="shared" si="8"/>
        <v>Truncate table CDCCAD9;</v>
      </c>
      <c r="Q327" s="5"/>
      <c r="R327" s="5"/>
    </row>
    <row r="328" spans="2:18" x14ac:dyDescent="0.25">
      <c r="B328" s="19" t="s">
        <v>575</v>
      </c>
      <c r="C328" s="16" t="s">
        <v>8777</v>
      </c>
      <c r="D328" s="16" t="s">
        <v>29</v>
      </c>
      <c r="E328" s="16"/>
      <c r="F328" s="5"/>
      <c r="G328" s="16" t="s">
        <v>35</v>
      </c>
      <c r="H328" s="16"/>
      <c r="I328" s="16"/>
      <c r="J328" s="16"/>
      <c r="K328" s="16"/>
      <c r="L328" s="16"/>
      <c r="M328" s="16"/>
      <c r="N328" s="16"/>
      <c r="O328" s="17"/>
      <c r="P328" s="5" t="str">
        <f t="shared" si="8"/>
        <v>Truncate table CDCCADA;</v>
      </c>
      <c r="Q328" s="5"/>
      <c r="R328" s="5"/>
    </row>
    <row r="329" spans="2:18" x14ac:dyDescent="0.25">
      <c r="B329" s="19" t="s">
        <v>576</v>
      </c>
      <c r="C329" s="16" t="s">
        <v>8778</v>
      </c>
      <c r="D329" s="16" t="s">
        <v>29</v>
      </c>
      <c r="E329" s="16"/>
      <c r="F329" s="5"/>
      <c r="G329" s="16" t="s">
        <v>35</v>
      </c>
      <c r="H329" s="16"/>
      <c r="I329" s="16"/>
      <c r="J329" s="16"/>
      <c r="K329" s="16"/>
      <c r="L329" s="16"/>
      <c r="M329" s="16"/>
      <c r="N329" s="16"/>
      <c r="O329" s="17"/>
      <c r="P329" s="5" t="str">
        <f t="shared" si="8"/>
        <v>Truncate table CDCCADB;</v>
      </c>
      <c r="Q329" s="5"/>
      <c r="R329" s="5"/>
    </row>
    <row r="330" spans="2:18" x14ac:dyDescent="0.25">
      <c r="B330" s="19" t="s">
        <v>577</v>
      </c>
      <c r="C330" s="16" t="s">
        <v>8779</v>
      </c>
      <c r="D330" s="16" t="s">
        <v>29</v>
      </c>
      <c r="E330" s="16"/>
      <c r="F330" s="5"/>
      <c r="G330" s="16" t="s">
        <v>35</v>
      </c>
      <c r="H330" s="16"/>
      <c r="I330" s="16"/>
      <c r="J330" s="16"/>
      <c r="K330" s="16"/>
      <c r="L330" s="16"/>
      <c r="M330" s="16"/>
      <c r="N330" s="16"/>
      <c r="O330" s="17"/>
      <c r="P330" s="5" t="str">
        <f t="shared" si="8"/>
        <v>Truncate table CDCCADC;</v>
      </c>
      <c r="Q330" s="5"/>
      <c r="R330" s="5"/>
    </row>
    <row r="331" spans="2:18" x14ac:dyDescent="0.25">
      <c r="B331" s="19" t="s">
        <v>578</v>
      </c>
      <c r="C331" s="16" t="s">
        <v>8780</v>
      </c>
      <c r="D331" s="16" t="s">
        <v>29</v>
      </c>
      <c r="E331" s="16"/>
      <c r="F331" s="5"/>
      <c r="G331" s="16" t="s">
        <v>35</v>
      </c>
      <c r="H331" s="16"/>
      <c r="I331" s="16"/>
      <c r="J331" s="16"/>
      <c r="K331" s="16"/>
      <c r="L331" s="16"/>
      <c r="M331" s="16"/>
      <c r="N331" s="16"/>
      <c r="O331" s="17"/>
      <c r="P331" s="5" t="str">
        <f t="shared" si="8"/>
        <v>Truncate table CDCCADD;</v>
      </c>
      <c r="Q331" s="5"/>
      <c r="R331" s="5"/>
    </row>
    <row r="332" spans="2:18" x14ac:dyDescent="0.25">
      <c r="B332" s="19" t="s">
        <v>579</v>
      </c>
      <c r="C332" s="16" t="s">
        <v>8781</v>
      </c>
      <c r="D332" s="16" t="s">
        <v>29</v>
      </c>
      <c r="E332" s="16"/>
      <c r="F332" s="5"/>
      <c r="G332" s="16" t="s">
        <v>35</v>
      </c>
      <c r="H332" s="16"/>
      <c r="I332" s="16"/>
      <c r="J332" s="16"/>
      <c r="K332" s="16"/>
      <c r="L332" s="16"/>
      <c r="M332" s="16"/>
      <c r="N332" s="16"/>
      <c r="O332" s="17"/>
      <c r="P332" s="5" t="str">
        <f t="shared" si="8"/>
        <v>Truncate table CDCCPA0;</v>
      </c>
      <c r="Q332" s="5"/>
      <c r="R332" s="5"/>
    </row>
    <row r="333" spans="2:18" x14ac:dyDescent="0.25">
      <c r="B333" s="19" t="s">
        <v>580</v>
      </c>
      <c r="C333" s="16" t="s">
        <v>8782</v>
      </c>
      <c r="D333" s="16" t="s">
        <v>29</v>
      </c>
      <c r="E333" s="16"/>
      <c r="F333" s="5"/>
      <c r="G333" s="16" t="s">
        <v>35</v>
      </c>
      <c r="H333" s="16"/>
      <c r="I333" s="16"/>
      <c r="J333" s="16"/>
      <c r="K333" s="16"/>
      <c r="L333" s="16"/>
      <c r="M333" s="16"/>
      <c r="N333" s="16"/>
      <c r="O333" s="17"/>
      <c r="P333" s="5" t="str">
        <f t="shared" si="8"/>
        <v>Truncate table CDCCPA1;</v>
      </c>
      <c r="Q333" s="5"/>
      <c r="R333" s="5"/>
    </row>
    <row r="334" spans="2:18" x14ac:dyDescent="0.25">
      <c r="B334" s="19" t="s">
        <v>581</v>
      </c>
      <c r="C334" s="16" t="s">
        <v>8783</v>
      </c>
      <c r="D334" s="16" t="s">
        <v>29</v>
      </c>
      <c r="E334" s="16"/>
      <c r="F334" s="5"/>
      <c r="G334" s="16" t="s">
        <v>35</v>
      </c>
      <c r="H334" s="16"/>
      <c r="I334" s="16"/>
      <c r="J334" s="16"/>
      <c r="K334" s="16"/>
      <c r="L334" s="16"/>
      <c r="M334" s="16"/>
      <c r="N334" s="16"/>
      <c r="O334" s="17"/>
      <c r="P334" s="5" t="str">
        <f t="shared" si="8"/>
        <v>Truncate table CDCCPA2;</v>
      </c>
      <c r="Q334" s="5"/>
      <c r="R334" s="5"/>
    </row>
    <row r="335" spans="2:18" x14ac:dyDescent="0.25">
      <c r="B335" s="19" t="s">
        <v>582</v>
      </c>
      <c r="C335" s="16" t="s">
        <v>8784</v>
      </c>
      <c r="D335" s="16" t="s">
        <v>29</v>
      </c>
      <c r="E335" s="16"/>
      <c r="F335" s="5"/>
      <c r="G335" s="16" t="s">
        <v>35</v>
      </c>
      <c r="H335" s="16"/>
      <c r="I335" s="16"/>
      <c r="J335" s="16"/>
      <c r="K335" s="16"/>
      <c r="L335" s="16"/>
      <c r="M335" s="16"/>
      <c r="N335" s="16"/>
      <c r="O335" s="17"/>
      <c r="P335" s="5" t="str">
        <f t="shared" si="8"/>
        <v>Truncate table CDCEXP0;</v>
      </c>
      <c r="Q335" s="5"/>
      <c r="R335" s="5"/>
    </row>
    <row r="336" spans="2:18" x14ac:dyDescent="0.25">
      <c r="B336" s="19" t="s">
        <v>583</v>
      </c>
      <c r="C336" s="16" t="s">
        <v>8785</v>
      </c>
      <c r="D336" s="16" t="s">
        <v>29</v>
      </c>
      <c r="E336" s="16"/>
      <c r="F336" s="5"/>
      <c r="G336" s="16" t="s">
        <v>35</v>
      </c>
      <c r="H336" s="16"/>
      <c r="I336" s="16"/>
      <c r="J336" s="16"/>
      <c r="K336" s="16"/>
      <c r="L336" s="16"/>
      <c r="M336" s="16"/>
      <c r="N336" s="16"/>
      <c r="O336" s="17"/>
      <c r="P336" s="5" t="str">
        <f t="shared" si="8"/>
        <v>Truncate table CDCEXP1;</v>
      </c>
      <c r="Q336" s="5"/>
      <c r="R336" s="5"/>
    </row>
    <row r="337" spans="1:18" x14ac:dyDescent="0.25">
      <c r="B337" s="19" t="s">
        <v>584</v>
      </c>
      <c r="C337" s="16" t="s">
        <v>8786</v>
      </c>
      <c r="D337" s="16" t="s">
        <v>29</v>
      </c>
      <c r="E337" s="16"/>
      <c r="F337" s="5"/>
      <c r="G337" s="16" t="s">
        <v>35</v>
      </c>
      <c r="H337" s="16"/>
      <c r="I337" s="16"/>
      <c r="J337" s="16"/>
      <c r="K337" s="16"/>
      <c r="L337" s="16"/>
      <c r="M337" s="16"/>
      <c r="N337" s="16"/>
      <c r="O337" s="17"/>
      <c r="P337" s="5" t="str">
        <f t="shared" si="8"/>
        <v>Truncate table CDCEXP2;</v>
      </c>
      <c r="Q337" s="5"/>
      <c r="R337" s="5"/>
    </row>
    <row r="338" spans="1:18" x14ac:dyDescent="0.25">
      <c r="B338" s="19" t="s">
        <v>585</v>
      </c>
      <c r="C338" s="16" t="s">
        <v>8787</v>
      </c>
      <c r="D338" s="16" t="s">
        <v>29</v>
      </c>
      <c r="E338" s="16"/>
      <c r="F338" s="5"/>
      <c r="G338" s="16" t="s">
        <v>35</v>
      </c>
      <c r="H338" s="16"/>
      <c r="I338" s="16"/>
      <c r="J338" s="16"/>
      <c r="K338" s="16"/>
      <c r="L338" s="16"/>
      <c r="M338" s="16"/>
      <c r="N338" s="16"/>
      <c r="O338" s="17"/>
      <c r="P338" s="5" t="str">
        <f t="shared" si="8"/>
        <v>Truncate table CDCEXP3;</v>
      </c>
      <c r="Q338" s="5"/>
      <c r="R338" s="5"/>
    </row>
    <row r="339" spans="1:18" x14ac:dyDescent="0.25">
      <c r="B339" s="19" t="s">
        <v>586</v>
      </c>
      <c r="C339" s="16" t="s">
        <v>8788</v>
      </c>
      <c r="D339" s="16" t="s">
        <v>29</v>
      </c>
      <c r="E339" s="16"/>
      <c r="F339" s="5"/>
      <c r="G339" s="16" t="s">
        <v>35</v>
      </c>
      <c r="H339" s="16"/>
      <c r="I339" s="16"/>
      <c r="J339" s="16"/>
      <c r="K339" s="16"/>
      <c r="L339" s="16"/>
      <c r="M339" s="16"/>
      <c r="N339" s="16"/>
      <c r="O339" s="17"/>
      <c r="P339" s="5" t="str">
        <f t="shared" si="8"/>
        <v>Truncate table CDCEXP5;</v>
      </c>
      <c r="Q339" s="5"/>
      <c r="R339" s="5"/>
    </row>
    <row r="340" spans="1:18" x14ac:dyDescent="0.25">
      <c r="B340" s="19" t="s">
        <v>587</v>
      </c>
      <c r="C340" s="16" t="s">
        <v>8789</v>
      </c>
      <c r="D340" s="16" t="s">
        <v>29</v>
      </c>
      <c r="E340" s="16"/>
      <c r="F340" s="5"/>
      <c r="G340" s="16" t="s">
        <v>35</v>
      </c>
      <c r="H340" s="16"/>
      <c r="I340" s="16"/>
      <c r="J340" s="16"/>
      <c r="K340" s="16"/>
      <c r="L340" s="16"/>
      <c r="M340" s="16"/>
      <c r="N340" s="16"/>
      <c r="O340" s="17"/>
      <c r="P340" s="5" t="str">
        <f t="shared" si="8"/>
        <v>Truncate table CDCMAI0;</v>
      </c>
      <c r="Q340" s="5"/>
      <c r="R340" s="5"/>
    </row>
    <row r="341" spans="1:18" x14ac:dyDescent="0.25">
      <c r="B341" s="19" t="s">
        <v>588</v>
      </c>
      <c r="C341" s="16" t="s">
        <v>8790</v>
      </c>
      <c r="D341" s="16" t="s">
        <v>29</v>
      </c>
      <c r="E341" s="16"/>
      <c r="F341" s="5"/>
      <c r="G341" s="16" t="s">
        <v>35</v>
      </c>
      <c r="H341" s="16"/>
      <c r="I341" s="16"/>
      <c r="J341" s="16"/>
      <c r="K341" s="16"/>
      <c r="L341" s="16"/>
      <c r="M341" s="16"/>
      <c r="N341" s="16"/>
      <c r="O341" s="17"/>
      <c r="P341" s="5" t="str">
        <f t="shared" si="8"/>
        <v>Truncate table CDCMEP0;</v>
      </c>
      <c r="Q341" s="5"/>
      <c r="R341" s="5"/>
    </row>
    <row r="342" spans="1:18" x14ac:dyDescent="0.25">
      <c r="B342" s="19" t="s">
        <v>589</v>
      </c>
      <c r="C342" s="16" t="s">
        <v>8791</v>
      </c>
      <c r="D342" s="16" t="s">
        <v>29</v>
      </c>
      <c r="E342" s="16"/>
      <c r="F342" s="5"/>
      <c r="G342" s="16" t="s">
        <v>35</v>
      </c>
      <c r="H342" s="16"/>
      <c r="I342" s="16"/>
      <c r="J342" s="16"/>
      <c r="K342" s="16"/>
      <c r="L342" s="16"/>
      <c r="M342" s="16"/>
      <c r="N342" s="16"/>
      <c r="O342" s="17"/>
      <c r="P342" s="5" t="str">
        <f t="shared" si="8"/>
        <v>Truncate table CDCMEP1;</v>
      </c>
      <c r="Q342" s="5"/>
      <c r="R342" s="5"/>
    </row>
    <row r="343" spans="1:18" x14ac:dyDescent="0.25">
      <c r="B343" s="19" t="s">
        <v>590</v>
      </c>
      <c r="C343" s="16" t="s">
        <v>8792</v>
      </c>
      <c r="D343" s="16" t="s">
        <v>29</v>
      </c>
      <c r="E343" s="16"/>
      <c r="F343" s="5"/>
      <c r="G343" s="16" t="s">
        <v>35</v>
      </c>
      <c r="H343" s="16"/>
      <c r="I343" s="16"/>
      <c r="J343" s="16"/>
      <c r="K343" s="16"/>
      <c r="L343" s="16"/>
      <c r="M343" s="16"/>
      <c r="N343" s="16"/>
      <c r="O343" s="17"/>
      <c r="P343" s="5" t="str">
        <f t="shared" si="8"/>
        <v>Truncate table CDCMEP2;</v>
      </c>
      <c r="Q343" s="5"/>
      <c r="R343" s="5"/>
    </row>
    <row r="344" spans="1:18" x14ac:dyDescent="0.25">
      <c r="B344" s="19" t="s">
        <v>591</v>
      </c>
      <c r="C344" s="16" t="s">
        <v>8793</v>
      </c>
      <c r="D344" s="16" t="s">
        <v>29</v>
      </c>
      <c r="E344" s="16"/>
      <c r="F344" s="5"/>
      <c r="G344" s="16" t="s">
        <v>35</v>
      </c>
      <c r="H344" s="16"/>
      <c r="I344" s="16"/>
      <c r="J344" s="16"/>
      <c r="K344" s="16"/>
      <c r="L344" s="16"/>
      <c r="M344" s="16"/>
      <c r="N344" s="16"/>
      <c r="O344" s="17"/>
      <c r="P344" s="5" t="str">
        <f t="shared" si="8"/>
        <v>Truncate table CDCMEP3;</v>
      </c>
      <c r="Q344" s="5"/>
      <c r="R344" s="5"/>
    </row>
    <row r="345" spans="1:18" x14ac:dyDescent="0.25">
      <c r="B345" s="19" t="s">
        <v>592</v>
      </c>
      <c r="C345" s="16" t="s">
        <v>8794</v>
      </c>
      <c r="D345" s="16" t="s">
        <v>29</v>
      </c>
      <c r="E345" s="16"/>
      <c r="F345" s="5"/>
      <c r="G345" s="16" t="s">
        <v>35</v>
      </c>
      <c r="H345" s="16"/>
      <c r="I345" s="16"/>
      <c r="J345" s="16"/>
      <c r="K345" s="16"/>
      <c r="L345" s="16"/>
      <c r="M345" s="16"/>
      <c r="N345" s="16"/>
      <c r="O345" s="17"/>
      <c r="P345" s="5" t="str">
        <f t="shared" si="8"/>
        <v>Truncate table CDCMEP4;</v>
      </c>
      <c r="Q345" s="5"/>
      <c r="R345" s="5"/>
    </row>
    <row r="346" spans="1:18" x14ac:dyDescent="0.25">
      <c r="B346" s="19" t="s">
        <v>593</v>
      </c>
      <c r="C346" s="16" t="s">
        <v>8795</v>
      </c>
      <c r="D346" s="16" t="s">
        <v>29</v>
      </c>
      <c r="E346" s="16"/>
      <c r="F346" s="5"/>
      <c r="G346" s="16" t="s">
        <v>35</v>
      </c>
      <c r="H346" s="16"/>
      <c r="I346" s="16"/>
      <c r="J346" s="16"/>
      <c r="K346" s="16"/>
      <c r="L346" s="16"/>
      <c r="M346" s="16"/>
      <c r="N346" s="16"/>
      <c r="O346" s="17"/>
      <c r="P346" s="5" t="str">
        <f t="shared" si="8"/>
        <v>Truncate table CDCMEP5;</v>
      </c>
      <c r="Q346" s="5"/>
      <c r="R346" s="5"/>
    </row>
    <row r="347" spans="1:18" x14ac:dyDescent="0.25">
      <c r="B347" s="19" t="s">
        <v>594</v>
      </c>
      <c r="C347" s="16" t="s">
        <v>8796</v>
      </c>
      <c r="D347" s="16" t="s">
        <v>29</v>
      </c>
      <c r="E347" s="16"/>
      <c r="F347" s="5"/>
      <c r="G347" s="16" t="s">
        <v>35</v>
      </c>
      <c r="H347" s="16"/>
      <c r="I347" s="16"/>
      <c r="J347" s="16"/>
      <c r="K347" s="16"/>
      <c r="L347" s="16"/>
      <c r="M347" s="16"/>
      <c r="N347" s="16"/>
      <c r="O347" s="17"/>
      <c r="P347" s="5" t="str">
        <f t="shared" si="8"/>
        <v>Truncate table CDCMEP7;</v>
      </c>
      <c r="Q347" s="5"/>
      <c r="R347" s="5"/>
    </row>
    <row r="348" spans="1:18" x14ac:dyDescent="0.25">
      <c r="B348" s="19" t="s">
        <v>595</v>
      </c>
      <c r="C348" s="305" t="s">
        <v>9858</v>
      </c>
      <c r="D348" s="16" t="s">
        <v>29</v>
      </c>
      <c r="E348" s="16"/>
      <c r="F348" s="5"/>
      <c r="G348" s="16" t="s">
        <v>35</v>
      </c>
      <c r="H348" s="16"/>
      <c r="I348" s="16"/>
      <c r="J348" s="16"/>
      <c r="K348" s="16"/>
      <c r="L348" s="16"/>
      <c r="M348" s="16"/>
      <c r="N348" s="16"/>
      <c r="O348" s="17"/>
      <c r="P348" s="5" t="str">
        <f t="shared" si="8"/>
        <v>Truncate table CDCPGM0;</v>
      </c>
      <c r="Q348" s="5"/>
      <c r="R348" s="5"/>
    </row>
    <row r="349" spans="1:18" x14ac:dyDescent="0.25">
      <c r="B349" s="19" t="s">
        <v>596</v>
      </c>
      <c r="C349" s="16" t="s">
        <v>8797</v>
      </c>
      <c r="D349" s="16" t="s">
        <v>29</v>
      </c>
      <c r="E349" s="16"/>
      <c r="F349" s="5"/>
      <c r="G349" s="16" t="s">
        <v>35</v>
      </c>
      <c r="H349" s="16"/>
      <c r="I349" s="16"/>
      <c r="J349" s="16"/>
      <c r="K349" s="16"/>
      <c r="L349" s="16"/>
      <c r="M349" s="16"/>
      <c r="N349" s="16"/>
      <c r="O349" s="17"/>
      <c r="P349" s="5" t="str">
        <f t="shared" si="8"/>
        <v>Truncate table CDCPRO0;</v>
      </c>
      <c r="Q349" s="5"/>
      <c r="R349" s="5"/>
    </row>
    <row r="350" spans="1:18" x14ac:dyDescent="0.25">
      <c r="B350" s="19" t="s">
        <v>597</v>
      </c>
      <c r="C350" s="26" t="s">
        <v>8798</v>
      </c>
      <c r="D350" s="16" t="s">
        <v>29</v>
      </c>
      <c r="E350" s="16"/>
      <c r="F350" s="5"/>
      <c r="G350" s="16" t="s">
        <v>35</v>
      </c>
      <c r="H350" s="16"/>
      <c r="I350" s="16"/>
      <c r="J350" s="16"/>
      <c r="K350" s="16"/>
      <c r="L350" s="16"/>
      <c r="M350" s="16"/>
      <c r="N350" s="16"/>
      <c r="O350" s="17"/>
      <c r="P350" s="5" t="str">
        <f t="shared" si="8"/>
        <v>Truncate table CDCPRO1;</v>
      </c>
      <c r="Q350" s="5"/>
      <c r="R350" s="5"/>
    </row>
    <row r="351" spans="1:18" x14ac:dyDescent="0.25">
      <c r="B351" s="19" t="s">
        <v>598</v>
      </c>
      <c r="C351" s="305" t="s">
        <v>9859</v>
      </c>
      <c r="D351" s="16" t="s">
        <v>29</v>
      </c>
      <c r="E351" s="16"/>
      <c r="F351" s="5"/>
      <c r="G351" s="16" t="s">
        <v>35</v>
      </c>
      <c r="H351" s="16"/>
      <c r="I351" s="16"/>
      <c r="J351" s="16"/>
      <c r="K351" s="16"/>
      <c r="L351" s="16"/>
      <c r="M351" s="16"/>
      <c r="N351" s="16"/>
      <c r="O351" s="17"/>
      <c r="P351" s="5" t="str">
        <f t="shared" si="8"/>
        <v>Truncate table CDCREP0;</v>
      </c>
      <c r="Q351" s="5"/>
      <c r="R351" s="5"/>
    </row>
    <row r="352" spans="1:18" s="306" customFormat="1" x14ac:dyDescent="0.25">
      <c r="A352" s="71"/>
      <c r="B352" s="307" t="s">
        <v>599</v>
      </c>
      <c r="C352" s="308"/>
      <c r="D352" s="308" t="s">
        <v>29</v>
      </c>
      <c r="E352" s="308"/>
      <c r="F352" s="308"/>
      <c r="G352" s="308" t="s">
        <v>35</v>
      </c>
      <c r="H352" s="308"/>
      <c r="I352" s="308"/>
      <c r="J352" s="308"/>
      <c r="K352" s="308"/>
      <c r="L352" s="308"/>
      <c r="M352" s="308"/>
      <c r="N352" s="308"/>
      <c r="O352" s="309"/>
      <c r="P352" s="308" t="str">
        <f t="shared" si="8"/>
        <v>Truncate table CDCREP01;</v>
      </c>
      <c r="Q352" s="308"/>
      <c r="R352" s="308"/>
    </row>
    <row r="353" spans="1:18" x14ac:dyDescent="0.25">
      <c r="B353" s="19" t="s">
        <v>600</v>
      </c>
      <c r="C353" s="305" t="s">
        <v>9860</v>
      </c>
      <c r="D353" s="16" t="s">
        <v>29</v>
      </c>
      <c r="E353" s="16"/>
      <c r="F353" s="5"/>
      <c r="G353" s="16" t="s">
        <v>35</v>
      </c>
      <c r="H353" s="16"/>
      <c r="I353" s="16"/>
      <c r="J353" s="16"/>
      <c r="K353" s="16"/>
      <c r="L353" s="16"/>
      <c r="M353" s="16"/>
      <c r="N353" s="16"/>
      <c r="O353" s="17"/>
      <c r="P353" s="5" t="str">
        <f t="shared" si="8"/>
        <v>Truncate table CDCSQL0;</v>
      </c>
      <c r="Q353" s="5"/>
      <c r="R353" s="5"/>
    </row>
    <row r="354" spans="1:18" s="306" customFormat="1" x14ac:dyDescent="0.25">
      <c r="A354" s="71"/>
      <c r="B354" s="307" t="s">
        <v>601</v>
      </c>
      <c r="C354" s="308"/>
      <c r="D354" s="308" t="s">
        <v>29</v>
      </c>
      <c r="E354" s="308"/>
      <c r="F354" s="308"/>
      <c r="G354" s="308" t="s">
        <v>35</v>
      </c>
      <c r="H354" s="308"/>
      <c r="I354" s="308"/>
      <c r="J354" s="308"/>
      <c r="K354" s="308"/>
      <c r="L354" s="308"/>
      <c r="M354" s="308"/>
      <c r="N354" s="308"/>
      <c r="O354" s="309"/>
      <c r="P354" s="308" t="str">
        <f t="shared" ref="P354:P417" si="9">IF(D354="Datos","Truncate table "&amp; B354&amp; ";","")</f>
        <v>Truncate table CDCSQL01;</v>
      </c>
      <c r="Q354" s="308"/>
      <c r="R354" s="308"/>
    </row>
    <row r="355" spans="1:18" x14ac:dyDescent="0.25">
      <c r="B355" s="19" t="s">
        <v>602</v>
      </c>
      <c r="C355" s="305" t="s">
        <v>9861</v>
      </c>
      <c r="D355" s="16" t="s">
        <v>29</v>
      </c>
      <c r="E355" s="16"/>
      <c r="F355" s="5"/>
      <c r="G355" s="16" t="s">
        <v>35</v>
      </c>
      <c r="H355" s="16"/>
      <c r="I355" s="16"/>
      <c r="J355" s="16"/>
      <c r="K355" s="16"/>
      <c r="L355" s="16"/>
      <c r="M355" s="16"/>
      <c r="N355" s="16"/>
      <c r="O355" s="17"/>
      <c r="P355" s="5" t="str">
        <f t="shared" si="9"/>
        <v>Truncate table CDCSQL1;</v>
      </c>
      <c r="Q355" s="5"/>
      <c r="R355" s="5"/>
    </row>
    <row r="356" spans="1:18" s="306" customFormat="1" x14ac:dyDescent="0.25">
      <c r="A356" s="71"/>
      <c r="B356" s="307" t="s">
        <v>603</v>
      </c>
      <c r="C356" s="308"/>
      <c r="D356" s="308" t="s">
        <v>29</v>
      </c>
      <c r="E356" s="308"/>
      <c r="F356" s="308"/>
      <c r="G356" s="308" t="s">
        <v>35</v>
      </c>
      <c r="H356" s="308"/>
      <c r="I356" s="308"/>
      <c r="J356" s="308"/>
      <c r="K356" s="308"/>
      <c r="L356" s="308"/>
      <c r="M356" s="308"/>
      <c r="N356" s="308"/>
      <c r="O356" s="309"/>
      <c r="P356" s="308" t="str">
        <f t="shared" si="9"/>
        <v>Truncate table CDCSQL12;</v>
      </c>
      <c r="Q356" s="308"/>
      <c r="R356" s="308"/>
    </row>
    <row r="357" spans="1:18" x14ac:dyDescent="0.25">
      <c r="B357" s="19" t="s">
        <v>604</v>
      </c>
      <c r="C357" s="305" t="s">
        <v>9862</v>
      </c>
      <c r="D357" s="16" t="s">
        <v>29</v>
      </c>
      <c r="E357" s="16"/>
      <c r="F357" s="5"/>
      <c r="G357" s="16" t="s">
        <v>35</v>
      </c>
      <c r="H357" s="16"/>
      <c r="I357" s="16"/>
      <c r="J357" s="16"/>
      <c r="K357" s="16"/>
      <c r="L357" s="16"/>
      <c r="M357" s="16"/>
      <c r="N357" s="16"/>
      <c r="O357" s="17"/>
      <c r="P357" s="5" t="str">
        <f t="shared" si="9"/>
        <v>Truncate table CDCSQL2;</v>
      </c>
      <c r="Q357" s="5"/>
      <c r="R357" s="5"/>
    </row>
    <row r="358" spans="1:18" x14ac:dyDescent="0.25">
      <c r="B358" s="19" t="s">
        <v>605</v>
      </c>
      <c r="C358" s="305" t="s">
        <v>9863</v>
      </c>
      <c r="D358" s="16" t="s">
        <v>29</v>
      </c>
      <c r="E358" s="16"/>
      <c r="F358" s="5"/>
      <c r="G358" s="16" t="s">
        <v>35</v>
      </c>
      <c r="H358" s="16"/>
      <c r="I358" s="16"/>
      <c r="J358" s="16"/>
      <c r="K358" s="16"/>
      <c r="L358" s="16"/>
      <c r="M358" s="16"/>
      <c r="N358" s="16"/>
      <c r="O358" s="17"/>
      <c r="P358" s="5" t="str">
        <f t="shared" si="9"/>
        <v>Truncate table CDCSQL3;</v>
      </c>
      <c r="Q358" s="5"/>
      <c r="R358" s="5"/>
    </row>
    <row r="359" spans="1:18" x14ac:dyDescent="0.25">
      <c r="B359" s="19" t="s">
        <v>606</v>
      </c>
      <c r="C359" s="16" t="s">
        <v>8799</v>
      </c>
      <c r="D359" s="16" t="s">
        <v>29</v>
      </c>
      <c r="E359" s="16"/>
      <c r="F359" s="5"/>
      <c r="G359" s="16" t="s">
        <v>35</v>
      </c>
      <c r="H359" s="16"/>
      <c r="I359" s="16"/>
      <c r="J359" s="16"/>
      <c r="K359" s="16"/>
      <c r="L359" s="16"/>
      <c r="M359" s="16"/>
      <c r="N359" s="16"/>
      <c r="O359" s="17"/>
      <c r="P359" s="5" t="str">
        <f t="shared" si="9"/>
        <v>Truncate table CDCSQL4;</v>
      </c>
      <c r="Q359" s="5"/>
      <c r="R359" s="5"/>
    </row>
    <row r="360" spans="1:18" x14ac:dyDescent="0.25">
      <c r="B360" s="19" t="s">
        <v>607</v>
      </c>
      <c r="C360" s="16" t="s">
        <v>8800</v>
      </c>
      <c r="D360" s="16" t="s">
        <v>29</v>
      </c>
      <c r="E360" s="16"/>
      <c r="F360" s="5"/>
      <c r="G360" s="16" t="s">
        <v>35</v>
      </c>
      <c r="H360" s="16"/>
      <c r="I360" s="16"/>
      <c r="J360" s="16"/>
      <c r="K360" s="16"/>
      <c r="L360" s="16"/>
      <c r="M360" s="16"/>
      <c r="N360" s="16"/>
      <c r="O360" s="17"/>
      <c r="P360" s="5" t="str">
        <f t="shared" si="9"/>
        <v>Truncate table CDCSQL5;</v>
      </c>
      <c r="Q360" s="5"/>
      <c r="R360" s="5"/>
    </row>
    <row r="361" spans="1:18" x14ac:dyDescent="0.25">
      <c r="B361" s="19" t="s">
        <v>608</v>
      </c>
      <c r="C361" s="305" t="s">
        <v>9864</v>
      </c>
      <c r="D361" s="16" t="s">
        <v>29</v>
      </c>
      <c r="E361" s="16"/>
      <c r="F361" s="5"/>
      <c r="G361" s="16" t="s">
        <v>35</v>
      </c>
      <c r="H361" s="16"/>
      <c r="I361" s="16"/>
      <c r="J361" s="16"/>
      <c r="K361" s="16"/>
      <c r="L361" s="16"/>
      <c r="M361" s="16"/>
      <c r="N361" s="16"/>
      <c r="O361" s="17"/>
      <c r="P361" s="5" t="str">
        <f t="shared" si="9"/>
        <v>Truncate table CDCTPO0;</v>
      </c>
      <c r="Q361" s="5"/>
      <c r="R361" s="5"/>
    </row>
    <row r="362" spans="1:18" s="306" customFormat="1" x14ac:dyDescent="0.25">
      <c r="A362" s="71"/>
      <c r="B362" s="307" t="s">
        <v>609</v>
      </c>
      <c r="C362" s="308"/>
      <c r="D362" s="308" t="s">
        <v>29</v>
      </c>
      <c r="E362" s="308"/>
      <c r="F362" s="308"/>
      <c r="G362" s="308" t="s">
        <v>35</v>
      </c>
      <c r="H362" s="308"/>
      <c r="I362" s="308"/>
      <c r="J362" s="308"/>
      <c r="K362" s="308"/>
      <c r="L362" s="308"/>
      <c r="M362" s="308"/>
      <c r="N362" s="308"/>
      <c r="O362" s="309"/>
      <c r="P362" s="308" t="str">
        <f t="shared" si="9"/>
        <v>Truncate table CDCTPO1;</v>
      </c>
      <c r="Q362" s="308"/>
      <c r="R362" s="308"/>
    </row>
    <row r="363" spans="1:18" s="306" customFormat="1" x14ac:dyDescent="0.25">
      <c r="A363" s="71"/>
      <c r="B363" s="307" t="s">
        <v>610</v>
      </c>
      <c r="C363" s="308"/>
      <c r="D363" s="308" t="s">
        <v>29</v>
      </c>
      <c r="E363" s="308"/>
      <c r="F363" s="308"/>
      <c r="G363" s="308" t="s">
        <v>35</v>
      </c>
      <c r="H363" s="308"/>
      <c r="I363" s="308"/>
      <c r="J363" s="308"/>
      <c r="K363" s="308"/>
      <c r="L363" s="308"/>
      <c r="M363" s="308"/>
      <c r="N363" s="308"/>
      <c r="O363" s="309"/>
      <c r="P363" s="308" t="str">
        <f t="shared" si="9"/>
        <v>Truncate table CDCTPO2;</v>
      </c>
      <c r="Q363" s="308"/>
      <c r="R363" s="308"/>
    </row>
    <row r="364" spans="1:18" x14ac:dyDescent="0.25">
      <c r="B364" s="19" t="s">
        <v>611</v>
      </c>
      <c r="C364" s="305" t="s">
        <v>9865</v>
      </c>
      <c r="D364" s="16" t="s">
        <v>29</v>
      </c>
      <c r="E364" s="16"/>
      <c r="F364" s="5"/>
      <c r="G364" s="16" t="s">
        <v>35</v>
      </c>
      <c r="H364" s="16"/>
      <c r="I364" s="16"/>
      <c r="J364" s="16"/>
      <c r="K364" s="16"/>
      <c r="L364" s="16"/>
      <c r="M364" s="16"/>
      <c r="N364" s="16"/>
      <c r="O364" s="17"/>
      <c r="P364" s="5" t="str">
        <f t="shared" si="9"/>
        <v>Truncate table CDCVAL0;</v>
      </c>
      <c r="Q364" s="5"/>
      <c r="R364" s="5"/>
    </row>
    <row r="365" spans="1:18" s="306" customFormat="1" x14ac:dyDescent="0.25">
      <c r="A365" s="71"/>
      <c r="B365" s="307" t="s">
        <v>612</v>
      </c>
      <c r="C365" s="308"/>
      <c r="D365" s="308" t="s">
        <v>29</v>
      </c>
      <c r="E365" s="308"/>
      <c r="F365" s="308"/>
      <c r="G365" s="308" t="s">
        <v>35</v>
      </c>
      <c r="H365" s="308"/>
      <c r="I365" s="308"/>
      <c r="J365" s="308"/>
      <c r="K365" s="308"/>
      <c r="L365" s="308"/>
      <c r="M365" s="308"/>
      <c r="N365" s="308"/>
      <c r="O365" s="309"/>
      <c r="P365" s="308" t="str">
        <f t="shared" si="9"/>
        <v>Truncate table CDCVAL01;</v>
      </c>
      <c r="Q365" s="308"/>
      <c r="R365" s="308"/>
    </row>
    <row r="366" spans="1:18" x14ac:dyDescent="0.25">
      <c r="B366" s="19" t="s">
        <v>613</v>
      </c>
      <c r="C366" s="305" t="s">
        <v>9866</v>
      </c>
      <c r="D366" s="16" t="s">
        <v>29</v>
      </c>
      <c r="E366" s="16"/>
      <c r="F366" s="5"/>
      <c r="G366" s="16" t="s">
        <v>35</v>
      </c>
      <c r="H366" s="16"/>
      <c r="I366" s="16"/>
      <c r="J366" s="16"/>
      <c r="K366" s="16"/>
      <c r="L366" s="16"/>
      <c r="M366" s="16"/>
      <c r="N366" s="16"/>
      <c r="O366" s="17"/>
      <c r="P366" s="5" t="str">
        <f t="shared" si="9"/>
        <v>Truncate table CDECFG;</v>
      </c>
      <c r="Q366" s="5"/>
      <c r="R366" s="5"/>
    </row>
    <row r="367" spans="1:18" x14ac:dyDescent="0.25">
      <c r="B367" s="19" t="s">
        <v>614</v>
      </c>
      <c r="C367" s="305" t="s">
        <v>9867</v>
      </c>
      <c r="D367" s="16" t="s">
        <v>29</v>
      </c>
      <c r="E367" s="16"/>
      <c r="F367" s="5"/>
      <c r="G367" s="16" t="s">
        <v>35</v>
      </c>
      <c r="H367" s="16"/>
      <c r="I367" s="16"/>
      <c r="J367" s="16"/>
      <c r="K367" s="16"/>
      <c r="L367" s="16"/>
      <c r="M367" s="16"/>
      <c r="N367" s="16"/>
      <c r="O367" s="17"/>
      <c r="P367" s="5" t="str">
        <f t="shared" si="9"/>
        <v>Truncate table CDEDBG0;</v>
      </c>
      <c r="Q367" s="5"/>
      <c r="R367" s="5"/>
    </row>
    <row r="368" spans="1:18" x14ac:dyDescent="0.25">
      <c r="B368" s="19" t="s">
        <v>615</v>
      </c>
      <c r="C368" s="305" t="s">
        <v>9868</v>
      </c>
      <c r="D368" s="16" t="s">
        <v>29</v>
      </c>
      <c r="E368" s="16"/>
      <c r="F368" s="5"/>
      <c r="G368" s="16" t="s">
        <v>35</v>
      </c>
      <c r="H368" s="16"/>
      <c r="I368" s="16"/>
      <c r="J368" s="16"/>
      <c r="K368" s="16"/>
      <c r="L368" s="16"/>
      <c r="M368" s="16"/>
      <c r="N368" s="16"/>
      <c r="O368" s="17"/>
      <c r="P368" s="5" t="str">
        <f t="shared" si="9"/>
        <v>Truncate table CDEEST0;</v>
      </c>
      <c r="Q368" s="5"/>
      <c r="R368" s="5"/>
    </row>
    <row r="369" spans="2:18" x14ac:dyDescent="0.25">
      <c r="B369" s="19" t="s">
        <v>616</v>
      </c>
      <c r="C369" s="16" t="s">
        <v>8801</v>
      </c>
      <c r="D369" s="16" t="s">
        <v>29</v>
      </c>
      <c r="E369" s="16"/>
      <c r="F369" s="5"/>
      <c r="G369" s="16" t="s">
        <v>35</v>
      </c>
      <c r="H369" s="16"/>
      <c r="I369" s="16"/>
      <c r="J369" s="16"/>
      <c r="K369" s="16"/>
      <c r="L369" s="16"/>
      <c r="M369" s="16"/>
      <c r="N369" s="16"/>
      <c r="O369" s="17"/>
      <c r="P369" s="5" t="str">
        <f t="shared" si="9"/>
        <v>Truncate table CDEINL0;</v>
      </c>
      <c r="Q369" s="5"/>
      <c r="R369" s="5"/>
    </row>
    <row r="370" spans="2:18" x14ac:dyDescent="0.25">
      <c r="B370" s="19" t="s">
        <v>617</v>
      </c>
      <c r="C370" s="305" t="s">
        <v>9869</v>
      </c>
      <c r="D370" s="16" t="s">
        <v>29</v>
      </c>
      <c r="E370" s="16"/>
      <c r="F370" s="5"/>
      <c r="G370" s="16" t="s">
        <v>35</v>
      </c>
      <c r="H370" s="16"/>
      <c r="I370" s="16"/>
      <c r="J370" s="16"/>
      <c r="K370" s="16"/>
      <c r="L370" s="16"/>
      <c r="M370" s="16"/>
      <c r="N370" s="16"/>
      <c r="O370" s="17"/>
      <c r="P370" s="5" t="str">
        <f t="shared" si="9"/>
        <v>Truncate table CDEINS0;</v>
      </c>
      <c r="Q370" s="5"/>
      <c r="R370" s="5"/>
    </row>
    <row r="371" spans="2:18" x14ac:dyDescent="0.25">
      <c r="B371" s="19" t="s">
        <v>618</v>
      </c>
      <c r="C371" s="16" t="s">
        <v>8802</v>
      </c>
      <c r="D371" s="16" t="s">
        <v>29</v>
      </c>
      <c r="E371" s="16"/>
      <c r="F371" s="5"/>
      <c r="G371" s="16" t="s">
        <v>35</v>
      </c>
      <c r="H371" s="16"/>
      <c r="I371" s="16"/>
      <c r="J371" s="16"/>
      <c r="K371" s="16"/>
      <c r="L371" s="16"/>
      <c r="M371" s="16"/>
      <c r="N371" s="16"/>
      <c r="O371" s="17"/>
      <c r="P371" s="5" t="str">
        <f t="shared" si="9"/>
        <v>Truncate table CDEINS1;</v>
      </c>
      <c r="Q371" s="5"/>
      <c r="R371" s="5"/>
    </row>
    <row r="372" spans="2:18" x14ac:dyDescent="0.25">
      <c r="B372" s="19" t="s">
        <v>619</v>
      </c>
      <c r="C372" s="16" t="s">
        <v>8803</v>
      </c>
      <c r="D372" s="16" t="s">
        <v>29</v>
      </c>
      <c r="E372" s="16"/>
      <c r="F372" s="5"/>
      <c r="G372" s="16" t="s">
        <v>35</v>
      </c>
      <c r="H372" s="16"/>
      <c r="I372" s="16"/>
      <c r="J372" s="16"/>
      <c r="K372" s="16"/>
      <c r="L372" s="16"/>
      <c r="M372" s="16"/>
      <c r="N372" s="16"/>
      <c r="O372" s="17"/>
      <c r="P372" s="5" t="str">
        <f t="shared" si="9"/>
        <v>Truncate table CDEINS2;</v>
      </c>
      <c r="Q372" s="5"/>
      <c r="R372" s="5"/>
    </row>
    <row r="373" spans="2:18" x14ac:dyDescent="0.25">
      <c r="B373" s="19" t="s">
        <v>620</v>
      </c>
      <c r="C373" s="16" t="s">
        <v>8804</v>
      </c>
      <c r="D373" s="16" t="s">
        <v>29</v>
      </c>
      <c r="E373" s="16"/>
      <c r="F373" s="5"/>
      <c r="G373" s="16" t="s">
        <v>35</v>
      </c>
      <c r="H373" s="16"/>
      <c r="I373" s="16"/>
      <c r="J373" s="16"/>
      <c r="K373" s="16"/>
      <c r="L373" s="16"/>
      <c r="M373" s="16"/>
      <c r="N373" s="16"/>
      <c r="O373" s="17"/>
      <c r="P373" s="5" t="str">
        <f t="shared" si="9"/>
        <v>Truncate table CDEINS3;</v>
      </c>
      <c r="Q373" s="5"/>
      <c r="R373" s="5"/>
    </row>
    <row r="374" spans="2:18" x14ac:dyDescent="0.25">
      <c r="B374" s="19" t="s">
        <v>621</v>
      </c>
      <c r="C374" s="16" t="s">
        <v>8805</v>
      </c>
      <c r="D374" s="16" t="s">
        <v>29</v>
      </c>
      <c r="E374" s="16"/>
      <c r="F374" s="5"/>
      <c r="G374" s="16" t="s">
        <v>35</v>
      </c>
      <c r="H374" s="16"/>
      <c r="I374" s="16"/>
      <c r="J374" s="16"/>
      <c r="K374" s="16"/>
      <c r="L374" s="16"/>
      <c r="M374" s="16"/>
      <c r="N374" s="16"/>
      <c r="O374" s="17"/>
      <c r="P374" s="5" t="str">
        <f t="shared" si="9"/>
        <v>Truncate table CDEINS4;</v>
      </c>
      <c r="Q374" s="5"/>
      <c r="R374" s="5"/>
    </row>
    <row r="375" spans="2:18" x14ac:dyDescent="0.25">
      <c r="B375" s="19" t="s">
        <v>622</v>
      </c>
      <c r="C375" s="16" t="s">
        <v>8806</v>
      </c>
      <c r="D375" s="16" t="s">
        <v>29</v>
      </c>
      <c r="E375" s="16"/>
      <c r="F375" s="5"/>
      <c r="G375" s="16" t="s">
        <v>35</v>
      </c>
      <c r="H375" s="16"/>
      <c r="I375" s="16"/>
      <c r="J375" s="16"/>
      <c r="K375" s="16"/>
      <c r="L375" s="16"/>
      <c r="M375" s="16"/>
      <c r="N375" s="16"/>
      <c r="O375" s="17"/>
      <c r="P375" s="5" t="str">
        <f t="shared" si="9"/>
        <v>Truncate table CDEINS5;</v>
      </c>
      <c r="Q375" s="5"/>
      <c r="R375" s="5"/>
    </row>
    <row r="376" spans="2:18" x14ac:dyDescent="0.25">
      <c r="B376" s="19" t="s">
        <v>623</v>
      </c>
      <c r="C376" s="16" t="s">
        <v>8807</v>
      </c>
      <c r="D376" s="16" t="s">
        <v>29</v>
      </c>
      <c r="E376" s="16"/>
      <c r="F376" s="5"/>
      <c r="G376" s="16" t="s">
        <v>35</v>
      </c>
      <c r="H376" s="16"/>
      <c r="I376" s="16"/>
      <c r="J376" s="16"/>
      <c r="K376" s="16"/>
      <c r="L376" s="16"/>
      <c r="M376" s="16"/>
      <c r="N376" s="16"/>
      <c r="O376" s="17"/>
      <c r="P376" s="5" t="str">
        <f t="shared" si="9"/>
        <v>Truncate table CDEINS6;</v>
      </c>
      <c r="Q376" s="5"/>
      <c r="R376" s="5"/>
    </row>
    <row r="377" spans="2:18" x14ac:dyDescent="0.25">
      <c r="B377" s="19" t="s">
        <v>624</v>
      </c>
      <c r="C377" s="16" t="s">
        <v>8808</v>
      </c>
      <c r="D377" s="16" t="s">
        <v>29</v>
      </c>
      <c r="E377" s="16"/>
      <c r="F377" s="5"/>
      <c r="G377" s="16" t="s">
        <v>35</v>
      </c>
      <c r="H377" s="16"/>
      <c r="I377" s="16"/>
      <c r="J377" s="16"/>
      <c r="K377" s="16"/>
      <c r="L377" s="16"/>
      <c r="M377" s="16"/>
      <c r="N377" s="16"/>
      <c r="O377" s="17"/>
      <c r="P377" s="5" t="str">
        <f t="shared" si="9"/>
        <v>Truncate table CDEINS7;</v>
      </c>
      <c r="Q377" s="5"/>
      <c r="R377" s="5"/>
    </row>
    <row r="378" spans="2:18" x14ac:dyDescent="0.25">
      <c r="B378" s="19" t="s">
        <v>625</v>
      </c>
      <c r="C378" s="16" t="s">
        <v>8809</v>
      </c>
      <c r="D378" s="16" t="s">
        <v>29</v>
      </c>
      <c r="E378" s="16"/>
      <c r="F378" s="5"/>
      <c r="G378" s="16" t="s">
        <v>35</v>
      </c>
      <c r="H378" s="16"/>
      <c r="I378" s="16"/>
      <c r="J378" s="16"/>
      <c r="K378" s="16"/>
      <c r="L378" s="16"/>
      <c r="M378" s="16"/>
      <c r="N378" s="16"/>
      <c r="O378" s="17"/>
      <c r="P378" s="5" t="str">
        <f t="shared" si="9"/>
        <v>Truncate table CDEINS8;</v>
      </c>
      <c r="Q378" s="5"/>
      <c r="R378" s="5"/>
    </row>
    <row r="379" spans="2:18" x14ac:dyDescent="0.25">
      <c r="B379" s="19" t="s">
        <v>626</v>
      </c>
      <c r="C379" s="16" t="s">
        <v>8810</v>
      </c>
      <c r="D379" s="16" t="s">
        <v>29</v>
      </c>
      <c r="E379" s="16"/>
      <c r="F379" s="5"/>
      <c r="G379" s="16" t="s">
        <v>35</v>
      </c>
      <c r="H379" s="16"/>
      <c r="I379" s="16"/>
      <c r="J379" s="16"/>
      <c r="K379" s="16"/>
      <c r="L379" s="16"/>
      <c r="M379" s="16"/>
      <c r="N379" s="16"/>
      <c r="O379" s="17"/>
      <c r="P379" s="5" t="str">
        <f t="shared" si="9"/>
        <v>Truncate table CDEINS9;</v>
      </c>
      <c r="Q379" s="5"/>
      <c r="R379" s="5"/>
    </row>
    <row r="380" spans="2:18" x14ac:dyDescent="0.25">
      <c r="B380" s="19" t="s">
        <v>627</v>
      </c>
      <c r="C380" s="16" t="s">
        <v>8811</v>
      </c>
      <c r="D380" s="16" t="s">
        <v>29</v>
      </c>
      <c r="E380" s="16"/>
      <c r="F380" s="5"/>
      <c r="G380" s="16" t="s">
        <v>35</v>
      </c>
      <c r="H380" s="16"/>
      <c r="I380" s="16"/>
      <c r="J380" s="16"/>
      <c r="K380" s="16"/>
      <c r="L380" s="16"/>
      <c r="M380" s="16"/>
      <c r="N380" s="16"/>
      <c r="O380" s="17"/>
      <c r="P380" s="5" t="str">
        <f t="shared" si="9"/>
        <v>Truncate table CDEINSA;</v>
      </c>
      <c r="Q380" s="5"/>
      <c r="R380" s="5"/>
    </row>
    <row r="381" spans="2:18" x14ac:dyDescent="0.25">
      <c r="B381" s="19" t="s">
        <v>628</v>
      </c>
      <c r="C381" s="16" t="s">
        <v>8812</v>
      </c>
      <c r="D381" s="16" t="s">
        <v>29</v>
      </c>
      <c r="E381" s="16"/>
      <c r="F381" s="5"/>
      <c r="G381" s="16" t="s">
        <v>35</v>
      </c>
      <c r="H381" s="16"/>
      <c r="I381" s="16"/>
      <c r="J381" s="16"/>
      <c r="K381" s="16"/>
      <c r="L381" s="16"/>
      <c r="M381" s="16"/>
      <c r="N381" s="16"/>
      <c r="O381" s="17"/>
      <c r="P381" s="5" t="str">
        <f t="shared" si="9"/>
        <v>Truncate table CDEINSB;</v>
      </c>
      <c r="Q381" s="5"/>
      <c r="R381" s="5"/>
    </row>
    <row r="382" spans="2:18" x14ac:dyDescent="0.25">
      <c r="B382" s="19" t="s">
        <v>629</v>
      </c>
      <c r="C382" s="16" t="s">
        <v>8813</v>
      </c>
      <c r="D382" s="16" t="s">
        <v>29</v>
      </c>
      <c r="E382" s="16"/>
      <c r="F382" s="5"/>
      <c r="G382" s="16" t="s">
        <v>35</v>
      </c>
      <c r="H382" s="16"/>
      <c r="I382" s="16"/>
      <c r="J382" s="16"/>
      <c r="K382" s="16"/>
      <c r="L382" s="16"/>
      <c r="M382" s="16"/>
      <c r="N382" s="16"/>
      <c r="O382" s="17"/>
      <c r="P382" s="5" t="str">
        <f t="shared" si="9"/>
        <v>Truncate table CDEINSC;</v>
      </c>
      <c r="Q382" s="5"/>
      <c r="R382" s="5"/>
    </row>
    <row r="383" spans="2:18" x14ac:dyDescent="0.25">
      <c r="B383" s="19" t="s">
        <v>630</v>
      </c>
      <c r="C383" s="16" t="s">
        <v>8814</v>
      </c>
      <c r="D383" s="16" t="s">
        <v>29</v>
      </c>
      <c r="E383" s="16"/>
      <c r="F383" s="5"/>
      <c r="G383" s="16" t="s">
        <v>35</v>
      </c>
      <c r="H383" s="16"/>
      <c r="I383" s="16"/>
      <c r="J383" s="16"/>
      <c r="K383" s="16"/>
      <c r="L383" s="16"/>
      <c r="M383" s="16"/>
      <c r="N383" s="16"/>
      <c r="O383" s="17"/>
      <c r="P383" s="5" t="str">
        <f t="shared" si="9"/>
        <v>Truncate table CDEINSD;</v>
      </c>
      <c r="Q383" s="5"/>
      <c r="R383" s="5"/>
    </row>
    <row r="384" spans="2:18" x14ac:dyDescent="0.25">
      <c r="B384" s="19" t="s">
        <v>631</v>
      </c>
      <c r="C384" s="16" t="s">
        <v>8815</v>
      </c>
      <c r="D384" s="16" t="s">
        <v>29</v>
      </c>
      <c r="E384" s="16"/>
      <c r="F384" s="5"/>
      <c r="G384" s="16" t="s">
        <v>35</v>
      </c>
      <c r="H384" s="16"/>
      <c r="I384" s="16"/>
      <c r="J384" s="16"/>
      <c r="K384" s="16"/>
      <c r="L384" s="16"/>
      <c r="M384" s="16"/>
      <c r="N384" s="16"/>
      <c r="O384" s="17"/>
      <c r="P384" s="5" t="str">
        <f t="shared" si="9"/>
        <v>Truncate table CDEINSE;</v>
      </c>
      <c r="Q384" s="5"/>
      <c r="R384" s="5"/>
    </row>
    <row r="385" spans="1:18" x14ac:dyDescent="0.25">
      <c r="B385" s="19" t="s">
        <v>632</v>
      </c>
      <c r="C385" s="16" t="s">
        <v>8816</v>
      </c>
      <c r="D385" s="16" t="s">
        <v>29</v>
      </c>
      <c r="E385" s="16"/>
      <c r="F385" s="5"/>
      <c r="G385" s="16" t="s">
        <v>35</v>
      </c>
      <c r="H385" s="16"/>
      <c r="I385" s="16"/>
      <c r="J385" s="16"/>
      <c r="K385" s="16"/>
      <c r="L385" s="16"/>
      <c r="M385" s="16"/>
      <c r="N385" s="16"/>
      <c r="O385" s="17"/>
      <c r="P385" s="5" t="str">
        <f t="shared" si="9"/>
        <v>Truncate table CDEINSF;</v>
      </c>
      <c r="Q385" s="5"/>
      <c r="R385" s="5"/>
    </row>
    <row r="386" spans="1:18" x14ac:dyDescent="0.25">
      <c r="B386" s="19" t="s">
        <v>633</v>
      </c>
      <c r="C386" s="305" t="s">
        <v>9870</v>
      </c>
      <c r="D386" s="16" t="s">
        <v>29</v>
      </c>
      <c r="E386" s="16"/>
      <c r="F386" s="5"/>
      <c r="G386" s="16" t="s">
        <v>35</v>
      </c>
      <c r="H386" s="16"/>
      <c r="I386" s="16"/>
      <c r="J386" s="16"/>
      <c r="K386" s="16"/>
      <c r="L386" s="16"/>
      <c r="M386" s="16"/>
      <c r="N386" s="16"/>
      <c r="O386" s="17"/>
      <c r="P386" s="5" t="str">
        <f t="shared" si="9"/>
        <v>Truncate table CDENUM0;</v>
      </c>
      <c r="Q386" s="5"/>
      <c r="R386" s="5"/>
    </row>
    <row r="387" spans="1:18" x14ac:dyDescent="0.25">
      <c r="B387" s="19" t="s">
        <v>634</v>
      </c>
      <c r="C387" s="16" t="s">
        <v>8817</v>
      </c>
      <c r="D387" s="16" t="s">
        <v>29</v>
      </c>
      <c r="E387" s="16"/>
      <c r="F387" s="5"/>
      <c r="G387" s="16" t="s">
        <v>35</v>
      </c>
      <c r="H387" s="16"/>
      <c r="I387" s="16"/>
      <c r="J387" s="16"/>
      <c r="K387" s="16"/>
      <c r="L387" s="16"/>
      <c r="M387" s="16"/>
      <c r="N387" s="16"/>
      <c r="O387" s="17"/>
      <c r="P387" s="5" t="str">
        <f t="shared" si="9"/>
        <v>Truncate table CDESIM0;</v>
      </c>
      <c r="Q387" s="5"/>
      <c r="R387" s="5"/>
    </row>
    <row r="388" spans="1:18" x14ac:dyDescent="0.25">
      <c r="B388" s="19" t="s">
        <v>635</v>
      </c>
      <c r="C388" s="16" t="s">
        <v>8818</v>
      </c>
      <c r="D388" s="16" t="s">
        <v>29</v>
      </c>
      <c r="E388" s="16"/>
      <c r="F388" s="5"/>
      <c r="G388" s="16" t="s">
        <v>35</v>
      </c>
      <c r="H388" s="16"/>
      <c r="I388" s="16"/>
      <c r="J388" s="16"/>
      <c r="K388" s="16"/>
      <c r="L388" s="16"/>
      <c r="M388" s="16"/>
      <c r="N388" s="16"/>
      <c r="O388" s="17"/>
      <c r="P388" s="5" t="str">
        <f t="shared" si="9"/>
        <v>Truncate table CDESIM1;</v>
      </c>
      <c r="Q388" s="5"/>
      <c r="R388" s="5"/>
    </row>
    <row r="389" spans="1:18" x14ac:dyDescent="0.25">
      <c r="B389" s="19" t="s">
        <v>636</v>
      </c>
      <c r="C389" s="305" t="s">
        <v>9871</v>
      </c>
      <c r="D389" s="16" t="s">
        <v>29</v>
      </c>
      <c r="E389" s="16"/>
      <c r="F389" s="5"/>
      <c r="G389" s="16" t="s">
        <v>35</v>
      </c>
      <c r="H389" s="16"/>
      <c r="I389" s="16"/>
      <c r="J389" s="16"/>
      <c r="K389" s="16"/>
      <c r="L389" s="16"/>
      <c r="M389" s="16"/>
      <c r="N389" s="16"/>
      <c r="O389" s="17"/>
      <c r="P389" s="5" t="str">
        <f t="shared" si="9"/>
        <v>Truncate table CENDEU;</v>
      </c>
      <c r="Q389" s="5"/>
      <c r="R389" s="5"/>
    </row>
    <row r="390" spans="1:18" x14ac:dyDescent="0.25">
      <c r="B390" s="19" t="s">
        <v>637</v>
      </c>
      <c r="C390" s="305" t="s">
        <v>9872</v>
      </c>
      <c r="D390" s="16" t="s">
        <v>29</v>
      </c>
      <c r="E390" s="16"/>
      <c r="F390" s="5"/>
      <c r="G390" s="16" t="s">
        <v>35</v>
      </c>
      <c r="H390" s="16"/>
      <c r="I390" s="16"/>
      <c r="J390" s="16"/>
      <c r="K390" s="16"/>
      <c r="L390" s="16"/>
      <c r="M390" s="16"/>
      <c r="N390" s="16"/>
      <c r="O390" s="17"/>
      <c r="P390" s="5" t="str">
        <f t="shared" si="9"/>
        <v>Truncate table CENDEU2;</v>
      </c>
      <c r="Q390" s="5"/>
      <c r="R390" s="5"/>
    </row>
    <row r="391" spans="1:18" x14ac:dyDescent="0.25">
      <c r="B391" s="19" t="s">
        <v>638</v>
      </c>
      <c r="C391" s="16" t="s">
        <v>8819</v>
      </c>
      <c r="D391" s="16" t="s">
        <v>29</v>
      </c>
      <c r="E391" s="16"/>
      <c r="F391" s="5"/>
      <c r="G391" s="16" t="s">
        <v>35</v>
      </c>
      <c r="H391" s="16"/>
      <c r="I391" s="16"/>
      <c r="J391" s="16"/>
      <c r="K391" s="16"/>
      <c r="L391" s="16"/>
      <c r="M391" s="16"/>
      <c r="N391" s="16"/>
      <c r="O391" s="17"/>
      <c r="P391" s="5" t="str">
        <f t="shared" si="9"/>
        <v>Truncate table CEQ011;</v>
      </c>
      <c r="Q391" s="5"/>
      <c r="R391" s="5"/>
    </row>
    <row r="392" spans="1:18" x14ac:dyDescent="0.25">
      <c r="B392" s="19" t="s">
        <v>639</v>
      </c>
      <c r="C392" s="16" t="s">
        <v>8820</v>
      </c>
      <c r="D392" s="16" t="s">
        <v>29</v>
      </c>
      <c r="E392" s="16"/>
      <c r="F392" s="5"/>
      <c r="G392" s="16" t="s">
        <v>35</v>
      </c>
      <c r="H392" s="16"/>
      <c r="I392" s="16"/>
      <c r="J392" s="16"/>
      <c r="K392" s="16"/>
      <c r="L392" s="16"/>
      <c r="M392" s="16"/>
      <c r="N392" s="16"/>
      <c r="O392" s="17"/>
      <c r="P392" s="5" t="str">
        <f t="shared" si="9"/>
        <v>Truncate table CEQ014;</v>
      </c>
      <c r="Q392" s="5"/>
      <c r="R392" s="5"/>
    </row>
    <row r="393" spans="1:18" s="306" customFormat="1" x14ac:dyDescent="0.25">
      <c r="A393" s="71"/>
      <c r="B393" s="307" t="s">
        <v>640</v>
      </c>
      <c r="C393" s="308"/>
      <c r="D393" s="308" t="s">
        <v>29</v>
      </c>
      <c r="E393" s="308"/>
      <c r="F393" s="308"/>
      <c r="G393" s="308" t="s">
        <v>35</v>
      </c>
      <c r="H393" s="308"/>
      <c r="I393" s="308"/>
      <c r="J393" s="308"/>
      <c r="K393" s="308"/>
      <c r="L393" s="308"/>
      <c r="M393" s="308"/>
      <c r="N393" s="308"/>
      <c r="O393" s="309"/>
      <c r="P393" s="308" t="str">
        <f t="shared" si="9"/>
        <v>Truncate table CEQ097;</v>
      </c>
      <c r="Q393" s="308"/>
      <c r="R393" s="308"/>
    </row>
    <row r="394" spans="1:18" s="324" customFormat="1" x14ac:dyDescent="0.25">
      <c r="A394" s="71"/>
      <c r="B394" s="325" t="s">
        <v>641</v>
      </c>
      <c r="C394" s="380"/>
      <c r="D394" s="326" t="s">
        <v>29</v>
      </c>
      <c r="E394" s="326"/>
      <c r="F394" s="326"/>
      <c r="G394" s="326" t="s">
        <v>35</v>
      </c>
      <c r="H394" s="326"/>
      <c r="I394" s="326"/>
      <c r="J394" s="326"/>
      <c r="K394" s="326"/>
      <c r="L394" s="326"/>
      <c r="M394" s="326"/>
      <c r="N394" s="326"/>
      <c r="O394" s="327"/>
      <c r="P394" s="326" t="str">
        <f t="shared" si="9"/>
        <v>Truncate table CEQ230;</v>
      </c>
      <c r="Q394" s="326"/>
      <c r="R394" s="326"/>
    </row>
    <row r="395" spans="1:18" x14ac:dyDescent="0.25">
      <c r="B395" s="19" t="s">
        <v>642</v>
      </c>
      <c r="C395" s="16" t="s">
        <v>8821</v>
      </c>
      <c r="D395" s="16" t="s">
        <v>29</v>
      </c>
      <c r="E395" s="16"/>
      <c r="F395" s="5"/>
      <c r="G395" s="16" t="s">
        <v>35</v>
      </c>
      <c r="H395" s="16"/>
      <c r="I395" s="16"/>
      <c r="J395" s="16"/>
      <c r="K395" s="16"/>
      <c r="L395" s="16"/>
      <c r="M395" s="16"/>
      <c r="N395" s="16"/>
      <c r="O395" s="17"/>
      <c r="P395" s="5" t="str">
        <f t="shared" si="9"/>
        <v>Truncate table CEQ297;</v>
      </c>
      <c r="Q395" s="5"/>
      <c r="R395" s="5"/>
    </row>
    <row r="396" spans="1:18" s="306" customFormat="1" x14ac:dyDescent="0.25">
      <c r="A396" s="71"/>
      <c r="B396" s="307" t="s">
        <v>643</v>
      </c>
      <c r="C396" s="308"/>
      <c r="D396" s="308" t="s">
        <v>29</v>
      </c>
      <c r="E396" s="308"/>
      <c r="F396" s="308"/>
      <c r="G396" s="308" t="s">
        <v>35</v>
      </c>
      <c r="H396" s="308"/>
      <c r="I396" s="308"/>
      <c r="J396" s="308"/>
      <c r="K396" s="308"/>
      <c r="L396" s="308"/>
      <c r="M396" s="308"/>
      <c r="N396" s="308"/>
      <c r="O396" s="309"/>
      <c r="P396" s="308" t="str">
        <f t="shared" si="9"/>
        <v>Truncate table CEQTI3;</v>
      </c>
      <c r="Q396" s="308"/>
      <c r="R396" s="308"/>
    </row>
    <row r="397" spans="1:18" x14ac:dyDescent="0.25">
      <c r="B397" s="19" t="s">
        <v>644</v>
      </c>
      <c r="C397" s="16" t="s">
        <v>8822</v>
      </c>
      <c r="D397" s="16" t="s">
        <v>8152</v>
      </c>
      <c r="E397" s="16"/>
      <c r="F397" s="5"/>
      <c r="G397" s="16" t="s">
        <v>35</v>
      </c>
      <c r="H397" s="16"/>
      <c r="I397" s="16"/>
      <c r="J397" s="16"/>
      <c r="K397" s="16"/>
      <c r="L397" s="16"/>
      <c r="M397" s="16"/>
      <c r="N397" s="16"/>
      <c r="O397" s="17"/>
      <c r="P397" s="5" t="str">
        <f t="shared" si="9"/>
        <v/>
      </c>
      <c r="Q397" s="5"/>
      <c r="R397" s="5"/>
    </row>
    <row r="398" spans="1:18" x14ac:dyDescent="0.25">
      <c r="B398" s="19" t="s">
        <v>645</v>
      </c>
      <c r="C398" s="16" t="s">
        <v>8823</v>
      </c>
      <c r="D398" s="16" t="s">
        <v>29</v>
      </c>
      <c r="E398" s="16"/>
      <c r="F398" s="5"/>
      <c r="G398" s="16" t="s">
        <v>35</v>
      </c>
      <c r="H398" s="16"/>
      <c r="I398" s="16"/>
      <c r="J398" s="16"/>
      <c r="K398" s="16"/>
      <c r="L398" s="16"/>
      <c r="M398" s="16"/>
      <c r="N398" s="16"/>
      <c r="O398" s="17"/>
      <c r="P398" s="5" t="str">
        <f t="shared" si="9"/>
        <v>Truncate table CF001;</v>
      </c>
      <c r="Q398" s="5"/>
      <c r="R398" s="5"/>
    </row>
    <row r="399" spans="1:18" x14ac:dyDescent="0.25">
      <c r="B399" s="19" t="s">
        <v>646</v>
      </c>
      <c r="C399" s="16" t="s">
        <v>8824</v>
      </c>
      <c r="D399" s="16" t="s">
        <v>8152</v>
      </c>
      <c r="E399" s="16"/>
      <c r="F399" s="5"/>
      <c r="G399" s="16" t="s">
        <v>35</v>
      </c>
      <c r="H399" s="16"/>
      <c r="I399" s="16"/>
      <c r="J399" s="16"/>
      <c r="K399" s="16"/>
      <c r="L399" s="16"/>
      <c r="M399" s="16"/>
      <c r="N399" s="16"/>
      <c r="O399" s="17"/>
      <c r="P399" s="5" t="str">
        <f t="shared" si="9"/>
        <v/>
      </c>
      <c r="Q399" s="5"/>
      <c r="R399" s="5"/>
    </row>
    <row r="400" spans="1:18" x14ac:dyDescent="0.25">
      <c r="B400" s="19" t="s">
        <v>647</v>
      </c>
      <c r="C400" s="16" t="s">
        <v>8825</v>
      </c>
      <c r="D400" s="16" t="s">
        <v>29</v>
      </c>
      <c r="E400" s="16"/>
      <c r="F400" s="5"/>
      <c r="G400" s="16" t="s">
        <v>35</v>
      </c>
      <c r="H400" s="16"/>
      <c r="I400" s="16"/>
      <c r="J400" s="16"/>
      <c r="K400" s="16"/>
      <c r="L400" s="16"/>
      <c r="M400" s="16"/>
      <c r="N400" s="16"/>
      <c r="O400" s="17"/>
      <c r="P400" s="5" t="str">
        <f t="shared" si="9"/>
        <v>Truncate table CF003;</v>
      </c>
      <c r="Q400" s="5"/>
      <c r="R400" s="5"/>
    </row>
    <row r="401" spans="1:22" x14ac:dyDescent="0.25">
      <c r="B401" s="19" t="s">
        <v>648</v>
      </c>
      <c r="C401" s="16" t="s">
        <v>8826</v>
      </c>
      <c r="D401" s="16" t="s">
        <v>29</v>
      </c>
      <c r="E401" s="16"/>
      <c r="F401" s="5"/>
      <c r="G401" s="16" t="s">
        <v>35</v>
      </c>
      <c r="H401" s="16"/>
      <c r="I401" s="16"/>
      <c r="J401" s="16"/>
      <c r="K401" s="16"/>
      <c r="L401" s="16"/>
      <c r="M401" s="16"/>
      <c r="N401" s="16"/>
      <c r="O401" s="17"/>
      <c r="P401" s="5" t="str">
        <f t="shared" si="9"/>
        <v>Truncate table CF004;</v>
      </c>
      <c r="Q401" s="5"/>
      <c r="R401" s="5"/>
    </row>
    <row r="402" spans="1:22" x14ac:dyDescent="0.25">
      <c r="B402" s="19" t="s">
        <v>649</v>
      </c>
      <c r="C402" s="16" t="s">
        <v>8827</v>
      </c>
      <c r="D402" s="16" t="s">
        <v>29</v>
      </c>
      <c r="E402" s="16"/>
      <c r="F402" s="5"/>
      <c r="G402" s="16" t="s">
        <v>35</v>
      </c>
      <c r="H402" s="16"/>
      <c r="I402" s="16"/>
      <c r="J402" s="16"/>
      <c r="K402" s="16"/>
      <c r="L402" s="16"/>
      <c r="M402" s="16"/>
      <c r="N402" s="16"/>
      <c r="O402" s="17"/>
      <c r="P402" s="5" t="str">
        <f t="shared" si="9"/>
        <v>Truncate table CF005;</v>
      </c>
      <c r="Q402" s="5"/>
      <c r="R402" s="5"/>
    </row>
    <row r="403" spans="1:22" x14ac:dyDescent="0.25">
      <c r="B403" s="19" t="s">
        <v>650</v>
      </c>
      <c r="C403" s="16" t="s">
        <v>8828</v>
      </c>
      <c r="D403" s="16" t="s">
        <v>29</v>
      </c>
      <c r="E403" s="16"/>
      <c r="F403" s="5"/>
      <c r="G403" s="16" t="s">
        <v>35</v>
      </c>
      <c r="H403" s="16"/>
      <c r="I403" s="16"/>
      <c r="J403" s="16"/>
      <c r="K403" s="16"/>
      <c r="L403" s="16"/>
      <c r="M403" s="16"/>
      <c r="N403" s="16"/>
      <c r="O403" s="17"/>
      <c r="P403" s="5" t="str">
        <f t="shared" si="9"/>
        <v>Truncate table CF006;</v>
      </c>
      <c r="Q403" s="5"/>
      <c r="R403" s="5"/>
    </row>
    <row r="404" spans="1:22" ht="40.5" x14ac:dyDescent="0.25">
      <c r="B404" s="4" t="s">
        <v>651</v>
      </c>
      <c r="C404" s="5" t="s">
        <v>652</v>
      </c>
      <c r="D404" s="5" t="s">
        <v>29</v>
      </c>
      <c r="E404" s="16" t="s">
        <v>151</v>
      </c>
      <c r="F404" s="5" t="s">
        <v>653</v>
      </c>
      <c r="G404" s="16" t="s">
        <v>503</v>
      </c>
      <c r="H404" s="16" t="s">
        <v>36</v>
      </c>
      <c r="I404" s="5" t="s">
        <v>654</v>
      </c>
      <c r="J404" s="5" t="s">
        <v>655</v>
      </c>
      <c r="K404" s="5" t="s">
        <v>656</v>
      </c>
      <c r="L404" s="27" t="s">
        <v>503</v>
      </c>
      <c r="M404" s="27"/>
      <c r="N404" s="5" t="s">
        <v>657</v>
      </c>
      <c r="O404" s="17"/>
      <c r="P404" s="5" t="str">
        <f t="shared" si="9"/>
        <v>Truncate table CF010;</v>
      </c>
      <c r="Q404" s="5"/>
      <c r="R404" s="5"/>
    </row>
    <row r="405" spans="1:22" ht="40.5" x14ac:dyDescent="0.25">
      <c r="B405" s="4" t="s">
        <v>658</v>
      </c>
      <c r="C405" s="5" t="s">
        <v>659</v>
      </c>
      <c r="D405" s="25" t="s">
        <v>8152</v>
      </c>
      <c r="E405" s="16" t="s">
        <v>151</v>
      </c>
      <c r="F405" s="5" t="s">
        <v>653</v>
      </c>
      <c r="G405" s="16" t="s">
        <v>503</v>
      </c>
      <c r="H405" s="16" t="s">
        <v>36</v>
      </c>
      <c r="I405" s="5" t="s">
        <v>660</v>
      </c>
      <c r="J405" s="5" t="s">
        <v>661</v>
      </c>
      <c r="K405" s="5" t="s">
        <v>656</v>
      </c>
      <c r="L405" s="5" t="s">
        <v>503</v>
      </c>
      <c r="M405" s="5"/>
      <c r="N405" s="5" t="s">
        <v>662</v>
      </c>
      <c r="O405" s="17"/>
      <c r="P405" s="5" t="str">
        <f t="shared" si="9"/>
        <v/>
      </c>
      <c r="Q405" s="5"/>
      <c r="R405" s="5"/>
    </row>
    <row r="406" spans="1:22" x14ac:dyDescent="0.25">
      <c r="B406" s="19" t="s">
        <v>663</v>
      </c>
      <c r="C406" s="305" t="s">
        <v>9877</v>
      </c>
      <c r="D406" s="16" t="s">
        <v>29</v>
      </c>
      <c r="E406" s="16"/>
      <c r="F406" s="5"/>
      <c r="G406" s="16" t="s">
        <v>35</v>
      </c>
      <c r="H406" s="16"/>
      <c r="I406" s="16"/>
      <c r="J406" s="16"/>
      <c r="K406" s="16"/>
      <c r="L406" s="16"/>
      <c r="M406" s="16"/>
      <c r="N406" s="16"/>
      <c r="O406" s="17"/>
      <c r="P406" s="5" t="str">
        <f t="shared" si="9"/>
        <v>Truncate table CH0004;</v>
      </c>
      <c r="Q406" s="5"/>
      <c r="R406" s="5"/>
    </row>
    <row r="407" spans="1:22" x14ac:dyDescent="0.25">
      <c r="B407" s="19" t="s">
        <v>664</v>
      </c>
      <c r="C407" s="305" t="s">
        <v>9878</v>
      </c>
      <c r="D407" s="16" t="s">
        <v>29</v>
      </c>
      <c r="E407" s="16"/>
      <c r="F407" s="5"/>
      <c r="G407" s="16" t="s">
        <v>35</v>
      </c>
      <c r="H407" s="16"/>
      <c r="I407" s="16"/>
      <c r="J407" s="16"/>
      <c r="K407" s="16"/>
      <c r="L407" s="16"/>
      <c r="M407" s="16"/>
      <c r="N407" s="16"/>
      <c r="O407" s="17"/>
      <c r="P407" s="5" t="str">
        <f t="shared" si="9"/>
        <v>Truncate table CHU010;</v>
      </c>
      <c r="Q407" s="5"/>
      <c r="R407" s="5"/>
    </row>
    <row r="408" spans="1:22" ht="21" customHeight="1" x14ac:dyDescent="0.25">
      <c r="B408" s="19" t="s">
        <v>665</v>
      </c>
      <c r="C408" s="16" t="s">
        <v>9753</v>
      </c>
      <c r="D408" s="16" t="s">
        <v>8152</v>
      </c>
      <c r="E408" s="16" t="s">
        <v>151</v>
      </c>
      <c r="F408" s="16" t="s">
        <v>653</v>
      </c>
      <c r="G408" s="16" t="s">
        <v>28</v>
      </c>
      <c r="H408" s="16" t="s">
        <v>36</v>
      </c>
      <c r="I408" s="16"/>
      <c r="J408" s="16"/>
      <c r="K408" s="16" t="s">
        <v>667</v>
      </c>
      <c r="L408" s="16"/>
      <c r="M408" s="16"/>
      <c r="N408" s="16"/>
      <c r="O408" s="17"/>
      <c r="P408" s="16" t="str">
        <f t="shared" si="9"/>
        <v/>
      </c>
      <c r="Q408" s="16"/>
      <c r="R408" s="16"/>
      <c r="S408"/>
      <c r="T408"/>
      <c r="U408"/>
      <c r="V408"/>
    </row>
    <row r="409" spans="1:22" ht="12" customHeight="1" x14ac:dyDescent="0.25">
      <c r="B409" s="19" t="s">
        <v>666</v>
      </c>
      <c r="C409" s="16" t="s">
        <v>9754</v>
      </c>
      <c r="D409" s="16" t="s">
        <v>8152</v>
      </c>
      <c r="E409" s="16" t="s">
        <v>151</v>
      </c>
      <c r="F409" s="16" t="s">
        <v>653</v>
      </c>
      <c r="G409" s="16" t="s">
        <v>28</v>
      </c>
      <c r="H409" s="16" t="s">
        <v>36</v>
      </c>
      <c r="I409" s="16"/>
      <c r="J409" s="16"/>
      <c r="K409" s="16" t="s">
        <v>667</v>
      </c>
      <c r="L409" s="16"/>
      <c r="M409" s="16"/>
      <c r="N409" s="16"/>
      <c r="O409" s="17" t="s">
        <v>38</v>
      </c>
      <c r="P409" s="16" t="str">
        <f t="shared" si="9"/>
        <v/>
      </c>
      <c r="Q409" s="16"/>
      <c r="R409" s="16"/>
      <c r="S409"/>
      <c r="T409"/>
      <c r="U409"/>
      <c r="V409"/>
    </row>
    <row r="410" spans="1:22" ht="14.25" customHeight="1" x14ac:dyDescent="0.25">
      <c r="B410" s="19" t="s">
        <v>668</v>
      </c>
      <c r="C410" s="16" t="s">
        <v>9755</v>
      </c>
      <c r="D410" s="16" t="s">
        <v>8152</v>
      </c>
      <c r="E410" s="16" t="s">
        <v>151</v>
      </c>
      <c r="F410" s="16" t="s">
        <v>653</v>
      </c>
      <c r="G410" s="16" t="s">
        <v>28</v>
      </c>
      <c r="H410" s="16" t="s">
        <v>36</v>
      </c>
      <c r="I410" s="16"/>
      <c r="J410" s="16"/>
      <c r="K410" s="16" t="s">
        <v>667</v>
      </c>
      <c r="L410" s="16"/>
      <c r="M410" s="16"/>
      <c r="N410" s="16"/>
      <c r="O410" s="17" t="s">
        <v>38</v>
      </c>
      <c r="P410" s="16" t="str">
        <f t="shared" si="9"/>
        <v/>
      </c>
      <c r="Q410" s="16"/>
      <c r="R410" s="16"/>
      <c r="S410"/>
      <c r="T410"/>
      <c r="U410"/>
      <c r="V410"/>
    </row>
    <row r="411" spans="1:22" ht="12.75" customHeight="1" x14ac:dyDescent="0.25">
      <c r="B411" s="19" t="s">
        <v>669</v>
      </c>
      <c r="C411" s="16" t="s">
        <v>9756</v>
      </c>
      <c r="D411" s="16" t="s">
        <v>8152</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1:22" ht="13.5" customHeight="1" x14ac:dyDescent="0.25">
      <c r="B412" s="19" t="s">
        <v>670</v>
      </c>
      <c r="C412" s="16" t="s">
        <v>9757</v>
      </c>
      <c r="D412" s="16" t="s">
        <v>8152</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1:22" ht="15.75" customHeight="1" x14ac:dyDescent="0.25">
      <c r="B413" s="19" t="s">
        <v>671</v>
      </c>
      <c r="C413" s="16" t="s">
        <v>9758</v>
      </c>
      <c r="D413" s="16" t="s">
        <v>8152</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1:22" x14ac:dyDescent="0.25">
      <c r="B414" s="19" t="s">
        <v>672</v>
      </c>
      <c r="C414" s="16" t="s">
        <v>9761</v>
      </c>
      <c r="D414" s="16" t="s">
        <v>29</v>
      </c>
      <c r="E414" s="16" t="s">
        <v>151</v>
      </c>
      <c r="F414" s="16" t="s">
        <v>653</v>
      </c>
      <c r="G414" s="16" t="s">
        <v>28</v>
      </c>
      <c r="H414" s="16" t="s">
        <v>36</v>
      </c>
      <c r="I414" s="16"/>
      <c r="J414" s="16"/>
      <c r="K414" s="16" t="s">
        <v>667</v>
      </c>
      <c r="L414" s="16"/>
      <c r="M414" s="16"/>
      <c r="N414" s="16"/>
      <c r="O414" s="17" t="s">
        <v>38</v>
      </c>
      <c r="P414" s="16" t="str">
        <f t="shared" si="9"/>
        <v>Truncate table CJS007;</v>
      </c>
      <c r="Q414" s="16"/>
      <c r="R414" s="16"/>
      <c r="S414"/>
      <c r="T414"/>
      <c r="U414"/>
      <c r="V414"/>
    </row>
    <row r="415" spans="1:22" s="306" customFormat="1" x14ac:dyDescent="0.25">
      <c r="A415" s="71"/>
      <c r="B415" s="307" t="s">
        <v>673</v>
      </c>
      <c r="C415" s="308"/>
      <c r="D415" s="308" t="s">
        <v>29</v>
      </c>
      <c r="E415" s="308" t="s">
        <v>151</v>
      </c>
      <c r="F415" s="308" t="s">
        <v>653</v>
      </c>
      <c r="G415" s="308" t="s">
        <v>35</v>
      </c>
      <c r="H415" s="308" t="s">
        <v>36</v>
      </c>
      <c r="I415" s="308"/>
      <c r="J415" s="308"/>
      <c r="K415" s="308" t="s">
        <v>667</v>
      </c>
      <c r="L415" s="308"/>
      <c r="M415" s="308"/>
      <c r="N415" s="308"/>
      <c r="O415" s="309" t="s">
        <v>38</v>
      </c>
      <c r="P415" s="308" t="str">
        <f t="shared" si="9"/>
        <v>Truncate table CJS008;</v>
      </c>
      <c r="Q415" s="308"/>
      <c r="R415" s="308"/>
    </row>
    <row r="416" spans="1:22" x14ac:dyDescent="0.25">
      <c r="B416" s="19" t="s">
        <v>674</v>
      </c>
      <c r="C416" s="16" t="s">
        <v>9762</v>
      </c>
      <c r="D416" s="16" t="s">
        <v>29</v>
      </c>
      <c r="E416" s="16" t="s">
        <v>151</v>
      </c>
      <c r="F416" s="16" t="s">
        <v>653</v>
      </c>
      <c r="G416" s="16" t="s">
        <v>28</v>
      </c>
      <c r="H416" s="16" t="s">
        <v>36</v>
      </c>
      <c r="I416" s="16"/>
      <c r="J416" s="16"/>
      <c r="K416" s="16" t="s">
        <v>667</v>
      </c>
      <c r="L416" s="16"/>
      <c r="M416" s="16"/>
      <c r="N416" s="16"/>
      <c r="O416" s="17" t="s">
        <v>38</v>
      </c>
      <c r="P416" s="16" t="str">
        <f t="shared" si="9"/>
        <v>Truncate table CJS009;</v>
      </c>
      <c r="Q416" s="16"/>
      <c r="R416" s="16"/>
      <c r="S416"/>
      <c r="T416"/>
      <c r="U416"/>
      <c r="V416"/>
    </row>
    <row r="417" spans="1:22" x14ac:dyDescent="0.25">
      <c r="B417" s="19" t="s">
        <v>675</v>
      </c>
      <c r="C417" s="16" t="s">
        <v>9763</v>
      </c>
      <c r="D417" s="16" t="s">
        <v>29</v>
      </c>
      <c r="E417" s="16" t="s">
        <v>151</v>
      </c>
      <c r="F417" s="16" t="s">
        <v>653</v>
      </c>
      <c r="G417" s="16" t="s">
        <v>28</v>
      </c>
      <c r="H417" s="16" t="s">
        <v>36</v>
      </c>
      <c r="I417" s="16"/>
      <c r="J417" s="16"/>
      <c r="K417" s="16" t="s">
        <v>667</v>
      </c>
      <c r="L417" s="16"/>
      <c r="M417" s="16"/>
      <c r="N417" s="16"/>
      <c r="O417" s="17" t="s">
        <v>38</v>
      </c>
      <c r="P417" s="16" t="str">
        <f t="shared" si="9"/>
        <v>Truncate table CJS010;</v>
      </c>
      <c r="Q417" s="16"/>
      <c r="R417" s="16"/>
      <c r="S417"/>
      <c r="T417"/>
      <c r="U417"/>
      <c r="V417"/>
    </row>
    <row r="418" spans="1:22" s="306" customFormat="1" x14ac:dyDescent="0.25">
      <c r="A418" s="71"/>
      <c r="B418" s="307" t="s">
        <v>676</v>
      </c>
      <c r="C418" s="308"/>
      <c r="D418" s="308" t="s">
        <v>29</v>
      </c>
      <c r="E418" s="308" t="s">
        <v>151</v>
      </c>
      <c r="F418" s="308" t="s">
        <v>653</v>
      </c>
      <c r="G418" s="308" t="s">
        <v>35</v>
      </c>
      <c r="H418" s="308" t="s">
        <v>36</v>
      </c>
      <c r="I418" s="308"/>
      <c r="J418" s="308"/>
      <c r="K418" s="308" t="s">
        <v>667</v>
      </c>
      <c r="L418" s="308"/>
      <c r="M418" s="308"/>
      <c r="N418" s="308"/>
      <c r="O418" s="309" t="s">
        <v>38</v>
      </c>
      <c r="P418" s="308" t="str">
        <f t="shared" ref="P418:P481" si="10">IF(D418="Datos","Truncate table "&amp; B418&amp; ";","")</f>
        <v>Truncate table CJS011;</v>
      </c>
      <c r="Q418" s="308"/>
      <c r="R418" s="308"/>
    </row>
    <row r="419" spans="1:22" x14ac:dyDescent="0.25">
      <c r="B419" s="19" t="s">
        <v>677</v>
      </c>
      <c r="C419" s="16" t="s">
        <v>9764</v>
      </c>
      <c r="D419" s="16" t="s">
        <v>29</v>
      </c>
      <c r="E419" s="16" t="s">
        <v>151</v>
      </c>
      <c r="F419" s="16" t="s">
        <v>653</v>
      </c>
      <c r="G419" s="16" t="s">
        <v>28</v>
      </c>
      <c r="H419" s="16" t="s">
        <v>36</v>
      </c>
      <c r="I419" s="16"/>
      <c r="J419" s="16"/>
      <c r="K419" s="16" t="s">
        <v>667</v>
      </c>
      <c r="L419" s="16"/>
      <c r="M419" s="16"/>
      <c r="N419" s="16"/>
      <c r="O419" s="17" t="s">
        <v>38</v>
      </c>
      <c r="P419" s="16" t="str">
        <f t="shared" si="10"/>
        <v>Truncate table CJS012;</v>
      </c>
      <c r="Q419" s="16"/>
      <c r="R419" s="16"/>
      <c r="S419"/>
      <c r="T419"/>
      <c r="U419"/>
      <c r="V419"/>
    </row>
    <row r="420" spans="1:22" x14ac:dyDescent="0.25">
      <c r="B420" s="19" t="s">
        <v>678</v>
      </c>
      <c r="C420" s="16" t="s">
        <v>9765</v>
      </c>
      <c r="D420" s="16" t="s">
        <v>29</v>
      </c>
      <c r="E420" s="16" t="s">
        <v>151</v>
      </c>
      <c r="F420" s="16" t="s">
        <v>653</v>
      </c>
      <c r="G420" s="16" t="s">
        <v>28</v>
      </c>
      <c r="H420" s="16" t="s">
        <v>36</v>
      </c>
      <c r="I420" s="16"/>
      <c r="J420" s="16"/>
      <c r="K420" s="16" t="s">
        <v>667</v>
      </c>
      <c r="L420" s="16"/>
      <c r="M420" s="16"/>
      <c r="N420" s="16"/>
      <c r="O420" s="17"/>
      <c r="P420" s="16" t="str">
        <f t="shared" si="10"/>
        <v>Truncate table CJS013;</v>
      </c>
      <c r="Q420" s="16"/>
      <c r="R420" s="16"/>
      <c r="S420"/>
      <c r="T420"/>
      <c r="U420"/>
      <c r="V420"/>
    </row>
    <row r="421" spans="1:22" x14ac:dyDescent="0.25">
      <c r="B421" s="19" t="s">
        <v>679</v>
      </c>
      <c r="C421" s="16" t="s">
        <v>9759</v>
      </c>
      <c r="D421" s="16" t="s">
        <v>8152</v>
      </c>
      <c r="E421" s="16" t="s">
        <v>151</v>
      </c>
      <c r="F421" s="16" t="s">
        <v>653</v>
      </c>
      <c r="G421" s="16" t="s">
        <v>28</v>
      </c>
      <c r="H421" s="16" t="s">
        <v>36</v>
      </c>
      <c r="I421" s="16"/>
      <c r="J421" s="16"/>
      <c r="K421" s="16" t="s">
        <v>667</v>
      </c>
      <c r="L421" s="16"/>
      <c r="M421" s="16"/>
      <c r="N421" s="16"/>
      <c r="O421" s="17"/>
      <c r="P421" s="16" t="str">
        <f t="shared" si="10"/>
        <v/>
      </c>
      <c r="Q421" s="16"/>
      <c r="R421" s="16"/>
      <c r="S421"/>
      <c r="T421"/>
      <c r="U421"/>
      <c r="V421"/>
    </row>
    <row r="422" spans="1:22" x14ac:dyDescent="0.25">
      <c r="B422" s="19" t="s">
        <v>680</v>
      </c>
      <c r="C422" s="16" t="s">
        <v>9760</v>
      </c>
      <c r="D422" s="16" t="s">
        <v>8152</v>
      </c>
      <c r="E422" s="16" t="s">
        <v>151</v>
      </c>
      <c r="F422" s="16" t="s">
        <v>653</v>
      </c>
      <c r="G422" s="16" t="s">
        <v>28</v>
      </c>
      <c r="H422" s="16" t="s">
        <v>36</v>
      </c>
      <c r="I422" s="16"/>
      <c r="J422" s="16"/>
      <c r="K422" s="16" t="s">
        <v>667</v>
      </c>
      <c r="L422" s="16"/>
      <c r="M422" s="16"/>
      <c r="N422" s="16"/>
      <c r="O422" s="17"/>
      <c r="P422" s="16" t="str">
        <f t="shared" si="10"/>
        <v/>
      </c>
      <c r="Q422" s="16"/>
      <c r="R422" s="16"/>
      <c r="S422"/>
      <c r="T422"/>
      <c r="U422"/>
      <c r="V422"/>
    </row>
    <row r="423" spans="1:22" x14ac:dyDescent="0.25">
      <c r="B423" s="19" t="s">
        <v>681</v>
      </c>
      <c r="C423" s="16" t="s">
        <v>9766</v>
      </c>
      <c r="D423" s="16" t="s">
        <v>8152</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s="306" customFormat="1" x14ac:dyDescent="0.25">
      <c r="A424" s="71"/>
      <c r="B424" s="307" t="s">
        <v>682</v>
      </c>
      <c r="C424" s="308"/>
      <c r="D424" s="308" t="s">
        <v>29</v>
      </c>
      <c r="E424" s="308" t="s">
        <v>151</v>
      </c>
      <c r="F424" s="308" t="s">
        <v>653</v>
      </c>
      <c r="G424" s="308" t="s">
        <v>35</v>
      </c>
      <c r="H424" s="308" t="s">
        <v>36</v>
      </c>
      <c r="I424" s="308"/>
      <c r="J424" s="308"/>
      <c r="K424" s="308" t="s">
        <v>667</v>
      </c>
      <c r="L424" s="308"/>
      <c r="M424" s="308"/>
      <c r="N424" s="308"/>
      <c r="O424" s="309"/>
      <c r="P424" s="308" t="str">
        <f t="shared" si="10"/>
        <v>Truncate table CJS017;</v>
      </c>
      <c r="Q424" s="308"/>
      <c r="R424" s="308"/>
    </row>
    <row r="425" spans="1:22" x14ac:dyDescent="0.25">
      <c r="B425" s="19" t="s">
        <v>683</v>
      </c>
      <c r="C425" s="16" t="s">
        <v>9767</v>
      </c>
      <c r="D425" s="16" t="s">
        <v>8152</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25">
      <c r="A426" s="71"/>
      <c r="B426" s="307" t="s">
        <v>684</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CJS020;</v>
      </c>
      <c r="Q426" s="308"/>
      <c r="R426" s="308"/>
    </row>
    <row r="427" spans="1:22" x14ac:dyDescent="0.25">
      <c r="B427" s="19" t="s">
        <v>685</v>
      </c>
      <c r="C427" s="16" t="s">
        <v>9768</v>
      </c>
      <c r="D427" s="16" t="s">
        <v>29</v>
      </c>
      <c r="E427" s="16" t="s">
        <v>151</v>
      </c>
      <c r="F427" s="16" t="s">
        <v>653</v>
      </c>
      <c r="G427" s="16" t="s">
        <v>28</v>
      </c>
      <c r="H427" s="16" t="s">
        <v>36</v>
      </c>
      <c r="I427" s="16"/>
      <c r="J427" s="16"/>
      <c r="K427" s="16" t="s">
        <v>667</v>
      </c>
      <c r="L427" s="16"/>
      <c r="M427" s="16"/>
      <c r="N427" s="16"/>
      <c r="O427" s="17"/>
      <c r="P427" s="16" t="str">
        <f t="shared" si="10"/>
        <v>Truncate table CJS021;</v>
      </c>
      <c r="Q427" s="16"/>
      <c r="R427" s="16"/>
      <c r="S427"/>
      <c r="T427"/>
      <c r="U427"/>
      <c r="V427"/>
    </row>
    <row r="428" spans="1:22" x14ac:dyDescent="0.25">
      <c r="B428" s="19" t="s">
        <v>686</v>
      </c>
      <c r="C428" s="16" t="s">
        <v>9769</v>
      </c>
      <c r="D428" s="16" t="s">
        <v>29</v>
      </c>
      <c r="E428" s="16" t="s">
        <v>151</v>
      </c>
      <c r="F428" s="16" t="s">
        <v>653</v>
      </c>
      <c r="G428" s="16" t="s">
        <v>28</v>
      </c>
      <c r="H428" s="16" t="s">
        <v>36</v>
      </c>
      <c r="I428" s="16"/>
      <c r="J428" s="16"/>
      <c r="K428" s="16" t="s">
        <v>667</v>
      </c>
      <c r="L428" s="16"/>
      <c r="M428" s="16"/>
      <c r="N428" s="16"/>
      <c r="O428" s="17"/>
      <c r="P428" s="16" t="str">
        <f t="shared" si="10"/>
        <v>Truncate table CJS022;</v>
      </c>
      <c r="Q428" s="16"/>
      <c r="R428" s="16"/>
      <c r="S428"/>
      <c r="T428"/>
      <c r="U428"/>
      <c r="V428"/>
    </row>
    <row r="429" spans="1:22" x14ac:dyDescent="0.25">
      <c r="B429" s="19" t="s">
        <v>687</v>
      </c>
      <c r="C429" s="16" t="s">
        <v>9770</v>
      </c>
      <c r="D429" s="16" t="s">
        <v>29</v>
      </c>
      <c r="E429" s="16" t="s">
        <v>151</v>
      </c>
      <c r="F429" s="16" t="s">
        <v>653</v>
      </c>
      <c r="G429" s="16" t="s">
        <v>28</v>
      </c>
      <c r="H429" s="16" t="s">
        <v>36</v>
      </c>
      <c r="I429" s="16"/>
      <c r="J429" s="16"/>
      <c r="K429" s="16" t="s">
        <v>667</v>
      </c>
      <c r="L429" s="16"/>
      <c r="M429" s="16"/>
      <c r="N429" s="16"/>
      <c r="O429" s="17"/>
      <c r="P429" s="16" t="str">
        <f t="shared" si="10"/>
        <v>Truncate table CJS023;</v>
      </c>
      <c r="Q429" s="16"/>
      <c r="R429" s="16"/>
      <c r="S429"/>
      <c r="T429"/>
      <c r="U429"/>
      <c r="V429"/>
    </row>
    <row r="430" spans="1:22" s="306" customFormat="1" x14ac:dyDescent="0.25">
      <c r="A430" s="71"/>
      <c r="B430" s="307" t="s">
        <v>688</v>
      </c>
      <c r="C430" s="308"/>
      <c r="D430" s="308" t="s">
        <v>29</v>
      </c>
      <c r="E430" s="308" t="s">
        <v>151</v>
      </c>
      <c r="F430" s="308" t="s">
        <v>653</v>
      </c>
      <c r="G430" s="308" t="s">
        <v>35</v>
      </c>
      <c r="H430" s="308" t="s">
        <v>36</v>
      </c>
      <c r="I430" s="308"/>
      <c r="J430" s="308"/>
      <c r="K430" s="308" t="s">
        <v>667</v>
      </c>
      <c r="L430" s="308"/>
      <c r="M430" s="308"/>
      <c r="N430" s="308"/>
      <c r="O430" s="309"/>
      <c r="P430" s="308" t="str">
        <f t="shared" si="10"/>
        <v>Truncate table CJS024;</v>
      </c>
      <c r="Q430" s="308"/>
      <c r="R430" s="308"/>
    </row>
    <row r="431" spans="1:22" x14ac:dyDescent="0.25">
      <c r="B431" s="19" t="s">
        <v>689</v>
      </c>
      <c r="C431" s="16" t="s">
        <v>9771</v>
      </c>
      <c r="D431" s="16" t="s">
        <v>29</v>
      </c>
      <c r="E431" s="16" t="s">
        <v>151</v>
      </c>
      <c r="F431" s="16" t="s">
        <v>653</v>
      </c>
      <c r="G431" s="16" t="s">
        <v>28</v>
      </c>
      <c r="H431" s="16" t="s">
        <v>36</v>
      </c>
      <c r="I431" s="16"/>
      <c r="J431" s="16"/>
      <c r="K431" s="16" t="s">
        <v>667</v>
      </c>
      <c r="L431" s="16"/>
      <c r="M431" s="16"/>
      <c r="N431" s="16"/>
      <c r="O431" s="17"/>
      <c r="P431" s="16" t="str">
        <f t="shared" si="10"/>
        <v>Truncate table CJS025;</v>
      </c>
      <c r="Q431" s="16"/>
      <c r="R431" s="16"/>
      <c r="S431"/>
      <c r="T431"/>
      <c r="U431"/>
      <c r="V431"/>
    </row>
    <row r="432" spans="1:22" x14ac:dyDescent="0.25">
      <c r="B432" s="19" t="s">
        <v>690</v>
      </c>
      <c r="C432" s="16" t="s">
        <v>9772</v>
      </c>
      <c r="D432" s="16" t="s">
        <v>29</v>
      </c>
      <c r="E432" s="16" t="s">
        <v>151</v>
      </c>
      <c r="F432" s="16" t="s">
        <v>653</v>
      </c>
      <c r="G432" s="16" t="s">
        <v>28</v>
      </c>
      <c r="H432" s="16" t="s">
        <v>36</v>
      </c>
      <c r="I432" s="16"/>
      <c r="J432" s="16"/>
      <c r="K432" s="16" t="s">
        <v>667</v>
      </c>
      <c r="L432" s="16"/>
      <c r="M432" s="16"/>
      <c r="N432" s="16"/>
      <c r="O432" s="17"/>
      <c r="P432" s="16" t="str">
        <f t="shared" si="10"/>
        <v>Truncate table CJS026;</v>
      </c>
      <c r="Q432" s="16"/>
      <c r="R432" s="16"/>
      <c r="S432"/>
      <c r="T432"/>
      <c r="U432"/>
      <c r="V432"/>
    </row>
    <row r="433" spans="1:22" x14ac:dyDescent="0.25">
      <c r="B433" s="19" t="s">
        <v>691</v>
      </c>
      <c r="C433" s="16" t="s">
        <v>9773</v>
      </c>
      <c r="D433" s="16" t="s">
        <v>29</v>
      </c>
      <c r="E433" s="16" t="s">
        <v>151</v>
      </c>
      <c r="F433" s="16" t="s">
        <v>653</v>
      </c>
      <c r="G433" s="16" t="s">
        <v>28</v>
      </c>
      <c r="H433" s="16" t="s">
        <v>36</v>
      </c>
      <c r="I433" s="16"/>
      <c r="J433" s="16"/>
      <c r="K433" s="16" t="s">
        <v>667</v>
      </c>
      <c r="L433" s="16"/>
      <c r="M433" s="16"/>
      <c r="N433" s="16"/>
      <c r="O433" s="17"/>
      <c r="P433" s="16" t="str">
        <f t="shared" si="10"/>
        <v>Truncate table CJS027;</v>
      </c>
      <c r="Q433" s="16"/>
      <c r="R433" s="16"/>
      <c r="S433"/>
      <c r="T433"/>
      <c r="U433"/>
      <c r="V433"/>
    </row>
    <row r="434" spans="1:22" x14ac:dyDescent="0.25">
      <c r="B434" s="19" t="s">
        <v>692</v>
      </c>
      <c r="C434" s="16" t="s">
        <v>9774</v>
      </c>
      <c r="D434" s="16" t="s">
        <v>29</v>
      </c>
      <c r="E434" s="16" t="s">
        <v>151</v>
      </c>
      <c r="F434" s="16" t="s">
        <v>653</v>
      </c>
      <c r="G434" s="16" t="s">
        <v>28</v>
      </c>
      <c r="H434" s="16" t="s">
        <v>36</v>
      </c>
      <c r="I434" s="16"/>
      <c r="J434" s="16"/>
      <c r="K434" s="16" t="s">
        <v>667</v>
      </c>
      <c r="L434" s="16"/>
      <c r="M434" s="16"/>
      <c r="N434" s="16"/>
      <c r="O434" s="17"/>
      <c r="P434" s="16" t="str">
        <f t="shared" si="10"/>
        <v>Truncate table CJS028;</v>
      </c>
      <c r="Q434" s="16"/>
      <c r="R434" s="16"/>
      <c r="S434"/>
      <c r="T434"/>
      <c r="U434"/>
      <c r="V434"/>
    </row>
    <row r="435" spans="1:22" x14ac:dyDescent="0.25">
      <c r="B435" s="19" t="s">
        <v>693</v>
      </c>
      <c r="C435" s="16" t="s">
        <v>9775</v>
      </c>
      <c r="D435" s="16" t="s">
        <v>8152</v>
      </c>
      <c r="E435" s="16" t="s">
        <v>151</v>
      </c>
      <c r="F435" s="16" t="s">
        <v>653</v>
      </c>
      <c r="G435" s="16" t="s">
        <v>28</v>
      </c>
      <c r="H435" s="16" t="s">
        <v>36</v>
      </c>
      <c r="I435" s="16"/>
      <c r="J435" s="16"/>
      <c r="K435" s="16" t="s">
        <v>667</v>
      </c>
      <c r="L435" s="16"/>
      <c r="M435" s="16"/>
      <c r="N435" s="16"/>
      <c r="O435" s="17"/>
      <c r="P435" s="16" t="str">
        <f t="shared" si="10"/>
        <v/>
      </c>
      <c r="Q435" s="16"/>
      <c r="R435" s="16"/>
      <c r="S435"/>
      <c r="T435"/>
      <c r="U435"/>
      <c r="V435"/>
    </row>
    <row r="436" spans="1:22" x14ac:dyDescent="0.25">
      <c r="B436" s="19" t="s">
        <v>694</v>
      </c>
      <c r="C436" s="16" t="s">
        <v>9776</v>
      </c>
      <c r="D436" s="16" t="s">
        <v>8152</v>
      </c>
      <c r="E436" s="16" t="s">
        <v>151</v>
      </c>
      <c r="F436" s="16" t="s">
        <v>653</v>
      </c>
      <c r="G436" s="16" t="s">
        <v>28</v>
      </c>
      <c r="H436" s="16" t="s">
        <v>36</v>
      </c>
      <c r="I436" s="16"/>
      <c r="J436" s="16"/>
      <c r="K436" s="16" t="s">
        <v>667</v>
      </c>
      <c r="L436" s="16"/>
      <c r="M436" s="16"/>
      <c r="N436" s="16"/>
      <c r="O436" s="17"/>
      <c r="P436" s="16" t="str">
        <f t="shared" si="10"/>
        <v/>
      </c>
      <c r="Q436" s="16"/>
      <c r="R436" s="16"/>
      <c r="S436"/>
      <c r="T436"/>
      <c r="U436"/>
      <c r="V436"/>
    </row>
    <row r="437" spans="1:22" s="306" customFormat="1" x14ac:dyDescent="0.25">
      <c r="A437" s="71"/>
      <c r="B437" s="307" t="s">
        <v>695</v>
      </c>
      <c r="C437" s="308"/>
      <c r="D437" s="308" t="s">
        <v>29</v>
      </c>
      <c r="E437" s="308" t="s">
        <v>151</v>
      </c>
      <c r="F437" s="308" t="s">
        <v>653</v>
      </c>
      <c r="G437" s="308" t="s">
        <v>28</v>
      </c>
      <c r="H437" s="308" t="s">
        <v>36</v>
      </c>
      <c r="I437" s="308"/>
      <c r="J437" s="308"/>
      <c r="K437" s="308" t="s">
        <v>667</v>
      </c>
      <c r="L437" s="308"/>
      <c r="M437" s="308"/>
      <c r="N437" s="308"/>
      <c r="O437" s="309"/>
      <c r="P437" s="308" t="str">
        <f t="shared" si="10"/>
        <v>Truncate table CJS031;</v>
      </c>
      <c r="Q437" s="308"/>
      <c r="R437" s="308"/>
    </row>
    <row r="438" spans="1:22" s="306" customFormat="1" x14ac:dyDescent="0.25">
      <c r="A438" s="71"/>
      <c r="B438" s="307" t="s">
        <v>696</v>
      </c>
      <c r="C438" s="308"/>
      <c r="D438" s="308" t="s">
        <v>29</v>
      </c>
      <c r="E438" s="308" t="s">
        <v>151</v>
      </c>
      <c r="F438" s="308" t="s">
        <v>653</v>
      </c>
      <c r="G438" s="308" t="s">
        <v>28</v>
      </c>
      <c r="H438" s="308" t="s">
        <v>36</v>
      </c>
      <c r="I438" s="308"/>
      <c r="J438" s="308"/>
      <c r="K438" s="308" t="s">
        <v>667</v>
      </c>
      <c r="L438" s="308"/>
      <c r="M438" s="308"/>
      <c r="N438" s="308"/>
      <c r="O438" s="309"/>
      <c r="P438" s="308" t="str">
        <f t="shared" si="10"/>
        <v>Truncate table CJS032;</v>
      </c>
      <c r="Q438" s="308"/>
      <c r="R438" s="308"/>
    </row>
    <row r="439" spans="1:22" x14ac:dyDescent="0.25">
      <c r="B439" s="19" t="s">
        <v>697</v>
      </c>
      <c r="C439" s="16" t="s">
        <v>9777</v>
      </c>
      <c r="D439" s="16" t="s">
        <v>29</v>
      </c>
      <c r="E439" s="16" t="s">
        <v>151</v>
      </c>
      <c r="F439" s="16" t="s">
        <v>653</v>
      </c>
      <c r="G439" s="16" t="s">
        <v>28</v>
      </c>
      <c r="H439" s="16" t="s">
        <v>36</v>
      </c>
      <c r="I439" s="16"/>
      <c r="J439" s="16"/>
      <c r="K439" s="16" t="s">
        <v>667</v>
      </c>
      <c r="L439" s="16"/>
      <c r="M439" s="16"/>
      <c r="N439" s="16"/>
      <c r="O439" s="17"/>
      <c r="P439" s="16" t="str">
        <f t="shared" si="10"/>
        <v>Truncate table CJS033;</v>
      </c>
      <c r="Q439" s="16"/>
      <c r="R439" s="16"/>
      <c r="S439"/>
      <c r="T439"/>
      <c r="U439"/>
      <c r="V439"/>
    </row>
    <row r="440" spans="1:22" x14ac:dyDescent="0.25">
      <c r="B440" s="19" t="s">
        <v>698</v>
      </c>
      <c r="C440" s="305" t="s">
        <v>9879</v>
      </c>
      <c r="D440" s="16" t="s">
        <v>29</v>
      </c>
      <c r="E440" s="16" t="s">
        <v>151</v>
      </c>
      <c r="F440" s="23" t="s">
        <v>699</v>
      </c>
      <c r="G440" s="16" t="s">
        <v>35</v>
      </c>
      <c r="H440" s="16"/>
      <c r="I440" s="16"/>
      <c r="J440" s="16"/>
      <c r="K440" s="16"/>
      <c r="L440" s="16"/>
      <c r="M440" s="16"/>
      <c r="N440" s="16"/>
      <c r="O440" s="17"/>
      <c r="P440" s="5" t="str">
        <f t="shared" si="10"/>
        <v>Truncate table CL0001;</v>
      </c>
      <c r="Q440" s="60"/>
      <c r="R440" s="60"/>
    </row>
    <row r="441" spans="1:22" x14ac:dyDescent="0.25">
      <c r="B441" s="19" t="s">
        <v>700</v>
      </c>
      <c r="C441" s="16" t="s">
        <v>701</v>
      </c>
      <c r="D441" s="16" t="s">
        <v>29</v>
      </c>
      <c r="E441" s="16" t="s">
        <v>151</v>
      </c>
      <c r="F441" s="23" t="s">
        <v>699</v>
      </c>
      <c r="G441" s="16" t="s">
        <v>35</v>
      </c>
      <c r="H441" s="16"/>
      <c r="I441" s="16"/>
      <c r="J441" s="16"/>
      <c r="K441" s="16"/>
      <c r="L441" s="16"/>
      <c r="M441" s="16"/>
      <c r="N441" s="16"/>
      <c r="O441" s="7" t="s">
        <v>38</v>
      </c>
      <c r="P441" s="5" t="str">
        <f t="shared" si="10"/>
        <v>Truncate table CL0535;</v>
      </c>
      <c r="Q441" s="60"/>
      <c r="R441" s="60"/>
    </row>
    <row r="442" spans="1:22" x14ac:dyDescent="0.25">
      <c r="B442" s="19" t="s">
        <v>702</v>
      </c>
      <c r="C442" s="16" t="s">
        <v>9880</v>
      </c>
      <c r="D442" s="16" t="s">
        <v>29</v>
      </c>
      <c r="E442" s="16" t="s">
        <v>151</v>
      </c>
      <c r="F442" s="23" t="s">
        <v>699</v>
      </c>
      <c r="G442" s="16" t="s">
        <v>35</v>
      </c>
      <c r="H442" s="16"/>
      <c r="I442" s="16"/>
      <c r="J442" s="16"/>
      <c r="K442" s="16"/>
      <c r="L442" s="16"/>
      <c r="M442" s="16"/>
      <c r="N442" s="16"/>
      <c r="O442" s="17"/>
      <c r="P442" s="5" t="str">
        <f t="shared" si="10"/>
        <v>Truncate table CLDRCCI;</v>
      </c>
      <c r="Q442" s="60"/>
      <c r="R442" s="60"/>
    </row>
    <row r="443" spans="1:22" x14ac:dyDescent="0.25">
      <c r="B443" s="19" t="s">
        <v>704</v>
      </c>
      <c r="C443" s="16" t="s">
        <v>703</v>
      </c>
      <c r="D443" s="16" t="s">
        <v>29</v>
      </c>
      <c r="E443" s="16" t="s">
        <v>151</v>
      </c>
      <c r="F443" s="23" t="s">
        <v>699</v>
      </c>
      <c r="G443" s="16" t="s">
        <v>35</v>
      </c>
      <c r="H443" s="16" t="s">
        <v>36</v>
      </c>
      <c r="I443" s="16"/>
      <c r="J443" s="16"/>
      <c r="K443" s="16" t="s">
        <v>705</v>
      </c>
      <c r="L443" s="16"/>
      <c r="M443" s="16"/>
      <c r="N443" s="16"/>
      <c r="O443" s="7" t="s">
        <v>38</v>
      </c>
      <c r="P443" s="5" t="str">
        <f t="shared" si="10"/>
        <v>Truncate table CLE100;</v>
      </c>
      <c r="Q443" s="60"/>
      <c r="R443" s="60"/>
    </row>
    <row r="444" spans="1:22" x14ac:dyDescent="0.25">
      <c r="B444" s="19" t="s">
        <v>706</v>
      </c>
      <c r="C444" s="16" t="s">
        <v>703</v>
      </c>
      <c r="D444" s="16" t="s">
        <v>29</v>
      </c>
      <c r="E444" s="16" t="s">
        <v>151</v>
      </c>
      <c r="F444" s="23" t="s">
        <v>699</v>
      </c>
      <c r="G444" s="16" t="s">
        <v>35</v>
      </c>
      <c r="H444" s="16" t="s">
        <v>36</v>
      </c>
      <c r="I444" s="16"/>
      <c r="J444" s="16"/>
      <c r="K444" s="16" t="s">
        <v>705</v>
      </c>
      <c r="L444" s="16"/>
      <c r="M444" s="16"/>
      <c r="N444" s="16"/>
      <c r="O444" s="7" t="s">
        <v>38</v>
      </c>
      <c r="P444" s="5" t="str">
        <f t="shared" si="10"/>
        <v>Truncate table CLE101;</v>
      </c>
      <c r="Q444" s="60"/>
      <c r="R444" s="60"/>
    </row>
    <row r="445" spans="1:22" x14ac:dyDescent="0.25">
      <c r="B445" s="19" t="s">
        <v>707</v>
      </c>
      <c r="C445" s="16" t="s">
        <v>703</v>
      </c>
      <c r="D445" s="16" t="s">
        <v>29</v>
      </c>
      <c r="E445" s="16" t="s">
        <v>151</v>
      </c>
      <c r="F445" s="23" t="s">
        <v>699</v>
      </c>
      <c r="G445" s="16" t="s">
        <v>35</v>
      </c>
      <c r="H445" s="16"/>
      <c r="I445" s="16"/>
      <c r="J445" s="16"/>
      <c r="K445" s="16"/>
      <c r="L445" s="16"/>
      <c r="M445" s="16"/>
      <c r="N445" s="16"/>
      <c r="O445" s="17"/>
      <c r="P445" s="5" t="str">
        <f t="shared" si="10"/>
        <v>Truncate table CLE102;</v>
      </c>
      <c r="Q445" s="60"/>
      <c r="R445" s="60"/>
    </row>
    <row r="446" spans="1:22" x14ac:dyDescent="0.25">
      <c r="B446" s="19" t="s">
        <v>708</v>
      </c>
      <c r="C446" s="16" t="s">
        <v>703</v>
      </c>
      <c r="D446" s="16" t="s">
        <v>29</v>
      </c>
      <c r="E446" s="16" t="s">
        <v>151</v>
      </c>
      <c r="F446" s="23" t="s">
        <v>699</v>
      </c>
      <c r="G446" s="16" t="s">
        <v>35</v>
      </c>
      <c r="H446" s="16"/>
      <c r="I446" s="16"/>
      <c r="J446" s="16"/>
      <c r="K446" s="16"/>
      <c r="L446" s="16"/>
      <c r="M446" s="16"/>
      <c r="N446" s="16"/>
      <c r="O446" s="17"/>
      <c r="P446" s="5" t="str">
        <f t="shared" si="10"/>
        <v>Truncate table CLE103;</v>
      </c>
      <c r="Q446" s="60"/>
      <c r="R446" s="60"/>
    </row>
    <row r="447" spans="1:22" x14ac:dyDescent="0.25">
      <c r="B447" s="19" t="s">
        <v>709</v>
      </c>
      <c r="C447" s="16" t="s">
        <v>703</v>
      </c>
      <c r="D447" s="16" t="s">
        <v>29</v>
      </c>
      <c r="E447" s="16" t="s">
        <v>151</v>
      </c>
      <c r="F447" s="23" t="s">
        <v>699</v>
      </c>
      <c r="G447" s="16" t="s">
        <v>35</v>
      </c>
      <c r="H447" s="16"/>
      <c r="I447" s="16"/>
      <c r="J447" s="16"/>
      <c r="K447" s="16"/>
      <c r="L447" s="16"/>
      <c r="M447" s="16"/>
      <c r="N447" s="16"/>
      <c r="O447" s="17"/>
      <c r="P447" s="5" t="str">
        <f t="shared" si="10"/>
        <v>Truncate table CLE104;</v>
      </c>
      <c r="Q447" s="60"/>
      <c r="R447" s="60"/>
    </row>
    <row r="448" spans="1:22" x14ac:dyDescent="0.25">
      <c r="B448" s="19" t="s">
        <v>710</v>
      </c>
      <c r="C448" s="16" t="s">
        <v>703</v>
      </c>
      <c r="D448" s="16" t="s">
        <v>29</v>
      </c>
      <c r="E448" s="16" t="s">
        <v>151</v>
      </c>
      <c r="F448" s="23" t="s">
        <v>699</v>
      </c>
      <c r="G448" s="16" t="s">
        <v>35</v>
      </c>
      <c r="H448" s="16"/>
      <c r="I448" s="16"/>
      <c r="J448" s="16"/>
      <c r="K448" s="16"/>
      <c r="L448" s="16"/>
      <c r="M448" s="16"/>
      <c r="N448" s="16"/>
      <c r="O448" s="17"/>
      <c r="P448" s="5" t="str">
        <f t="shared" si="10"/>
        <v>Truncate table CLE105;</v>
      </c>
      <c r="Q448" s="60"/>
      <c r="R448" s="60"/>
    </row>
    <row r="449" spans="2:18" x14ac:dyDescent="0.25">
      <c r="B449" s="19" t="s">
        <v>711</v>
      </c>
      <c r="C449" s="16" t="s">
        <v>703</v>
      </c>
      <c r="D449" s="16" t="s">
        <v>29</v>
      </c>
      <c r="E449" s="16" t="s">
        <v>151</v>
      </c>
      <c r="F449" s="23" t="s">
        <v>699</v>
      </c>
      <c r="G449" s="16" t="s">
        <v>35</v>
      </c>
      <c r="H449" s="16"/>
      <c r="I449" s="16"/>
      <c r="J449" s="16"/>
      <c r="K449" s="16"/>
      <c r="L449" s="16"/>
      <c r="M449" s="16"/>
      <c r="N449" s="16"/>
      <c r="O449" s="17"/>
      <c r="P449" s="5" t="str">
        <f t="shared" si="10"/>
        <v>Truncate table CLE106;</v>
      </c>
      <c r="Q449" s="60"/>
      <c r="R449" s="60"/>
    </row>
    <row r="450" spans="2:18" x14ac:dyDescent="0.25">
      <c r="B450" s="19" t="s">
        <v>712</v>
      </c>
      <c r="C450" s="16" t="s">
        <v>703</v>
      </c>
      <c r="D450" s="16" t="s">
        <v>29</v>
      </c>
      <c r="E450" s="16" t="s">
        <v>151</v>
      </c>
      <c r="F450" s="23" t="s">
        <v>699</v>
      </c>
      <c r="G450" s="16" t="s">
        <v>35</v>
      </c>
      <c r="H450" s="16"/>
      <c r="I450" s="16"/>
      <c r="J450" s="16"/>
      <c r="K450" s="16"/>
      <c r="L450" s="16"/>
      <c r="M450" s="16"/>
      <c r="N450" s="16"/>
      <c r="O450" s="17"/>
      <c r="P450" s="5" t="str">
        <f t="shared" si="10"/>
        <v>Truncate table CLE107;</v>
      </c>
      <c r="Q450" s="60"/>
      <c r="R450" s="60"/>
    </row>
    <row r="451" spans="2:18" x14ac:dyDescent="0.25">
      <c r="B451" s="19" t="s">
        <v>713</v>
      </c>
      <c r="C451" s="16" t="s">
        <v>703</v>
      </c>
      <c r="D451" s="16" t="s">
        <v>29</v>
      </c>
      <c r="E451" s="16" t="s">
        <v>151</v>
      </c>
      <c r="F451" s="23" t="s">
        <v>699</v>
      </c>
      <c r="G451" s="16" t="s">
        <v>35</v>
      </c>
      <c r="H451" s="16"/>
      <c r="I451" s="16"/>
      <c r="J451" s="16"/>
      <c r="K451" s="16"/>
      <c r="L451" s="16"/>
      <c r="M451" s="16"/>
      <c r="N451" s="16"/>
      <c r="O451" s="17"/>
      <c r="P451" s="5" t="str">
        <f t="shared" si="10"/>
        <v>Truncate table CLE108;</v>
      </c>
      <c r="Q451" s="60"/>
      <c r="R451" s="60"/>
    </row>
    <row r="452" spans="2:18" x14ac:dyDescent="0.25">
      <c r="B452" s="19" t="s">
        <v>714</v>
      </c>
      <c r="C452" s="16" t="s">
        <v>703</v>
      </c>
      <c r="D452" s="16" t="s">
        <v>29</v>
      </c>
      <c r="E452" s="16" t="s">
        <v>151</v>
      </c>
      <c r="F452" s="23" t="s">
        <v>699</v>
      </c>
      <c r="G452" s="16" t="s">
        <v>35</v>
      </c>
      <c r="H452" s="16"/>
      <c r="I452" s="16"/>
      <c r="J452" s="16"/>
      <c r="K452" s="16"/>
      <c r="L452" s="16"/>
      <c r="M452" s="16"/>
      <c r="N452" s="16"/>
      <c r="O452" s="17"/>
      <c r="P452" s="5" t="str">
        <f t="shared" si="10"/>
        <v>Truncate table CLE109;</v>
      </c>
      <c r="Q452" s="60"/>
      <c r="R452" s="60"/>
    </row>
    <row r="453" spans="2:18" x14ac:dyDescent="0.25">
      <c r="B453" s="19" t="s">
        <v>715</v>
      </c>
      <c r="C453" s="16" t="s">
        <v>703</v>
      </c>
      <c r="D453" s="16" t="s">
        <v>29</v>
      </c>
      <c r="E453" s="16" t="s">
        <v>151</v>
      </c>
      <c r="F453" s="23" t="s">
        <v>699</v>
      </c>
      <c r="G453" s="16" t="s">
        <v>35</v>
      </c>
      <c r="H453" s="16"/>
      <c r="I453" s="16"/>
      <c r="J453" s="16"/>
      <c r="K453" s="16"/>
      <c r="L453" s="16"/>
      <c r="M453" s="16"/>
      <c r="N453" s="16"/>
      <c r="O453" s="17"/>
      <c r="P453" s="5" t="str">
        <f t="shared" si="10"/>
        <v>Truncate table CLE110;</v>
      </c>
      <c r="Q453" s="60"/>
      <c r="R453" s="60"/>
    </row>
    <row r="454" spans="2:18" x14ac:dyDescent="0.25">
      <c r="B454" s="19" t="s">
        <v>716</v>
      </c>
      <c r="C454" s="16" t="s">
        <v>703</v>
      </c>
      <c r="D454" s="16" t="s">
        <v>29</v>
      </c>
      <c r="E454" s="16" t="s">
        <v>151</v>
      </c>
      <c r="F454" s="23" t="s">
        <v>699</v>
      </c>
      <c r="G454" s="16" t="s">
        <v>35</v>
      </c>
      <c r="H454" s="16"/>
      <c r="I454" s="16"/>
      <c r="J454" s="16"/>
      <c r="K454" s="16"/>
      <c r="L454" s="16"/>
      <c r="M454" s="16"/>
      <c r="N454" s="16"/>
      <c r="O454" s="17"/>
      <c r="P454" s="5" t="str">
        <f t="shared" si="10"/>
        <v>Truncate table CLE111;</v>
      </c>
      <c r="Q454" s="60"/>
      <c r="R454" s="60"/>
    </row>
    <row r="455" spans="2:18" x14ac:dyDescent="0.25">
      <c r="B455" s="19" t="s">
        <v>717</v>
      </c>
      <c r="C455" s="16" t="s">
        <v>703</v>
      </c>
      <c r="D455" s="16" t="s">
        <v>29</v>
      </c>
      <c r="E455" s="16" t="s">
        <v>151</v>
      </c>
      <c r="F455" s="23" t="s">
        <v>699</v>
      </c>
      <c r="G455" s="16" t="s">
        <v>35</v>
      </c>
      <c r="H455" s="16"/>
      <c r="I455" s="16"/>
      <c r="J455" s="16"/>
      <c r="K455" s="16"/>
      <c r="L455" s="16"/>
      <c r="M455" s="16"/>
      <c r="N455" s="16"/>
      <c r="O455" s="17"/>
      <c r="P455" s="5" t="str">
        <f t="shared" si="10"/>
        <v>Truncate table CLE112;</v>
      </c>
      <c r="Q455" s="60"/>
      <c r="R455" s="60"/>
    </row>
    <row r="456" spans="2:18" x14ac:dyDescent="0.25">
      <c r="B456" s="19" t="s">
        <v>718</v>
      </c>
      <c r="C456" s="16" t="s">
        <v>703</v>
      </c>
      <c r="D456" s="16" t="s">
        <v>29</v>
      </c>
      <c r="E456" s="16" t="s">
        <v>151</v>
      </c>
      <c r="F456" s="23" t="s">
        <v>699</v>
      </c>
      <c r="G456" s="16" t="s">
        <v>35</v>
      </c>
      <c r="H456" s="16"/>
      <c r="I456" s="16"/>
      <c r="J456" s="16"/>
      <c r="K456" s="16"/>
      <c r="L456" s="16"/>
      <c r="M456" s="16"/>
      <c r="N456" s="16"/>
      <c r="O456" s="17"/>
      <c r="P456" s="5" t="str">
        <f t="shared" si="10"/>
        <v>Truncate table CLE115;</v>
      </c>
      <c r="Q456" s="60"/>
      <c r="R456" s="60"/>
    </row>
    <row r="457" spans="2:18" x14ac:dyDescent="0.25">
      <c r="B457" s="19" t="s">
        <v>719</v>
      </c>
      <c r="C457" s="16" t="s">
        <v>703</v>
      </c>
      <c r="D457" s="16" t="s">
        <v>29</v>
      </c>
      <c r="E457" s="16" t="s">
        <v>151</v>
      </c>
      <c r="F457" s="23" t="s">
        <v>699</v>
      </c>
      <c r="G457" s="16" t="s">
        <v>35</v>
      </c>
      <c r="H457" s="16"/>
      <c r="I457" s="16"/>
      <c r="J457" s="16"/>
      <c r="K457" s="16"/>
      <c r="L457" s="16"/>
      <c r="M457" s="16"/>
      <c r="N457" s="16"/>
      <c r="O457" s="17"/>
      <c r="P457" s="5" t="str">
        <f t="shared" si="10"/>
        <v>Truncate table CLE210;</v>
      </c>
      <c r="Q457" s="60"/>
      <c r="R457" s="60"/>
    </row>
    <row r="458" spans="2:18" x14ac:dyDescent="0.25">
      <c r="B458" s="19" t="s">
        <v>720</v>
      </c>
      <c r="C458" s="16" t="s">
        <v>703</v>
      </c>
      <c r="D458" s="16" t="s">
        <v>29</v>
      </c>
      <c r="E458" s="16" t="s">
        <v>151</v>
      </c>
      <c r="F458" s="23" t="s">
        <v>699</v>
      </c>
      <c r="G458" s="16" t="s">
        <v>35</v>
      </c>
      <c r="H458" s="16"/>
      <c r="I458" s="16"/>
      <c r="J458" s="16"/>
      <c r="K458" s="16"/>
      <c r="L458" s="16"/>
      <c r="M458" s="16"/>
      <c r="N458" s="16"/>
      <c r="O458" s="17"/>
      <c r="P458" s="5" t="str">
        <f t="shared" si="10"/>
        <v>Truncate table CLE800;</v>
      </c>
      <c r="Q458" s="60"/>
      <c r="R458" s="60"/>
    </row>
    <row r="459" spans="2:18" x14ac:dyDescent="0.25">
      <c r="B459" s="19" t="s">
        <v>721</v>
      </c>
      <c r="C459" s="16" t="s">
        <v>703</v>
      </c>
      <c r="D459" s="16" t="s">
        <v>29</v>
      </c>
      <c r="E459" s="16" t="s">
        <v>151</v>
      </c>
      <c r="F459" s="23" t="s">
        <v>699</v>
      </c>
      <c r="G459" s="16" t="s">
        <v>35</v>
      </c>
      <c r="H459" s="16"/>
      <c r="I459" s="16"/>
      <c r="J459" s="16"/>
      <c r="K459" s="16"/>
      <c r="L459" s="16"/>
      <c r="M459" s="16"/>
      <c r="N459" s="16"/>
      <c r="O459" s="17"/>
      <c r="P459" s="5" t="str">
        <f t="shared" si="10"/>
        <v>Truncate table CLE810;</v>
      </c>
      <c r="Q459" s="60"/>
      <c r="R459" s="60"/>
    </row>
    <row r="460" spans="2:18" x14ac:dyDescent="0.25">
      <c r="B460" s="19" t="s">
        <v>722</v>
      </c>
      <c r="C460" s="16" t="s">
        <v>703</v>
      </c>
      <c r="D460" s="16" t="s">
        <v>29</v>
      </c>
      <c r="E460" s="16" t="s">
        <v>151</v>
      </c>
      <c r="F460" s="23" t="s">
        <v>699</v>
      </c>
      <c r="G460" s="16" t="s">
        <v>35</v>
      </c>
      <c r="H460" s="16"/>
      <c r="I460" s="16"/>
      <c r="J460" s="16"/>
      <c r="K460" s="16"/>
      <c r="L460" s="16"/>
      <c r="M460" s="16"/>
      <c r="N460" s="16"/>
      <c r="O460" s="17"/>
      <c r="P460" s="5" t="str">
        <f t="shared" si="10"/>
        <v>Truncate table CLER11;</v>
      </c>
      <c r="Q460" s="60"/>
      <c r="R460" s="60"/>
    </row>
    <row r="461" spans="2:18" x14ac:dyDescent="0.25">
      <c r="B461" s="19" t="s">
        <v>723</v>
      </c>
      <c r="C461" s="16" t="s">
        <v>703</v>
      </c>
      <c r="D461" s="16" t="s">
        <v>29</v>
      </c>
      <c r="E461" s="16" t="s">
        <v>151</v>
      </c>
      <c r="F461" s="23" t="s">
        <v>699</v>
      </c>
      <c r="G461" s="16" t="s">
        <v>35</v>
      </c>
      <c r="H461" s="16"/>
      <c r="I461" s="16"/>
      <c r="J461" s="16"/>
      <c r="K461" s="16"/>
      <c r="L461" s="16"/>
      <c r="M461" s="16"/>
      <c r="N461" s="16"/>
      <c r="O461" s="17"/>
      <c r="P461" s="5" t="str">
        <f t="shared" si="10"/>
        <v>Truncate table CLER12;</v>
      </c>
      <c r="Q461" s="60"/>
      <c r="R461" s="60"/>
    </row>
    <row r="462" spans="2:18" x14ac:dyDescent="0.25">
      <c r="B462" s="19" t="s">
        <v>724</v>
      </c>
      <c r="C462" s="16" t="s">
        <v>703</v>
      </c>
      <c r="D462" s="16" t="s">
        <v>29</v>
      </c>
      <c r="E462" s="16" t="s">
        <v>151</v>
      </c>
      <c r="F462" s="23" t="s">
        <v>699</v>
      </c>
      <c r="G462" s="16" t="s">
        <v>35</v>
      </c>
      <c r="H462" s="16"/>
      <c r="I462" s="16"/>
      <c r="J462" s="16"/>
      <c r="K462" s="16"/>
      <c r="L462" s="16"/>
      <c r="M462" s="16"/>
      <c r="N462" s="16"/>
      <c r="O462" s="17"/>
      <c r="P462" s="5" t="str">
        <f t="shared" si="10"/>
        <v>Truncate table CLER13;</v>
      </c>
      <c r="Q462" s="16"/>
      <c r="R462" s="16"/>
    </row>
    <row r="463" spans="2:18" x14ac:dyDescent="0.25">
      <c r="B463" s="19" t="s">
        <v>725</v>
      </c>
      <c r="C463" s="16" t="s">
        <v>703</v>
      </c>
      <c r="D463" s="16" t="s">
        <v>29</v>
      </c>
      <c r="E463" s="16" t="s">
        <v>151</v>
      </c>
      <c r="F463" s="23" t="s">
        <v>699</v>
      </c>
      <c r="G463" s="16" t="s">
        <v>35</v>
      </c>
      <c r="H463" s="16"/>
      <c r="I463" s="16"/>
      <c r="J463" s="16"/>
      <c r="K463" s="16"/>
      <c r="L463" s="16"/>
      <c r="M463" s="16"/>
      <c r="N463" s="16"/>
      <c r="O463" s="17"/>
      <c r="P463" s="5" t="str">
        <f t="shared" si="10"/>
        <v>Truncate table CLER14;</v>
      </c>
      <c r="Q463" s="16"/>
      <c r="R463" s="16"/>
    </row>
    <row r="464" spans="2:18" x14ac:dyDescent="0.25">
      <c r="B464" s="19" t="s">
        <v>726</v>
      </c>
      <c r="C464" s="16" t="s">
        <v>703</v>
      </c>
      <c r="D464" s="16" t="s">
        <v>29</v>
      </c>
      <c r="E464" s="16" t="s">
        <v>151</v>
      </c>
      <c r="F464" s="23" t="s">
        <v>699</v>
      </c>
      <c r="G464" s="16" t="s">
        <v>35</v>
      </c>
      <c r="H464" s="16"/>
      <c r="I464" s="16"/>
      <c r="J464" s="16"/>
      <c r="K464" s="16"/>
      <c r="L464" s="16"/>
      <c r="M464" s="16"/>
      <c r="N464" s="16"/>
      <c r="O464" s="17"/>
      <c r="P464" s="5" t="str">
        <f t="shared" si="10"/>
        <v>Truncate table CLER15;</v>
      </c>
      <c r="Q464" s="16"/>
      <c r="R464" s="16"/>
    </row>
    <row r="465" spans="2:18" x14ac:dyDescent="0.25">
      <c r="B465" s="19" t="s">
        <v>727</v>
      </c>
      <c r="C465" s="16" t="s">
        <v>703</v>
      </c>
      <c r="D465" s="16" t="s">
        <v>29</v>
      </c>
      <c r="E465" s="16" t="s">
        <v>151</v>
      </c>
      <c r="F465" s="23" t="s">
        <v>699</v>
      </c>
      <c r="G465" s="16" t="s">
        <v>35</v>
      </c>
      <c r="H465" s="16"/>
      <c r="I465" s="16"/>
      <c r="J465" s="16"/>
      <c r="K465" s="16"/>
      <c r="L465" s="16"/>
      <c r="M465" s="16"/>
      <c r="N465" s="16"/>
      <c r="O465" s="17"/>
      <c r="P465" s="5" t="str">
        <f t="shared" si="10"/>
        <v>Truncate table CLER16;</v>
      </c>
      <c r="Q465" s="16"/>
      <c r="R465" s="16"/>
    </row>
    <row r="466" spans="2:18" x14ac:dyDescent="0.25">
      <c r="B466" s="19" t="s">
        <v>728</v>
      </c>
      <c r="C466" s="16" t="s">
        <v>703</v>
      </c>
      <c r="D466" s="16" t="s">
        <v>29</v>
      </c>
      <c r="E466" s="16" t="s">
        <v>151</v>
      </c>
      <c r="F466" s="23" t="s">
        <v>699</v>
      </c>
      <c r="G466" s="16" t="s">
        <v>35</v>
      </c>
      <c r="H466" s="16"/>
      <c r="I466" s="16"/>
      <c r="J466" s="16"/>
      <c r="K466" s="16"/>
      <c r="L466" s="16"/>
      <c r="M466" s="16"/>
      <c r="N466" s="16"/>
      <c r="O466" s="17"/>
      <c r="P466" s="5" t="str">
        <f t="shared" si="10"/>
        <v>Truncate table CLER18;</v>
      </c>
      <c r="Q466" s="16"/>
      <c r="R466" s="16"/>
    </row>
    <row r="467" spans="2:18" x14ac:dyDescent="0.25">
      <c r="B467" s="19" t="s">
        <v>729</v>
      </c>
      <c r="C467" s="16" t="s">
        <v>703</v>
      </c>
      <c r="D467" s="16" t="s">
        <v>29</v>
      </c>
      <c r="E467" s="16" t="s">
        <v>151</v>
      </c>
      <c r="F467" s="23" t="s">
        <v>699</v>
      </c>
      <c r="G467" s="16" t="s">
        <v>35</v>
      </c>
      <c r="H467" s="16" t="s">
        <v>36</v>
      </c>
      <c r="I467" s="16"/>
      <c r="J467" s="16"/>
      <c r="K467" s="16" t="s">
        <v>705</v>
      </c>
      <c r="L467" s="16"/>
      <c r="M467" s="16"/>
      <c r="N467" s="16"/>
      <c r="O467" s="7" t="s">
        <v>38</v>
      </c>
      <c r="P467" s="5" t="str">
        <f t="shared" si="10"/>
        <v>Truncate table CLER19;</v>
      </c>
      <c r="Q467" s="16"/>
      <c r="R467" s="16"/>
    </row>
    <row r="468" spans="2:18" x14ac:dyDescent="0.25">
      <c r="B468" s="19" t="s">
        <v>730</v>
      </c>
      <c r="C468" s="16" t="s">
        <v>703</v>
      </c>
      <c r="D468" s="16" t="s">
        <v>29</v>
      </c>
      <c r="E468" s="16" t="s">
        <v>151</v>
      </c>
      <c r="F468" s="23" t="s">
        <v>699</v>
      </c>
      <c r="G468" s="16" t="s">
        <v>35</v>
      </c>
      <c r="H468" s="16"/>
      <c r="I468" s="16"/>
      <c r="J468" s="16"/>
      <c r="K468" s="16"/>
      <c r="L468" s="16"/>
      <c r="M468" s="16"/>
      <c r="N468" s="16"/>
      <c r="O468" s="17"/>
      <c r="P468" s="5" t="str">
        <f t="shared" si="10"/>
        <v>Truncate table CLER20;</v>
      </c>
      <c r="Q468" s="16"/>
      <c r="R468" s="16"/>
    </row>
    <row r="469" spans="2:18" x14ac:dyDescent="0.25">
      <c r="B469" s="19" t="s">
        <v>731</v>
      </c>
      <c r="C469" s="16" t="s">
        <v>703</v>
      </c>
      <c r="D469" s="16" t="s">
        <v>29</v>
      </c>
      <c r="E469" s="16" t="s">
        <v>151</v>
      </c>
      <c r="F469" s="23" t="s">
        <v>699</v>
      </c>
      <c r="G469" s="16" t="s">
        <v>35</v>
      </c>
      <c r="H469" s="16"/>
      <c r="I469" s="16"/>
      <c r="J469" s="16"/>
      <c r="K469" s="16"/>
      <c r="L469" s="16"/>
      <c r="M469" s="16"/>
      <c r="N469" s="16"/>
      <c r="O469" s="17"/>
      <c r="P469" s="5" t="str">
        <f t="shared" si="10"/>
        <v>Truncate table CLER21;</v>
      </c>
      <c r="Q469" s="16"/>
      <c r="R469" s="16"/>
    </row>
    <row r="470" spans="2:18" x14ac:dyDescent="0.25">
      <c r="B470" s="19" t="s">
        <v>732</v>
      </c>
      <c r="C470" s="305" t="s">
        <v>9881</v>
      </c>
      <c r="D470" s="16" t="s">
        <v>29</v>
      </c>
      <c r="E470" s="16" t="s">
        <v>734</v>
      </c>
      <c r="F470" s="5" t="s">
        <v>733</v>
      </c>
      <c r="G470" s="16" t="s">
        <v>35</v>
      </c>
      <c r="H470" s="16"/>
      <c r="I470" s="16"/>
      <c r="J470" s="16"/>
      <c r="K470" s="16"/>
      <c r="L470" s="16"/>
      <c r="M470" s="16"/>
      <c r="N470" s="16"/>
      <c r="O470" s="17"/>
      <c r="P470" s="5" t="str">
        <f t="shared" si="10"/>
        <v>Truncate table CMC010;</v>
      </c>
      <c r="Q470" s="16"/>
      <c r="R470" s="16"/>
    </row>
    <row r="471" spans="2:18" x14ac:dyDescent="0.25">
      <c r="B471" s="19" t="s">
        <v>735</v>
      </c>
      <c r="C471" s="305" t="s">
        <v>9882</v>
      </c>
      <c r="D471" s="16" t="s">
        <v>29</v>
      </c>
      <c r="E471" s="16" t="s">
        <v>734</v>
      </c>
      <c r="F471" s="5" t="s">
        <v>733</v>
      </c>
      <c r="G471" s="16" t="s">
        <v>35</v>
      </c>
      <c r="H471" s="16"/>
      <c r="I471" s="16"/>
      <c r="J471" s="16"/>
      <c r="K471" s="16"/>
      <c r="L471" s="16"/>
      <c r="M471" s="16"/>
      <c r="N471" s="16"/>
      <c r="O471" s="17"/>
      <c r="P471" s="5" t="str">
        <f t="shared" si="10"/>
        <v>Truncate table CMC020;</v>
      </c>
      <c r="Q471" s="16"/>
      <c r="R471" s="16"/>
    </row>
    <row r="472" spans="2:18" x14ac:dyDescent="0.25">
      <c r="B472" s="19" t="s">
        <v>736</v>
      </c>
      <c r="C472" s="305" t="s">
        <v>9883</v>
      </c>
      <c r="D472" s="16" t="s">
        <v>29</v>
      </c>
      <c r="E472" s="16" t="s">
        <v>734</v>
      </c>
      <c r="F472" s="5" t="s">
        <v>733</v>
      </c>
      <c r="G472" s="16" t="s">
        <v>35</v>
      </c>
      <c r="H472" s="16"/>
      <c r="I472" s="16"/>
      <c r="J472" s="16"/>
      <c r="K472" s="16"/>
      <c r="L472" s="16"/>
      <c r="M472" s="16"/>
      <c r="N472" s="16"/>
      <c r="O472" s="17"/>
      <c r="P472" s="5" t="str">
        <f t="shared" si="10"/>
        <v>Truncate table CMC021;</v>
      </c>
      <c r="Q472" s="16"/>
      <c r="R472" s="16"/>
    </row>
    <row r="473" spans="2:18" x14ac:dyDescent="0.25">
      <c r="B473" s="19" t="s">
        <v>737</v>
      </c>
      <c r="C473" s="305" t="s">
        <v>9884</v>
      </c>
      <c r="D473" s="16" t="s">
        <v>29</v>
      </c>
      <c r="E473" s="16" t="s">
        <v>734</v>
      </c>
      <c r="F473" s="5" t="s">
        <v>733</v>
      </c>
      <c r="G473" s="16" t="s">
        <v>35</v>
      </c>
      <c r="H473" s="16"/>
      <c r="I473" s="16"/>
      <c r="J473" s="16"/>
      <c r="K473" s="16"/>
      <c r="L473" s="16"/>
      <c r="M473" s="16"/>
      <c r="N473" s="16"/>
      <c r="O473" s="17"/>
      <c r="P473" s="5" t="str">
        <f t="shared" si="10"/>
        <v>Truncate table CMC022;</v>
      </c>
      <c r="Q473" s="16"/>
      <c r="R473" s="16"/>
    </row>
    <row r="474" spans="2:18" x14ac:dyDescent="0.25">
      <c r="B474" s="19" t="s">
        <v>738</v>
      </c>
      <c r="C474" s="305" t="s">
        <v>9885</v>
      </c>
      <c r="D474" s="16" t="s">
        <v>29</v>
      </c>
      <c r="E474" s="16" t="s">
        <v>734</v>
      </c>
      <c r="F474" s="5" t="s">
        <v>733</v>
      </c>
      <c r="G474" s="16" t="s">
        <v>35</v>
      </c>
      <c r="H474" s="16"/>
      <c r="I474" s="16"/>
      <c r="J474" s="16"/>
      <c r="K474" s="16"/>
      <c r="L474" s="16"/>
      <c r="M474" s="16"/>
      <c r="N474" s="16"/>
      <c r="O474" s="17"/>
      <c r="P474" s="5" t="str">
        <f t="shared" si="10"/>
        <v>Truncate table CMC024;</v>
      </c>
      <c r="Q474" s="16"/>
      <c r="R474" s="16"/>
    </row>
    <row r="475" spans="2:18" x14ac:dyDescent="0.25">
      <c r="B475" s="19" t="s">
        <v>739</v>
      </c>
      <c r="C475" s="305" t="s">
        <v>9886</v>
      </c>
      <c r="D475" s="16" t="s">
        <v>29</v>
      </c>
      <c r="E475" s="16" t="s">
        <v>734</v>
      </c>
      <c r="F475" s="5" t="s">
        <v>733</v>
      </c>
      <c r="G475" s="16" t="s">
        <v>35</v>
      </c>
      <c r="H475" s="16"/>
      <c r="I475" s="16"/>
      <c r="J475" s="16"/>
      <c r="K475" s="16"/>
      <c r="L475" s="16"/>
      <c r="M475" s="16"/>
      <c r="N475" s="16"/>
      <c r="O475" s="17"/>
      <c r="P475" s="5" t="str">
        <f t="shared" si="10"/>
        <v>Truncate table CMC025;</v>
      </c>
      <c r="Q475" s="16"/>
      <c r="R475" s="16"/>
    </row>
    <row r="476" spans="2:18" x14ac:dyDescent="0.25">
      <c r="B476" s="19" t="s">
        <v>740</v>
      </c>
      <c r="C476" s="305" t="s">
        <v>9887</v>
      </c>
      <c r="D476" s="16" t="s">
        <v>29</v>
      </c>
      <c r="E476" s="16" t="s">
        <v>734</v>
      </c>
      <c r="F476" s="5" t="s">
        <v>733</v>
      </c>
      <c r="G476" s="16" t="s">
        <v>35</v>
      </c>
      <c r="H476" s="16"/>
      <c r="I476" s="16"/>
      <c r="J476" s="16"/>
      <c r="K476" s="16"/>
      <c r="L476" s="16"/>
      <c r="M476" s="16"/>
      <c r="N476" s="16"/>
      <c r="O476" s="17"/>
      <c r="P476" s="5" t="str">
        <f t="shared" si="10"/>
        <v>Truncate table CMC027;</v>
      </c>
      <c r="Q476" s="5"/>
      <c r="R476" s="5"/>
    </row>
    <row r="477" spans="2:18" x14ac:dyDescent="0.25">
      <c r="B477" s="19" t="s">
        <v>741</v>
      </c>
      <c r="C477" s="305" t="s">
        <v>9888</v>
      </c>
      <c r="D477" s="16" t="s">
        <v>29</v>
      </c>
      <c r="E477" s="16" t="s">
        <v>734</v>
      </c>
      <c r="F477" s="5" t="s">
        <v>733</v>
      </c>
      <c r="G477" s="16" t="s">
        <v>35</v>
      </c>
      <c r="H477" s="16"/>
      <c r="I477" s="16"/>
      <c r="J477" s="16"/>
      <c r="K477" s="16"/>
      <c r="L477" s="16"/>
      <c r="M477" s="16"/>
      <c r="N477" s="16"/>
      <c r="O477" s="17"/>
      <c r="P477" s="5" t="str">
        <f t="shared" si="10"/>
        <v>Truncate table CMC401;</v>
      </c>
      <c r="Q477" s="5"/>
      <c r="R477" s="5"/>
    </row>
    <row r="478" spans="2:18" x14ac:dyDescent="0.25">
      <c r="B478" s="19" t="s">
        <v>742</v>
      </c>
      <c r="C478" s="305" t="s">
        <v>8415</v>
      </c>
      <c r="D478" s="16" t="s">
        <v>29</v>
      </c>
      <c r="E478" s="16" t="s">
        <v>734</v>
      </c>
      <c r="F478" s="5" t="s">
        <v>733</v>
      </c>
      <c r="G478" s="16" t="s">
        <v>35</v>
      </c>
      <c r="H478" s="16"/>
      <c r="I478" s="16"/>
      <c r="J478" s="16"/>
      <c r="K478" s="16"/>
      <c r="L478" s="16"/>
      <c r="M478" s="16"/>
      <c r="N478" s="16"/>
      <c r="O478" s="17"/>
      <c r="P478" s="5" t="str">
        <f t="shared" si="10"/>
        <v>Truncate table CMP001;</v>
      </c>
      <c r="Q478" s="5"/>
      <c r="R478" s="5"/>
    </row>
    <row r="479" spans="2:18" x14ac:dyDescent="0.25">
      <c r="B479" s="19" t="s">
        <v>743</v>
      </c>
      <c r="C479" s="305" t="s">
        <v>9889</v>
      </c>
      <c r="D479" s="16" t="s">
        <v>29</v>
      </c>
      <c r="E479" s="16" t="s">
        <v>734</v>
      </c>
      <c r="F479" s="5" t="s">
        <v>733</v>
      </c>
      <c r="G479" s="16" t="s">
        <v>35</v>
      </c>
      <c r="H479" s="16"/>
      <c r="I479" s="16"/>
      <c r="J479" s="16"/>
      <c r="K479" s="16"/>
      <c r="L479" s="16"/>
      <c r="M479" s="16"/>
      <c r="N479" s="16"/>
      <c r="O479" s="17"/>
      <c r="P479" s="5" t="str">
        <f t="shared" si="10"/>
        <v>Truncate table CMP002;</v>
      </c>
      <c r="Q479" s="5"/>
      <c r="R479" s="5"/>
    </row>
    <row r="480" spans="2:18" x14ac:dyDescent="0.25">
      <c r="B480" s="19" t="s">
        <v>744</v>
      </c>
      <c r="C480" s="16" t="s">
        <v>745</v>
      </c>
      <c r="D480" s="16" t="s">
        <v>29</v>
      </c>
      <c r="E480" s="16" t="s">
        <v>734</v>
      </c>
      <c r="F480" s="5" t="s">
        <v>746</v>
      </c>
      <c r="G480" s="16" t="s">
        <v>35</v>
      </c>
      <c r="H480" s="16"/>
      <c r="I480" s="16"/>
      <c r="J480" s="16"/>
      <c r="K480" s="16"/>
      <c r="L480" s="16"/>
      <c r="M480" s="16"/>
      <c r="N480" s="16"/>
      <c r="O480" s="17"/>
      <c r="P480" s="5" t="str">
        <f t="shared" si="10"/>
        <v>Truncate table CNL000;</v>
      </c>
      <c r="Q480" s="5"/>
      <c r="R480" s="5"/>
    </row>
    <row r="481" spans="2:18" x14ac:dyDescent="0.25">
      <c r="B481" s="19" t="s">
        <v>747</v>
      </c>
      <c r="C481" s="16" t="s">
        <v>745</v>
      </c>
      <c r="D481" s="16" t="s">
        <v>29</v>
      </c>
      <c r="E481" s="16" t="s">
        <v>734</v>
      </c>
      <c r="F481" s="5" t="s">
        <v>746</v>
      </c>
      <c r="G481" s="16" t="s">
        <v>35</v>
      </c>
      <c r="H481" s="16"/>
      <c r="I481" s="16"/>
      <c r="J481" s="16"/>
      <c r="K481" s="16"/>
      <c r="L481" s="16"/>
      <c r="M481" s="16"/>
      <c r="N481" s="16"/>
      <c r="O481" s="17"/>
      <c r="P481" s="5" t="str">
        <f t="shared" si="10"/>
        <v>Truncate table CNL001;</v>
      </c>
      <c r="Q481" s="5"/>
      <c r="R481" s="5"/>
    </row>
    <row r="482" spans="2:18" x14ac:dyDescent="0.25">
      <c r="B482" s="19" t="s">
        <v>748</v>
      </c>
      <c r="C482" s="16" t="s">
        <v>745</v>
      </c>
      <c r="D482" s="16" t="s">
        <v>29</v>
      </c>
      <c r="E482" s="16" t="s">
        <v>734</v>
      </c>
      <c r="F482" s="5" t="s">
        <v>746</v>
      </c>
      <c r="G482" s="16" t="s">
        <v>35</v>
      </c>
      <c r="H482" s="16"/>
      <c r="I482" s="16"/>
      <c r="J482" s="16"/>
      <c r="K482" s="16"/>
      <c r="L482" s="16"/>
      <c r="M482" s="16"/>
      <c r="N482" s="16"/>
      <c r="O482" s="17"/>
      <c r="P482" s="5" t="str">
        <f t="shared" ref="P482:P545" si="11">IF(D482="Datos","Truncate table "&amp; B482&amp; ";","")</f>
        <v>Truncate table CNL002;</v>
      </c>
      <c r="Q482" s="5"/>
      <c r="R482" s="5"/>
    </row>
    <row r="483" spans="2:18" x14ac:dyDescent="0.25">
      <c r="B483" s="19" t="s">
        <v>749</v>
      </c>
      <c r="C483" s="16" t="s">
        <v>745</v>
      </c>
      <c r="D483" s="16" t="s">
        <v>29</v>
      </c>
      <c r="E483" s="16" t="s">
        <v>734</v>
      </c>
      <c r="F483" s="5" t="s">
        <v>746</v>
      </c>
      <c r="G483" s="16" t="s">
        <v>35</v>
      </c>
      <c r="H483" s="16"/>
      <c r="I483" s="16"/>
      <c r="J483" s="16"/>
      <c r="K483" s="16"/>
      <c r="L483" s="16"/>
      <c r="M483" s="16"/>
      <c r="N483" s="16"/>
      <c r="O483" s="17"/>
      <c r="P483" s="5" t="str">
        <f t="shared" si="11"/>
        <v>Truncate table CNL003;</v>
      </c>
      <c r="Q483" s="5"/>
      <c r="R483" s="5"/>
    </row>
    <row r="484" spans="2:18" x14ac:dyDescent="0.25">
      <c r="B484" s="19" t="s">
        <v>750</v>
      </c>
      <c r="C484" s="16" t="s">
        <v>745</v>
      </c>
      <c r="D484" s="16" t="s">
        <v>29</v>
      </c>
      <c r="E484" s="16" t="s">
        <v>734</v>
      </c>
      <c r="F484" s="5" t="s">
        <v>746</v>
      </c>
      <c r="G484" s="16" t="s">
        <v>35</v>
      </c>
      <c r="H484" s="16"/>
      <c r="I484" s="16"/>
      <c r="J484" s="16"/>
      <c r="K484" s="16"/>
      <c r="L484" s="16"/>
      <c r="M484" s="16"/>
      <c r="N484" s="16"/>
      <c r="O484" s="17"/>
      <c r="P484" s="5" t="str">
        <f t="shared" si="11"/>
        <v>Truncate table CNL004;</v>
      </c>
      <c r="Q484" s="5"/>
      <c r="R484" s="5"/>
    </row>
    <row r="485" spans="2:18" x14ac:dyDescent="0.25">
      <c r="B485" s="19" t="s">
        <v>751</v>
      </c>
      <c r="C485" s="16" t="s">
        <v>745</v>
      </c>
      <c r="D485" s="16" t="s">
        <v>29</v>
      </c>
      <c r="E485" s="16" t="s">
        <v>734</v>
      </c>
      <c r="F485" s="5" t="s">
        <v>746</v>
      </c>
      <c r="G485" s="16" t="s">
        <v>35</v>
      </c>
      <c r="H485" s="16"/>
      <c r="I485" s="16"/>
      <c r="J485" s="16"/>
      <c r="K485" s="16"/>
      <c r="L485" s="16"/>
      <c r="M485" s="16"/>
      <c r="N485" s="16"/>
      <c r="O485" s="17"/>
      <c r="P485" s="5" t="str">
        <f t="shared" si="11"/>
        <v>Truncate table CNL005;</v>
      </c>
      <c r="Q485" s="5"/>
      <c r="R485" s="5"/>
    </row>
    <row r="486" spans="2:18" x14ac:dyDescent="0.25">
      <c r="B486" s="19" t="s">
        <v>752</v>
      </c>
      <c r="C486" s="16" t="s">
        <v>745</v>
      </c>
      <c r="D486" s="16" t="s">
        <v>29</v>
      </c>
      <c r="E486" s="16" t="s">
        <v>734</v>
      </c>
      <c r="F486" s="5" t="s">
        <v>746</v>
      </c>
      <c r="G486" s="16" t="s">
        <v>35</v>
      </c>
      <c r="H486" s="16"/>
      <c r="I486" s="16"/>
      <c r="J486" s="16"/>
      <c r="K486" s="16"/>
      <c r="L486" s="16"/>
      <c r="M486" s="16"/>
      <c r="N486" s="16"/>
      <c r="O486" s="17"/>
      <c r="P486" s="5" t="str">
        <f t="shared" si="11"/>
        <v>Truncate table CNL006;</v>
      </c>
      <c r="Q486" s="5"/>
      <c r="R486" s="5"/>
    </row>
    <row r="487" spans="2:18" x14ac:dyDescent="0.25">
      <c r="B487" s="19" t="s">
        <v>753</v>
      </c>
      <c r="C487" s="16" t="s">
        <v>745</v>
      </c>
      <c r="D487" s="16" t="s">
        <v>29</v>
      </c>
      <c r="E487" s="16" t="s">
        <v>734</v>
      </c>
      <c r="F487" s="5" t="s">
        <v>746</v>
      </c>
      <c r="G487" s="16" t="s">
        <v>35</v>
      </c>
      <c r="H487" s="16"/>
      <c r="I487" s="16"/>
      <c r="J487" s="16"/>
      <c r="K487" s="16"/>
      <c r="L487" s="16"/>
      <c r="M487" s="16"/>
      <c r="N487" s="16"/>
      <c r="O487" s="17"/>
      <c r="P487" s="5" t="str">
        <f t="shared" si="11"/>
        <v>Truncate table CNL007;</v>
      </c>
      <c r="Q487" s="5"/>
      <c r="R487" s="5"/>
    </row>
    <row r="488" spans="2:18" x14ac:dyDescent="0.25">
      <c r="B488" s="19" t="s">
        <v>754</v>
      </c>
      <c r="C488" s="16" t="s">
        <v>745</v>
      </c>
      <c r="D488" s="16" t="s">
        <v>29</v>
      </c>
      <c r="E488" s="16" t="s">
        <v>734</v>
      </c>
      <c r="F488" s="5" t="s">
        <v>746</v>
      </c>
      <c r="G488" s="16" t="s">
        <v>35</v>
      </c>
      <c r="H488" s="16"/>
      <c r="I488" s="16"/>
      <c r="J488" s="16"/>
      <c r="K488" s="16"/>
      <c r="L488" s="16"/>
      <c r="M488" s="16"/>
      <c r="N488" s="16"/>
      <c r="O488" s="17"/>
      <c r="P488" s="5" t="str">
        <f t="shared" si="11"/>
        <v>Truncate table CNL008;</v>
      </c>
      <c r="Q488" s="5"/>
      <c r="R488" s="5"/>
    </row>
    <row r="489" spans="2:18" x14ac:dyDescent="0.25">
      <c r="B489" s="19" t="s">
        <v>755</v>
      </c>
      <c r="C489" s="16" t="s">
        <v>745</v>
      </c>
      <c r="D489" s="16" t="s">
        <v>29</v>
      </c>
      <c r="E489" s="16" t="s">
        <v>734</v>
      </c>
      <c r="F489" s="5" t="s">
        <v>746</v>
      </c>
      <c r="G489" s="16" t="s">
        <v>35</v>
      </c>
      <c r="H489" s="16"/>
      <c r="I489" s="16"/>
      <c r="J489" s="16"/>
      <c r="K489" s="16"/>
      <c r="L489" s="16"/>
      <c r="M489" s="16"/>
      <c r="N489" s="16"/>
      <c r="O489" s="17"/>
      <c r="P489" s="5" t="str">
        <f t="shared" si="11"/>
        <v>Truncate table CNL009;</v>
      </c>
      <c r="Q489" s="5"/>
      <c r="R489" s="5"/>
    </row>
    <row r="490" spans="2:18" x14ac:dyDescent="0.25">
      <c r="B490" s="19" t="s">
        <v>756</v>
      </c>
      <c r="C490" s="16" t="s">
        <v>745</v>
      </c>
      <c r="D490" s="16" t="s">
        <v>29</v>
      </c>
      <c r="E490" s="16" t="s">
        <v>734</v>
      </c>
      <c r="F490" s="5" t="s">
        <v>746</v>
      </c>
      <c r="G490" s="16" t="s">
        <v>35</v>
      </c>
      <c r="H490" s="16"/>
      <c r="I490" s="16"/>
      <c r="J490" s="16"/>
      <c r="K490" s="16"/>
      <c r="L490" s="16"/>
      <c r="M490" s="16"/>
      <c r="N490" s="16"/>
      <c r="O490" s="17"/>
      <c r="P490" s="5" t="str">
        <f t="shared" si="11"/>
        <v>Truncate table CNL010;</v>
      </c>
      <c r="Q490" s="5"/>
      <c r="R490" s="5"/>
    </row>
    <row r="491" spans="2:18" x14ac:dyDescent="0.25">
      <c r="B491" s="19" t="s">
        <v>757</v>
      </c>
      <c r="C491" s="16" t="s">
        <v>745</v>
      </c>
      <c r="D491" s="16" t="s">
        <v>29</v>
      </c>
      <c r="E491" s="16" t="s">
        <v>734</v>
      </c>
      <c r="F491" s="5" t="s">
        <v>746</v>
      </c>
      <c r="G491" s="16" t="s">
        <v>35</v>
      </c>
      <c r="H491" s="16"/>
      <c r="I491" s="16"/>
      <c r="J491" s="16"/>
      <c r="K491" s="16"/>
      <c r="L491" s="16"/>
      <c r="M491" s="16"/>
      <c r="N491" s="16"/>
      <c r="O491" s="17"/>
      <c r="P491" s="5" t="str">
        <f t="shared" si="11"/>
        <v>Truncate table CNL011;</v>
      </c>
      <c r="Q491" s="5"/>
      <c r="R491" s="5"/>
    </row>
    <row r="492" spans="2:18" x14ac:dyDescent="0.25">
      <c r="B492" s="19" t="s">
        <v>758</v>
      </c>
      <c r="C492" s="16" t="s">
        <v>745</v>
      </c>
      <c r="D492" s="16" t="s">
        <v>29</v>
      </c>
      <c r="E492" s="16" t="s">
        <v>734</v>
      </c>
      <c r="F492" s="5" t="s">
        <v>746</v>
      </c>
      <c r="G492" s="16" t="s">
        <v>35</v>
      </c>
      <c r="H492" s="16"/>
      <c r="I492" s="16"/>
      <c r="J492" s="16"/>
      <c r="K492" s="16"/>
      <c r="L492" s="16"/>
      <c r="M492" s="16"/>
      <c r="N492" s="16"/>
      <c r="O492" s="17"/>
      <c r="P492" s="5" t="str">
        <f t="shared" si="11"/>
        <v>Truncate table CNL012;</v>
      </c>
      <c r="Q492" s="5"/>
      <c r="R492" s="5"/>
    </row>
    <row r="493" spans="2:18" x14ac:dyDescent="0.25">
      <c r="B493" s="19" t="s">
        <v>759</v>
      </c>
      <c r="C493" s="16" t="s">
        <v>745</v>
      </c>
      <c r="D493" s="16" t="s">
        <v>29</v>
      </c>
      <c r="E493" s="16" t="s">
        <v>734</v>
      </c>
      <c r="F493" s="5" t="s">
        <v>746</v>
      </c>
      <c r="G493" s="16" t="s">
        <v>35</v>
      </c>
      <c r="H493" s="16"/>
      <c r="I493" s="16"/>
      <c r="J493" s="16"/>
      <c r="K493" s="16"/>
      <c r="L493" s="16"/>
      <c r="M493" s="16"/>
      <c r="N493" s="16"/>
      <c r="O493" s="17"/>
      <c r="P493" s="5" t="str">
        <f t="shared" si="11"/>
        <v>Truncate table CNL013;</v>
      </c>
      <c r="Q493" s="5"/>
      <c r="R493" s="5"/>
    </row>
    <row r="494" spans="2:18" x14ac:dyDescent="0.25">
      <c r="B494" s="19" t="s">
        <v>760</v>
      </c>
      <c r="C494" s="16" t="s">
        <v>745</v>
      </c>
      <c r="D494" s="16" t="s">
        <v>29</v>
      </c>
      <c r="E494" s="16" t="s">
        <v>734</v>
      </c>
      <c r="F494" s="5" t="s">
        <v>746</v>
      </c>
      <c r="G494" s="16" t="s">
        <v>35</v>
      </c>
      <c r="H494" s="16"/>
      <c r="I494" s="16"/>
      <c r="J494" s="16"/>
      <c r="K494" s="16"/>
      <c r="L494" s="16"/>
      <c r="M494" s="16"/>
      <c r="N494" s="16"/>
      <c r="O494" s="17"/>
      <c r="P494" s="5" t="str">
        <f t="shared" si="11"/>
        <v>Truncate table CNL014;</v>
      </c>
      <c r="Q494" s="5"/>
      <c r="R494" s="5"/>
    </row>
    <row r="495" spans="2:18" x14ac:dyDescent="0.25">
      <c r="B495" s="19" t="s">
        <v>761</v>
      </c>
      <c r="C495" s="16" t="s">
        <v>745</v>
      </c>
      <c r="D495" s="16" t="s">
        <v>29</v>
      </c>
      <c r="E495" s="16" t="s">
        <v>734</v>
      </c>
      <c r="F495" s="5" t="s">
        <v>746</v>
      </c>
      <c r="G495" s="16" t="s">
        <v>35</v>
      </c>
      <c r="H495" s="16"/>
      <c r="I495" s="16"/>
      <c r="J495" s="16"/>
      <c r="K495" s="16"/>
      <c r="L495" s="16"/>
      <c r="M495" s="16"/>
      <c r="N495" s="16"/>
      <c r="O495" s="17"/>
      <c r="P495" s="5" t="str">
        <f t="shared" si="11"/>
        <v>Truncate table CNL015;</v>
      </c>
      <c r="Q495" s="5"/>
      <c r="R495" s="5"/>
    </row>
    <row r="496" spans="2:18" x14ac:dyDescent="0.25">
      <c r="B496" s="19" t="s">
        <v>762</v>
      </c>
      <c r="C496" s="16" t="s">
        <v>745</v>
      </c>
      <c r="D496" s="16" t="s">
        <v>29</v>
      </c>
      <c r="E496" s="16" t="s">
        <v>734</v>
      </c>
      <c r="F496" s="5" t="s">
        <v>746</v>
      </c>
      <c r="G496" s="16" t="s">
        <v>35</v>
      </c>
      <c r="H496" s="16"/>
      <c r="I496" s="16"/>
      <c r="J496" s="16"/>
      <c r="K496" s="16"/>
      <c r="L496" s="16"/>
      <c r="M496" s="16"/>
      <c r="N496" s="16"/>
      <c r="O496" s="17"/>
      <c r="P496" s="5" t="str">
        <f t="shared" si="11"/>
        <v>Truncate table CNL016;</v>
      </c>
      <c r="Q496" s="5"/>
      <c r="R496" s="5"/>
    </row>
    <row r="497" spans="2:18" x14ac:dyDescent="0.25">
      <c r="B497" s="19" t="s">
        <v>763</v>
      </c>
      <c r="C497" s="16" t="s">
        <v>745</v>
      </c>
      <c r="D497" s="16" t="s">
        <v>29</v>
      </c>
      <c r="E497" s="16" t="s">
        <v>734</v>
      </c>
      <c r="F497" s="5" t="s">
        <v>746</v>
      </c>
      <c r="G497" s="16" t="s">
        <v>35</v>
      </c>
      <c r="H497" s="16"/>
      <c r="I497" s="16"/>
      <c r="J497" s="16"/>
      <c r="K497" s="16"/>
      <c r="L497" s="16"/>
      <c r="M497" s="16"/>
      <c r="N497" s="16"/>
      <c r="O497" s="17"/>
      <c r="P497" s="5" t="str">
        <f t="shared" si="11"/>
        <v>Truncate table CNL020;</v>
      </c>
      <c r="Q497" s="5"/>
      <c r="R497" s="5"/>
    </row>
    <row r="498" spans="2:18" x14ac:dyDescent="0.25">
      <c r="B498" s="19" t="s">
        <v>764</v>
      </c>
      <c r="C498" s="16" t="s">
        <v>745</v>
      </c>
      <c r="D498" s="16" t="s">
        <v>29</v>
      </c>
      <c r="E498" s="16" t="s">
        <v>734</v>
      </c>
      <c r="F498" s="5" t="s">
        <v>746</v>
      </c>
      <c r="G498" s="16" t="s">
        <v>35</v>
      </c>
      <c r="H498" s="16"/>
      <c r="I498" s="16"/>
      <c r="J498" s="16"/>
      <c r="K498" s="16"/>
      <c r="L498" s="16"/>
      <c r="M498" s="16"/>
      <c r="N498" s="16"/>
      <c r="O498" s="17"/>
      <c r="P498" s="5" t="str">
        <f t="shared" si="11"/>
        <v>Truncate table CNL021;</v>
      </c>
      <c r="Q498" s="5"/>
      <c r="R498" s="5"/>
    </row>
    <row r="499" spans="2:18" x14ac:dyDescent="0.25">
      <c r="B499" s="19" t="s">
        <v>765</v>
      </c>
      <c r="C499" s="16" t="s">
        <v>745</v>
      </c>
      <c r="D499" s="16" t="s">
        <v>29</v>
      </c>
      <c r="E499" s="16" t="s">
        <v>734</v>
      </c>
      <c r="F499" s="5" t="s">
        <v>746</v>
      </c>
      <c r="G499" s="16" t="s">
        <v>35</v>
      </c>
      <c r="H499" s="16"/>
      <c r="I499" s="16"/>
      <c r="J499" s="16"/>
      <c r="K499" s="16"/>
      <c r="L499" s="16"/>
      <c r="M499" s="16"/>
      <c r="N499" s="16"/>
      <c r="O499" s="17"/>
      <c r="P499" s="5" t="str">
        <f t="shared" si="11"/>
        <v>Truncate table CNL022;</v>
      </c>
      <c r="Q499" s="5"/>
      <c r="R499" s="5"/>
    </row>
    <row r="500" spans="2:18" x14ac:dyDescent="0.25">
      <c r="B500" s="19" t="s">
        <v>766</v>
      </c>
      <c r="C500" s="16" t="s">
        <v>745</v>
      </c>
      <c r="D500" s="16" t="s">
        <v>29</v>
      </c>
      <c r="E500" s="16" t="s">
        <v>734</v>
      </c>
      <c r="F500" s="5" t="s">
        <v>746</v>
      </c>
      <c r="G500" s="16" t="s">
        <v>35</v>
      </c>
      <c r="H500" s="16"/>
      <c r="I500" s="16"/>
      <c r="J500" s="16"/>
      <c r="K500" s="16"/>
      <c r="L500" s="16"/>
      <c r="M500" s="16"/>
      <c r="N500" s="16"/>
      <c r="O500" s="17"/>
      <c r="P500" s="5" t="str">
        <f t="shared" si="11"/>
        <v>Truncate table CNL023;</v>
      </c>
      <c r="Q500" s="5"/>
      <c r="R500" s="5"/>
    </row>
    <row r="501" spans="2:18" x14ac:dyDescent="0.25">
      <c r="B501" s="19" t="s">
        <v>767</v>
      </c>
      <c r="C501" s="16" t="s">
        <v>745</v>
      </c>
      <c r="D501" s="16" t="s">
        <v>29</v>
      </c>
      <c r="E501" s="16" t="s">
        <v>734</v>
      </c>
      <c r="F501" s="5" t="s">
        <v>746</v>
      </c>
      <c r="G501" s="16" t="s">
        <v>35</v>
      </c>
      <c r="H501" s="16"/>
      <c r="I501" s="16"/>
      <c r="J501" s="16"/>
      <c r="K501" s="16"/>
      <c r="L501" s="16"/>
      <c r="M501" s="16"/>
      <c r="N501" s="16"/>
      <c r="O501" s="17"/>
      <c r="P501" s="5" t="str">
        <f t="shared" si="11"/>
        <v>Truncate table CNL024;</v>
      </c>
      <c r="Q501" s="23"/>
      <c r="R501" s="23"/>
    </row>
    <row r="502" spans="2:18" x14ac:dyDescent="0.25">
      <c r="B502" s="19" t="s">
        <v>768</v>
      </c>
      <c r="C502" s="16" t="s">
        <v>745</v>
      </c>
      <c r="D502" s="16" t="s">
        <v>29</v>
      </c>
      <c r="E502" s="16" t="s">
        <v>734</v>
      </c>
      <c r="F502" s="5" t="s">
        <v>746</v>
      </c>
      <c r="G502" s="16" t="s">
        <v>35</v>
      </c>
      <c r="H502" s="16"/>
      <c r="I502" s="16"/>
      <c r="J502" s="16"/>
      <c r="K502" s="16"/>
      <c r="L502" s="16"/>
      <c r="M502" s="16"/>
      <c r="N502" s="16"/>
      <c r="O502" s="16"/>
      <c r="P502" s="5" t="str">
        <f t="shared" si="11"/>
        <v>Truncate table CNL025;</v>
      </c>
      <c r="Q502" s="5"/>
      <c r="R502" s="5"/>
    </row>
    <row r="503" spans="2:18" x14ac:dyDescent="0.25">
      <c r="B503" s="19" t="s">
        <v>769</v>
      </c>
      <c r="C503" s="16" t="s">
        <v>745</v>
      </c>
      <c r="D503" s="16" t="s">
        <v>29</v>
      </c>
      <c r="E503" s="16" t="s">
        <v>734</v>
      </c>
      <c r="F503" s="5" t="s">
        <v>746</v>
      </c>
      <c r="G503" s="16" t="s">
        <v>35</v>
      </c>
      <c r="H503" s="16"/>
      <c r="I503" s="16"/>
      <c r="J503" s="16"/>
      <c r="K503" s="16"/>
      <c r="L503" s="16"/>
      <c r="M503" s="16"/>
      <c r="N503" s="16"/>
      <c r="O503" s="17"/>
      <c r="P503" s="5" t="str">
        <f t="shared" si="11"/>
        <v>Truncate table CNL026;</v>
      </c>
      <c r="Q503" s="5"/>
      <c r="R503" s="5"/>
    </row>
    <row r="504" spans="2:18" x14ac:dyDescent="0.25">
      <c r="B504" s="19" t="s">
        <v>770</v>
      </c>
      <c r="C504" s="16" t="s">
        <v>745</v>
      </c>
      <c r="D504" s="16" t="s">
        <v>29</v>
      </c>
      <c r="E504" s="16" t="s">
        <v>734</v>
      </c>
      <c r="F504" s="5" t="s">
        <v>746</v>
      </c>
      <c r="G504" s="16" t="s">
        <v>35</v>
      </c>
      <c r="H504" s="16"/>
      <c r="I504" s="16"/>
      <c r="J504" s="16"/>
      <c r="K504" s="16"/>
      <c r="L504" s="16"/>
      <c r="M504" s="16"/>
      <c r="N504" s="16"/>
      <c r="O504" s="17"/>
      <c r="P504" s="5" t="str">
        <f t="shared" si="11"/>
        <v>Truncate table CNL027;</v>
      </c>
      <c r="Q504" s="5"/>
      <c r="R504" s="5"/>
    </row>
    <row r="505" spans="2:18" x14ac:dyDescent="0.25">
      <c r="B505" s="19" t="s">
        <v>771</v>
      </c>
      <c r="C505" s="16" t="s">
        <v>745</v>
      </c>
      <c r="D505" s="16" t="s">
        <v>29</v>
      </c>
      <c r="E505" s="16" t="s">
        <v>734</v>
      </c>
      <c r="F505" s="5" t="s">
        <v>746</v>
      </c>
      <c r="G505" s="16" t="s">
        <v>35</v>
      </c>
      <c r="H505" s="16"/>
      <c r="I505" s="16"/>
      <c r="J505" s="16"/>
      <c r="K505" s="16"/>
      <c r="L505" s="16"/>
      <c r="M505" s="16"/>
      <c r="N505" s="16"/>
      <c r="O505" s="17"/>
      <c r="P505" s="5" t="str">
        <f t="shared" si="11"/>
        <v>Truncate table CNL028;</v>
      </c>
      <c r="Q505" s="5"/>
      <c r="R505" s="5"/>
    </row>
    <row r="506" spans="2:18" x14ac:dyDescent="0.25">
      <c r="B506" s="19" t="s">
        <v>772</v>
      </c>
      <c r="C506" s="16" t="s">
        <v>745</v>
      </c>
      <c r="D506" s="16" t="s">
        <v>29</v>
      </c>
      <c r="E506" s="16" t="s">
        <v>734</v>
      </c>
      <c r="F506" s="5" t="s">
        <v>746</v>
      </c>
      <c r="G506" s="16" t="s">
        <v>35</v>
      </c>
      <c r="H506" s="16"/>
      <c r="I506" s="16"/>
      <c r="J506" s="16"/>
      <c r="K506" s="16"/>
      <c r="L506" s="16"/>
      <c r="M506" s="16"/>
      <c r="N506" s="16"/>
      <c r="O506" s="17"/>
      <c r="P506" s="5" t="str">
        <f t="shared" si="11"/>
        <v>Truncate table CNL029;</v>
      </c>
      <c r="Q506" s="5"/>
      <c r="R506" s="5"/>
    </row>
    <row r="507" spans="2:18" x14ac:dyDescent="0.25">
      <c r="B507" s="19" t="s">
        <v>773</v>
      </c>
      <c r="C507" s="16" t="s">
        <v>745</v>
      </c>
      <c r="D507" s="16" t="s">
        <v>29</v>
      </c>
      <c r="E507" s="16" t="s">
        <v>734</v>
      </c>
      <c r="F507" s="5" t="s">
        <v>746</v>
      </c>
      <c r="G507" s="16" t="s">
        <v>35</v>
      </c>
      <c r="H507" s="16"/>
      <c r="I507" s="16"/>
      <c r="J507" s="16"/>
      <c r="K507" s="16"/>
      <c r="L507" s="16"/>
      <c r="M507" s="16"/>
      <c r="N507" s="16"/>
      <c r="O507" s="17"/>
      <c r="P507" s="5" t="str">
        <f t="shared" si="11"/>
        <v>Truncate table CNL030;</v>
      </c>
      <c r="Q507" s="5"/>
      <c r="R507" s="5"/>
    </row>
    <row r="508" spans="2:18" x14ac:dyDescent="0.25">
      <c r="B508" s="19" t="s">
        <v>774</v>
      </c>
      <c r="C508" s="16" t="s">
        <v>745</v>
      </c>
      <c r="D508" s="16" t="s">
        <v>29</v>
      </c>
      <c r="E508" s="16" t="s">
        <v>734</v>
      </c>
      <c r="F508" s="5" t="s">
        <v>746</v>
      </c>
      <c r="G508" s="16" t="s">
        <v>35</v>
      </c>
      <c r="H508" s="16"/>
      <c r="I508" s="16"/>
      <c r="J508" s="16"/>
      <c r="K508" s="16"/>
      <c r="L508" s="16"/>
      <c r="M508" s="16"/>
      <c r="N508" s="16"/>
      <c r="O508" s="17"/>
      <c r="P508" s="5" t="str">
        <f t="shared" si="11"/>
        <v>Truncate table CNL031;</v>
      </c>
      <c r="Q508" s="5"/>
      <c r="R508" s="5"/>
    </row>
    <row r="509" spans="2:18" x14ac:dyDescent="0.25">
      <c r="B509" s="19" t="s">
        <v>775</v>
      </c>
      <c r="C509" s="16" t="s">
        <v>745</v>
      </c>
      <c r="D509" s="16" t="s">
        <v>29</v>
      </c>
      <c r="E509" s="16" t="s">
        <v>734</v>
      </c>
      <c r="F509" s="5" t="s">
        <v>746</v>
      </c>
      <c r="G509" s="16" t="s">
        <v>35</v>
      </c>
      <c r="H509" s="16"/>
      <c r="I509" s="16"/>
      <c r="J509" s="16"/>
      <c r="K509" s="16"/>
      <c r="L509" s="16"/>
      <c r="M509" s="16"/>
      <c r="N509" s="16"/>
      <c r="O509" s="17"/>
      <c r="P509" s="5" t="str">
        <f t="shared" si="11"/>
        <v>Truncate table CNL032;</v>
      </c>
      <c r="Q509" s="5"/>
      <c r="R509" s="5"/>
    </row>
    <row r="510" spans="2:18" x14ac:dyDescent="0.25">
      <c r="B510" s="19" t="s">
        <v>776</v>
      </c>
      <c r="C510" s="16" t="s">
        <v>745</v>
      </c>
      <c r="D510" s="16" t="s">
        <v>29</v>
      </c>
      <c r="E510" s="16" t="s">
        <v>734</v>
      </c>
      <c r="F510" s="5" t="s">
        <v>746</v>
      </c>
      <c r="G510" s="16" t="s">
        <v>35</v>
      </c>
      <c r="H510" s="16"/>
      <c r="I510" s="16"/>
      <c r="J510" s="16"/>
      <c r="K510" s="16"/>
      <c r="L510" s="16"/>
      <c r="M510" s="16"/>
      <c r="N510" s="16"/>
      <c r="O510" s="17"/>
      <c r="P510" s="5" t="str">
        <f t="shared" si="11"/>
        <v>Truncate table CNL033;</v>
      </c>
      <c r="Q510" s="5"/>
      <c r="R510" s="5"/>
    </row>
    <row r="511" spans="2:18" x14ac:dyDescent="0.25">
      <c r="B511" s="19" t="s">
        <v>777</v>
      </c>
      <c r="C511" s="16" t="s">
        <v>745</v>
      </c>
      <c r="D511" s="16" t="s">
        <v>29</v>
      </c>
      <c r="E511" s="16" t="s">
        <v>734</v>
      </c>
      <c r="F511" s="5" t="s">
        <v>746</v>
      </c>
      <c r="G511" s="16" t="s">
        <v>35</v>
      </c>
      <c r="H511" s="16"/>
      <c r="I511" s="16"/>
      <c r="J511" s="16"/>
      <c r="K511" s="16"/>
      <c r="L511" s="16"/>
      <c r="M511" s="16"/>
      <c r="N511" s="16"/>
      <c r="O511" s="17"/>
      <c r="P511" s="5" t="str">
        <f t="shared" si="11"/>
        <v>Truncate table CNL034;</v>
      </c>
      <c r="Q511" s="5"/>
      <c r="R511" s="5"/>
    </row>
    <row r="512" spans="2:18" x14ac:dyDescent="0.25">
      <c r="B512" s="19" t="s">
        <v>778</v>
      </c>
      <c r="C512" s="16" t="s">
        <v>745</v>
      </c>
      <c r="D512" s="16" t="s">
        <v>29</v>
      </c>
      <c r="E512" s="16" t="s">
        <v>734</v>
      </c>
      <c r="F512" s="5" t="s">
        <v>746</v>
      </c>
      <c r="G512" s="16" t="s">
        <v>35</v>
      </c>
      <c r="H512" s="16"/>
      <c r="I512" s="16"/>
      <c r="J512" s="16"/>
      <c r="K512" s="16"/>
      <c r="L512" s="16"/>
      <c r="M512" s="16"/>
      <c r="N512" s="16"/>
      <c r="O512" s="17"/>
      <c r="P512" s="5" t="str">
        <f t="shared" si="11"/>
        <v>Truncate table CNL035;</v>
      </c>
      <c r="Q512" s="5"/>
      <c r="R512" s="5"/>
    </row>
    <row r="513" spans="1:18" x14ac:dyDescent="0.25">
      <c r="B513" s="19" t="s">
        <v>779</v>
      </c>
      <c r="C513" s="16" t="s">
        <v>745</v>
      </c>
      <c r="D513" s="16" t="s">
        <v>29</v>
      </c>
      <c r="E513" s="16" t="s">
        <v>734</v>
      </c>
      <c r="F513" s="5" t="s">
        <v>746</v>
      </c>
      <c r="G513" s="16" t="s">
        <v>35</v>
      </c>
      <c r="H513" s="16"/>
      <c r="I513" s="16"/>
      <c r="J513" s="16"/>
      <c r="K513" s="16"/>
      <c r="L513" s="16"/>
      <c r="M513" s="16"/>
      <c r="N513" s="16"/>
      <c r="O513" s="17"/>
      <c r="P513" s="5" t="str">
        <f t="shared" si="11"/>
        <v>Truncate table CNL036;</v>
      </c>
      <c r="Q513" s="5"/>
      <c r="R513" s="5"/>
    </row>
    <row r="514" spans="1:18" x14ac:dyDescent="0.25">
      <c r="B514" s="19" t="s">
        <v>780</v>
      </c>
      <c r="C514" s="16" t="s">
        <v>745</v>
      </c>
      <c r="D514" s="16" t="s">
        <v>29</v>
      </c>
      <c r="E514" s="16" t="s">
        <v>734</v>
      </c>
      <c r="F514" s="5" t="s">
        <v>746</v>
      </c>
      <c r="G514" s="16" t="s">
        <v>35</v>
      </c>
      <c r="H514" s="16"/>
      <c r="I514" s="16"/>
      <c r="J514" s="16"/>
      <c r="K514" s="16"/>
      <c r="L514" s="16"/>
      <c r="M514" s="16"/>
      <c r="N514" s="16"/>
      <c r="O514" s="17"/>
      <c r="P514" s="5" t="str">
        <f t="shared" si="11"/>
        <v>Truncate table CNL037;</v>
      </c>
      <c r="Q514" s="5"/>
      <c r="R514" s="5"/>
    </row>
    <row r="515" spans="1:18" x14ac:dyDescent="0.25">
      <c r="B515" s="19" t="s">
        <v>781</v>
      </c>
      <c r="C515" s="16" t="s">
        <v>745</v>
      </c>
      <c r="D515" s="16" t="s">
        <v>29</v>
      </c>
      <c r="E515" s="16" t="s">
        <v>734</v>
      </c>
      <c r="F515" s="5" t="s">
        <v>746</v>
      </c>
      <c r="G515" s="16" t="s">
        <v>35</v>
      </c>
      <c r="H515" s="16"/>
      <c r="I515" s="16"/>
      <c r="J515" s="16"/>
      <c r="K515" s="16"/>
      <c r="L515" s="16"/>
      <c r="M515" s="16"/>
      <c r="N515" s="16"/>
      <c r="O515" s="17"/>
      <c r="P515" s="5" t="str">
        <f t="shared" si="11"/>
        <v>Truncate table CNL038;</v>
      </c>
      <c r="Q515" s="5"/>
      <c r="R515" s="5"/>
    </row>
    <row r="516" spans="1:18" x14ac:dyDescent="0.25">
      <c r="B516" s="19" t="s">
        <v>782</v>
      </c>
      <c r="C516" s="16" t="s">
        <v>745</v>
      </c>
      <c r="D516" s="16" t="s">
        <v>29</v>
      </c>
      <c r="E516" s="16" t="s">
        <v>734</v>
      </c>
      <c r="F516" s="5" t="s">
        <v>746</v>
      </c>
      <c r="G516" s="16" t="s">
        <v>35</v>
      </c>
      <c r="H516" s="16"/>
      <c r="I516" s="16"/>
      <c r="J516" s="16"/>
      <c r="K516" s="16"/>
      <c r="L516" s="16"/>
      <c r="M516" s="16"/>
      <c r="N516" s="16"/>
      <c r="O516" s="17"/>
      <c r="P516" s="5" t="str">
        <f t="shared" si="11"/>
        <v>Truncate table CNL041;</v>
      </c>
      <c r="Q516" s="5"/>
      <c r="R516" s="5"/>
    </row>
    <row r="517" spans="1:18" x14ac:dyDescent="0.25">
      <c r="B517" s="19" t="s">
        <v>783</v>
      </c>
      <c r="C517" s="16" t="s">
        <v>745</v>
      </c>
      <c r="D517" s="16" t="s">
        <v>29</v>
      </c>
      <c r="E517" s="16" t="s">
        <v>734</v>
      </c>
      <c r="F517" s="5" t="s">
        <v>746</v>
      </c>
      <c r="G517" s="16" t="s">
        <v>35</v>
      </c>
      <c r="H517" s="16"/>
      <c r="I517" s="16"/>
      <c r="J517" s="16"/>
      <c r="K517" s="16"/>
      <c r="L517" s="16"/>
      <c r="M517" s="16"/>
      <c r="N517" s="16"/>
      <c r="O517" s="17"/>
      <c r="P517" s="5" t="str">
        <f t="shared" si="11"/>
        <v>Truncate table CNL042;</v>
      </c>
      <c r="Q517" s="5"/>
      <c r="R517" s="5"/>
    </row>
    <row r="518" spans="1:18" x14ac:dyDescent="0.25">
      <c r="B518" s="19" t="s">
        <v>784</v>
      </c>
      <c r="C518" s="16" t="s">
        <v>745</v>
      </c>
      <c r="D518" s="16" t="s">
        <v>29</v>
      </c>
      <c r="E518" s="16" t="s">
        <v>734</v>
      </c>
      <c r="F518" s="5" t="s">
        <v>746</v>
      </c>
      <c r="G518" s="16" t="s">
        <v>35</v>
      </c>
      <c r="H518" s="16"/>
      <c r="I518" s="16"/>
      <c r="J518" s="16"/>
      <c r="K518" s="16"/>
      <c r="L518" s="16"/>
      <c r="M518" s="16"/>
      <c r="N518" s="16"/>
      <c r="O518" s="17"/>
      <c r="P518" s="5" t="str">
        <f t="shared" si="11"/>
        <v>Truncate table CNL043;</v>
      </c>
      <c r="Q518" s="5"/>
      <c r="R518" s="5"/>
    </row>
    <row r="519" spans="1:18" x14ac:dyDescent="0.25">
      <c r="B519" s="19" t="s">
        <v>785</v>
      </c>
      <c r="C519" s="16" t="s">
        <v>745</v>
      </c>
      <c r="D519" s="16" t="s">
        <v>29</v>
      </c>
      <c r="E519" s="16" t="s">
        <v>734</v>
      </c>
      <c r="F519" s="5" t="s">
        <v>746</v>
      </c>
      <c r="G519" s="16" t="s">
        <v>35</v>
      </c>
      <c r="H519" s="16"/>
      <c r="I519" s="16"/>
      <c r="J519" s="16"/>
      <c r="K519" s="16"/>
      <c r="L519" s="16"/>
      <c r="M519" s="16"/>
      <c r="N519" s="16"/>
      <c r="O519" s="17"/>
      <c r="P519" s="5" t="str">
        <f t="shared" si="11"/>
        <v>Truncate table CNL044;</v>
      </c>
      <c r="Q519" s="5"/>
      <c r="R519" s="5"/>
    </row>
    <row r="520" spans="1:18" x14ac:dyDescent="0.25">
      <c r="B520" s="19" t="s">
        <v>786</v>
      </c>
      <c r="C520" s="16" t="s">
        <v>745</v>
      </c>
      <c r="D520" s="16" t="s">
        <v>29</v>
      </c>
      <c r="E520" s="16" t="s">
        <v>734</v>
      </c>
      <c r="F520" s="5" t="s">
        <v>746</v>
      </c>
      <c r="G520" s="16" t="s">
        <v>35</v>
      </c>
      <c r="H520" s="16"/>
      <c r="I520" s="16"/>
      <c r="J520" s="16"/>
      <c r="K520" s="16"/>
      <c r="L520" s="16"/>
      <c r="M520" s="16"/>
      <c r="N520" s="16"/>
      <c r="O520" s="17"/>
      <c r="P520" s="5" t="str">
        <f t="shared" si="11"/>
        <v>Truncate table CNL045;</v>
      </c>
      <c r="Q520" s="5"/>
      <c r="R520" s="5"/>
    </row>
    <row r="521" spans="1:18" x14ac:dyDescent="0.25">
      <c r="B521" s="19" t="s">
        <v>787</v>
      </c>
      <c r="C521" s="16" t="s">
        <v>745</v>
      </c>
      <c r="D521" s="16" t="s">
        <v>29</v>
      </c>
      <c r="E521" s="16" t="s">
        <v>734</v>
      </c>
      <c r="F521" s="5" t="s">
        <v>746</v>
      </c>
      <c r="G521" s="16" t="s">
        <v>35</v>
      </c>
      <c r="H521" s="16"/>
      <c r="I521" s="16"/>
      <c r="J521" s="16"/>
      <c r="K521" s="16"/>
      <c r="L521" s="16"/>
      <c r="M521" s="16"/>
      <c r="N521" s="16"/>
      <c r="O521" s="17"/>
      <c r="P521" s="5" t="str">
        <f t="shared" si="11"/>
        <v>Truncate table CNL046;</v>
      </c>
      <c r="Q521" s="5"/>
      <c r="R521" s="5"/>
    </row>
    <row r="522" spans="1:18" s="306" customFormat="1" x14ac:dyDescent="0.25">
      <c r="A522" s="71"/>
      <c r="B522" s="328" t="s">
        <v>788</v>
      </c>
      <c r="C522" s="308"/>
      <c r="D522" s="308" t="s">
        <v>8152</v>
      </c>
      <c r="E522" s="308"/>
      <c r="F522" s="308"/>
      <c r="G522" s="308" t="s">
        <v>35</v>
      </c>
      <c r="H522" s="308"/>
      <c r="I522" s="308"/>
      <c r="J522" s="308"/>
      <c r="K522" s="308"/>
      <c r="L522" s="308"/>
      <c r="M522" s="308"/>
      <c r="N522" s="308"/>
      <c r="O522" s="309"/>
      <c r="P522" s="308" t="str">
        <f t="shared" si="11"/>
        <v/>
      </c>
      <c r="Q522" s="308"/>
      <c r="R522" s="308"/>
    </row>
    <row r="523" spans="1:18" x14ac:dyDescent="0.25">
      <c r="B523" s="19" t="s">
        <v>789</v>
      </c>
      <c r="C523" s="16" t="s">
        <v>745</v>
      </c>
      <c r="D523" s="16" t="s">
        <v>29</v>
      </c>
      <c r="E523" s="16" t="s">
        <v>734</v>
      </c>
      <c r="F523" s="5" t="s">
        <v>746</v>
      </c>
      <c r="G523" s="16" t="s">
        <v>35</v>
      </c>
      <c r="H523" s="16"/>
      <c r="I523" s="16"/>
      <c r="J523" s="16"/>
      <c r="K523" s="16"/>
      <c r="L523" s="16"/>
      <c r="M523" s="16"/>
      <c r="N523" s="16"/>
      <c r="O523" s="17"/>
      <c r="P523" s="5" t="str">
        <f t="shared" si="11"/>
        <v>Truncate table CNL050;</v>
      </c>
      <c r="Q523" s="5"/>
      <c r="R523" s="5"/>
    </row>
    <row r="524" spans="1:18" x14ac:dyDescent="0.25">
      <c r="B524" s="19" t="s">
        <v>790</v>
      </c>
      <c r="C524" s="16" t="s">
        <v>745</v>
      </c>
      <c r="D524" s="16" t="s">
        <v>29</v>
      </c>
      <c r="E524" s="16" t="s">
        <v>734</v>
      </c>
      <c r="F524" s="5" t="s">
        <v>746</v>
      </c>
      <c r="G524" s="16" t="s">
        <v>35</v>
      </c>
      <c r="H524" s="16"/>
      <c r="I524" s="16"/>
      <c r="J524" s="16"/>
      <c r="K524" s="16"/>
      <c r="L524" s="16"/>
      <c r="M524" s="16"/>
      <c r="N524" s="16"/>
      <c r="O524" s="17"/>
      <c r="P524" s="5" t="str">
        <f t="shared" si="11"/>
        <v>Truncate table CNL060;</v>
      </c>
      <c r="Q524" s="5"/>
      <c r="R524" s="5"/>
    </row>
    <row r="525" spans="1:18" x14ac:dyDescent="0.25">
      <c r="B525" s="19" t="s">
        <v>791</v>
      </c>
      <c r="C525" s="16" t="s">
        <v>745</v>
      </c>
      <c r="D525" s="16" t="s">
        <v>29</v>
      </c>
      <c r="E525" s="16" t="s">
        <v>734</v>
      </c>
      <c r="F525" s="5" t="s">
        <v>746</v>
      </c>
      <c r="G525" s="16" t="s">
        <v>35</v>
      </c>
      <c r="H525" s="16"/>
      <c r="I525" s="16"/>
      <c r="J525" s="16"/>
      <c r="K525" s="16"/>
      <c r="L525" s="16"/>
      <c r="M525" s="16"/>
      <c r="N525" s="16"/>
      <c r="O525" s="17"/>
      <c r="P525" s="5" t="str">
        <f t="shared" si="11"/>
        <v>Truncate table CNL069;</v>
      </c>
      <c r="Q525" s="5"/>
      <c r="R525" s="5"/>
    </row>
    <row r="526" spans="1:18" x14ac:dyDescent="0.25">
      <c r="B526" s="19" t="s">
        <v>792</v>
      </c>
      <c r="C526" s="16" t="s">
        <v>745</v>
      </c>
      <c r="D526" s="16" t="s">
        <v>29</v>
      </c>
      <c r="E526" s="16" t="s">
        <v>734</v>
      </c>
      <c r="F526" s="5" t="s">
        <v>746</v>
      </c>
      <c r="G526" s="16" t="s">
        <v>35</v>
      </c>
      <c r="H526" s="16"/>
      <c r="I526" s="16"/>
      <c r="J526" s="16"/>
      <c r="K526" s="16"/>
      <c r="L526" s="16"/>
      <c r="M526" s="16"/>
      <c r="N526" s="16"/>
      <c r="O526" s="17"/>
      <c r="P526" s="5" t="str">
        <f t="shared" si="11"/>
        <v>Truncate table CNL070;</v>
      </c>
      <c r="Q526" s="5"/>
      <c r="R526" s="5"/>
    </row>
    <row r="527" spans="1:18" x14ac:dyDescent="0.25">
      <c r="B527" s="19" t="s">
        <v>793</v>
      </c>
      <c r="C527" s="16" t="s">
        <v>745</v>
      </c>
      <c r="D527" s="16" t="s">
        <v>29</v>
      </c>
      <c r="E527" s="16" t="s">
        <v>734</v>
      </c>
      <c r="F527" s="5" t="s">
        <v>746</v>
      </c>
      <c r="G527" s="16" t="s">
        <v>35</v>
      </c>
      <c r="H527" s="16"/>
      <c r="I527" s="16"/>
      <c r="J527" s="16"/>
      <c r="K527" s="16"/>
      <c r="L527" s="16"/>
      <c r="M527" s="16"/>
      <c r="N527" s="16"/>
      <c r="O527" s="17"/>
      <c r="P527" s="5" t="str">
        <f t="shared" si="11"/>
        <v>Truncate table CNL071;</v>
      </c>
      <c r="Q527" s="5"/>
      <c r="R527" s="5"/>
    </row>
    <row r="528" spans="1:18" x14ac:dyDescent="0.25">
      <c r="B528" s="19" t="s">
        <v>794</v>
      </c>
      <c r="C528" s="16" t="s">
        <v>745</v>
      </c>
      <c r="D528" s="16" t="s">
        <v>29</v>
      </c>
      <c r="E528" s="16" t="s">
        <v>734</v>
      </c>
      <c r="F528" s="5" t="s">
        <v>746</v>
      </c>
      <c r="G528" s="16" t="s">
        <v>35</v>
      </c>
      <c r="H528" s="16"/>
      <c r="I528" s="16"/>
      <c r="J528" s="16"/>
      <c r="K528" s="16"/>
      <c r="L528" s="16"/>
      <c r="M528" s="16"/>
      <c r="N528" s="16"/>
      <c r="O528" s="17"/>
      <c r="P528" s="5" t="str">
        <f t="shared" si="11"/>
        <v>Truncate table CNL072;</v>
      </c>
      <c r="Q528" s="5"/>
      <c r="R528" s="5"/>
    </row>
    <row r="529" spans="2:18" x14ac:dyDescent="0.25">
      <c r="B529" s="19" t="s">
        <v>795</v>
      </c>
      <c r="C529" s="16" t="s">
        <v>745</v>
      </c>
      <c r="D529" s="16" t="s">
        <v>29</v>
      </c>
      <c r="E529" s="16" t="s">
        <v>734</v>
      </c>
      <c r="F529" s="5" t="s">
        <v>746</v>
      </c>
      <c r="G529" s="16" t="s">
        <v>35</v>
      </c>
      <c r="H529" s="16"/>
      <c r="I529" s="16"/>
      <c r="J529" s="16"/>
      <c r="K529" s="16"/>
      <c r="L529" s="16"/>
      <c r="M529" s="16"/>
      <c r="N529" s="16"/>
      <c r="O529" s="17"/>
      <c r="P529" s="5" t="str">
        <f t="shared" si="11"/>
        <v>Truncate table CNL073;</v>
      </c>
      <c r="Q529" s="5"/>
      <c r="R529" s="5"/>
    </row>
    <row r="530" spans="2:18" x14ac:dyDescent="0.25">
      <c r="B530" s="19" t="s">
        <v>796</v>
      </c>
      <c r="C530" s="16" t="s">
        <v>745</v>
      </c>
      <c r="D530" s="16" t="s">
        <v>29</v>
      </c>
      <c r="E530" s="16" t="s">
        <v>734</v>
      </c>
      <c r="F530" s="5" t="s">
        <v>746</v>
      </c>
      <c r="G530" s="16" t="s">
        <v>35</v>
      </c>
      <c r="H530" s="16"/>
      <c r="I530" s="16"/>
      <c r="J530" s="16"/>
      <c r="K530" s="16"/>
      <c r="L530" s="16"/>
      <c r="M530" s="16"/>
      <c r="N530" s="16"/>
      <c r="O530" s="17"/>
      <c r="P530" s="5" t="str">
        <f t="shared" si="11"/>
        <v>Truncate table CNL074;</v>
      </c>
      <c r="Q530" s="5"/>
      <c r="R530" s="5"/>
    </row>
    <row r="531" spans="2:18" x14ac:dyDescent="0.25">
      <c r="B531" s="19" t="s">
        <v>797</v>
      </c>
      <c r="C531" s="16" t="s">
        <v>745</v>
      </c>
      <c r="D531" s="16" t="s">
        <v>29</v>
      </c>
      <c r="E531" s="16" t="s">
        <v>734</v>
      </c>
      <c r="F531" s="5" t="s">
        <v>746</v>
      </c>
      <c r="G531" s="16" t="s">
        <v>35</v>
      </c>
      <c r="H531" s="16"/>
      <c r="I531" s="16"/>
      <c r="J531" s="16"/>
      <c r="K531" s="16"/>
      <c r="L531" s="16"/>
      <c r="M531" s="16"/>
      <c r="N531" s="16"/>
      <c r="O531" s="17"/>
      <c r="P531" s="5" t="str">
        <f t="shared" si="11"/>
        <v>Truncate table CNL075;</v>
      </c>
      <c r="Q531" s="5"/>
      <c r="R531" s="5"/>
    </row>
    <row r="532" spans="2:18" x14ac:dyDescent="0.25">
      <c r="B532" s="19" t="s">
        <v>798</v>
      </c>
      <c r="C532" s="16" t="s">
        <v>745</v>
      </c>
      <c r="D532" s="16" t="s">
        <v>29</v>
      </c>
      <c r="E532" s="16" t="s">
        <v>734</v>
      </c>
      <c r="F532" s="5" t="s">
        <v>746</v>
      </c>
      <c r="G532" s="16" t="s">
        <v>35</v>
      </c>
      <c r="H532" s="16"/>
      <c r="I532" s="16"/>
      <c r="J532" s="16"/>
      <c r="K532" s="16"/>
      <c r="L532" s="16"/>
      <c r="M532" s="16"/>
      <c r="N532" s="16"/>
      <c r="O532" s="17"/>
      <c r="P532" s="5" t="str">
        <f t="shared" si="11"/>
        <v>Truncate table CNL079;</v>
      </c>
      <c r="Q532" s="5"/>
      <c r="R532" s="5"/>
    </row>
    <row r="533" spans="2:18" x14ac:dyDescent="0.25">
      <c r="B533" s="19" t="s">
        <v>799</v>
      </c>
      <c r="C533" s="16" t="s">
        <v>745</v>
      </c>
      <c r="D533" s="16" t="s">
        <v>29</v>
      </c>
      <c r="E533" s="16" t="s">
        <v>734</v>
      </c>
      <c r="F533" s="5" t="s">
        <v>746</v>
      </c>
      <c r="G533" s="16" t="s">
        <v>35</v>
      </c>
      <c r="H533" s="16"/>
      <c r="I533" s="16"/>
      <c r="J533" s="16"/>
      <c r="K533" s="16"/>
      <c r="L533" s="16"/>
      <c r="M533" s="16"/>
      <c r="N533" s="16"/>
      <c r="O533" s="17"/>
      <c r="P533" s="5" t="str">
        <f t="shared" si="11"/>
        <v>Truncate table CNL080;</v>
      </c>
      <c r="Q533" s="5"/>
      <c r="R533" s="5"/>
    </row>
    <row r="534" spans="2:18" x14ac:dyDescent="0.25">
      <c r="B534" s="19" t="s">
        <v>800</v>
      </c>
      <c r="C534" s="16" t="s">
        <v>745</v>
      </c>
      <c r="D534" s="16" t="s">
        <v>29</v>
      </c>
      <c r="E534" s="16" t="s">
        <v>734</v>
      </c>
      <c r="F534" s="5" t="s">
        <v>746</v>
      </c>
      <c r="G534" s="16" t="s">
        <v>35</v>
      </c>
      <c r="H534" s="16"/>
      <c r="I534" s="16"/>
      <c r="J534" s="16"/>
      <c r="K534" s="16"/>
      <c r="L534" s="16"/>
      <c r="M534" s="16"/>
      <c r="N534" s="16"/>
      <c r="O534" s="17"/>
      <c r="P534" s="5" t="str">
        <f t="shared" si="11"/>
        <v>Truncate table CNL081;</v>
      </c>
      <c r="Q534" s="5"/>
      <c r="R534" s="5"/>
    </row>
    <row r="535" spans="2:18" x14ac:dyDescent="0.25">
      <c r="B535" s="19" t="s">
        <v>801</v>
      </c>
      <c r="C535" s="16" t="s">
        <v>745</v>
      </c>
      <c r="D535" s="16" t="s">
        <v>29</v>
      </c>
      <c r="E535" s="16" t="s">
        <v>734</v>
      </c>
      <c r="F535" s="5" t="s">
        <v>746</v>
      </c>
      <c r="G535" s="16" t="s">
        <v>35</v>
      </c>
      <c r="H535" s="16"/>
      <c r="I535" s="16"/>
      <c r="J535" s="16"/>
      <c r="K535" s="16"/>
      <c r="L535" s="16"/>
      <c r="M535" s="16"/>
      <c r="N535" s="16"/>
      <c r="O535" s="17"/>
      <c r="P535" s="5" t="str">
        <f t="shared" si="11"/>
        <v>Truncate table CNL086;</v>
      </c>
      <c r="Q535" s="5"/>
      <c r="R535" s="5"/>
    </row>
    <row r="536" spans="2:18" x14ac:dyDescent="0.25">
      <c r="B536" s="19" t="s">
        <v>802</v>
      </c>
      <c r="C536" s="16" t="s">
        <v>745</v>
      </c>
      <c r="D536" s="16" t="s">
        <v>29</v>
      </c>
      <c r="E536" s="16" t="s">
        <v>734</v>
      </c>
      <c r="F536" s="5" t="s">
        <v>746</v>
      </c>
      <c r="G536" s="16" t="s">
        <v>35</v>
      </c>
      <c r="H536" s="16"/>
      <c r="I536" s="16"/>
      <c r="J536" s="16"/>
      <c r="K536" s="16"/>
      <c r="L536" s="16"/>
      <c r="M536" s="16"/>
      <c r="N536" s="16"/>
      <c r="O536" s="17"/>
      <c r="P536" s="5" t="str">
        <f t="shared" si="11"/>
        <v>Truncate table CNL090;</v>
      </c>
      <c r="Q536" s="5"/>
      <c r="R536" s="5"/>
    </row>
    <row r="537" spans="2:18" ht="21.75" customHeight="1" x14ac:dyDescent="0.25">
      <c r="B537" s="21" t="s">
        <v>803</v>
      </c>
      <c r="C537" s="378" t="s">
        <v>9890</v>
      </c>
      <c r="D537" s="16" t="s">
        <v>29</v>
      </c>
      <c r="E537" s="16"/>
      <c r="F537" s="5"/>
      <c r="G537" s="16" t="s">
        <v>35</v>
      </c>
      <c r="H537" s="16"/>
      <c r="I537" s="16"/>
      <c r="J537" s="16"/>
      <c r="K537" s="16"/>
      <c r="L537" s="16"/>
      <c r="M537" s="16"/>
      <c r="N537" s="16"/>
      <c r="O537" s="17"/>
      <c r="P537" s="5" t="str">
        <f t="shared" si="11"/>
        <v>Truncate table CNL102                                                          ;</v>
      </c>
      <c r="Q537" s="5"/>
      <c r="R537" s="5"/>
    </row>
    <row r="538" spans="2:18" x14ac:dyDescent="0.25">
      <c r="B538" s="19" t="s">
        <v>804</v>
      </c>
      <c r="C538" s="16" t="s">
        <v>745</v>
      </c>
      <c r="D538" s="16" t="s">
        <v>29</v>
      </c>
      <c r="E538" s="16" t="s">
        <v>734</v>
      </c>
      <c r="F538" s="5" t="s">
        <v>746</v>
      </c>
      <c r="G538" s="16" t="s">
        <v>35</v>
      </c>
      <c r="H538" s="16"/>
      <c r="I538" s="16"/>
      <c r="J538" s="16"/>
      <c r="K538" s="16"/>
      <c r="L538" s="16"/>
      <c r="M538" s="16"/>
      <c r="N538" s="16"/>
      <c r="O538" s="17"/>
      <c r="P538" s="5" t="str">
        <f t="shared" si="11"/>
        <v>Truncate table CNL120;</v>
      </c>
      <c r="Q538" s="5"/>
      <c r="R538" s="5"/>
    </row>
    <row r="539" spans="2:18" x14ac:dyDescent="0.25">
      <c r="B539" s="19" t="s">
        <v>805</v>
      </c>
      <c r="C539" s="16" t="s">
        <v>745</v>
      </c>
      <c r="D539" s="16" t="s">
        <v>29</v>
      </c>
      <c r="E539" s="16" t="s">
        <v>734</v>
      </c>
      <c r="F539" s="5" t="s">
        <v>746</v>
      </c>
      <c r="G539" s="16" t="s">
        <v>35</v>
      </c>
      <c r="H539" s="16"/>
      <c r="I539" s="16"/>
      <c r="J539" s="16"/>
      <c r="K539" s="16"/>
      <c r="L539" s="16"/>
      <c r="M539" s="16"/>
      <c r="N539" s="16"/>
      <c r="O539" s="17"/>
      <c r="P539" s="5" t="str">
        <f t="shared" si="11"/>
        <v>Truncate table CNL127;</v>
      </c>
      <c r="Q539" s="5"/>
      <c r="R539" s="5"/>
    </row>
    <row r="540" spans="2:18" x14ac:dyDescent="0.25">
      <c r="B540" s="19" t="s">
        <v>806</v>
      </c>
      <c r="C540" s="16" t="s">
        <v>745</v>
      </c>
      <c r="D540" s="16" t="s">
        <v>29</v>
      </c>
      <c r="E540" s="16" t="s">
        <v>734</v>
      </c>
      <c r="F540" s="5" t="s">
        <v>746</v>
      </c>
      <c r="G540" s="16" t="s">
        <v>35</v>
      </c>
      <c r="H540" s="16"/>
      <c r="I540" s="16"/>
      <c r="J540" s="16"/>
      <c r="K540" s="16"/>
      <c r="L540" s="16"/>
      <c r="M540" s="16"/>
      <c r="N540" s="16"/>
      <c r="O540" s="17"/>
      <c r="P540" s="5" t="str">
        <f t="shared" si="11"/>
        <v>Truncate table CNL128;</v>
      </c>
      <c r="Q540" s="5"/>
      <c r="R540" s="5"/>
    </row>
    <row r="541" spans="2:18" x14ac:dyDescent="0.25">
      <c r="B541" s="19" t="s">
        <v>807</v>
      </c>
      <c r="C541" s="16" t="s">
        <v>745</v>
      </c>
      <c r="D541" s="16" t="s">
        <v>29</v>
      </c>
      <c r="E541" s="16" t="s">
        <v>734</v>
      </c>
      <c r="F541" s="5" t="s">
        <v>746</v>
      </c>
      <c r="G541" s="16" t="s">
        <v>35</v>
      </c>
      <c r="H541" s="16"/>
      <c r="I541" s="16"/>
      <c r="J541" s="16"/>
      <c r="K541" s="16"/>
      <c r="L541" s="16"/>
      <c r="M541" s="16"/>
      <c r="N541" s="16"/>
      <c r="O541" s="17"/>
      <c r="P541" s="5" t="str">
        <f t="shared" si="11"/>
        <v>Truncate table CNL130;</v>
      </c>
      <c r="Q541" s="5"/>
      <c r="R541" s="5"/>
    </row>
    <row r="542" spans="2:18" x14ac:dyDescent="0.25">
      <c r="B542" s="19" t="s">
        <v>808</v>
      </c>
      <c r="C542" s="16" t="s">
        <v>745</v>
      </c>
      <c r="D542" s="16" t="s">
        <v>29</v>
      </c>
      <c r="E542" s="16" t="s">
        <v>734</v>
      </c>
      <c r="F542" s="5" t="s">
        <v>746</v>
      </c>
      <c r="G542" s="16" t="s">
        <v>35</v>
      </c>
      <c r="H542" s="16"/>
      <c r="I542" s="16"/>
      <c r="J542" s="16"/>
      <c r="K542" s="16"/>
      <c r="L542" s="16"/>
      <c r="M542" s="16"/>
      <c r="N542" s="16"/>
      <c r="O542" s="17"/>
      <c r="P542" s="5" t="str">
        <f t="shared" si="11"/>
        <v>Truncate table CNL131;</v>
      </c>
      <c r="Q542" s="5"/>
      <c r="R542" s="5"/>
    </row>
    <row r="543" spans="2:18" x14ac:dyDescent="0.25">
      <c r="B543" s="19" t="s">
        <v>809</v>
      </c>
      <c r="C543" s="16" t="s">
        <v>745</v>
      </c>
      <c r="D543" s="16" t="s">
        <v>29</v>
      </c>
      <c r="E543" s="16" t="s">
        <v>734</v>
      </c>
      <c r="F543" s="5" t="s">
        <v>746</v>
      </c>
      <c r="G543" s="16" t="s">
        <v>35</v>
      </c>
      <c r="H543" s="16"/>
      <c r="I543" s="16"/>
      <c r="J543" s="16"/>
      <c r="K543" s="16"/>
      <c r="L543" s="16"/>
      <c r="M543" s="16"/>
      <c r="N543" s="16"/>
      <c r="O543" s="17"/>
      <c r="P543" s="5" t="str">
        <f t="shared" si="11"/>
        <v>Truncate table CNL132;</v>
      </c>
      <c r="Q543" s="5"/>
      <c r="R543" s="5"/>
    </row>
    <row r="544" spans="2:18" x14ac:dyDescent="0.25">
      <c r="B544" s="19" t="s">
        <v>810</v>
      </c>
      <c r="C544" s="16" t="s">
        <v>745</v>
      </c>
      <c r="D544" s="16" t="s">
        <v>29</v>
      </c>
      <c r="E544" s="16" t="s">
        <v>734</v>
      </c>
      <c r="F544" s="5" t="s">
        <v>746</v>
      </c>
      <c r="G544" s="16" t="s">
        <v>35</v>
      </c>
      <c r="H544" s="16"/>
      <c r="I544" s="16"/>
      <c r="J544" s="16"/>
      <c r="K544" s="16"/>
      <c r="L544" s="16"/>
      <c r="M544" s="16"/>
      <c r="N544" s="16"/>
      <c r="O544" s="17"/>
      <c r="P544" s="5" t="str">
        <f t="shared" si="11"/>
        <v>Truncate table CNL133;</v>
      </c>
      <c r="Q544" s="5"/>
      <c r="R544" s="5"/>
    </row>
    <row r="545" spans="2:18" x14ac:dyDescent="0.25">
      <c r="B545" s="19" t="s">
        <v>811</v>
      </c>
      <c r="C545" s="16" t="s">
        <v>745</v>
      </c>
      <c r="D545" s="16" t="s">
        <v>29</v>
      </c>
      <c r="E545" s="16" t="s">
        <v>734</v>
      </c>
      <c r="F545" s="5" t="s">
        <v>746</v>
      </c>
      <c r="G545" s="16" t="s">
        <v>35</v>
      </c>
      <c r="H545" s="16"/>
      <c r="I545" s="16"/>
      <c r="J545" s="16"/>
      <c r="K545" s="16"/>
      <c r="L545" s="16"/>
      <c r="M545" s="16"/>
      <c r="N545" s="16"/>
      <c r="O545" s="17"/>
      <c r="P545" s="5" t="str">
        <f t="shared" si="11"/>
        <v>Truncate table CNL134;</v>
      </c>
      <c r="Q545" s="5"/>
      <c r="R545" s="5"/>
    </row>
    <row r="546" spans="2:18" x14ac:dyDescent="0.25">
      <c r="B546" s="19" t="s">
        <v>812</v>
      </c>
      <c r="C546" s="16" t="s">
        <v>745</v>
      </c>
      <c r="D546" s="16" t="s">
        <v>29</v>
      </c>
      <c r="E546" s="16" t="s">
        <v>734</v>
      </c>
      <c r="F546" s="5" t="s">
        <v>746</v>
      </c>
      <c r="G546" s="16" t="s">
        <v>35</v>
      </c>
      <c r="H546" s="16"/>
      <c r="I546" s="16"/>
      <c r="J546" s="16"/>
      <c r="K546" s="16"/>
      <c r="L546" s="16"/>
      <c r="M546" s="16"/>
      <c r="N546" s="16"/>
      <c r="O546" s="17"/>
      <c r="P546" s="5" t="str">
        <f t="shared" ref="P546:P609" si="12">IF(D546="Datos","Truncate table "&amp; B546&amp; ";","")</f>
        <v>Truncate table CNL146;</v>
      </c>
      <c r="Q546" s="5"/>
      <c r="R546" s="5"/>
    </row>
    <row r="547" spans="2:18" x14ac:dyDescent="0.25">
      <c r="B547" s="19" t="s">
        <v>813</v>
      </c>
      <c r="C547" s="16" t="s">
        <v>745</v>
      </c>
      <c r="D547" s="16" t="s">
        <v>29</v>
      </c>
      <c r="E547" s="16" t="s">
        <v>734</v>
      </c>
      <c r="F547" s="5" t="s">
        <v>746</v>
      </c>
      <c r="G547" s="16" t="s">
        <v>35</v>
      </c>
      <c r="H547" s="16"/>
      <c r="I547" s="16"/>
      <c r="J547" s="16"/>
      <c r="K547" s="16"/>
      <c r="L547" s="16"/>
      <c r="M547" s="16"/>
      <c r="N547" s="16"/>
      <c r="O547" s="17"/>
      <c r="P547" s="5" t="str">
        <f t="shared" si="12"/>
        <v>Truncate table CNL147;</v>
      </c>
      <c r="Q547" s="5"/>
      <c r="R547" s="5"/>
    </row>
    <row r="548" spans="2:18" x14ac:dyDescent="0.25">
      <c r="B548" s="19" t="s">
        <v>814</v>
      </c>
      <c r="C548" s="16" t="s">
        <v>745</v>
      </c>
      <c r="D548" s="16" t="s">
        <v>29</v>
      </c>
      <c r="E548" s="16" t="s">
        <v>734</v>
      </c>
      <c r="F548" s="5" t="s">
        <v>746</v>
      </c>
      <c r="G548" s="16" t="s">
        <v>35</v>
      </c>
      <c r="H548" s="16"/>
      <c r="I548" s="16"/>
      <c r="J548" s="16"/>
      <c r="K548" s="16"/>
      <c r="L548" s="16"/>
      <c r="M548" s="16"/>
      <c r="N548" s="16"/>
      <c r="O548" s="17"/>
      <c r="P548" s="5" t="str">
        <f t="shared" si="12"/>
        <v>Truncate table CNL150;</v>
      </c>
      <c r="Q548" s="5"/>
      <c r="R548" s="5"/>
    </row>
    <row r="549" spans="2:18" x14ac:dyDescent="0.25">
      <c r="B549" s="19" t="s">
        <v>815</v>
      </c>
      <c r="C549" s="16" t="s">
        <v>745</v>
      </c>
      <c r="D549" s="16" t="s">
        <v>29</v>
      </c>
      <c r="E549" s="16" t="s">
        <v>734</v>
      </c>
      <c r="F549" s="5" t="s">
        <v>746</v>
      </c>
      <c r="G549" s="16" t="s">
        <v>35</v>
      </c>
      <c r="H549" s="16"/>
      <c r="I549" s="16"/>
      <c r="J549" s="16"/>
      <c r="K549" s="16"/>
      <c r="L549" s="16"/>
      <c r="M549" s="16"/>
      <c r="N549" s="16"/>
      <c r="O549" s="17"/>
      <c r="P549" s="5" t="str">
        <f t="shared" si="12"/>
        <v>Truncate table CNL151;</v>
      </c>
      <c r="Q549" s="5"/>
      <c r="R549" s="5"/>
    </row>
    <row r="550" spans="2:18" x14ac:dyDescent="0.25">
      <c r="B550" s="19" t="s">
        <v>816</v>
      </c>
      <c r="C550" s="16" t="s">
        <v>745</v>
      </c>
      <c r="D550" s="16" t="s">
        <v>29</v>
      </c>
      <c r="E550" s="16" t="s">
        <v>734</v>
      </c>
      <c r="F550" s="5" t="s">
        <v>746</v>
      </c>
      <c r="G550" s="16" t="s">
        <v>35</v>
      </c>
      <c r="H550" s="16"/>
      <c r="I550" s="16"/>
      <c r="J550" s="16"/>
      <c r="K550" s="16"/>
      <c r="L550" s="16"/>
      <c r="M550" s="16"/>
      <c r="N550" s="16"/>
      <c r="O550" s="17"/>
      <c r="P550" s="5" t="str">
        <f t="shared" si="12"/>
        <v>Truncate table CNL169;</v>
      </c>
      <c r="Q550" s="5"/>
      <c r="R550" s="5"/>
    </row>
    <row r="551" spans="2:18" x14ac:dyDescent="0.25">
      <c r="B551" s="19" t="s">
        <v>817</v>
      </c>
      <c r="C551" s="16" t="s">
        <v>745</v>
      </c>
      <c r="D551" s="16" t="s">
        <v>29</v>
      </c>
      <c r="E551" s="16" t="s">
        <v>734</v>
      </c>
      <c r="F551" s="5" t="s">
        <v>746</v>
      </c>
      <c r="G551" s="16" t="s">
        <v>35</v>
      </c>
      <c r="H551" s="16"/>
      <c r="I551" s="16"/>
      <c r="J551" s="16"/>
      <c r="K551" s="16"/>
      <c r="L551" s="16"/>
      <c r="M551" s="16"/>
      <c r="N551" s="16"/>
      <c r="O551" s="17"/>
      <c r="P551" s="5" t="str">
        <f t="shared" si="12"/>
        <v>Truncate table CNL170;</v>
      </c>
      <c r="Q551" s="5"/>
      <c r="R551" s="5"/>
    </row>
    <row r="552" spans="2:18" x14ac:dyDescent="0.25">
      <c r="B552" s="19" t="s">
        <v>818</v>
      </c>
      <c r="C552" s="16" t="s">
        <v>745</v>
      </c>
      <c r="D552" s="16" t="s">
        <v>29</v>
      </c>
      <c r="E552" s="16" t="s">
        <v>734</v>
      </c>
      <c r="F552" s="5" t="s">
        <v>746</v>
      </c>
      <c r="G552" s="16" t="s">
        <v>35</v>
      </c>
      <c r="H552" s="16"/>
      <c r="I552" s="16"/>
      <c r="J552" s="16"/>
      <c r="K552" s="16"/>
      <c r="L552" s="16"/>
      <c r="M552" s="16"/>
      <c r="N552" s="16"/>
      <c r="O552" s="17"/>
      <c r="P552" s="5" t="str">
        <f t="shared" si="12"/>
        <v>Truncate table CNL172;</v>
      </c>
      <c r="Q552" s="5"/>
      <c r="R552" s="5"/>
    </row>
    <row r="553" spans="2:18" x14ac:dyDescent="0.25">
      <c r="B553" s="19" t="s">
        <v>819</v>
      </c>
      <c r="C553" s="16" t="s">
        <v>745</v>
      </c>
      <c r="D553" s="16" t="s">
        <v>29</v>
      </c>
      <c r="E553" s="16" t="s">
        <v>734</v>
      </c>
      <c r="F553" s="5" t="s">
        <v>746</v>
      </c>
      <c r="G553" s="16" t="s">
        <v>35</v>
      </c>
      <c r="H553" s="16"/>
      <c r="I553" s="16"/>
      <c r="J553" s="16"/>
      <c r="K553" s="16"/>
      <c r="L553" s="16"/>
      <c r="M553" s="16"/>
      <c r="N553" s="16"/>
      <c r="O553" s="17"/>
      <c r="P553" s="5" t="str">
        <f t="shared" si="12"/>
        <v>Truncate table CNL173;</v>
      </c>
      <c r="Q553" s="5"/>
      <c r="R553" s="5"/>
    </row>
    <row r="554" spans="2:18" x14ac:dyDescent="0.25">
      <c r="B554" s="19" t="s">
        <v>820</v>
      </c>
      <c r="C554" s="16" t="s">
        <v>745</v>
      </c>
      <c r="D554" s="16" t="s">
        <v>29</v>
      </c>
      <c r="E554" s="16" t="s">
        <v>734</v>
      </c>
      <c r="F554" s="5" t="s">
        <v>746</v>
      </c>
      <c r="G554" s="16" t="s">
        <v>35</v>
      </c>
      <c r="H554" s="16"/>
      <c r="I554" s="16"/>
      <c r="J554" s="16"/>
      <c r="K554" s="16"/>
      <c r="L554" s="16"/>
      <c r="M554" s="16"/>
      <c r="N554" s="16"/>
      <c r="O554" s="17"/>
      <c r="P554" s="5" t="str">
        <f t="shared" si="12"/>
        <v>Truncate table CNL174;</v>
      </c>
      <c r="Q554" s="5"/>
      <c r="R554" s="5"/>
    </row>
    <row r="555" spans="2:18" x14ac:dyDescent="0.25">
      <c r="B555" s="19" t="s">
        <v>821</v>
      </c>
      <c r="C555" s="16" t="s">
        <v>745</v>
      </c>
      <c r="D555" s="16" t="s">
        <v>29</v>
      </c>
      <c r="E555" s="16" t="s">
        <v>734</v>
      </c>
      <c r="F555" s="5" t="s">
        <v>746</v>
      </c>
      <c r="G555" s="16" t="s">
        <v>35</v>
      </c>
      <c r="H555" s="16"/>
      <c r="I555" s="16"/>
      <c r="J555" s="16"/>
      <c r="K555" s="16"/>
      <c r="L555" s="16"/>
      <c r="M555" s="16"/>
      <c r="N555" s="16"/>
      <c r="O555" s="17"/>
      <c r="P555" s="5" t="str">
        <f t="shared" si="12"/>
        <v>Truncate table CNL175;</v>
      </c>
      <c r="Q555" s="5"/>
      <c r="R555" s="5"/>
    </row>
    <row r="556" spans="2:18" x14ac:dyDescent="0.25">
      <c r="B556" s="19" t="s">
        <v>822</v>
      </c>
      <c r="C556" s="16" t="s">
        <v>745</v>
      </c>
      <c r="D556" s="16" t="s">
        <v>29</v>
      </c>
      <c r="E556" s="16" t="s">
        <v>734</v>
      </c>
      <c r="F556" s="28" t="s">
        <v>746</v>
      </c>
      <c r="G556" s="16" t="s">
        <v>35</v>
      </c>
      <c r="H556" s="16"/>
      <c r="I556" s="16"/>
      <c r="J556" s="16"/>
      <c r="K556" s="16"/>
      <c r="L556" s="16"/>
      <c r="M556" s="16"/>
      <c r="N556" s="16"/>
      <c r="O556" s="17"/>
      <c r="P556" s="5" t="str">
        <f t="shared" si="12"/>
        <v>Truncate table CNL176;</v>
      </c>
      <c r="Q556" s="5"/>
      <c r="R556" s="5"/>
    </row>
    <row r="557" spans="2:18" x14ac:dyDescent="0.25">
      <c r="B557" s="19" t="s">
        <v>823</v>
      </c>
      <c r="C557" s="16" t="s">
        <v>745</v>
      </c>
      <c r="D557" s="16" t="s">
        <v>29</v>
      </c>
      <c r="E557" s="16" t="s">
        <v>734</v>
      </c>
      <c r="F557" s="28" t="s">
        <v>746</v>
      </c>
      <c r="G557" s="16" t="s">
        <v>35</v>
      </c>
      <c r="H557" s="16"/>
      <c r="I557" s="16"/>
      <c r="J557" s="16"/>
      <c r="K557" s="16"/>
      <c r="L557" s="26"/>
      <c r="M557" s="26"/>
      <c r="N557" s="16"/>
      <c r="O557" s="17"/>
      <c r="P557" s="5" t="str">
        <f t="shared" si="12"/>
        <v>Truncate table CNL177;</v>
      </c>
      <c r="Q557" s="5"/>
      <c r="R557" s="5"/>
    </row>
    <row r="558" spans="2:18" x14ac:dyDescent="0.25">
      <c r="B558" s="19" t="s">
        <v>824</v>
      </c>
      <c r="C558" s="16" t="s">
        <v>745</v>
      </c>
      <c r="D558" s="16" t="s">
        <v>29</v>
      </c>
      <c r="E558" s="16" t="s">
        <v>734</v>
      </c>
      <c r="F558" s="28" t="s">
        <v>746</v>
      </c>
      <c r="G558" s="16" t="s">
        <v>35</v>
      </c>
      <c r="H558" s="16"/>
      <c r="I558" s="16"/>
      <c r="J558" s="16"/>
      <c r="K558" s="16"/>
      <c r="L558" s="16"/>
      <c r="M558" s="16"/>
      <c r="N558" s="16"/>
      <c r="O558" s="17"/>
      <c r="P558" s="5" t="str">
        <f t="shared" si="12"/>
        <v>Truncate table CNL178;</v>
      </c>
      <c r="Q558" s="5"/>
      <c r="R558" s="5"/>
    </row>
    <row r="559" spans="2:18" x14ac:dyDescent="0.25">
      <c r="B559" s="19" t="s">
        <v>825</v>
      </c>
      <c r="C559" s="16" t="s">
        <v>745</v>
      </c>
      <c r="D559" s="16" t="s">
        <v>29</v>
      </c>
      <c r="E559" s="16" t="s">
        <v>734</v>
      </c>
      <c r="F559" s="28" t="s">
        <v>746</v>
      </c>
      <c r="G559" s="16" t="s">
        <v>35</v>
      </c>
      <c r="H559" s="16"/>
      <c r="I559" s="16"/>
      <c r="J559" s="16"/>
      <c r="K559" s="16"/>
      <c r="L559" s="16"/>
      <c r="M559" s="16"/>
      <c r="N559" s="16"/>
      <c r="O559" s="17"/>
      <c r="P559" s="5" t="str">
        <f t="shared" si="12"/>
        <v>Truncate table CNL179;</v>
      </c>
      <c r="Q559" s="5"/>
      <c r="R559" s="5"/>
    </row>
    <row r="560" spans="2:18" x14ac:dyDescent="0.25">
      <c r="B560" s="19" t="s">
        <v>826</v>
      </c>
      <c r="C560" s="16" t="s">
        <v>745</v>
      </c>
      <c r="D560" s="16" t="s">
        <v>29</v>
      </c>
      <c r="E560" s="16" t="s">
        <v>734</v>
      </c>
      <c r="F560" s="28" t="s">
        <v>746</v>
      </c>
      <c r="G560" s="16" t="s">
        <v>35</v>
      </c>
      <c r="H560" s="16"/>
      <c r="I560" s="16"/>
      <c r="J560" s="16"/>
      <c r="K560" s="16"/>
      <c r="L560" s="16"/>
      <c r="M560" s="16"/>
      <c r="N560" s="16"/>
      <c r="O560" s="17"/>
      <c r="P560" s="5" t="str">
        <f t="shared" si="12"/>
        <v>Truncate table CNL180;</v>
      </c>
      <c r="Q560" s="5"/>
      <c r="R560" s="5"/>
    </row>
    <row r="561" spans="2:18" x14ac:dyDescent="0.25">
      <c r="B561" s="19" t="s">
        <v>827</v>
      </c>
      <c r="C561" s="16" t="s">
        <v>745</v>
      </c>
      <c r="D561" s="16" t="s">
        <v>29</v>
      </c>
      <c r="E561" s="16" t="s">
        <v>734</v>
      </c>
      <c r="F561" s="28" t="s">
        <v>746</v>
      </c>
      <c r="G561" s="16" t="s">
        <v>35</v>
      </c>
      <c r="H561" s="16"/>
      <c r="I561" s="16"/>
      <c r="J561" s="16"/>
      <c r="K561" s="16"/>
      <c r="L561" s="16"/>
      <c r="M561" s="16"/>
      <c r="N561" s="16"/>
      <c r="O561" s="17"/>
      <c r="P561" s="5" t="str">
        <f t="shared" si="12"/>
        <v>Truncate table CNL200;</v>
      </c>
      <c r="Q561" s="5"/>
      <c r="R561" s="5"/>
    </row>
    <row r="562" spans="2:18" x14ac:dyDescent="0.25">
      <c r="B562" s="19" t="s">
        <v>828</v>
      </c>
      <c r="C562" s="16" t="s">
        <v>745</v>
      </c>
      <c r="D562" s="16" t="s">
        <v>29</v>
      </c>
      <c r="E562" s="16" t="s">
        <v>734</v>
      </c>
      <c r="F562" s="28" t="s">
        <v>746</v>
      </c>
      <c r="G562" s="16" t="s">
        <v>35</v>
      </c>
      <c r="H562" s="16"/>
      <c r="I562" s="16"/>
      <c r="J562" s="16"/>
      <c r="K562" s="16"/>
      <c r="L562" s="16"/>
      <c r="M562" s="16"/>
      <c r="N562" s="16"/>
      <c r="O562" s="17"/>
      <c r="P562" s="5" t="str">
        <f t="shared" si="12"/>
        <v>Truncate table CNL201;</v>
      </c>
      <c r="Q562" s="5"/>
      <c r="R562" s="5"/>
    </row>
    <row r="563" spans="2:18" x14ac:dyDescent="0.25">
      <c r="B563" s="19" t="s">
        <v>829</v>
      </c>
      <c r="C563" s="16" t="s">
        <v>745</v>
      </c>
      <c r="D563" s="16" t="s">
        <v>29</v>
      </c>
      <c r="E563" s="16" t="s">
        <v>734</v>
      </c>
      <c r="F563" s="28" t="s">
        <v>746</v>
      </c>
      <c r="G563" s="16" t="s">
        <v>35</v>
      </c>
      <c r="H563" s="16"/>
      <c r="I563" s="16"/>
      <c r="J563" s="16"/>
      <c r="K563" s="16"/>
      <c r="L563" s="16"/>
      <c r="M563" s="16"/>
      <c r="N563" s="16"/>
      <c r="O563" s="17"/>
      <c r="P563" s="5" t="str">
        <f t="shared" si="12"/>
        <v>Truncate table CNL202;</v>
      </c>
      <c r="Q563" s="5"/>
      <c r="R563" s="5"/>
    </row>
    <row r="564" spans="2:18" x14ac:dyDescent="0.25">
      <c r="B564" s="19" t="s">
        <v>830</v>
      </c>
      <c r="C564" s="16" t="s">
        <v>745</v>
      </c>
      <c r="D564" s="16" t="s">
        <v>29</v>
      </c>
      <c r="E564" s="16" t="s">
        <v>734</v>
      </c>
      <c r="F564" s="28" t="s">
        <v>746</v>
      </c>
      <c r="G564" s="16" t="s">
        <v>35</v>
      </c>
      <c r="H564" s="16"/>
      <c r="I564" s="16"/>
      <c r="J564" s="16"/>
      <c r="K564" s="16"/>
      <c r="L564" s="16"/>
      <c r="M564" s="16"/>
      <c r="N564" s="16"/>
      <c r="O564" s="17"/>
      <c r="P564" s="5" t="str">
        <f t="shared" si="12"/>
        <v>Truncate table CNL203;</v>
      </c>
      <c r="Q564" s="5"/>
      <c r="R564" s="5"/>
    </row>
    <row r="565" spans="2:18" x14ac:dyDescent="0.25">
      <c r="B565" s="19" t="s">
        <v>831</v>
      </c>
      <c r="C565" s="16" t="s">
        <v>745</v>
      </c>
      <c r="D565" s="16" t="s">
        <v>29</v>
      </c>
      <c r="E565" s="16" t="s">
        <v>734</v>
      </c>
      <c r="F565" s="28" t="s">
        <v>746</v>
      </c>
      <c r="G565" s="16" t="s">
        <v>35</v>
      </c>
      <c r="H565" s="16"/>
      <c r="I565" s="16"/>
      <c r="J565" s="16"/>
      <c r="K565" s="16"/>
      <c r="L565" s="16"/>
      <c r="M565" s="16"/>
      <c r="N565" s="16"/>
      <c r="O565" s="17"/>
      <c r="P565" s="5" t="str">
        <f t="shared" si="12"/>
        <v>Truncate table CNL204;</v>
      </c>
      <c r="Q565" s="5"/>
      <c r="R565" s="5"/>
    </row>
    <row r="566" spans="2:18" x14ac:dyDescent="0.25">
      <c r="B566" s="19" t="s">
        <v>832</v>
      </c>
      <c r="C566" s="16" t="s">
        <v>745</v>
      </c>
      <c r="D566" s="16" t="s">
        <v>29</v>
      </c>
      <c r="E566" s="16" t="s">
        <v>734</v>
      </c>
      <c r="F566" s="28" t="s">
        <v>746</v>
      </c>
      <c r="G566" s="16" t="s">
        <v>35</v>
      </c>
      <c r="H566" s="16"/>
      <c r="I566" s="16"/>
      <c r="J566" s="16"/>
      <c r="K566" s="16"/>
      <c r="L566" s="16"/>
      <c r="M566" s="16"/>
      <c r="N566" s="16"/>
      <c r="O566" s="17"/>
      <c r="P566" s="5" t="str">
        <f t="shared" si="12"/>
        <v>Truncate table CNL205;</v>
      </c>
      <c r="Q566" s="5"/>
      <c r="R566" s="5"/>
    </row>
    <row r="567" spans="2:18" x14ac:dyDescent="0.25">
      <c r="B567" s="19" t="s">
        <v>833</v>
      </c>
      <c r="C567" s="16" t="s">
        <v>745</v>
      </c>
      <c r="D567" s="16" t="s">
        <v>29</v>
      </c>
      <c r="E567" s="16" t="s">
        <v>734</v>
      </c>
      <c r="F567" s="28" t="s">
        <v>746</v>
      </c>
      <c r="G567" s="16" t="s">
        <v>35</v>
      </c>
      <c r="H567" s="16"/>
      <c r="I567" s="16"/>
      <c r="J567" s="16"/>
      <c r="K567" s="16"/>
      <c r="L567" s="16"/>
      <c r="M567" s="16"/>
      <c r="N567" s="16"/>
      <c r="O567" s="17"/>
      <c r="P567" s="5" t="str">
        <f t="shared" si="12"/>
        <v>Truncate table CNL206;</v>
      </c>
      <c r="Q567" s="5"/>
      <c r="R567" s="5"/>
    </row>
    <row r="568" spans="2:18" x14ac:dyDescent="0.25">
      <c r="B568" s="19" t="s">
        <v>834</v>
      </c>
      <c r="C568" s="16" t="s">
        <v>745</v>
      </c>
      <c r="D568" s="16" t="s">
        <v>29</v>
      </c>
      <c r="E568" s="16" t="s">
        <v>734</v>
      </c>
      <c r="F568" s="28" t="s">
        <v>746</v>
      </c>
      <c r="G568" s="16" t="s">
        <v>35</v>
      </c>
      <c r="H568" s="16"/>
      <c r="I568" s="16"/>
      <c r="J568" s="16"/>
      <c r="K568" s="16"/>
      <c r="L568" s="16"/>
      <c r="M568" s="16"/>
      <c r="N568" s="16"/>
      <c r="O568" s="17"/>
      <c r="P568" s="5" t="str">
        <f t="shared" si="12"/>
        <v>Truncate table CNL207;</v>
      </c>
      <c r="Q568" s="5"/>
      <c r="R568" s="5"/>
    </row>
    <row r="569" spans="2:18" x14ac:dyDescent="0.25">
      <c r="B569" s="19" t="s">
        <v>835</v>
      </c>
      <c r="C569" s="16" t="s">
        <v>745</v>
      </c>
      <c r="D569" s="16" t="s">
        <v>29</v>
      </c>
      <c r="E569" s="16" t="s">
        <v>734</v>
      </c>
      <c r="F569" s="28" t="s">
        <v>746</v>
      </c>
      <c r="G569" s="16" t="s">
        <v>35</v>
      </c>
      <c r="H569" s="16"/>
      <c r="I569" s="16"/>
      <c r="J569" s="16"/>
      <c r="K569" s="16"/>
      <c r="L569" s="16"/>
      <c r="M569" s="16"/>
      <c r="N569" s="16"/>
      <c r="O569" s="17"/>
      <c r="P569" s="5" t="str">
        <f t="shared" si="12"/>
        <v>Truncate table CNL208;</v>
      </c>
      <c r="Q569" s="5"/>
      <c r="R569" s="5"/>
    </row>
    <row r="570" spans="2:18" x14ac:dyDescent="0.25">
      <c r="B570" s="19" t="s">
        <v>836</v>
      </c>
      <c r="C570" s="16" t="s">
        <v>745</v>
      </c>
      <c r="D570" s="16" t="s">
        <v>29</v>
      </c>
      <c r="E570" s="16" t="s">
        <v>734</v>
      </c>
      <c r="F570" s="28" t="s">
        <v>746</v>
      </c>
      <c r="G570" s="16" t="s">
        <v>35</v>
      </c>
      <c r="H570" s="16"/>
      <c r="I570" s="16"/>
      <c r="J570" s="16"/>
      <c r="K570" s="16"/>
      <c r="L570" s="16"/>
      <c r="M570" s="16"/>
      <c r="N570" s="16"/>
      <c r="O570" s="17"/>
      <c r="P570" s="5" t="str">
        <f t="shared" si="12"/>
        <v>Truncate table CNL209;</v>
      </c>
      <c r="Q570" s="5"/>
      <c r="R570" s="5"/>
    </row>
    <row r="571" spans="2:18" x14ac:dyDescent="0.25">
      <c r="B571" s="19" t="s">
        <v>837</v>
      </c>
      <c r="C571" s="16" t="s">
        <v>745</v>
      </c>
      <c r="D571" s="16" t="s">
        <v>29</v>
      </c>
      <c r="E571" s="16" t="s">
        <v>734</v>
      </c>
      <c r="F571" s="5" t="s">
        <v>746</v>
      </c>
      <c r="G571" s="16" t="s">
        <v>35</v>
      </c>
      <c r="H571" s="16"/>
      <c r="I571" s="16"/>
      <c r="J571" s="16"/>
      <c r="K571" s="16"/>
      <c r="L571" s="16"/>
      <c r="M571" s="16"/>
      <c r="N571" s="16"/>
      <c r="O571" s="17"/>
      <c r="P571" s="5" t="str">
        <f t="shared" si="12"/>
        <v>Truncate table CNL210;</v>
      </c>
      <c r="Q571" s="5"/>
      <c r="R571" s="5"/>
    </row>
    <row r="572" spans="2:18" x14ac:dyDescent="0.25">
      <c r="B572" s="19" t="s">
        <v>838</v>
      </c>
      <c r="C572" s="16" t="s">
        <v>745</v>
      </c>
      <c r="D572" s="16" t="s">
        <v>29</v>
      </c>
      <c r="E572" s="16" t="s">
        <v>734</v>
      </c>
      <c r="F572" s="5" t="s">
        <v>746</v>
      </c>
      <c r="G572" s="16" t="s">
        <v>35</v>
      </c>
      <c r="H572" s="16"/>
      <c r="I572" s="16"/>
      <c r="J572" s="16"/>
      <c r="K572" s="16"/>
      <c r="L572" s="16"/>
      <c r="M572" s="16"/>
      <c r="N572" s="16"/>
      <c r="O572" s="17"/>
      <c r="P572" s="5" t="str">
        <f t="shared" si="12"/>
        <v>Truncate table CNL211;</v>
      </c>
      <c r="Q572" s="5"/>
      <c r="R572" s="5"/>
    </row>
    <row r="573" spans="2:18" x14ac:dyDescent="0.25">
      <c r="B573" s="19" t="s">
        <v>839</v>
      </c>
      <c r="C573" s="16" t="s">
        <v>745</v>
      </c>
      <c r="D573" s="16" t="s">
        <v>29</v>
      </c>
      <c r="E573" s="16" t="s">
        <v>734</v>
      </c>
      <c r="F573" s="5" t="s">
        <v>746</v>
      </c>
      <c r="G573" s="16" t="s">
        <v>35</v>
      </c>
      <c r="H573" s="16"/>
      <c r="I573" s="16"/>
      <c r="J573" s="16"/>
      <c r="K573" s="16"/>
      <c r="L573" s="16"/>
      <c r="M573" s="16"/>
      <c r="N573" s="16"/>
      <c r="O573" s="17"/>
      <c r="P573" s="5" t="str">
        <f t="shared" si="12"/>
        <v>Truncate table CNL227;</v>
      </c>
      <c r="Q573" s="5"/>
      <c r="R573" s="5"/>
    </row>
    <row r="574" spans="2:18" x14ac:dyDescent="0.25">
      <c r="B574" s="19" t="s">
        <v>840</v>
      </c>
      <c r="C574" s="16" t="s">
        <v>745</v>
      </c>
      <c r="D574" s="16" t="s">
        <v>29</v>
      </c>
      <c r="E574" s="16" t="s">
        <v>734</v>
      </c>
      <c r="F574" s="5" t="s">
        <v>746</v>
      </c>
      <c r="G574" s="16" t="s">
        <v>35</v>
      </c>
      <c r="H574" s="16"/>
      <c r="I574" s="16"/>
      <c r="J574" s="16"/>
      <c r="K574" s="16"/>
      <c r="L574" s="16"/>
      <c r="M574" s="16"/>
      <c r="N574" s="16"/>
      <c r="O574" s="17"/>
      <c r="P574" s="5" t="str">
        <f t="shared" si="12"/>
        <v>Truncate table CNL300;</v>
      </c>
      <c r="Q574" s="5"/>
      <c r="R574" s="5"/>
    </row>
    <row r="575" spans="2:18" x14ac:dyDescent="0.25">
      <c r="B575" s="19" t="s">
        <v>841</v>
      </c>
      <c r="C575" s="16" t="s">
        <v>745</v>
      </c>
      <c r="D575" s="16" t="s">
        <v>29</v>
      </c>
      <c r="E575" s="16" t="s">
        <v>734</v>
      </c>
      <c r="F575" s="5" t="s">
        <v>746</v>
      </c>
      <c r="G575" s="16" t="s">
        <v>35</v>
      </c>
      <c r="H575" s="16"/>
      <c r="I575" s="16"/>
      <c r="J575" s="16"/>
      <c r="K575" s="16"/>
      <c r="L575" s="16"/>
      <c r="M575" s="16"/>
      <c r="N575" s="16"/>
      <c r="O575" s="17"/>
      <c r="P575" s="5" t="str">
        <f t="shared" si="12"/>
        <v>Truncate table CNL302;</v>
      </c>
      <c r="Q575" s="5"/>
      <c r="R575" s="5"/>
    </row>
    <row r="576" spans="2:18" x14ac:dyDescent="0.25">
      <c r="B576" s="19" t="s">
        <v>842</v>
      </c>
      <c r="C576" s="16" t="s">
        <v>745</v>
      </c>
      <c r="D576" s="16" t="s">
        <v>29</v>
      </c>
      <c r="E576" s="16" t="s">
        <v>734</v>
      </c>
      <c r="F576" s="5" t="s">
        <v>746</v>
      </c>
      <c r="G576" s="16" t="s">
        <v>35</v>
      </c>
      <c r="H576" s="16"/>
      <c r="I576" s="16"/>
      <c r="J576" s="16"/>
      <c r="K576" s="16"/>
      <c r="L576" s="16"/>
      <c r="M576" s="16"/>
      <c r="N576" s="16"/>
      <c r="O576" s="17"/>
      <c r="P576" s="5" t="str">
        <f t="shared" si="12"/>
        <v>Truncate table CNL303;</v>
      </c>
      <c r="Q576" s="5"/>
      <c r="R576" s="5"/>
    </row>
    <row r="577" spans="2:18" x14ac:dyDescent="0.25">
      <c r="B577" s="19" t="s">
        <v>843</v>
      </c>
      <c r="C577" s="16" t="s">
        <v>745</v>
      </c>
      <c r="D577" s="16" t="s">
        <v>29</v>
      </c>
      <c r="E577" s="16" t="s">
        <v>734</v>
      </c>
      <c r="F577" s="5" t="s">
        <v>746</v>
      </c>
      <c r="G577" s="16" t="s">
        <v>35</v>
      </c>
      <c r="H577" s="16"/>
      <c r="I577" s="16"/>
      <c r="J577" s="16"/>
      <c r="K577" s="16"/>
      <c r="L577" s="16"/>
      <c r="M577" s="16"/>
      <c r="N577" s="16"/>
      <c r="O577" s="17"/>
      <c r="P577" s="5" t="str">
        <f t="shared" si="12"/>
        <v>Truncate table CNL305;</v>
      </c>
      <c r="Q577" s="5"/>
      <c r="R577" s="5"/>
    </row>
    <row r="578" spans="2:18" x14ac:dyDescent="0.25">
      <c r="B578" s="19" t="s">
        <v>844</v>
      </c>
      <c r="C578" s="16" t="s">
        <v>745</v>
      </c>
      <c r="D578" s="16" t="s">
        <v>29</v>
      </c>
      <c r="E578" s="16" t="s">
        <v>734</v>
      </c>
      <c r="F578" s="5" t="s">
        <v>746</v>
      </c>
      <c r="G578" s="16" t="s">
        <v>35</v>
      </c>
      <c r="H578" s="16"/>
      <c r="I578" s="16"/>
      <c r="J578" s="16"/>
      <c r="K578" s="16"/>
      <c r="L578" s="16"/>
      <c r="M578" s="16"/>
      <c r="N578" s="16"/>
      <c r="O578" s="17"/>
      <c r="P578" s="5" t="str">
        <f t="shared" si="12"/>
        <v>Truncate table CNL306;</v>
      </c>
      <c r="Q578" s="5"/>
      <c r="R578" s="5"/>
    </row>
    <row r="579" spans="2:18" x14ac:dyDescent="0.25">
      <c r="B579" s="19" t="s">
        <v>845</v>
      </c>
      <c r="C579" s="16" t="s">
        <v>745</v>
      </c>
      <c r="D579" s="16" t="s">
        <v>29</v>
      </c>
      <c r="E579" s="16" t="s">
        <v>734</v>
      </c>
      <c r="F579" s="5" t="s">
        <v>746</v>
      </c>
      <c r="G579" s="16" t="s">
        <v>35</v>
      </c>
      <c r="H579" s="16"/>
      <c r="I579" s="16"/>
      <c r="J579" s="16"/>
      <c r="K579" s="16"/>
      <c r="L579" s="16"/>
      <c r="M579" s="16"/>
      <c r="N579" s="16"/>
      <c r="O579" s="17"/>
      <c r="P579" s="5" t="str">
        <f t="shared" si="12"/>
        <v>Truncate table CNL307;</v>
      </c>
      <c r="Q579" s="5"/>
      <c r="R579" s="5"/>
    </row>
    <row r="580" spans="2:18" x14ac:dyDescent="0.25">
      <c r="B580" s="19" t="s">
        <v>846</v>
      </c>
      <c r="C580" s="16" t="s">
        <v>745</v>
      </c>
      <c r="D580" s="16" t="s">
        <v>29</v>
      </c>
      <c r="E580" s="16" t="s">
        <v>734</v>
      </c>
      <c r="F580" s="5" t="s">
        <v>746</v>
      </c>
      <c r="G580" s="16" t="s">
        <v>35</v>
      </c>
      <c r="H580" s="16"/>
      <c r="I580" s="16"/>
      <c r="J580" s="16"/>
      <c r="K580" s="16"/>
      <c r="L580" s="16"/>
      <c r="M580" s="16"/>
      <c r="N580" s="16"/>
      <c r="O580" s="17"/>
      <c r="P580" s="5" t="str">
        <f t="shared" si="12"/>
        <v>Truncate table CNL308;</v>
      </c>
      <c r="Q580" s="5"/>
      <c r="R580" s="5"/>
    </row>
    <row r="581" spans="2:18" x14ac:dyDescent="0.25">
      <c r="B581" s="19" t="s">
        <v>847</v>
      </c>
      <c r="C581" s="16" t="s">
        <v>745</v>
      </c>
      <c r="D581" s="16" t="s">
        <v>29</v>
      </c>
      <c r="E581" s="16" t="s">
        <v>734</v>
      </c>
      <c r="F581" s="5" t="s">
        <v>746</v>
      </c>
      <c r="G581" s="16" t="s">
        <v>35</v>
      </c>
      <c r="H581" s="16"/>
      <c r="I581" s="16"/>
      <c r="J581" s="16"/>
      <c r="K581" s="16"/>
      <c r="L581" s="16"/>
      <c r="M581" s="16"/>
      <c r="N581" s="16"/>
      <c r="O581" s="17"/>
      <c r="P581" s="5" t="str">
        <f t="shared" si="12"/>
        <v>Truncate table CNL309;</v>
      </c>
      <c r="Q581" s="5"/>
      <c r="R581" s="5"/>
    </row>
    <row r="582" spans="2:18" x14ac:dyDescent="0.25">
      <c r="B582" s="19" t="s">
        <v>848</v>
      </c>
      <c r="C582" s="16" t="s">
        <v>745</v>
      </c>
      <c r="D582" s="16" t="s">
        <v>29</v>
      </c>
      <c r="E582" s="16" t="s">
        <v>734</v>
      </c>
      <c r="F582" s="5" t="s">
        <v>746</v>
      </c>
      <c r="G582" s="16" t="s">
        <v>35</v>
      </c>
      <c r="H582" s="16"/>
      <c r="I582" s="16"/>
      <c r="J582" s="16"/>
      <c r="K582" s="16"/>
      <c r="L582" s="16"/>
      <c r="M582" s="16"/>
      <c r="N582" s="16"/>
      <c r="O582" s="17"/>
      <c r="P582" s="5" t="str">
        <f t="shared" si="12"/>
        <v>Truncate table CNL310;</v>
      </c>
      <c r="Q582" s="5"/>
      <c r="R582" s="5"/>
    </row>
    <row r="583" spans="2:18" x14ac:dyDescent="0.25">
      <c r="B583" s="19" t="s">
        <v>849</v>
      </c>
      <c r="C583" s="16" t="s">
        <v>745</v>
      </c>
      <c r="D583" s="16" t="s">
        <v>29</v>
      </c>
      <c r="E583" s="16" t="s">
        <v>734</v>
      </c>
      <c r="F583" s="5" t="s">
        <v>746</v>
      </c>
      <c r="G583" s="16" t="s">
        <v>35</v>
      </c>
      <c r="H583" s="16"/>
      <c r="I583" s="16"/>
      <c r="J583" s="16"/>
      <c r="K583" s="16"/>
      <c r="L583" s="16"/>
      <c r="M583" s="16"/>
      <c r="N583" s="16"/>
      <c r="O583" s="17"/>
      <c r="P583" s="5" t="str">
        <f t="shared" si="12"/>
        <v>Truncate table CNL311;</v>
      </c>
      <c r="Q583" s="5"/>
      <c r="R583" s="5"/>
    </row>
    <row r="584" spans="2:18" x14ac:dyDescent="0.25">
      <c r="B584" s="19" t="s">
        <v>850</v>
      </c>
      <c r="C584" s="16" t="s">
        <v>745</v>
      </c>
      <c r="D584" s="16" t="s">
        <v>29</v>
      </c>
      <c r="E584" s="16" t="s">
        <v>734</v>
      </c>
      <c r="F584" s="5" t="s">
        <v>746</v>
      </c>
      <c r="G584" s="16" t="s">
        <v>35</v>
      </c>
      <c r="H584" s="16"/>
      <c r="I584" s="16"/>
      <c r="J584" s="16"/>
      <c r="K584" s="16"/>
      <c r="L584" s="16"/>
      <c r="M584" s="16"/>
      <c r="N584" s="16"/>
      <c r="O584" s="17"/>
      <c r="P584" s="5" t="str">
        <f t="shared" si="12"/>
        <v>Truncate table CNL312;</v>
      </c>
      <c r="Q584" s="5"/>
      <c r="R584" s="5"/>
    </row>
    <row r="585" spans="2:18" x14ac:dyDescent="0.25">
      <c r="B585" s="19" t="s">
        <v>851</v>
      </c>
      <c r="C585" s="16" t="s">
        <v>745</v>
      </c>
      <c r="D585" s="16" t="s">
        <v>29</v>
      </c>
      <c r="E585" s="16" t="s">
        <v>734</v>
      </c>
      <c r="F585" s="5" t="s">
        <v>746</v>
      </c>
      <c r="G585" s="16" t="s">
        <v>35</v>
      </c>
      <c r="H585" s="16"/>
      <c r="I585" s="16"/>
      <c r="J585" s="16"/>
      <c r="K585" s="16"/>
      <c r="L585" s="16"/>
      <c r="M585" s="16"/>
      <c r="N585" s="16"/>
      <c r="O585" s="17"/>
      <c r="P585" s="5" t="str">
        <f t="shared" si="12"/>
        <v>Truncate table CNL338;</v>
      </c>
      <c r="Q585" s="5"/>
      <c r="R585" s="5"/>
    </row>
    <row r="586" spans="2:18" x14ac:dyDescent="0.25">
      <c r="B586" s="19" t="s">
        <v>852</v>
      </c>
      <c r="C586" s="16" t="s">
        <v>745</v>
      </c>
      <c r="D586" s="16" t="s">
        <v>29</v>
      </c>
      <c r="E586" s="16" t="s">
        <v>734</v>
      </c>
      <c r="F586" s="5" t="s">
        <v>746</v>
      </c>
      <c r="G586" s="16" t="s">
        <v>35</v>
      </c>
      <c r="H586" s="16"/>
      <c r="I586" s="16"/>
      <c r="J586" s="16"/>
      <c r="K586" s="16"/>
      <c r="L586" s="16"/>
      <c r="M586" s="16"/>
      <c r="N586" s="16"/>
      <c r="O586" s="17"/>
      <c r="P586" s="5" t="str">
        <f t="shared" si="12"/>
        <v>Truncate table CNL340;</v>
      </c>
      <c r="Q586" s="5"/>
      <c r="R586" s="5"/>
    </row>
    <row r="587" spans="2:18" x14ac:dyDescent="0.25">
      <c r="B587" s="19" t="s">
        <v>853</v>
      </c>
      <c r="C587" s="16" t="s">
        <v>745</v>
      </c>
      <c r="D587" s="16" t="s">
        <v>29</v>
      </c>
      <c r="E587" s="16" t="s">
        <v>734</v>
      </c>
      <c r="F587" s="5" t="s">
        <v>746</v>
      </c>
      <c r="G587" s="16" t="s">
        <v>35</v>
      </c>
      <c r="H587" s="16" t="s">
        <v>36</v>
      </c>
      <c r="I587" s="16"/>
      <c r="J587" s="16"/>
      <c r="K587" s="16" t="s">
        <v>854</v>
      </c>
      <c r="L587" s="16"/>
      <c r="M587" s="16"/>
      <c r="N587" s="16"/>
      <c r="O587" s="17" t="s">
        <v>38</v>
      </c>
      <c r="P587" s="5" t="str">
        <f t="shared" si="12"/>
        <v>Truncate table CNL405;</v>
      </c>
      <c r="Q587" s="5"/>
      <c r="R587" s="5"/>
    </row>
    <row r="588" spans="2:18" x14ac:dyDescent="0.25">
      <c r="B588" s="19" t="s">
        <v>855</v>
      </c>
      <c r="C588" s="16" t="s">
        <v>745</v>
      </c>
      <c r="D588" s="16" t="s">
        <v>29</v>
      </c>
      <c r="E588" s="16" t="s">
        <v>734</v>
      </c>
      <c r="F588" s="5" t="s">
        <v>746</v>
      </c>
      <c r="G588" s="16" t="s">
        <v>35</v>
      </c>
      <c r="H588" s="16" t="s">
        <v>36</v>
      </c>
      <c r="I588" s="16"/>
      <c r="J588" s="16"/>
      <c r="K588" s="16" t="s">
        <v>854</v>
      </c>
      <c r="L588" s="16"/>
      <c r="M588" s="16"/>
      <c r="N588" s="16"/>
      <c r="O588" s="17" t="s">
        <v>38</v>
      </c>
      <c r="P588" s="5" t="str">
        <f t="shared" si="12"/>
        <v>Truncate table CNL406;</v>
      </c>
      <c r="Q588" s="5"/>
      <c r="R588" s="5"/>
    </row>
    <row r="589" spans="2:18" x14ac:dyDescent="0.25">
      <c r="B589" s="19" t="s">
        <v>856</v>
      </c>
      <c r="C589" s="16" t="s">
        <v>745</v>
      </c>
      <c r="D589" s="16" t="s">
        <v>29</v>
      </c>
      <c r="E589" s="16" t="s">
        <v>734</v>
      </c>
      <c r="F589" s="5" t="s">
        <v>746</v>
      </c>
      <c r="G589" s="16" t="s">
        <v>35</v>
      </c>
      <c r="H589" s="16" t="s">
        <v>36</v>
      </c>
      <c r="I589" s="16"/>
      <c r="J589" s="16"/>
      <c r="K589" s="16" t="s">
        <v>854</v>
      </c>
      <c r="L589" s="16"/>
      <c r="M589" s="16"/>
      <c r="N589" s="16"/>
      <c r="O589" s="17" t="s">
        <v>38</v>
      </c>
      <c r="P589" s="5" t="str">
        <f t="shared" si="12"/>
        <v>Truncate table CNL500;</v>
      </c>
      <c r="Q589" s="5"/>
      <c r="R589" s="5"/>
    </row>
    <row r="590" spans="2:18" x14ac:dyDescent="0.25">
      <c r="B590" s="19" t="s">
        <v>857</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CNL501;</v>
      </c>
      <c r="Q590" s="5"/>
      <c r="R590" s="5"/>
    </row>
    <row r="591" spans="2:18" x14ac:dyDescent="0.25">
      <c r="B591" s="19" t="s">
        <v>858</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CNL502;</v>
      </c>
      <c r="Q591" s="5"/>
      <c r="R591" s="5"/>
    </row>
    <row r="592" spans="2:18" x14ac:dyDescent="0.25">
      <c r="B592" s="19" t="s">
        <v>859</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CNL503;</v>
      </c>
      <c r="Q592" s="5"/>
      <c r="R592" s="5"/>
    </row>
    <row r="593" spans="2:18" x14ac:dyDescent="0.25">
      <c r="B593" s="19" t="s">
        <v>860</v>
      </c>
      <c r="C593" s="16" t="s">
        <v>745</v>
      </c>
      <c r="D593" s="16" t="s">
        <v>29</v>
      </c>
      <c r="E593" s="16" t="s">
        <v>734</v>
      </c>
      <c r="F593" s="5" t="s">
        <v>746</v>
      </c>
      <c r="G593" s="16" t="s">
        <v>35</v>
      </c>
      <c r="H593" s="16"/>
      <c r="I593" s="16"/>
      <c r="J593" s="16"/>
      <c r="K593" s="16" t="s">
        <v>854</v>
      </c>
      <c r="L593" s="16"/>
      <c r="M593" s="16"/>
      <c r="N593" s="16"/>
      <c r="O593" s="17" t="s">
        <v>38</v>
      </c>
      <c r="P593" s="5" t="str">
        <f t="shared" si="12"/>
        <v>Truncate table CNL504;</v>
      </c>
      <c r="Q593" s="5"/>
      <c r="R593" s="5"/>
    </row>
    <row r="594" spans="2:18" x14ac:dyDescent="0.25">
      <c r="B594" s="19" t="s">
        <v>861</v>
      </c>
      <c r="C594" s="16" t="s">
        <v>745</v>
      </c>
      <c r="D594" s="16" t="s">
        <v>29</v>
      </c>
      <c r="E594" s="16" t="s">
        <v>734</v>
      </c>
      <c r="F594" s="5" t="s">
        <v>746</v>
      </c>
      <c r="G594" s="16" t="s">
        <v>35</v>
      </c>
      <c r="H594" s="16"/>
      <c r="I594" s="16"/>
      <c r="J594" s="16"/>
      <c r="K594" s="16" t="s">
        <v>854</v>
      </c>
      <c r="L594" s="16"/>
      <c r="M594" s="16"/>
      <c r="N594" s="16"/>
      <c r="O594" s="17"/>
      <c r="P594" s="5" t="str">
        <f t="shared" si="12"/>
        <v>Truncate table CNL505;</v>
      </c>
      <c r="Q594" s="5"/>
      <c r="R594" s="5"/>
    </row>
    <row r="595" spans="2:18" x14ac:dyDescent="0.25">
      <c r="B595" s="19" t="s">
        <v>862</v>
      </c>
      <c r="C595" s="16" t="s">
        <v>745</v>
      </c>
      <c r="D595" s="16" t="s">
        <v>29</v>
      </c>
      <c r="E595" s="16" t="s">
        <v>734</v>
      </c>
      <c r="F595" s="5" t="s">
        <v>746</v>
      </c>
      <c r="G595" s="16" t="s">
        <v>35</v>
      </c>
      <c r="H595" s="16"/>
      <c r="I595" s="16"/>
      <c r="J595" s="16"/>
      <c r="K595" s="16" t="s">
        <v>854</v>
      </c>
      <c r="L595" s="16"/>
      <c r="M595" s="16"/>
      <c r="N595" s="16"/>
      <c r="O595" s="17" t="s">
        <v>38</v>
      </c>
      <c r="P595" s="5" t="str">
        <f t="shared" si="12"/>
        <v>Truncate table CNL510;</v>
      </c>
      <c r="Q595" s="5"/>
      <c r="R595" s="5"/>
    </row>
    <row r="596" spans="2:18" x14ac:dyDescent="0.25">
      <c r="B596" s="19" t="s">
        <v>863</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CNL511;</v>
      </c>
      <c r="Q596" s="5"/>
      <c r="R596" s="5"/>
    </row>
    <row r="597" spans="2:18" x14ac:dyDescent="0.25">
      <c r="B597" s="19" t="s">
        <v>864</v>
      </c>
      <c r="C597" s="16" t="s">
        <v>745</v>
      </c>
      <c r="D597" s="16" t="s">
        <v>29</v>
      </c>
      <c r="E597" s="16" t="s">
        <v>734</v>
      </c>
      <c r="F597" s="5" t="s">
        <v>746</v>
      </c>
      <c r="G597" s="16" t="s">
        <v>35</v>
      </c>
      <c r="H597" s="16"/>
      <c r="I597" s="16"/>
      <c r="J597" s="16"/>
      <c r="K597" s="16" t="s">
        <v>854</v>
      </c>
      <c r="L597" s="16"/>
      <c r="M597" s="16"/>
      <c r="N597" s="16"/>
      <c r="O597" s="17" t="s">
        <v>38</v>
      </c>
      <c r="P597" s="5" t="str">
        <f t="shared" si="12"/>
        <v>Truncate table CNL550;</v>
      </c>
      <c r="Q597" s="5"/>
      <c r="R597" s="5"/>
    </row>
    <row r="598" spans="2:18" x14ac:dyDescent="0.25">
      <c r="B598" s="19" t="s">
        <v>865</v>
      </c>
      <c r="C598" s="16" t="s">
        <v>745</v>
      </c>
      <c r="D598" s="16" t="s">
        <v>29</v>
      </c>
      <c r="E598" s="16" t="s">
        <v>734</v>
      </c>
      <c r="F598" s="5" t="s">
        <v>746</v>
      </c>
      <c r="G598" s="16" t="s">
        <v>35</v>
      </c>
      <c r="H598" s="16"/>
      <c r="I598" s="16"/>
      <c r="J598" s="16"/>
      <c r="K598" s="16" t="s">
        <v>854</v>
      </c>
      <c r="L598" s="16"/>
      <c r="M598" s="16"/>
      <c r="N598" s="16"/>
      <c r="O598" s="17"/>
      <c r="P598" s="5" t="str">
        <f t="shared" si="12"/>
        <v>Truncate table CNL600;</v>
      </c>
      <c r="Q598" s="5"/>
      <c r="R598" s="5"/>
    </row>
    <row r="599" spans="2:18" x14ac:dyDescent="0.25">
      <c r="B599" s="19" t="s">
        <v>866</v>
      </c>
      <c r="C599" s="16" t="s">
        <v>745</v>
      </c>
      <c r="D599" s="16" t="s">
        <v>29</v>
      </c>
      <c r="E599" s="16" t="s">
        <v>734</v>
      </c>
      <c r="F599" s="5" t="s">
        <v>746</v>
      </c>
      <c r="G599" s="16" t="s">
        <v>35</v>
      </c>
      <c r="H599" s="16"/>
      <c r="I599" s="16"/>
      <c r="J599" s="16"/>
      <c r="K599" s="16" t="s">
        <v>854</v>
      </c>
      <c r="L599" s="16"/>
      <c r="M599" s="16"/>
      <c r="N599" s="16"/>
      <c r="O599" s="17"/>
      <c r="P599" s="5" t="str">
        <f t="shared" si="12"/>
        <v>Truncate table CNL606;</v>
      </c>
      <c r="Q599" s="5"/>
      <c r="R599" s="5"/>
    </row>
    <row r="600" spans="2:18" x14ac:dyDescent="0.25">
      <c r="B600" s="19" t="s">
        <v>867</v>
      </c>
      <c r="C600" s="16" t="s">
        <v>745</v>
      </c>
      <c r="D600" s="16" t="s">
        <v>29</v>
      </c>
      <c r="E600" s="16" t="s">
        <v>734</v>
      </c>
      <c r="F600" s="5" t="s">
        <v>746</v>
      </c>
      <c r="G600" s="16" t="s">
        <v>35</v>
      </c>
      <c r="H600" s="16"/>
      <c r="I600" s="16"/>
      <c r="J600" s="16"/>
      <c r="K600" s="16" t="s">
        <v>854</v>
      </c>
      <c r="L600" s="16"/>
      <c r="M600" s="16"/>
      <c r="N600" s="16"/>
      <c r="O600" s="17"/>
      <c r="P600" s="5" t="str">
        <f t="shared" si="12"/>
        <v>Truncate table CNL607;</v>
      </c>
      <c r="Q600" s="5"/>
      <c r="R600" s="5"/>
    </row>
    <row r="601" spans="2:18" x14ac:dyDescent="0.25">
      <c r="B601" s="19" t="s">
        <v>868</v>
      </c>
      <c r="C601" s="16" t="s">
        <v>745</v>
      </c>
      <c r="D601" s="16" t="s">
        <v>29</v>
      </c>
      <c r="E601" s="16" t="s">
        <v>734</v>
      </c>
      <c r="F601" s="5" t="s">
        <v>746</v>
      </c>
      <c r="G601" s="16" t="s">
        <v>35</v>
      </c>
      <c r="H601" s="16"/>
      <c r="I601" s="16"/>
      <c r="J601" s="16"/>
      <c r="K601" s="16" t="s">
        <v>854</v>
      </c>
      <c r="L601" s="16"/>
      <c r="M601" s="16"/>
      <c r="N601" s="16"/>
      <c r="O601" s="17" t="s">
        <v>38</v>
      </c>
      <c r="P601" s="5" t="str">
        <f t="shared" si="12"/>
        <v>Truncate table CNL609;</v>
      </c>
      <c r="Q601" s="5"/>
      <c r="R601" s="5"/>
    </row>
    <row r="602" spans="2:18" x14ac:dyDescent="0.25">
      <c r="B602" s="19" t="s">
        <v>869</v>
      </c>
      <c r="C602" s="16" t="s">
        <v>745</v>
      </c>
      <c r="D602" s="16" t="s">
        <v>29</v>
      </c>
      <c r="E602" s="16" t="s">
        <v>734</v>
      </c>
      <c r="F602" s="5" t="s">
        <v>746</v>
      </c>
      <c r="G602" s="16" t="s">
        <v>35</v>
      </c>
      <c r="H602" s="16"/>
      <c r="I602" s="16"/>
      <c r="J602" s="16"/>
      <c r="K602" s="16" t="s">
        <v>854</v>
      </c>
      <c r="L602" s="16"/>
      <c r="M602" s="16"/>
      <c r="N602" s="16"/>
      <c r="O602" s="17"/>
      <c r="P602" s="5" t="str">
        <f t="shared" si="12"/>
        <v>Truncate table CNL619;</v>
      </c>
      <c r="Q602" s="5"/>
      <c r="R602" s="5"/>
    </row>
    <row r="603" spans="2:18" x14ac:dyDescent="0.25">
      <c r="B603" s="19" t="s">
        <v>870</v>
      </c>
      <c r="C603" s="16" t="s">
        <v>745</v>
      </c>
      <c r="D603" s="16" t="s">
        <v>29</v>
      </c>
      <c r="E603" s="16" t="s">
        <v>734</v>
      </c>
      <c r="F603" s="5" t="s">
        <v>746</v>
      </c>
      <c r="G603" s="16" t="s">
        <v>35</v>
      </c>
      <c r="H603" s="16"/>
      <c r="I603" s="16"/>
      <c r="J603" s="16"/>
      <c r="K603" s="16" t="s">
        <v>854</v>
      </c>
      <c r="L603" s="16"/>
      <c r="M603" s="16"/>
      <c r="N603" s="16"/>
      <c r="O603" s="17" t="s">
        <v>38</v>
      </c>
      <c r="P603" s="5" t="str">
        <f t="shared" si="12"/>
        <v>Truncate table CNL620;</v>
      </c>
      <c r="Q603" s="5"/>
      <c r="R603" s="5"/>
    </row>
    <row r="604" spans="2:18" x14ac:dyDescent="0.25">
      <c r="B604" s="19" t="s">
        <v>871</v>
      </c>
      <c r="C604" s="16" t="s">
        <v>745</v>
      </c>
      <c r="D604" s="16" t="s">
        <v>29</v>
      </c>
      <c r="E604" s="16" t="s">
        <v>734</v>
      </c>
      <c r="F604" s="5" t="s">
        <v>746</v>
      </c>
      <c r="G604" s="16" t="s">
        <v>35</v>
      </c>
      <c r="H604" s="16"/>
      <c r="I604" s="16"/>
      <c r="J604" s="16"/>
      <c r="K604" s="16" t="s">
        <v>854</v>
      </c>
      <c r="L604" s="16"/>
      <c r="M604" s="16"/>
      <c r="N604" s="16"/>
      <c r="O604" s="17"/>
      <c r="P604" s="5" t="str">
        <f t="shared" si="12"/>
        <v>Truncate table CNL638;</v>
      </c>
      <c r="Q604" s="5"/>
      <c r="R604" s="5"/>
    </row>
    <row r="605" spans="2:18" x14ac:dyDescent="0.25">
      <c r="B605" s="19" t="s">
        <v>872</v>
      </c>
      <c r="C605" s="16" t="s">
        <v>745</v>
      </c>
      <c r="D605" s="16" t="s">
        <v>29</v>
      </c>
      <c r="E605" s="16" t="s">
        <v>734</v>
      </c>
      <c r="F605" s="5" t="s">
        <v>746</v>
      </c>
      <c r="G605" s="16" t="s">
        <v>35</v>
      </c>
      <c r="H605" s="16"/>
      <c r="I605" s="16"/>
      <c r="J605" s="16"/>
      <c r="K605" s="16"/>
      <c r="L605" s="16"/>
      <c r="M605" s="16"/>
      <c r="N605" s="16"/>
      <c r="O605" s="17"/>
      <c r="P605" s="5" t="str">
        <f t="shared" si="12"/>
        <v>Truncate table CNL650;</v>
      </c>
      <c r="Q605" s="5"/>
      <c r="R605" s="5"/>
    </row>
    <row r="606" spans="2:18" x14ac:dyDescent="0.25">
      <c r="B606" s="19" t="s">
        <v>873</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CNL699;</v>
      </c>
      <c r="Q606" s="5"/>
      <c r="R606" s="5"/>
    </row>
    <row r="607" spans="2:18" x14ac:dyDescent="0.25">
      <c r="B607" s="19" t="s">
        <v>874</v>
      </c>
      <c r="C607" s="16" t="s">
        <v>745</v>
      </c>
      <c r="D607" s="16" t="s">
        <v>29</v>
      </c>
      <c r="E607" s="16" t="s">
        <v>734</v>
      </c>
      <c r="F607" s="5" t="s">
        <v>746</v>
      </c>
      <c r="G607" s="16" t="s">
        <v>35</v>
      </c>
      <c r="H607" s="16"/>
      <c r="I607" s="16"/>
      <c r="J607" s="16"/>
      <c r="K607" s="16"/>
      <c r="L607" s="16"/>
      <c r="M607" s="16"/>
      <c r="N607" s="16"/>
      <c r="O607" s="17"/>
      <c r="P607" s="5" t="str">
        <f t="shared" si="12"/>
        <v>Truncate table CNL700;</v>
      </c>
      <c r="Q607" s="5"/>
      <c r="R607" s="5"/>
    </row>
    <row r="608" spans="2:18" x14ac:dyDescent="0.25">
      <c r="B608" s="19" t="s">
        <v>875</v>
      </c>
      <c r="C608" s="16" t="s">
        <v>745</v>
      </c>
      <c r="D608" s="16" t="s">
        <v>29</v>
      </c>
      <c r="E608" s="16" t="s">
        <v>734</v>
      </c>
      <c r="F608" s="5" t="s">
        <v>746</v>
      </c>
      <c r="G608" s="16" t="s">
        <v>35</v>
      </c>
      <c r="H608" s="16"/>
      <c r="I608" s="16"/>
      <c r="J608" s="16"/>
      <c r="K608" s="16"/>
      <c r="L608" s="16"/>
      <c r="M608" s="16"/>
      <c r="N608" s="16"/>
      <c r="O608" s="17"/>
      <c r="P608" s="5" t="str">
        <f t="shared" si="12"/>
        <v>Truncate table CNL800;</v>
      </c>
      <c r="Q608" s="5"/>
      <c r="R608" s="5"/>
    </row>
    <row r="609" spans="2:18" x14ac:dyDescent="0.25">
      <c r="B609" s="19" t="s">
        <v>876</v>
      </c>
      <c r="C609" s="16" t="s">
        <v>745</v>
      </c>
      <c r="D609" s="16" t="s">
        <v>29</v>
      </c>
      <c r="E609" s="16" t="s">
        <v>734</v>
      </c>
      <c r="F609" s="5" t="s">
        <v>746</v>
      </c>
      <c r="G609" s="16" t="s">
        <v>35</v>
      </c>
      <c r="H609" s="16"/>
      <c r="I609" s="16"/>
      <c r="J609" s="16"/>
      <c r="K609" s="16"/>
      <c r="L609" s="16"/>
      <c r="M609" s="16"/>
      <c r="N609" s="16"/>
      <c r="O609" s="17"/>
      <c r="P609" s="5" t="str">
        <f t="shared" si="12"/>
        <v>Truncate table CNL999;</v>
      </c>
      <c r="Q609" s="5"/>
      <c r="R609" s="5"/>
    </row>
    <row r="610" spans="2:18" x14ac:dyDescent="0.25">
      <c r="B610" s="19" t="s">
        <v>877</v>
      </c>
      <c r="C610" s="16" t="s">
        <v>745</v>
      </c>
      <c r="D610" s="16" t="s">
        <v>29</v>
      </c>
      <c r="E610" s="16" t="s">
        <v>734</v>
      </c>
      <c r="F610" s="5" t="s">
        <v>746</v>
      </c>
      <c r="G610" s="16" t="s">
        <v>35</v>
      </c>
      <c r="H610" s="16"/>
      <c r="I610" s="16"/>
      <c r="J610" s="16"/>
      <c r="K610" s="16"/>
      <c r="L610" s="16"/>
      <c r="M610" s="16"/>
      <c r="N610" s="16"/>
      <c r="O610" s="17"/>
      <c r="P610" s="5" t="str">
        <f t="shared" ref="P610:P674" si="13">IF(D610="Datos","Truncate table "&amp; B610&amp; ";","")</f>
        <v>Truncate table CNLCOLCP;</v>
      </c>
      <c r="Q610" s="5"/>
      <c r="R610" s="5"/>
    </row>
    <row r="611" spans="2:18" x14ac:dyDescent="0.25">
      <c r="B611" s="19" t="s">
        <v>878</v>
      </c>
      <c r="C611" s="16" t="s">
        <v>745</v>
      </c>
      <c r="D611" s="16" t="s">
        <v>29</v>
      </c>
      <c r="E611" s="16" t="s">
        <v>734</v>
      </c>
      <c r="F611" s="5" t="s">
        <v>746</v>
      </c>
      <c r="G611" s="16" t="s">
        <v>35</v>
      </c>
      <c r="H611" s="16"/>
      <c r="I611" s="16"/>
      <c r="J611" s="16"/>
      <c r="K611" s="16"/>
      <c r="L611" s="16"/>
      <c r="M611" s="16"/>
      <c r="N611" s="16"/>
      <c r="O611" s="17"/>
      <c r="P611" s="5" t="str">
        <f t="shared" si="13"/>
        <v>Truncate table CNLPRC;</v>
      </c>
      <c r="Q611" s="5"/>
      <c r="R611" s="5"/>
    </row>
    <row r="612" spans="2:18" x14ac:dyDescent="0.25">
      <c r="B612" s="19" t="s">
        <v>879</v>
      </c>
      <c r="C612" s="16" t="s">
        <v>745</v>
      </c>
      <c r="D612" s="16" t="s">
        <v>29</v>
      </c>
      <c r="E612" s="16" t="s">
        <v>734</v>
      </c>
      <c r="F612" s="5" t="s">
        <v>746</v>
      </c>
      <c r="G612" s="16" t="s">
        <v>35</v>
      </c>
      <c r="H612" s="16"/>
      <c r="I612" s="16"/>
      <c r="J612" s="16"/>
      <c r="K612" s="16"/>
      <c r="L612" s="16"/>
      <c r="M612" s="16"/>
      <c r="N612" s="16"/>
      <c r="O612" s="17"/>
      <c r="P612" s="5" t="str">
        <f t="shared" si="13"/>
        <v>Truncate table CNLPRCCO;</v>
      </c>
      <c r="Q612" s="5"/>
      <c r="R612" s="5"/>
    </row>
    <row r="613" spans="2:18" x14ac:dyDescent="0.25">
      <c r="B613" s="19" t="s">
        <v>880</v>
      </c>
      <c r="C613" s="16" t="s">
        <v>745</v>
      </c>
      <c r="D613" s="16" t="s">
        <v>29</v>
      </c>
      <c r="E613" s="16" t="s">
        <v>734</v>
      </c>
      <c r="F613" s="5" t="s">
        <v>746</v>
      </c>
      <c r="G613" s="16" t="s">
        <v>35</v>
      </c>
      <c r="H613" s="16"/>
      <c r="I613" s="16"/>
      <c r="J613" s="16"/>
      <c r="K613" s="16"/>
      <c r="L613" s="16"/>
      <c r="M613" s="16"/>
      <c r="N613" s="16"/>
      <c r="O613" s="17"/>
      <c r="P613" s="5" t="str">
        <f t="shared" si="13"/>
        <v>Truncate table CNLPRCCOL;</v>
      </c>
      <c r="Q613" s="5"/>
      <c r="R613" s="5"/>
    </row>
    <row r="614" spans="2:18" x14ac:dyDescent="0.25">
      <c r="B614" s="19" t="s">
        <v>881</v>
      </c>
      <c r="C614" s="16" t="s">
        <v>745</v>
      </c>
      <c r="D614" s="16" t="s">
        <v>29</v>
      </c>
      <c r="E614" s="16" t="s">
        <v>734</v>
      </c>
      <c r="F614" s="5" t="s">
        <v>746</v>
      </c>
      <c r="G614" s="16" t="s">
        <v>35</v>
      </c>
      <c r="H614" s="16"/>
      <c r="I614" s="16"/>
      <c r="J614" s="16"/>
      <c r="K614" s="16"/>
      <c r="L614" s="16"/>
      <c r="M614" s="16"/>
      <c r="N614" s="16"/>
      <c r="O614" s="17"/>
      <c r="P614" s="5" t="str">
        <f t="shared" si="13"/>
        <v>Truncate table CNLPRCCP;</v>
      </c>
      <c r="Q614" s="5"/>
      <c r="R614" s="5"/>
    </row>
    <row r="615" spans="2:18" x14ac:dyDescent="0.25">
      <c r="B615" s="19" t="s">
        <v>882</v>
      </c>
      <c r="C615" s="16" t="s">
        <v>745</v>
      </c>
      <c r="D615" s="16" t="s">
        <v>29</v>
      </c>
      <c r="E615" s="16" t="s">
        <v>734</v>
      </c>
      <c r="F615" s="5" t="s">
        <v>746</v>
      </c>
      <c r="G615" s="16" t="s">
        <v>35</v>
      </c>
      <c r="H615" s="16"/>
      <c r="I615" s="16"/>
      <c r="J615" s="16"/>
      <c r="K615" s="16"/>
      <c r="L615" s="16"/>
      <c r="M615" s="16"/>
      <c r="N615" s="16"/>
      <c r="O615" s="17"/>
      <c r="P615" s="5" t="str">
        <f t="shared" si="13"/>
        <v>Truncate table CNLPRCCPT;</v>
      </c>
      <c r="Q615" s="5"/>
      <c r="R615" s="5"/>
    </row>
    <row r="616" spans="2:18" x14ac:dyDescent="0.25">
      <c r="B616" s="19" t="s">
        <v>883</v>
      </c>
      <c r="C616" s="16" t="s">
        <v>745</v>
      </c>
      <c r="D616" s="16" t="s">
        <v>29</v>
      </c>
      <c r="E616" s="16" t="s">
        <v>734</v>
      </c>
      <c r="F616" s="5" t="s">
        <v>746</v>
      </c>
      <c r="G616" s="16" t="s">
        <v>35</v>
      </c>
      <c r="H616" s="16"/>
      <c r="I616" s="16"/>
      <c r="J616" s="16"/>
      <c r="K616" s="16" t="s">
        <v>854</v>
      </c>
      <c r="L616" s="16"/>
      <c r="M616" s="16"/>
      <c r="N616" s="16"/>
      <c r="O616" s="17" t="s">
        <v>38</v>
      </c>
      <c r="P616" s="5" t="str">
        <f t="shared" si="13"/>
        <v>Truncate table CNS011;</v>
      </c>
      <c r="Q616" s="5"/>
      <c r="R616" s="5"/>
    </row>
    <row r="617" spans="2:18" x14ac:dyDescent="0.25">
      <c r="B617" s="19" t="s">
        <v>884</v>
      </c>
      <c r="C617" s="305" t="s">
        <v>9891</v>
      </c>
      <c r="D617" s="16" t="s">
        <v>29</v>
      </c>
      <c r="E617" s="16"/>
      <c r="F617" s="5"/>
      <c r="G617" s="16" t="s">
        <v>35</v>
      </c>
      <c r="H617" s="16"/>
      <c r="I617" s="16"/>
      <c r="J617" s="16"/>
      <c r="K617" s="16"/>
      <c r="L617" s="16"/>
      <c r="M617" s="16"/>
      <c r="N617" s="16"/>
      <c r="O617" s="17"/>
      <c r="P617" s="5" t="str">
        <f t="shared" si="13"/>
        <v>Truncate table CON050;</v>
      </c>
      <c r="Q617" s="5"/>
      <c r="R617" s="5"/>
    </row>
    <row r="618" spans="2:18" ht="40.5" x14ac:dyDescent="0.25">
      <c r="B618" s="4" t="s">
        <v>885</v>
      </c>
      <c r="C618" s="5" t="s">
        <v>886</v>
      </c>
      <c r="D618" s="5" t="s">
        <v>29</v>
      </c>
      <c r="E618" s="16" t="s">
        <v>54</v>
      </c>
      <c r="F618" s="5" t="s">
        <v>235</v>
      </c>
      <c r="G618" s="16" t="s">
        <v>503</v>
      </c>
      <c r="H618" s="16" t="s">
        <v>36</v>
      </c>
      <c r="I618" s="5" t="s">
        <v>887</v>
      </c>
      <c r="J618" s="5" t="s">
        <v>888</v>
      </c>
      <c r="K618" s="5" t="s">
        <v>889</v>
      </c>
      <c r="L618" s="5"/>
      <c r="M618" s="5"/>
      <c r="N618" s="5" t="s">
        <v>890</v>
      </c>
      <c r="O618" s="17"/>
      <c r="P618" s="5" t="str">
        <f t="shared" si="13"/>
        <v>Truncate table CON100;</v>
      </c>
      <c r="Q618" s="5"/>
      <c r="R618" s="5"/>
    </row>
    <row r="619" spans="2:18" ht="40.5" x14ac:dyDescent="0.25">
      <c r="B619" s="4" t="s">
        <v>891</v>
      </c>
      <c r="C619" s="5" t="s">
        <v>892</v>
      </c>
      <c r="D619" s="5" t="s">
        <v>8152</v>
      </c>
      <c r="E619" s="16" t="s">
        <v>54</v>
      </c>
      <c r="F619" s="5" t="s">
        <v>235</v>
      </c>
      <c r="G619" s="16" t="s">
        <v>35</v>
      </c>
      <c r="H619" s="16" t="s">
        <v>36</v>
      </c>
      <c r="I619" s="5" t="s">
        <v>893</v>
      </c>
      <c r="J619" s="5" t="s">
        <v>894</v>
      </c>
      <c r="K619" s="5" t="s">
        <v>889</v>
      </c>
      <c r="L619" s="5"/>
      <c r="M619" s="229"/>
      <c r="N619" s="5" t="s">
        <v>895</v>
      </c>
      <c r="O619" s="17"/>
      <c r="P619" s="5" t="str">
        <f t="shared" si="13"/>
        <v/>
      </c>
      <c r="Q619" s="5"/>
      <c r="R619" s="5"/>
    </row>
    <row r="620" spans="2:18" ht="40.5" x14ac:dyDescent="0.25">
      <c r="B620" s="4" t="s">
        <v>896</v>
      </c>
      <c r="C620" s="5" t="s">
        <v>897</v>
      </c>
      <c r="D620" s="5" t="s">
        <v>8152</v>
      </c>
      <c r="E620" s="16" t="s">
        <v>54</v>
      </c>
      <c r="F620" s="5" t="s">
        <v>235</v>
      </c>
      <c r="G620" s="16" t="s">
        <v>35</v>
      </c>
      <c r="H620" s="16" t="s">
        <v>36</v>
      </c>
      <c r="I620" s="5" t="s">
        <v>898</v>
      </c>
      <c r="J620" s="5" t="s">
        <v>899</v>
      </c>
      <c r="K620" s="5" t="s">
        <v>889</v>
      </c>
      <c r="L620" s="5"/>
      <c r="M620" s="229"/>
      <c r="N620" s="5" t="s">
        <v>900</v>
      </c>
      <c r="O620" s="17"/>
      <c r="P620" s="5" t="str">
        <f t="shared" si="13"/>
        <v/>
      </c>
      <c r="Q620" s="5"/>
      <c r="R620" s="5"/>
    </row>
    <row r="621" spans="2:18" x14ac:dyDescent="0.25">
      <c r="B621" s="19" t="s">
        <v>901</v>
      </c>
      <c r="C621" s="16" t="s">
        <v>902</v>
      </c>
      <c r="D621" s="16" t="s">
        <v>29</v>
      </c>
      <c r="E621" s="16" t="s">
        <v>54</v>
      </c>
      <c r="F621" s="5" t="s">
        <v>163</v>
      </c>
      <c r="G621" s="16" t="s">
        <v>35</v>
      </c>
      <c r="H621" s="16" t="s">
        <v>36</v>
      </c>
      <c r="I621" s="16"/>
      <c r="J621" s="16"/>
      <c r="K621" s="16"/>
      <c r="L621" s="16"/>
      <c r="M621" s="16"/>
      <c r="N621" s="16"/>
      <c r="O621" s="17" t="s">
        <v>38</v>
      </c>
      <c r="P621" s="5" t="str">
        <f t="shared" si="13"/>
        <v>Truncate table CPI010;</v>
      </c>
      <c r="Q621" s="5"/>
      <c r="R621" s="5"/>
    </row>
    <row r="622" spans="2:18" x14ac:dyDescent="0.25">
      <c r="B622" s="19" t="s">
        <v>903</v>
      </c>
      <c r="C622" s="305" t="s">
        <v>3519</v>
      </c>
      <c r="D622" s="16" t="s">
        <v>29</v>
      </c>
      <c r="E622" s="16" t="s">
        <v>54</v>
      </c>
      <c r="F622" s="5" t="s">
        <v>163</v>
      </c>
      <c r="G622" s="16" t="s">
        <v>35</v>
      </c>
      <c r="H622" s="16" t="s">
        <v>36</v>
      </c>
      <c r="I622" s="16"/>
      <c r="J622" s="16"/>
      <c r="K622" s="16"/>
      <c r="L622" s="16"/>
      <c r="M622" s="16"/>
      <c r="N622" s="16"/>
      <c r="O622" s="17" t="s">
        <v>38</v>
      </c>
      <c r="P622" s="5" t="str">
        <f t="shared" si="13"/>
        <v>Truncate table CPI011;</v>
      </c>
      <c r="Q622" s="5"/>
      <c r="R622" s="5"/>
    </row>
    <row r="623" spans="2:18" x14ac:dyDescent="0.25">
      <c r="B623" s="19" t="s">
        <v>904</v>
      </c>
      <c r="C623" s="305" t="s">
        <v>9892</v>
      </c>
      <c r="D623" s="16" t="s">
        <v>29</v>
      </c>
      <c r="E623" s="16" t="s">
        <v>54</v>
      </c>
      <c r="F623" s="5" t="s">
        <v>163</v>
      </c>
      <c r="G623" s="16" t="s">
        <v>35</v>
      </c>
      <c r="H623" s="16" t="s">
        <v>36</v>
      </c>
      <c r="I623" s="16"/>
      <c r="J623" s="16"/>
      <c r="K623" s="16"/>
      <c r="L623" s="16"/>
      <c r="M623" s="16"/>
      <c r="N623" s="16"/>
      <c r="O623" s="17" t="s">
        <v>38</v>
      </c>
      <c r="P623" s="5" t="str">
        <f t="shared" si="13"/>
        <v>Truncate table CPI012;</v>
      </c>
      <c r="Q623" s="5"/>
      <c r="R623" s="5"/>
    </row>
    <row r="624" spans="2:18" x14ac:dyDescent="0.25">
      <c r="B624" s="19" t="s">
        <v>905</v>
      </c>
      <c r="C624" s="305" t="s">
        <v>9893</v>
      </c>
      <c r="D624" s="16" t="s">
        <v>29</v>
      </c>
      <c r="E624" s="16" t="s">
        <v>54</v>
      </c>
      <c r="F624" s="5" t="s">
        <v>163</v>
      </c>
      <c r="G624" s="16" t="s">
        <v>35</v>
      </c>
      <c r="H624" s="16" t="s">
        <v>36</v>
      </c>
      <c r="I624" s="16"/>
      <c r="J624" s="16"/>
      <c r="K624" s="16"/>
      <c r="L624" s="16"/>
      <c r="M624" s="16"/>
      <c r="N624" s="16"/>
      <c r="O624" s="17" t="s">
        <v>38</v>
      </c>
      <c r="P624" s="5" t="str">
        <f t="shared" si="13"/>
        <v>Truncate table CPI013;</v>
      </c>
      <c r="Q624" s="5"/>
      <c r="R624" s="5"/>
    </row>
    <row r="625" spans="1:18" x14ac:dyDescent="0.25">
      <c r="B625" s="19" t="s">
        <v>906</v>
      </c>
      <c r="C625" s="305" t="s">
        <v>9894</v>
      </c>
      <c r="D625" s="16" t="s">
        <v>29</v>
      </c>
      <c r="E625" s="16" t="s">
        <v>54</v>
      </c>
      <c r="F625" s="5" t="s">
        <v>163</v>
      </c>
      <c r="G625" s="16" t="s">
        <v>35</v>
      </c>
      <c r="H625" s="16" t="s">
        <v>36</v>
      </c>
      <c r="I625" s="16"/>
      <c r="J625" s="16"/>
      <c r="K625" s="16"/>
      <c r="L625" s="16"/>
      <c r="M625" s="16"/>
      <c r="N625" s="16"/>
      <c r="O625" s="17" t="s">
        <v>38</v>
      </c>
      <c r="P625" s="5" t="str">
        <f t="shared" si="13"/>
        <v>Truncate table CPI014;</v>
      </c>
      <c r="Q625" s="5"/>
      <c r="R625" s="5"/>
    </row>
    <row r="626" spans="1:18" x14ac:dyDescent="0.25">
      <c r="B626" s="19" t="s">
        <v>907</v>
      </c>
      <c r="C626" s="305" t="s">
        <v>9895</v>
      </c>
      <c r="D626" s="16" t="s">
        <v>29</v>
      </c>
      <c r="E626" s="16" t="s">
        <v>54</v>
      </c>
      <c r="F626" s="5" t="s">
        <v>163</v>
      </c>
      <c r="G626" s="16" t="s">
        <v>35</v>
      </c>
      <c r="H626" s="16" t="s">
        <v>36</v>
      </c>
      <c r="I626" s="16"/>
      <c r="J626" s="16"/>
      <c r="K626" s="16"/>
      <c r="L626" s="16"/>
      <c r="M626" s="16"/>
      <c r="N626" s="16"/>
      <c r="O626" s="17" t="s">
        <v>38</v>
      </c>
      <c r="P626" s="5" t="str">
        <f t="shared" si="13"/>
        <v>Truncate table CPI015;</v>
      </c>
      <c r="Q626" s="5"/>
      <c r="R626" s="5"/>
    </row>
    <row r="627" spans="1:18" x14ac:dyDescent="0.25">
      <c r="B627" s="19" t="s">
        <v>908</v>
      </c>
      <c r="C627" s="305" t="s">
        <v>9896</v>
      </c>
      <c r="D627" s="16" t="s">
        <v>29</v>
      </c>
      <c r="E627" s="16" t="s">
        <v>54</v>
      </c>
      <c r="F627" s="5" t="s">
        <v>163</v>
      </c>
      <c r="G627" s="16" t="s">
        <v>35</v>
      </c>
      <c r="H627" s="16" t="s">
        <v>36</v>
      </c>
      <c r="I627" s="16"/>
      <c r="J627" s="16"/>
      <c r="K627" s="16"/>
      <c r="L627" s="16"/>
      <c r="M627" s="16"/>
      <c r="N627" s="16"/>
      <c r="O627" s="17" t="s">
        <v>38</v>
      </c>
      <c r="P627" s="5" t="str">
        <f t="shared" si="13"/>
        <v>Truncate table CPI022;</v>
      </c>
      <c r="Q627" s="5"/>
      <c r="R627" s="5"/>
    </row>
    <row r="628" spans="1:18" x14ac:dyDescent="0.25">
      <c r="B628" s="19" t="s">
        <v>909</v>
      </c>
      <c r="C628" s="305" t="s">
        <v>9897</v>
      </c>
      <c r="D628" s="16" t="s">
        <v>29</v>
      </c>
      <c r="E628" s="16" t="s">
        <v>54</v>
      </c>
      <c r="F628" s="5" t="s">
        <v>163</v>
      </c>
      <c r="G628" s="16" t="s">
        <v>35</v>
      </c>
      <c r="H628" s="16" t="s">
        <v>36</v>
      </c>
      <c r="I628" s="16"/>
      <c r="J628" s="16"/>
      <c r="K628" s="16"/>
      <c r="L628" s="16"/>
      <c r="M628" s="16"/>
      <c r="N628" s="16"/>
      <c r="O628" s="17" t="s">
        <v>38</v>
      </c>
      <c r="P628" s="5" t="str">
        <f t="shared" si="13"/>
        <v>Truncate table CPI023;</v>
      </c>
      <c r="Q628" s="5"/>
      <c r="R628" s="5"/>
    </row>
    <row r="629" spans="1:18" x14ac:dyDescent="0.25">
      <c r="B629" s="19" t="s">
        <v>910</v>
      </c>
      <c r="C629" s="16" t="s">
        <v>911</v>
      </c>
      <c r="D629" s="16" t="s">
        <v>29</v>
      </c>
      <c r="E629" s="16" t="s">
        <v>54</v>
      </c>
      <c r="F629" s="5" t="s">
        <v>163</v>
      </c>
      <c r="G629" s="16" t="s">
        <v>35</v>
      </c>
      <c r="H629" s="16" t="s">
        <v>36</v>
      </c>
      <c r="I629" s="16"/>
      <c r="J629" s="16"/>
      <c r="K629" s="16"/>
      <c r="L629" s="16"/>
      <c r="M629" s="16"/>
      <c r="N629" s="16"/>
      <c r="O629" s="17" t="s">
        <v>38</v>
      </c>
      <c r="P629" s="5" t="str">
        <f t="shared" si="13"/>
        <v>Truncate table CPI039;</v>
      </c>
      <c r="Q629" s="5"/>
      <c r="R629" s="5"/>
    </row>
    <row r="630" spans="1:18" x14ac:dyDescent="0.25">
      <c r="B630" s="19" t="s">
        <v>912</v>
      </c>
      <c r="C630" s="305" t="s">
        <v>9898</v>
      </c>
      <c r="D630" s="16" t="s">
        <v>29</v>
      </c>
      <c r="E630" s="16" t="s">
        <v>54</v>
      </c>
      <c r="F630" s="5" t="s">
        <v>163</v>
      </c>
      <c r="G630" s="16" t="s">
        <v>35</v>
      </c>
      <c r="H630" s="16" t="s">
        <v>36</v>
      </c>
      <c r="I630" s="16"/>
      <c r="J630" s="16"/>
      <c r="K630" s="16"/>
      <c r="L630" s="16"/>
      <c r="M630" s="16"/>
      <c r="N630" s="16"/>
      <c r="O630" s="17" t="s">
        <v>38</v>
      </c>
      <c r="P630" s="5" t="str">
        <f t="shared" si="13"/>
        <v>Truncate table CPI125;</v>
      </c>
      <c r="Q630" s="5"/>
      <c r="R630" s="5"/>
    </row>
    <row r="631" spans="1:18" x14ac:dyDescent="0.25">
      <c r="B631" s="19" t="s">
        <v>913</v>
      </c>
      <c r="C631" s="305" t="s">
        <v>9899</v>
      </c>
      <c r="D631" s="16" t="s">
        <v>29</v>
      </c>
      <c r="E631" s="16" t="s">
        <v>54</v>
      </c>
      <c r="F631" s="5" t="s">
        <v>163</v>
      </c>
      <c r="G631" s="16" t="s">
        <v>35</v>
      </c>
      <c r="H631" s="16" t="s">
        <v>36</v>
      </c>
      <c r="I631" s="16"/>
      <c r="J631" s="16"/>
      <c r="K631" s="16"/>
      <c r="L631" s="16"/>
      <c r="M631" s="16"/>
      <c r="N631" s="16"/>
      <c r="O631" s="17" t="s">
        <v>38</v>
      </c>
      <c r="P631" s="5" t="str">
        <f t="shared" si="13"/>
        <v>Truncate table CPI126;</v>
      </c>
      <c r="Q631" s="5"/>
      <c r="R631" s="5"/>
    </row>
    <row r="632" spans="1:18" x14ac:dyDescent="0.25">
      <c r="B632" s="19" t="s">
        <v>914</v>
      </c>
      <c r="C632" s="16" t="s">
        <v>915</v>
      </c>
      <c r="D632" s="16" t="s">
        <v>29</v>
      </c>
      <c r="E632" s="16" t="s">
        <v>34</v>
      </c>
      <c r="F632" s="5" t="s">
        <v>33</v>
      </c>
      <c r="G632" s="16" t="s">
        <v>35</v>
      </c>
      <c r="H632" s="16" t="s">
        <v>12</v>
      </c>
      <c r="I632" s="16"/>
      <c r="J632" s="16"/>
      <c r="K632" s="16"/>
      <c r="L632" s="16"/>
      <c r="M632" s="16"/>
      <c r="N632" s="16"/>
      <c r="O632" s="17" t="s">
        <v>38</v>
      </c>
      <c r="P632" s="5" t="str">
        <f t="shared" si="13"/>
        <v>Truncate table CRC1;</v>
      </c>
      <c r="Q632" s="5"/>
      <c r="R632" s="5"/>
    </row>
    <row r="633" spans="1:18" ht="40.5" x14ac:dyDescent="0.25">
      <c r="B633" s="19" t="s">
        <v>916</v>
      </c>
      <c r="C633" s="221" t="s">
        <v>8238</v>
      </c>
      <c r="D633" s="16" t="s">
        <v>29</v>
      </c>
      <c r="E633" s="16" t="s">
        <v>34</v>
      </c>
      <c r="F633" s="5" t="s">
        <v>33</v>
      </c>
      <c r="G633" s="16" t="s">
        <v>35</v>
      </c>
      <c r="H633" s="16" t="s">
        <v>12</v>
      </c>
      <c r="I633" s="21" t="s">
        <v>8235</v>
      </c>
      <c r="J633" s="21" t="s">
        <v>8236</v>
      </c>
      <c r="K633" s="281" t="s">
        <v>8237</v>
      </c>
      <c r="L633" s="16"/>
      <c r="M633" s="16"/>
      <c r="N633" s="16"/>
      <c r="O633" s="17" t="s">
        <v>38</v>
      </c>
      <c r="P633" s="5" t="str">
        <f t="shared" si="13"/>
        <v>Truncate table CRC2;</v>
      </c>
      <c r="Q633" s="5"/>
      <c r="R633" s="5"/>
    </row>
    <row r="634" spans="1:18" ht="67.5" x14ac:dyDescent="0.25">
      <c r="B634" s="37" t="s">
        <v>917</v>
      </c>
      <c r="C634" s="38" t="s">
        <v>918</v>
      </c>
      <c r="D634" s="16" t="s">
        <v>29</v>
      </c>
      <c r="E634" s="16" t="s">
        <v>54</v>
      </c>
      <c r="F634" s="5" t="s">
        <v>919</v>
      </c>
      <c r="G634" s="16" t="s">
        <v>35</v>
      </c>
      <c r="H634" s="16" t="s">
        <v>12</v>
      </c>
      <c r="I634" s="16"/>
      <c r="J634" s="16"/>
      <c r="K634" s="16"/>
      <c r="L634" s="16" t="s">
        <v>920</v>
      </c>
      <c r="M634" s="16"/>
      <c r="N634" s="16" t="s">
        <v>921</v>
      </c>
      <c r="O634" s="17" t="s">
        <v>38</v>
      </c>
      <c r="P634" s="5" t="str">
        <f t="shared" si="13"/>
        <v>Truncate table CRCH;</v>
      </c>
      <c r="Q634" s="5"/>
      <c r="R634" s="5"/>
    </row>
    <row r="635" spans="1:18" x14ac:dyDescent="0.25">
      <c r="B635" s="299" t="s">
        <v>9782</v>
      </c>
      <c r="C635" s="183" t="s">
        <v>9785</v>
      </c>
      <c r="D635" s="16" t="s">
        <v>8152</v>
      </c>
      <c r="E635" s="16" t="s">
        <v>151</v>
      </c>
      <c r="F635" s="5" t="s">
        <v>924</v>
      </c>
      <c r="G635" s="16" t="s">
        <v>35</v>
      </c>
      <c r="H635" s="16" t="s">
        <v>36</v>
      </c>
      <c r="I635" s="16"/>
      <c r="J635" s="16"/>
      <c r="K635" s="16"/>
      <c r="L635" s="16"/>
      <c r="M635" s="16"/>
      <c r="N635" s="16"/>
      <c r="O635" s="17"/>
      <c r="P635" s="5"/>
      <c r="Q635" s="5"/>
      <c r="R635" s="5"/>
    </row>
    <row r="636" spans="1:18" x14ac:dyDescent="0.25">
      <c r="B636" s="299" t="s">
        <v>9783</v>
      </c>
      <c r="C636" s="118" t="s">
        <v>9786</v>
      </c>
      <c r="D636" s="16" t="s">
        <v>8152</v>
      </c>
      <c r="E636" s="16" t="s">
        <v>151</v>
      </c>
      <c r="F636" s="5" t="s">
        <v>924</v>
      </c>
      <c r="G636" s="16" t="s">
        <v>35</v>
      </c>
      <c r="H636" s="16" t="s">
        <v>36</v>
      </c>
      <c r="I636" s="16"/>
      <c r="J636" s="16"/>
      <c r="K636" s="16"/>
      <c r="L636" s="16"/>
      <c r="M636" s="16"/>
      <c r="N636" s="16"/>
      <c r="O636" s="17"/>
      <c r="P636" s="5"/>
      <c r="Q636" s="5"/>
      <c r="R636" s="5"/>
    </row>
    <row r="637" spans="1:18" x14ac:dyDescent="0.25">
      <c r="B637" s="299" t="s">
        <v>9784</v>
      </c>
      <c r="C637" s="182" t="s">
        <v>9787</v>
      </c>
      <c r="D637" s="16" t="s">
        <v>8152</v>
      </c>
      <c r="E637" s="16" t="s">
        <v>151</v>
      </c>
      <c r="F637" s="5" t="s">
        <v>924</v>
      </c>
      <c r="G637" s="16" t="s">
        <v>35</v>
      </c>
      <c r="H637" s="16" t="s">
        <v>36</v>
      </c>
      <c r="I637" s="16"/>
      <c r="J637" s="16"/>
      <c r="K637" s="16"/>
      <c r="L637" s="16"/>
      <c r="M637" s="16"/>
      <c r="N637" s="16"/>
      <c r="O637" s="17"/>
      <c r="P637" s="5"/>
      <c r="Q637" s="5"/>
      <c r="R637" s="5"/>
    </row>
    <row r="638" spans="1:18" x14ac:dyDescent="0.25">
      <c r="B638" s="49" t="s">
        <v>9545</v>
      </c>
      <c r="C638" s="50" t="s">
        <v>9546</v>
      </c>
      <c r="D638" s="16" t="s">
        <v>29</v>
      </c>
      <c r="E638" s="16" t="s">
        <v>151</v>
      </c>
      <c r="F638" s="5" t="s">
        <v>924</v>
      </c>
      <c r="G638" s="16" t="s">
        <v>35</v>
      </c>
      <c r="H638" s="16" t="s">
        <v>36</v>
      </c>
      <c r="I638" s="16"/>
      <c r="J638" s="16"/>
      <c r="K638" s="16"/>
      <c r="L638" s="16"/>
      <c r="M638" s="16"/>
      <c r="N638" s="16"/>
      <c r="O638" s="17"/>
      <c r="P638" s="5" t="str">
        <f t="shared" si="13"/>
        <v>Truncate table CSMC10;</v>
      </c>
      <c r="Q638" s="5" t="s">
        <v>7606</v>
      </c>
      <c r="R638" s="5"/>
    </row>
    <row r="639" spans="1:18" x14ac:dyDescent="0.25">
      <c r="B639" s="19" t="s">
        <v>9549</v>
      </c>
      <c r="C639" s="16" t="s">
        <v>9550</v>
      </c>
      <c r="D639" s="16" t="s">
        <v>29</v>
      </c>
      <c r="E639" s="16" t="s">
        <v>151</v>
      </c>
      <c r="F639" s="5" t="s">
        <v>924</v>
      </c>
      <c r="G639" s="16" t="s">
        <v>35</v>
      </c>
      <c r="H639" s="16" t="s">
        <v>36</v>
      </c>
      <c r="I639" s="16"/>
      <c r="J639" s="16"/>
      <c r="K639" s="16"/>
      <c r="L639" s="16"/>
      <c r="M639" s="16"/>
      <c r="N639" s="16"/>
      <c r="O639" s="17"/>
      <c r="P639" s="5" t="str">
        <f t="shared" si="13"/>
        <v>Truncate table CSMC11;</v>
      </c>
      <c r="Q639" s="5" t="s">
        <v>7606</v>
      </c>
      <c r="R639" s="5"/>
    </row>
    <row r="640" spans="1:18" x14ac:dyDescent="0.25">
      <c r="A640" s="240"/>
      <c r="B640" s="19" t="s">
        <v>9470</v>
      </c>
      <c r="C640" s="16" t="s">
        <v>9548</v>
      </c>
      <c r="D640" s="16" t="s">
        <v>8152</v>
      </c>
      <c r="E640" s="16" t="s">
        <v>151</v>
      </c>
      <c r="F640" s="5" t="s">
        <v>924</v>
      </c>
      <c r="G640" s="16" t="s">
        <v>35</v>
      </c>
      <c r="H640" s="16" t="s">
        <v>36</v>
      </c>
      <c r="I640" s="16"/>
      <c r="J640" s="16"/>
      <c r="K640" s="16"/>
      <c r="L640" s="16"/>
      <c r="M640" s="16"/>
      <c r="N640" s="16"/>
      <c r="O640" s="17"/>
      <c r="P640" s="5" t="str">
        <f t="shared" si="13"/>
        <v/>
      </c>
      <c r="Q640" s="5" t="s">
        <v>7606</v>
      </c>
      <c r="R640" s="5"/>
    </row>
    <row r="641" spans="1:18" x14ac:dyDescent="0.25">
      <c r="A641" s="240"/>
      <c r="B641" s="19" t="s">
        <v>9469</v>
      </c>
      <c r="C641" s="16" t="s">
        <v>9547</v>
      </c>
      <c r="D641" s="16" t="s">
        <v>8152</v>
      </c>
      <c r="E641" s="16" t="s">
        <v>151</v>
      </c>
      <c r="F641" s="5" t="s">
        <v>924</v>
      </c>
      <c r="G641" s="16" t="s">
        <v>35</v>
      </c>
      <c r="H641" s="16" t="s">
        <v>36</v>
      </c>
      <c r="I641" s="16"/>
      <c r="J641" s="16"/>
      <c r="K641" s="16"/>
      <c r="L641" s="16"/>
      <c r="M641" s="16"/>
      <c r="N641" s="16"/>
      <c r="O641" s="17"/>
      <c r="P641" s="5" t="str">
        <f t="shared" si="13"/>
        <v/>
      </c>
      <c r="Q641" s="5"/>
      <c r="R641" s="5"/>
    </row>
    <row r="642" spans="1:18" x14ac:dyDescent="0.25">
      <c r="A642" s="240"/>
      <c r="B642" s="19" t="s">
        <v>9553</v>
      </c>
      <c r="C642" s="16" t="s">
        <v>9551</v>
      </c>
      <c r="D642" s="16" t="s">
        <v>29</v>
      </c>
      <c r="E642" s="16" t="s">
        <v>151</v>
      </c>
      <c r="F642" s="5" t="s">
        <v>924</v>
      </c>
      <c r="G642" s="16" t="s">
        <v>35</v>
      </c>
      <c r="H642" s="16" t="s">
        <v>36</v>
      </c>
      <c r="I642" s="16"/>
      <c r="J642" s="16"/>
      <c r="K642" s="16"/>
      <c r="L642" s="16"/>
      <c r="M642" s="16"/>
      <c r="N642" s="16"/>
      <c r="O642" s="17"/>
      <c r="P642" s="5" t="str">
        <f t="shared" si="13"/>
        <v>Truncate table CSMC15;</v>
      </c>
      <c r="Q642" s="5" t="s">
        <v>7606</v>
      </c>
      <c r="R642" s="5"/>
    </row>
    <row r="643" spans="1:18" x14ac:dyDescent="0.25">
      <c r="A643" s="240"/>
      <c r="B643" s="19" t="s">
        <v>9554</v>
      </c>
      <c r="C643" s="16" t="s">
        <v>9552</v>
      </c>
      <c r="D643" s="16" t="s">
        <v>29</v>
      </c>
      <c r="E643" s="16" t="s">
        <v>151</v>
      </c>
      <c r="F643" s="5" t="s">
        <v>924</v>
      </c>
      <c r="G643" s="16" t="s">
        <v>35</v>
      </c>
      <c r="H643" s="16" t="s">
        <v>36</v>
      </c>
      <c r="I643" s="16"/>
      <c r="J643" s="16"/>
      <c r="K643" s="16"/>
      <c r="L643" s="16"/>
      <c r="M643" s="16"/>
      <c r="N643" s="16"/>
      <c r="O643" s="17"/>
      <c r="P643" s="5" t="str">
        <f t="shared" si="13"/>
        <v>Truncate table CSMC16;</v>
      </c>
      <c r="Q643" s="5" t="s">
        <v>7606</v>
      </c>
      <c r="R643" s="5"/>
    </row>
    <row r="644" spans="1:18" x14ac:dyDescent="0.25">
      <c r="B644" s="19" t="s">
        <v>922</v>
      </c>
      <c r="C644" s="16" t="s">
        <v>923</v>
      </c>
      <c r="D644" s="5" t="s">
        <v>29</v>
      </c>
      <c r="E644" s="16" t="s">
        <v>151</v>
      </c>
      <c r="F644" s="5" t="s">
        <v>924</v>
      </c>
      <c r="G644" s="16" t="s">
        <v>35</v>
      </c>
      <c r="H644" s="16" t="s">
        <v>36</v>
      </c>
      <c r="I644" s="16"/>
      <c r="J644" s="16"/>
      <c r="K644" s="16" t="s">
        <v>925</v>
      </c>
      <c r="L644" s="16"/>
      <c r="M644" s="16"/>
      <c r="N644" s="16"/>
      <c r="O644" s="17" t="s">
        <v>38</v>
      </c>
      <c r="P644" s="5" t="str">
        <f t="shared" si="13"/>
        <v>Truncate table CSMD001;</v>
      </c>
      <c r="Q644" s="5"/>
      <c r="R644" s="5"/>
    </row>
    <row r="645" spans="1:18" x14ac:dyDescent="0.25">
      <c r="B645" s="19" t="s">
        <v>926</v>
      </c>
      <c r="C645" s="16" t="s">
        <v>923</v>
      </c>
      <c r="D645" s="5" t="s">
        <v>29</v>
      </c>
      <c r="E645" s="16" t="s">
        <v>151</v>
      </c>
      <c r="F645" s="5" t="s">
        <v>924</v>
      </c>
      <c r="G645" s="16" t="s">
        <v>35</v>
      </c>
      <c r="H645" s="16" t="s">
        <v>36</v>
      </c>
      <c r="I645" s="16"/>
      <c r="J645" s="16"/>
      <c r="K645" s="16" t="s">
        <v>925</v>
      </c>
      <c r="L645" s="16"/>
      <c r="M645" s="16"/>
      <c r="N645" s="16"/>
      <c r="O645" s="17" t="s">
        <v>38</v>
      </c>
      <c r="P645" s="5" t="str">
        <f t="shared" si="13"/>
        <v>Truncate table CSMD002;</v>
      </c>
      <c r="Q645" s="5"/>
      <c r="R645" s="5"/>
    </row>
    <row r="646" spans="1:18" x14ac:dyDescent="0.25">
      <c r="B646" s="19" t="s">
        <v>927</v>
      </c>
      <c r="C646" s="16" t="s">
        <v>928</v>
      </c>
      <c r="D646" s="5" t="s">
        <v>29</v>
      </c>
      <c r="E646" s="16" t="s">
        <v>151</v>
      </c>
      <c r="F646" s="5" t="s">
        <v>924</v>
      </c>
      <c r="G646" s="16" t="s">
        <v>35</v>
      </c>
      <c r="H646" s="16" t="s">
        <v>36</v>
      </c>
      <c r="I646" s="16"/>
      <c r="J646" s="16"/>
      <c r="K646" s="16"/>
      <c r="L646" s="16"/>
      <c r="M646" s="16"/>
      <c r="N646" s="16"/>
      <c r="O646" s="17"/>
      <c r="P646" s="5" t="str">
        <f t="shared" si="13"/>
        <v>Truncate table CSMD003;</v>
      </c>
      <c r="Q646" s="5"/>
      <c r="R646" s="5"/>
    </row>
    <row r="647" spans="1:18" x14ac:dyDescent="0.25">
      <c r="B647" s="19" t="s">
        <v>929</v>
      </c>
      <c r="C647" s="279" t="s">
        <v>930</v>
      </c>
      <c r="D647" s="5" t="s">
        <v>29</v>
      </c>
      <c r="E647" s="16" t="s">
        <v>151</v>
      </c>
      <c r="F647" s="5" t="s">
        <v>924</v>
      </c>
      <c r="G647" s="16" t="s">
        <v>35</v>
      </c>
      <c r="H647" s="16" t="s">
        <v>36</v>
      </c>
      <c r="I647" s="16"/>
      <c r="J647" s="16"/>
      <c r="K647" s="16"/>
      <c r="L647" s="16"/>
      <c r="M647" s="16"/>
      <c r="N647" s="16"/>
      <c r="O647" s="17"/>
      <c r="P647" s="5" t="str">
        <f t="shared" si="13"/>
        <v>Truncate table CSMD004;</v>
      </c>
      <c r="Q647" s="5"/>
      <c r="R647" s="5"/>
    </row>
    <row r="648" spans="1:18" x14ac:dyDescent="0.25">
      <c r="B648" s="19" t="s">
        <v>931</v>
      </c>
      <c r="C648" s="16" t="s">
        <v>932</v>
      </c>
      <c r="D648" s="5" t="s">
        <v>29</v>
      </c>
      <c r="E648" s="16" t="s">
        <v>151</v>
      </c>
      <c r="F648" s="5" t="s">
        <v>924</v>
      </c>
      <c r="G648" s="16" t="s">
        <v>35</v>
      </c>
      <c r="H648" s="16" t="s">
        <v>36</v>
      </c>
      <c r="I648" s="16"/>
      <c r="J648" s="16"/>
      <c r="K648" s="16"/>
      <c r="L648" s="16"/>
      <c r="M648" s="16"/>
      <c r="N648" s="16"/>
      <c r="O648" s="17"/>
      <c r="P648" s="5" t="str">
        <f t="shared" si="13"/>
        <v>Truncate table CSMD005;</v>
      </c>
      <c r="Q648" s="5"/>
      <c r="R648" s="5"/>
    </row>
    <row r="649" spans="1:18" x14ac:dyDescent="0.25">
      <c r="B649" s="19" t="s">
        <v>933</v>
      </c>
      <c r="C649" s="16" t="s">
        <v>934</v>
      </c>
      <c r="D649" s="5" t="s">
        <v>29</v>
      </c>
      <c r="E649" s="16" t="s">
        <v>151</v>
      </c>
      <c r="F649" s="5" t="s">
        <v>924</v>
      </c>
      <c r="G649" s="16" t="s">
        <v>35</v>
      </c>
      <c r="H649" s="16" t="s">
        <v>36</v>
      </c>
      <c r="I649" s="16"/>
      <c r="J649" s="16"/>
      <c r="K649" s="16"/>
      <c r="L649" s="16"/>
      <c r="M649" s="16"/>
      <c r="N649" s="16"/>
      <c r="O649" s="17"/>
      <c r="P649" s="5" t="str">
        <f t="shared" si="13"/>
        <v>Truncate table CSMD006;</v>
      </c>
      <c r="Q649" s="5"/>
      <c r="R649" s="5"/>
    </row>
    <row r="650" spans="1:18" x14ac:dyDescent="0.25">
      <c r="B650" s="19" t="s">
        <v>935</v>
      </c>
      <c r="C650" s="16" t="s">
        <v>936</v>
      </c>
      <c r="D650" s="5" t="s">
        <v>29</v>
      </c>
      <c r="E650" s="16" t="s">
        <v>151</v>
      </c>
      <c r="F650" s="5" t="s">
        <v>924</v>
      </c>
      <c r="G650" s="16" t="s">
        <v>35</v>
      </c>
      <c r="H650" s="16" t="s">
        <v>36</v>
      </c>
      <c r="I650" s="16"/>
      <c r="J650" s="16"/>
      <c r="K650" s="16"/>
      <c r="L650" s="16"/>
      <c r="M650" s="16"/>
      <c r="N650" s="16"/>
      <c r="O650" s="17"/>
      <c r="P650" s="5" t="str">
        <f t="shared" si="13"/>
        <v>Truncate table CSMD008;</v>
      </c>
      <c r="Q650" s="5"/>
      <c r="R650" s="5"/>
    </row>
    <row r="651" spans="1:18" x14ac:dyDescent="0.25">
      <c r="B651" s="19" t="s">
        <v>937</v>
      </c>
      <c r="C651" s="279" t="s">
        <v>938</v>
      </c>
      <c r="D651" s="5" t="s">
        <v>29</v>
      </c>
      <c r="E651" s="16" t="s">
        <v>151</v>
      </c>
      <c r="F651" s="5" t="s">
        <v>924</v>
      </c>
      <c r="G651" s="16" t="s">
        <v>35</v>
      </c>
      <c r="H651" s="16" t="s">
        <v>36</v>
      </c>
      <c r="I651" s="16"/>
      <c r="J651" s="16"/>
      <c r="K651" s="16"/>
      <c r="L651" s="16"/>
      <c r="M651" s="16"/>
      <c r="N651" s="16"/>
      <c r="O651" s="17"/>
      <c r="P651" s="5" t="str">
        <f t="shared" si="13"/>
        <v>Truncate table CSMD009;</v>
      </c>
      <c r="Q651" s="5"/>
      <c r="R651" s="5"/>
    </row>
    <row r="652" spans="1:18" x14ac:dyDescent="0.25">
      <c r="B652" s="19" t="s">
        <v>939</v>
      </c>
      <c r="C652" s="16" t="s">
        <v>940</v>
      </c>
      <c r="D652" s="5" t="s">
        <v>29</v>
      </c>
      <c r="E652" s="16" t="s">
        <v>151</v>
      </c>
      <c r="F652" s="5" t="s">
        <v>924</v>
      </c>
      <c r="G652" s="16" t="s">
        <v>35</v>
      </c>
      <c r="H652" s="16" t="s">
        <v>36</v>
      </c>
      <c r="I652" s="16"/>
      <c r="J652" s="16"/>
      <c r="K652" s="16"/>
      <c r="L652" s="16"/>
      <c r="M652" s="16"/>
      <c r="N652" s="16"/>
      <c r="O652" s="17"/>
      <c r="P652" s="5" t="str">
        <f t="shared" si="13"/>
        <v>Truncate table CSMD010;</v>
      </c>
      <c r="Q652" s="5"/>
      <c r="R652" s="5"/>
    </row>
    <row r="653" spans="1:18" x14ac:dyDescent="0.25">
      <c r="B653" s="19" t="s">
        <v>941</v>
      </c>
      <c r="C653" s="16" t="s">
        <v>940</v>
      </c>
      <c r="D653" s="5" t="s">
        <v>29</v>
      </c>
      <c r="E653" s="16" t="s">
        <v>151</v>
      </c>
      <c r="F653" s="5" t="s">
        <v>924</v>
      </c>
      <c r="G653" s="16" t="s">
        <v>35</v>
      </c>
      <c r="H653" s="16" t="s">
        <v>36</v>
      </c>
      <c r="I653" s="16"/>
      <c r="J653" s="16"/>
      <c r="K653" s="16"/>
      <c r="L653" s="16"/>
      <c r="M653" s="16"/>
      <c r="N653" s="16"/>
      <c r="O653" s="17"/>
      <c r="P653" s="5" t="str">
        <f t="shared" si="13"/>
        <v>Truncate table CSMD011;</v>
      </c>
      <c r="Q653" s="5"/>
      <c r="R653" s="5"/>
    </row>
    <row r="654" spans="1:18" x14ac:dyDescent="0.25">
      <c r="B654" s="19" t="s">
        <v>942</v>
      </c>
      <c r="C654" s="16" t="s">
        <v>936</v>
      </c>
      <c r="D654" s="5" t="s">
        <v>29</v>
      </c>
      <c r="E654" s="16" t="s">
        <v>151</v>
      </c>
      <c r="F654" s="5" t="s">
        <v>924</v>
      </c>
      <c r="G654" s="16" t="s">
        <v>35</v>
      </c>
      <c r="H654" s="16" t="s">
        <v>36</v>
      </c>
      <c r="I654" s="16"/>
      <c r="J654" s="16"/>
      <c r="K654" s="16"/>
      <c r="L654" s="16"/>
      <c r="M654" s="16"/>
      <c r="N654" s="16"/>
      <c r="O654" s="17"/>
      <c r="P654" s="5" t="str">
        <f t="shared" si="13"/>
        <v>Truncate table CSMD012;</v>
      </c>
      <c r="Q654" s="5"/>
      <c r="R654" s="5"/>
    </row>
    <row r="655" spans="1:18" x14ac:dyDescent="0.25">
      <c r="B655" s="19" t="s">
        <v>943</v>
      </c>
      <c r="C655" s="16" t="s">
        <v>944</v>
      </c>
      <c r="D655" s="5" t="s">
        <v>29</v>
      </c>
      <c r="E655" s="16" t="s">
        <v>151</v>
      </c>
      <c r="F655" s="5" t="s">
        <v>924</v>
      </c>
      <c r="G655" s="16" t="s">
        <v>35</v>
      </c>
      <c r="H655" s="16" t="s">
        <v>36</v>
      </c>
      <c r="I655" s="16"/>
      <c r="J655" s="16"/>
      <c r="K655" s="16"/>
      <c r="L655" s="16"/>
      <c r="M655" s="16"/>
      <c r="N655" s="16"/>
      <c r="O655" s="17"/>
      <c r="P655" s="5" t="str">
        <f t="shared" si="13"/>
        <v>Truncate table CSMD013;</v>
      </c>
      <c r="Q655" s="5"/>
      <c r="R655" s="5"/>
    </row>
    <row r="656" spans="1:18" ht="40.5" x14ac:dyDescent="0.25">
      <c r="B656" s="19" t="s">
        <v>945</v>
      </c>
      <c r="C656" s="4" t="s">
        <v>946</v>
      </c>
      <c r="D656" s="5" t="s">
        <v>29</v>
      </c>
      <c r="E656" s="16" t="s">
        <v>151</v>
      </c>
      <c r="F656" s="5" t="s">
        <v>924</v>
      </c>
      <c r="G656" s="16" t="s">
        <v>35</v>
      </c>
      <c r="H656" s="16" t="s">
        <v>36</v>
      </c>
      <c r="I656" s="21" t="s">
        <v>947</v>
      </c>
      <c r="J656" s="21" t="s">
        <v>948</v>
      </c>
      <c r="K656" s="21" t="s">
        <v>466</v>
      </c>
      <c r="L656" s="16" t="s">
        <v>949</v>
      </c>
      <c r="M656" s="16"/>
      <c r="N656" s="16"/>
      <c r="O656" s="17"/>
      <c r="P656" s="5" t="str">
        <f t="shared" si="13"/>
        <v>Truncate table CSMD014;</v>
      </c>
      <c r="Q656" s="5"/>
      <c r="R656" s="5"/>
    </row>
    <row r="657" spans="2:18" x14ac:dyDescent="0.25">
      <c r="B657" s="19" t="s">
        <v>9519</v>
      </c>
      <c r="C657" s="82" t="s">
        <v>9683</v>
      </c>
      <c r="D657" s="5" t="s">
        <v>29</v>
      </c>
      <c r="E657" s="16" t="s">
        <v>151</v>
      </c>
      <c r="F657" s="5" t="s">
        <v>924</v>
      </c>
      <c r="G657" s="16" t="s">
        <v>35</v>
      </c>
      <c r="H657" s="16"/>
      <c r="I657" s="21"/>
      <c r="J657" s="21"/>
      <c r="K657" s="21" t="s">
        <v>9685</v>
      </c>
      <c r="L657" s="16"/>
      <c r="M657" s="16"/>
      <c r="N657" s="16"/>
      <c r="O657" s="17"/>
      <c r="P657" s="5" t="str">
        <f t="shared" si="13"/>
        <v>Truncate table CSMD015;</v>
      </c>
      <c r="Q657" s="5"/>
      <c r="R657" s="5"/>
    </row>
    <row r="658" spans="2:18" x14ac:dyDescent="0.25">
      <c r="B658" s="19" t="s">
        <v>9520</v>
      </c>
      <c r="C658" s="82" t="s">
        <v>9684</v>
      </c>
      <c r="D658" s="5" t="s">
        <v>29</v>
      </c>
      <c r="E658" s="16" t="s">
        <v>151</v>
      </c>
      <c r="F658" s="5" t="s">
        <v>924</v>
      </c>
      <c r="G658" s="16" t="s">
        <v>35</v>
      </c>
      <c r="H658" s="16"/>
      <c r="I658" s="21"/>
      <c r="J658" s="21"/>
      <c r="K658" s="21" t="s">
        <v>9685</v>
      </c>
      <c r="L658" s="16"/>
      <c r="M658" s="16"/>
      <c r="N658" s="16"/>
      <c r="O658" s="17"/>
      <c r="P658" s="5" t="str">
        <f t="shared" si="13"/>
        <v>Truncate table CSMD016;</v>
      </c>
      <c r="Q658" s="5"/>
      <c r="R658" s="5"/>
    </row>
    <row r="659" spans="2:18" x14ac:dyDescent="0.25">
      <c r="B659" s="19" t="s">
        <v>950</v>
      </c>
      <c r="C659" s="16" t="s">
        <v>951</v>
      </c>
      <c r="D659" s="5" t="s">
        <v>29</v>
      </c>
      <c r="E659" s="16" t="s">
        <v>151</v>
      </c>
      <c r="F659" s="5" t="s">
        <v>924</v>
      </c>
      <c r="G659" s="16" t="s">
        <v>35</v>
      </c>
      <c r="H659" s="16" t="s">
        <v>36</v>
      </c>
      <c r="I659" s="16"/>
      <c r="J659" s="16"/>
      <c r="K659" s="16"/>
      <c r="L659" s="16"/>
      <c r="M659" s="16"/>
      <c r="N659" s="16"/>
      <c r="O659" s="17"/>
      <c r="P659" s="5" t="str">
        <f t="shared" si="13"/>
        <v>Truncate table CSMD018;</v>
      </c>
      <c r="Q659" s="5"/>
      <c r="R659" s="5"/>
    </row>
    <row r="660" spans="2:18" x14ac:dyDescent="0.25">
      <c r="B660" s="19" t="s">
        <v>952</v>
      </c>
      <c r="C660" s="16" t="s">
        <v>953</v>
      </c>
      <c r="D660" s="5" t="s">
        <v>29</v>
      </c>
      <c r="E660" s="16" t="s">
        <v>151</v>
      </c>
      <c r="F660" s="5" t="s">
        <v>924</v>
      </c>
      <c r="G660" s="16" t="s">
        <v>35</v>
      </c>
      <c r="H660" s="16" t="s">
        <v>36</v>
      </c>
      <c r="I660" s="16"/>
      <c r="J660" s="16"/>
      <c r="K660" s="16"/>
      <c r="L660" s="16"/>
      <c r="M660" s="16"/>
      <c r="N660" s="16"/>
      <c r="O660" s="17"/>
      <c r="P660" s="5" t="str">
        <f t="shared" si="13"/>
        <v>Truncate table CSMD019;</v>
      </c>
      <c r="Q660" s="5"/>
      <c r="R660" s="5"/>
    </row>
    <row r="661" spans="2:18" x14ac:dyDescent="0.25">
      <c r="B661" s="19" t="s">
        <v>954</v>
      </c>
      <c r="C661" s="16" t="s">
        <v>955</v>
      </c>
      <c r="D661" s="5" t="s">
        <v>29</v>
      </c>
      <c r="E661" s="16" t="s">
        <v>151</v>
      </c>
      <c r="F661" s="5" t="s">
        <v>924</v>
      </c>
      <c r="G661" s="16" t="s">
        <v>35</v>
      </c>
      <c r="H661" s="16" t="s">
        <v>36</v>
      </c>
      <c r="I661" s="16"/>
      <c r="J661" s="16"/>
      <c r="K661" s="16"/>
      <c r="L661" s="16"/>
      <c r="M661" s="16"/>
      <c r="N661" s="16"/>
      <c r="O661" s="17"/>
      <c r="P661" s="5" t="str">
        <f t="shared" si="13"/>
        <v>Truncate table CSMD020;</v>
      </c>
      <c r="Q661" s="5"/>
      <c r="R661" s="5"/>
    </row>
    <row r="662" spans="2:18" x14ac:dyDescent="0.25">
      <c r="B662" s="19" t="s">
        <v>956</v>
      </c>
      <c r="C662" s="305" t="s">
        <v>9900</v>
      </c>
      <c r="D662" s="16" t="s">
        <v>29</v>
      </c>
      <c r="E662" s="16"/>
      <c r="F662" s="5"/>
      <c r="G662" s="16" t="s">
        <v>35</v>
      </c>
      <c r="H662" s="16"/>
      <c r="I662" s="16"/>
      <c r="J662" s="16"/>
      <c r="K662" s="16"/>
      <c r="L662" s="16"/>
      <c r="M662" s="16"/>
      <c r="N662" s="16"/>
      <c r="O662" s="17"/>
      <c r="P662" s="5" t="str">
        <f t="shared" si="13"/>
        <v>Truncate table CSMD021;</v>
      </c>
      <c r="Q662" s="5"/>
      <c r="R662" s="5"/>
    </row>
    <row r="663" spans="2:18" x14ac:dyDescent="0.25">
      <c r="B663" s="19" t="s">
        <v>957</v>
      </c>
      <c r="C663" s="305" t="s">
        <v>9901</v>
      </c>
      <c r="D663" s="16" t="s">
        <v>29</v>
      </c>
      <c r="E663" s="16"/>
      <c r="F663" s="5"/>
      <c r="G663" s="16" t="s">
        <v>35</v>
      </c>
      <c r="H663" s="16"/>
      <c r="I663" s="16"/>
      <c r="J663" s="16"/>
      <c r="K663" s="16"/>
      <c r="L663" s="16"/>
      <c r="M663" s="16"/>
      <c r="N663" s="16"/>
      <c r="O663" s="17"/>
      <c r="P663" s="5" t="str">
        <f t="shared" si="13"/>
        <v>Truncate table CSMD022;</v>
      </c>
      <c r="Q663" s="5"/>
      <c r="R663" s="5"/>
    </row>
    <row r="664" spans="2:18" x14ac:dyDescent="0.25">
      <c r="B664" s="19" t="s">
        <v>958</v>
      </c>
      <c r="C664" s="16" t="s">
        <v>959</v>
      </c>
      <c r="D664" s="16" t="s">
        <v>29</v>
      </c>
      <c r="E664" s="16" t="s">
        <v>151</v>
      </c>
      <c r="F664" s="5" t="s">
        <v>924</v>
      </c>
      <c r="G664" s="16" t="s">
        <v>35</v>
      </c>
      <c r="H664" s="16" t="s">
        <v>36</v>
      </c>
      <c r="I664" s="16"/>
      <c r="J664" s="16"/>
      <c r="K664" s="16" t="s">
        <v>925</v>
      </c>
      <c r="L664" s="16"/>
      <c r="M664" s="16"/>
      <c r="N664" s="16"/>
      <c r="O664" s="17" t="s">
        <v>38</v>
      </c>
      <c r="P664" s="5" t="str">
        <f t="shared" si="13"/>
        <v>Truncate table CSMD700;</v>
      </c>
      <c r="Q664" s="5"/>
      <c r="R664" s="5"/>
    </row>
    <row r="665" spans="2:18" ht="67.5" x14ac:dyDescent="0.25">
      <c r="B665" s="29" t="s">
        <v>960</v>
      </c>
      <c r="C665" s="29" t="s">
        <v>961</v>
      </c>
      <c r="D665" s="19" t="s">
        <v>29</v>
      </c>
      <c r="E665" s="19" t="s">
        <v>151</v>
      </c>
      <c r="F665" s="29" t="s">
        <v>924</v>
      </c>
      <c r="G665" s="19" t="s">
        <v>35</v>
      </c>
      <c r="H665" s="19" t="s">
        <v>36</v>
      </c>
      <c r="I665" s="29" t="s">
        <v>962</v>
      </c>
      <c r="J665" s="21" t="s">
        <v>8531</v>
      </c>
      <c r="K665" s="29" t="s">
        <v>8530</v>
      </c>
      <c r="L665" s="21" t="s">
        <v>963</v>
      </c>
      <c r="M665" s="21"/>
      <c r="N665" s="29" t="s">
        <v>964</v>
      </c>
      <c r="O665" s="24" t="s">
        <v>38</v>
      </c>
      <c r="P665" s="4" t="str">
        <f t="shared" si="13"/>
        <v>Truncate table CSMD701;</v>
      </c>
      <c r="Q665" s="4"/>
      <c r="R665" s="4"/>
    </row>
    <row r="666" spans="2:18" x14ac:dyDescent="0.25">
      <c r="B666" s="19" t="s">
        <v>965</v>
      </c>
      <c r="C666" s="16" t="s">
        <v>966</v>
      </c>
      <c r="D666" s="5" t="s">
        <v>29</v>
      </c>
      <c r="E666" s="16" t="s">
        <v>151</v>
      </c>
      <c r="F666" s="5" t="s">
        <v>924</v>
      </c>
      <c r="G666" s="16" t="s">
        <v>35</v>
      </c>
      <c r="H666" s="16" t="s">
        <v>36</v>
      </c>
      <c r="I666" s="16"/>
      <c r="J666" s="16"/>
      <c r="K666" s="16" t="s">
        <v>925</v>
      </c>
      <c r="L666" s="16"/>
      <c r="M666" s="16"/>
      <c r="N666" s="16"/>
      <c r="O666" s="17" t="s">
        <v>38</v>
      </c>
      <c r="P666" s="5" t="str">
        <f t="shared" si="13"/>
        <v>Truncate table CSMD702;</v>
      </c>
      <c r="Q666" s="5"/>
      <c r="R666" s="5"/>
    </row>
    <row r="667" spans="2:18" x14ac:dyDescent="0.25">
      <c r="B667" s="19" t="s">
        <v>967</v>
      </c>
      <c r="C667" s="16" t="s">
        <v>968</v>
      </c>
      <c r="D667" s="5" t="s">
        <v>29</v>
      </c>
      <c r="E667" s="16" t="s">
        <v>151</v>
      </c>
      <c r="F667" s="5" t="s">
        <v>924</v>
      </c>
      <c r="G667" s="16" t="s">
        <v>35</v>
      </c>
      <c r="H667" s="16" t="s">
        <v>36</v>
      </c>
      <c r="I667" s="16"/>
      <c r="J667" s="16"/>
      <c r="K667" s="16"/>
      <c r="L667" s="16"/>
      <c r="M667" s="16"/>
      <c r="N667" s="16"/>
      <c r="O667" s="17"/>
      <c r="P667" s="5" t="str">
        <f t="shared" si="13"/>
        <v>Truncate table CSMD800;</v>
      </c>
      <c r="Q667" s="5"/>
      <c r="R667" s="5"/>
    </row>
    <row r="668" spans="2:18" x14ac:dyDescent="0.25">
      <c r="B668" s="19" t="s">
        <v>969</v>
      </c>
      <c r="C668" s="16" t="s">
        <v>968</v>
      </c>
      <c r="D668" s="5" t="s">
        <v>29</v>
      </c>
      <c r="E668" s="16" t="s">
        <v>151</v>
      </c>
      <c r="F668" s="5" t="s">
        <v>924</v>
      </c>
      <c r="G668" s="16" t="s">
        <v>35</v>
      </c>
      <c r="H668" s="16" t="s">
        <v>36</v>
      </c>
      <c r="I668" s="16"/>
      <c r="J668" s="16"/>
      <c r="K668" s="16"/>
      <c r="L668" s="16"/>
      <c r="M668" s="16"/>
      <c r="N668" s="16"/>
      <c r="O668" s="17"/>
      <c r="P668" s="5" t="str">
        <f t="shared" si="13"/>
        <v>Truncate table CSMD801;</v>
      </c>
      <c r="Q668" s="5"/>
      <c r="R668" s="5"/>
    </row>
    <row r="669" spans="2:18" x14ac:dyDescent="0.25">
      <c r="B669" s="19" t="s">
        <v>970</v>
      </c>
      <c r="C669" s="16" t="s">
        <v>971</v>
      </c>
      <c r="D669" s="5" t="s">
        <v>29</v>
      </c>
      <c r="E669" s="16" t="s">
        <v>151</v>
      </c>
      <c r="F669" s="5" t="s">
        <v>924</v>
      </c>
      <c r="G669" s="16" t="s">
        <v>35</v>
      </c>
      <c r="H669" s="16" t="s">
        <v>36</v>
      </c>
      <c r="I669" s="16"/>
      <c r="J669" s="16"/>
      <c r="K669" s="16"/>
      <c r="L669" s="16"/>
      <c r="M669" s="16"/>
      <c r="N669" s="16"/>
      <c r="O669" s="17"/>
      <c r="P669" s="5" t="str">
        <f t="shared" si="13"/>
        <v>Truncate table CSMF01;</v>
      </c>
      <c r="Q669" s="5"/>
      <c r="R669" s="5"/>
    </row>
    <row r="670" spans="2:18" x14ac:dyDescent="0.25">
      <c r="B670" s="19" t="s">
        <v>972</v>
      </c>
      <c r="C670" s="16" t="s">
        <v>973</v>
      </c>
      <c r="D670" s="5" t="s">
        <v>29</v>
      </c>
      <c r="E670" s="16" t="s">
        <v>151</v>
      </c>
      <c r="F670" s="5" t="s">
        <v>924</v>
      </c>
      <c r="G670" s="16" t="s">
        <v>35</v>
      </c>
      <c r="H670" s="16" t="s">
        <v>36</v>
      </c>
      <c r="I670" s="16"/>
      <c r="J670" s="16"/>
      <c r="K670" s="16"/>
      <c r="L670" s="16"/>
      <c r="M670" s="16"/>
      <c r="N670" s="16"/>
      <c r="O670" s="17"/>
      <c r="P670" s="5" t="str">
        <f t="shared" si="13"/>
        <v>Truncate table CSMF02;</v>
      </c>
      <c r="Q670" s="5"/>
      <c r="R670" s="5"/>
    </row>
    <row r="671" spans="2:18" x14ac:dyDescent="0.25">
      <c r="B671" s="19" t="s">
        <v>974</v>
      </c>
      <c r="C671" s="16" t="s">
        <v>971</v>
      </c>
      <c r="D671" s="5" t="s">
        <v>29</v>
      </c>
      <c r="E671" s="16" t="s">
        <v>151</v>
      </c>
      <c r="F671" s="5" t="s">
        <v>924</v>
      </c>
      <c r="G671" s="16" t="s">
        <v>35</v>
      </c>
      <c r="H671" s="16" t="s">
        <v>36</v>
      </c>
      <c r="I671" s="16"/>
      <c r="J671" s="16"/>
      <c r="K671" s="16"/>
      <c r="L671" s="16"/>
      <c r="M671" s="16"/>
      <c r="N671" s="16"/>
      <c r="O671" s="17"/>
      <c r="P671" s="5" t="str">
        <f t="shared" si="13"/>
        <v>Truncate table CSMF03;</v>
      </c>
      <c r="Q671" s="5"/>
      <c r="R671" s="5"/>
    </row>
    <row r="672" spans="2:18" x14ac:dyDescent="0.25">
      <c r="B672" s="19" t="s">
        <v>975</v>
      </c>
      <c r="C672" s="305" t="s">
        <v>9902</v>
      </c>
      <c r="D672" s="16" t="s">
        <v>29</v>
      </c>
      <c r="E672" s="16"/>
      <c r="F672" s="5"/>
      <c r="G672" s="16" t="s">
        <v>35</v>
      </c>
      <c r="H672" s="16"/>
      <c r="I672" s="16"/>
      <c r="J672" s="16"/>
      <c r="K672" s="16"/>
      <c r="L672" s="16"/>
      <c r="M672" s="16"/>
      <c r="N672" s="16"/>
      <c r="O672" s="17"/>
      <c r="P672" s="5" t="str">
        <f t="shared" si="13"/>
        <v>Truncate table CSMH005;</v>
      </c>
      <c r="Q672" s="5"/>
      <c r="R672" s="5"/>
    </row>
    <row r="673" spans="1:22" x14ac:dyDescent="0.25">
      <c r="B673" s="19" t="s">
        <v>976</v>
      </c>
      <c r="C673" s="305" t="s">
        <v>9903</v>
      </c>
      <c r="D673" s="16" t="s">
        <v>29</v>
      </c>
      <c r="E673" s="16"/>
      <c r="F673" s="5"/>
      <c r="G673" s="16" t="s">
        <v>35</v>
      </c>
      <c r="H673" s="16"/>
      <c r="I673" s="16"/>
      <c r="J673" s="16"/>
      <c r="K673" s="16"/>
      <c r="L673" s="16"/>
      <c r="M673" s="16"/>
      <c r="N673" s="16"/>
      <c r="O673" s="17"/>
      <c r="P673" s="5" t="str">
        <f t="shared" si="13"/>
        <v>Truncate table CSMH006;</v>
      </c>
      <c r="Q673" s="5"/>
      <c r="R673" s="5"/>
    </row>
    <row r="674" spans="1:22" x14ac:dyDescent="0.25">
      <c r="B674" s="19" t="s">
        <v>977</v>
      </c>
      <c r="C674" s="305" t="s">
        <v>9904</v>
      </c>
      <c r="D674" s="16" t="s">
        <v>29</v>
      </c>
      <c r="E674" s="16"/>
      <c r="F674" s="5"/>
      <c r="G674" s="16" t="s">
        <v>35</v>
      </c>
      <c r="H674" s="16"/>
      <c r="I674" s="16"/>
      <c r="J674" s="16"/>
      <c r="K674" s="16"/>
      <c r="L674" s="16"/>
      <c r="M674" s="16"/>
      <c r="N674" s="16"/>
      <c r="O674" s="17"/>
      <c r="P674" s="5" t="str">
        <f t="shared" si="13"/>
        <v>Truncate table CSMH008;</v>
      </c>
      <c r="Q674" s="5"/>
      <c r="R674" s="5"/>
    </row>
    <row r="675" spans="1:22" x14ac:dyDescent="0.25">
      <c r="B675" s="19" t="s">
        <v>9555</v>
      </c>
      <c r="C675" s="16" t="s">
        <v>9556</v>
      </c>
      <c r="D675" s="16" t="s">
        <v>8152</v>
      </c>
      <c r="E675" s="16" t="s">
        <v>151</v>
      </c>
      <c r="F675" s="5" t="s">
        <v>924</v>
      </c>
      <c r="G675" s="16" t="s">
        <v>35</v>
      </c>
      <c r="H675" s="16" t="s">
        <v>36</v>
      </c>
      <c r="I675" s="16"/>
      <c r="J675" s="16"/>
      <c r="K675" s="16" t="s">
        <v>9682</v>
      </c>
      <c r="L675" s="16"/>
      <c r="M675" s="16"/>
      <c r="N675" s="16"/>
      <c r="O675" s="17"/>
      <c r="P675" s="5"/>
      <c r="Q675" s="5"/>
      <c r="R675" s="5"/>
    </row>
    <row r="676" spans="1:22" x14ac:dyDescent="0.25">
      <c r="B676" s="19" t="s">
        <v>978</v>
      </c>
      <c r="C676" s="16" t="s">
        <v>979</v>
      </c>
      <c r="D676" s="5" t="s">
        <v>29</v>
      </c>
      <c r="E676" s="16" t="s">
        <v>151</v>
      </c>
      <c r="F676" s="5" t="s">
        <v>924</v>
      </c>
      <c r="G676" s="16" t="s">
        <v>35</v>
      </c>
      <c r="H676" s="16" t="s">
        <v>36</v>
      </c>
      <c r="I676" s="16"/>
      <c r="J676" s="16"/>
      <c r="K676" s="16"/>
      <c r="L676" s="16"/>
      <c r="M676" s="16"/>
      <c r="N676" s="16"/>
      <c r="O676" s="17"/>
      <c r="P676" s="5" t="str">
        <f t="shared" ref="P676:P681" si="14">IF(D676="Datos","Truncate table "&amp; B676&amp; ";","")</f>
        <v>Truncate table CSML001;</v>
      </c>
      <c r="Q676" s="5"/>
      <c r="R676" s="5"/>
    </row>
    <row r="677" spans="1:22" x14ac:dyDescent="0.25">
      <c r="B677" s="19" t="s">
        <v>980</v>
      </c>
      <c r="C677" s="16" t="s">
        <v>979</v>
      </c>
      <c r="D677" s="5" t="s">
        <v>29</v>
      </c>
      <c r="E677" s="16" t="s">
        <v>151</v>
      </c>
      <c r="F677" s="5" t="s">
        <v>924</v>
      </c>
      <c r="G677" s="16" t="s">
        <v>35</v>
      </c>
      <c r="H677" s="16" t="s">
        <v>36</v>
      </c>
      <c r="I677" s="16"/>
      <c r="J677" s="16"/>
      <c r="K677" s="16"/>
      <c r="L677" s="16"/>
      <c r="M677" s="16"/>
      <c r="N677" s="16"/>
      <c r="O677" s="17"/>
      <c r="P677" s="5" t="str">
        <f t="shared" si="14"/>
        <v>Truncate table CSML002;</v>
      </c>
      <c r="Q677" s="5"/>
      <c r="R677" s="5"/>
    </row>
    <row r="678" spans="1:22" x14ac:dyDescent="0.25">
      <c r="B678" s="19" t="s">
        <v>981</v>
      </c>
      <c r="C678" s="16" t="s">
        <v>982</v>
      </c>
      <c r="D678" s="5" t="s">
        <v>29</v>
      </c>
      <c r="E678" s="16" t="s">
        <v>151</v>
      </c>
      <c r="F678" s="5" t="s">
        <v>924</v>
      </c>
      <c r="G678" s="16" t="s">
        <v>35</v>
      </c>
      <c r="H678" s="16" t="s">
        <v>36</v>
      </c>
      <c r="I678" s="16"/>
      <c r="J678" s="16"/>
      <c r="K678" s="16"/>
      <c r="L678" s="16"/>
      <c r="M678" s="16"/>
      <c r="N678" s="16"/>
      <c r="O678" s="17"/>
      <c r="P678" s="5" t="str">
        <f t="shared" si="14"/>
        <v>Truncate table CSML005;</v>
      </c>
      <c r="Q678" s="5"/>
      <c r="R678" s="5"/>
    </row>
    <row r="679" spans="1:22" x14ac:dyDescent="0.25">
      <c r="B679" s="19" t="s">
        <v>983</v>
      </c>
      <c r="C679" s="16" t="s">
        <v>982</v>
      </c>
      <c r="D679" s="5" t="s">
        <v>29</v>
      </c>
      <c r="E679" s="16" t="s">
        <v>151</v>
      </c>
      <c r="F679" s="5" t="s">
        <v>924</v>
      </c>
      <c r="G679" s="16" t="s">
        <v>35</v>
      </c>
      <c r="H679" s="16" t="s">
        <v>36</v>
      </c>
      <c r="I679" s="16"/>
      <c r="J679" s="16"/>
      <c r="K679" s="16"/>
      <c r="L679" s="16"/>
      <c r="M679" s="16"/>
      <c r="N679" s="16"/>
      <c r="O679" s="17"/>
      <c r="P679" s="5" t="str">
        <f t="shared" si="14"/>
        <v>Truncate table CSML006;</v>
      </c>
      <c r="Q679" s="5"/>
      <c r="R679" s="5"/>
    </row>
    <row r="680" spans="1:22" x14ac:dyDescent="0.25">
      <c r="B680" s="19" t="s">
        <v>984</v>
      </c>
      <c r="C680" s="16" t="s">
        <v>982</v>
      </c>
      <c r="D680" s="5" t="s">
        <v>29</v>
      </c>
      <c r="E680" s="16" t="s">
        <v>151</v>
      </c>
      <c r="F680" s="5" t="s">
        <v>924</v>
      </c>
      <c r="G680" s="16" t="s">
        <v>35</v>
      </c>
      <c r="H680" s="16" t="s">
        <v>36</v>
      </c>
      <c r="I680" s="16"/>
      <c r="J680" s="16"/>
      <c r="K680" s="16"/>
      <c r="L680" s="16"/>
      <c r="M680" s="16"/>
      <c r="N680" s="16"/>
      <c r="O680" s="17"/>
      <c r="P680" s="5" t="str">
        <f t="shared" si="14"/>
        <v>Truncate table CSML007;</v>
      </c>
      <c r="Q680" s="5"/>
      <c r="R680" s="5"/>
    </row>
    <row r="681" spans="1:22" x14ac:dyDescent="0.25">
      <c r="B681" s="19" t="s">
        <v>985</v>
      </c>
      <c r="C681" s="16" t="s">
        <v>986</v>
      </c>
      <c r="D681" s="5" t="s">
        <v>29</v>
      </c>
      <c r="E681" s="16" t="s">
        <v>151</v>
      </c>
      <c r="F681" s="5" t="s">
        <v>924</v>
      </c>
      <c r="G681" s="16" t="s">
        <v>35</v>
      </c>
      <c r="H681" s="16" t="s">
        <v>36</v>
      </c>
      <c r="I681" s="16"/>
      <c r="J681" s="16"/>
      <c r="K681" s="16"/>
      <c r="L681" s="16"/>
      <c r="M681" s="16"/>
      <c r="N681" s="16"/>
      <c r="O681" s="17"/>
      <c r="P681" s="5" t="str">
        <f t="shared" si="14"/>
        <v>Truncate table CSML008;</v>
      </c>
      <c r="Q681" s="5" t="s">
        <v>7606</v>
      </c>
      <c r="R681" s="5"/>
    </row>
    <row r="682" spans="1:22" x14ac:dyDescent="0.25">
      <c r="A682" s="240"/>
      <c r="B682" s="37" t="s">
        <v>9527</v>
      </c>
      <c r="C682" s="38" t="s">
        <v>9557</v>
      </c>
      <c r="D682" s="10" t="s">
        <v>8152</v>
      </c>
      <c r="E682" s="16" t="s">
        <v>151</v>
      </c>
      <c r="F682" s="5" t="s">
        <v>924</v>
      </c>
      <c r="G682" s="16" t="s">
        <v>35</v>
      </c>
      <c r="H682" s="16" t="s">
        <v>36</v>
      </c>
      <c r="I682" s="38"/>
      <c r="J682" s="38"/>
      <c r="K682" s="38"/>
      <c r="L682" s="38"/>
      <c r="M682" s="38"/>
      <c r="N682" s="38"/>
      <c r="O682" s="48"/>
      <c r="P682" s="10"/>
      <c r="Q682" s="10" t="s">
        <v>7606</v>
      </c>
      <c r="R682" s="10"/>
    </row>
    <row r="683" spans="1:22" x14ac:dyDescent="0.25">
      <c r="A683" s="240"/>
      <c r="B683" s="37" t="s">
        <v>9558</v>
      </c>
      <c r="C683" s="38" t="s">
        <v>9559</v>
      </c>
      <c r="D683" s="10" t="s">
        <v>8152</v>
      </c>
      <c r="E683" s="16" t="s">
        <v>151</v>
      </c>
      <c r="F683" s="5" t="s">
        <v>924</v>
      </c>
      <c r="G683" s="16" t="s">
        <v>35</v>
      </c>
      <c r="H683" s="16" t="s">
        <v>36</v>
      </c>
      <c r="I683" s="38"/>
      <c r="J683" s="38"/>
      <c r="K683" s="38"/>
      <c r="L683" s="38"/>
      <c r="M683" s="38"/>
      <c r="N683" s="38"/>
      <c r="O683" s="48"/>
      <c r="P683" s="10"/>
      <c r="Q683" s="10"/>
      <c r="R683" s="10"/>
    </row>
    <row r="684" spans="1:22" x14ac:dyDescent="0.25">
      <c r="B684" s="37" t="s">
        <v>987</v>
      </c>
      <c r="C684" s="38" t="s">
        <v>988</v>
      </c>
      <c r="D684" s="10" t="s">
        <v>29</v>
      </c>
      <c r="E684" s="38" t="s">
        <v>151</v>
      </c>
      <c r="F684" s="10" t="s">
        <v>924</v>
      </c>
      <c r="G684" s="38" t="s">
        <v>35</v>
      </c>
      <c r="H684" s="38" t="s">
        <v>36</v>
      </c>
      <c r="I684" s="38"/>
      <c r="J684" s="38"/>
      <c r="K684" s="38"/>
      <c r="L684" s="38"/>
      <c r="M684" s="38"/>
      <c r="N684" s="38"/>
      <c r="O684" s="48"/>
      <c r="P684" s="10" t="str">
        <f>IF(D684="Datos","Truncate table "&amp; B684&amp; ";","")</f>
        <v>Truncate table CSML013;</v>
      </c>
      <c r="Q684" s="10"/>
      <c r="R684" s="10"/>
    </row>
    <row r="685" spans="1:22" s="201" customFormat="1" ht="13.5" x14ac:dyDescent="0.25">
      <c r="A685" s="245"/>
      <c r="B685" s="202" t="s">
        <v>8385</v>
      </c>
      <c r="C685" s="201" t="s">
        <v>8386</v>
      </c>
      <c r="D685" s="5" t="s">
        <v>8152</v>
      </c>
      <c r="E685" s="16" t="s">
        <v>151</v>
      </c>
      <c r="F685" s="5" t="s">
        <v>924</v>
      </c>
      <c r="G685" s="16" t="s">
        <v>35</v>
      </c>
      <c r="H685" s="16" t="s">
        <v>36</v>
      </c>
      <c r="I685" s="201" t="s">
        <v>8387</v>
      </c>
      <c r="J685" s="201" t="s">
        <v>8388</v>
      </c>
      <c r="K685" s="202" t="s">
        <v>1128</v>
      </c>
      <c r="L685" s="16"/>
      <c r="M685" s="16"/>
      <c r="N685" s="16"/>
      <c r="O685" s="16"/>
      <c r="P685" s="5"/>
      <c r="Q685" s="5"/>
      <c r="R685" s="5"/>
      <c r="S685" s="200"/>
      <c r="T685" s="200"/>
      <c r="U685" s="200"/>
      <c r="V685" s="200"/>
    </row>
    <row r="686" spans="1:22" x14ac:dyDescent="0.25">
      <c r="B686" s="49" t="s">
        <v>989</v>
      </c>
      <c r="C686" s="50" t="s">
        <v>990</v>
      </c>
      <c r="D686" s="51" t="s">
        <v>8152</v>
      </c>
      <c r="E686" s="50" t="s">
        <v>151</v>
      </c>
      <c r="F686" s="51" t="s">
        <v>924</v>
      </c>
      <c r="G686" s="50" t="s">
        <v>35</v>
      </c>
      <c r="H686" s="50" t="s">
        <v>36</v>
      </c>
      <c r="I686" s="50"/>
      <c r="J686" s="282"/>
      <c r="K686" s="50"/>
      <c r="L686" s="50"/>
      <c r="M686" s="50"/>
      <c r="N686" s="50"/>
      <c r="O686" s="52"/>
      <c r="P686" s="51" t="str">
        <f t="shared" ref="P686:P692" si="15">IF(D686="Datos","Truncate table "&amp; B686&amp; ";","")</f>
        <v/>
      </c>
      <c r="Q686" s="51"/>
      <c r="R686" s="51"/>
    </row>
    <row r="687" spans="1:22" x14ac:dyDescent="0.25">
      <c r="B687" s="19" t="s">
        <v>991</v>
      </c>
      <c r="C687" s="20" t="s">
        <v>992</v>
      </c>
      <c r="D687" s="5" t="s">
        <v>8152</v>
      </c>
      <c r="E687" s="16" t="s">
        <v>151</v>
      </c>
      <c r="F687" s="5" t="s">
        <v>924</v>
      </c>
      <c r="G687" s="16" t="s">
        <v>35</v>
      </c>
      <c r="H687" s="16" t="s">
        <v>36</v>
      </c>
      <c r="I687" s="16"/>
      <c r="J687" s="16"/>
      <c r="K687" s="16"/>
      <c r="L687" s="16"/>
      <c r="M687" s="16"/>
      <c r="N687" s="16"/>
      <c r="O687" s="17"/>
      <c r="P687" s="5" t="str">
        <f t="shared" si="15"/>
        <v/>
      </c>
      <c r="Q687" s="5"/>
      <c r="R687" s="5"/>
    </row>
    <row r="688" spans="1:22" x14ac:dyDescent="0.25">
      <c r="B688" s="19" t="s">
        <v>993</v>
      </c>
      <c r="C688" s="20" t="s">
        <v>994</v>
      </c>
      <c r="D688" s="5" t="s">
        <v>8152</v>
      </c>
      <c r="E688" s="16" t="s">
        <v>151</v>
      </c>
      <c r="F688" s="5" t="s">
        <v>924</v>
      </c>
      <c r="G688" s="16" t="s">
        <v>35</v>
      </c>
      <c r="H688" s="16" t="s">
        <v>36</v>
      </c>
      <c r="I688" s="16"/>
      <c r="J688" s="16"/>
      <c r="K688" s="16"/>
      <c r="L688" s="16"/>
      <c r="M688" s="16"/>
      <c r="N688" s="16"/>
      <c r="O688" s="17"/>
      <c r="P688" s="5" t="str">
        <f t="shared" si="15"/>
        <v/>
      </c>
      <c r="Q688" s="5"/>
      <c r="R688" s="5"/>
    </row>
    <row r="689" spans="1:18" x14ac:dyDescent="0.25">
      <c r="B689" s="19" t="s">
        <v>995</v>
      </c>
      <c r="C689" s="20" t="s">
        <v>996</v>
      </c>
      <c r="D689" s="5" t="s">
        <v>8152</v>
      </c>
      <c r="E689" s="16" t="s">
        <v>151</v>
      </c>
      <c r="F689" s="5" t="s">
        <v>924</v>
      </c>
      <c r="G689" s="16" t="s">
        <v>35</v>
      </c>
      <c r="H689" s="16" t="s">
        <v>36</v>
      </c>
      <c r="I689" s="16"/>
      <c r="J689" s="16"/>
      <c r="K689" s="16"/>
      <c r="L689" s="16"/>
      <c r="M689" s="16"/>
      <c r="N689" s="16"/>
      <c r="O689" s="17"/>
      <c r="P689" s="5" t="str">
        <f t="shared" si="15"/>
        <v/>
      </c>
      <c r="Q689" s="5"/>
      <c r="R689" s="5"/>
    </row>
    <row r="690" spans="1:18" x14ac:dyDescent="0.25">
      <c r="A690" s="240"/>
      <c r="B690" s="182" t="s">
        <v>9529</v>
      </c>
      <c r="C690" s="305" t="s">
        <v>9905</v>
      </c>
      <c r="D690" s="5" t="s">
        <v>29</v>
      </c>
      <c r="E690" s="16"/>
      <c r="F690" s="5"/>
      <c r="G690" s="16"/>
      <c r="H690" s="16"/>
      <c r="I690" s="16"/>
      <c r="J690" s="16"/>
      <c r="K690" s="16"/>
      <c r="L690" s="16"/>
      <c r="M690" s="16"/>
      <c r="N690" s="16"/>
      <c r="O690" s="17"/>
      <c r="P690" s="5" t="str">
        <f t="shared" si="15"/>
        <v>Truncate table  CSMS03;</v>
      </c>
      <c r="Q690" s="5"/>
      <c r="R690" s="5"/>
    </row>
    <row r="691" spans="1:18" s="292" customFormat="1" x14ac:dyDescent="0.25">
      <c r="A691" s="240"/>
      <c r="B691" s="295" t="s">
        <v>9530</v>
      </c>
      <c r="C691" s="305" t="s">
        <v>9906</v>
      </c>
      <c r="D691" s="40" t="s">
        <v>29</v>
      </c>
      <c r="E691" s="40"/>
      <c r="F691" s="40"/>
      <c r="G691" s="40"/>
      <c r="H691" s="40"/>
      <c r="I691" s="16"/>
      <c r="J691" s="16"/>
      <c r="K691" s="40"/>
      <c r="L691" s="40"/>
      <c r="M691" s="40"/>
      <c r="N691" s="40"/>
      <c r="O691" s="294"/>
      <c r="P691" s="40" t="str">
        <f t="shared" si="15"/>
        <v>Truncate table  CSMS05;</v>
      </c>
      <c r="Q691" s="40"/>
      <c r="R691" s="40"/>
    </row>
    <row r="692" spans="1:18" x14ac:dyDescent="0.25">
      <c r="B692" s="19" t="s">
        <v>997</v>
      </c>
      <c r="C692" s="242" t="s">
        <v>998</v>
      </c>
      <c r="D692" s="5" t="s">
        <v>8152</v>
      </c>
      <c r="E692" s="16" t="s">
        <v>151</v>
      </c>
      <c r="F692" s="5" t="s">
        <v>924</v>
      </c>
      <c r="G692" s="16" t="s">
        <v>35</v>
      </c>
      <c r="H692" s="16" t="s">
        <v>36</v>
      </c>
      <c r="I692" s="16"/>
      <c r="J692" s="16"/>
      <c r="K692" s="16"/>
      <c r="L692" s="16"/>
      <c r="M692" s="16"/>
      <c r="N692" s="16"/>
      <c r="O692" s="17"/>
      <c r="P692" s="5" t="str">
        <f t="shared" si="15"/>
        <v/>
      </c>
      <c r="Q692" s="5"/>
      <c r="R692" s="5"/>
    </row>
    <row r="693" spans="1:18" x14ac:dyDescent="0.25">
      <c r="B693" s="19" t="s">
        <v>999</v>
      </c>
      <c r="C693" s="16" t="s">
        <v>1000</v>
      </c>
      <c r="D693" s="5" t="s">
        <v>8152</v>
      </c>
      <c r="E693" s="16" t="s">
        <v>151</v>
      </c>
      <c r="F693" s="5" t="s">
        <v>924</v>
      </c>
      <c r="G693" s="16" t="s">
        <v>35</v>
      </c>
      <c r="H693" s="16" t="s">
        <v>36</v>
      </c>
      <c r="I693" s="16"/>
      <c r="J693" s="16"/>
      <c r="K693" s="16" t="s">
        <v>925</v>
      </c>
      <c r="L693" s="16"/>
      <c r="M693" s="16"/>
      <c r="N693" s="16"/>
      <c r="O693" s="17" t="s">
        <v>38</v>
      </c>
      <c r="P693" s="5" t="s">
        <v>1001</v>
      </c>
      <c r="Q693" s="5"/>
      <c r="R693" s="5"/>
    </row>
    <row r="694" spans="1:18" x14ac:dyDescent="0.25">
      <c r="B694" s="19" t="s">
        <v>1002</v>
      </c>
      <c r="C694" s="242" t="s">
        <v>1003</v>
      </c>
      <c r="D694" s="5" t="s">
        <v>8152</v>
      </c>
      <c r="E694" s="16" t="s">
        <v>151</v>
      </c>
      <c r="F694" s="5" t="s">
        <v>924</v>
      </c>
      <c r="G694" s="16" t="s">
        <v>35</v>
      </c>
      <c r="H694" s="16" t="s">
        <v>36</v>
      </c>
      <c r="I694" s="16"/>
      <c r="J694" s="16"/>
      <c r="K694" s="16"/>
      <c r="L694" s="16"/>
      <c r="M694" s="16"/>
      <c r="N694" s="16"/>
      <c r="O694" s="17"/>
      <c r="P694" s="5" t="str">
        <f t="shared" ref="P694:P725" si="16">IF(D694="Datos","Truncate table "&amp; B694&amp; ";","")</f>
        <v/>
      </c>
      <c r="Q694" s="5"/>
      <c r="R694" s="5"/>
    </row>
    <row r="695" spans="1:18" x14ac:dyDescent="0.25">
      <c r="B695" s="19" t="s">
        <v>1004</v>
      </c>
      <c r="C695" s="16" t="s">
        <v>1005</v>
      </c>
      <c r="D695" s="5" t="s">
        <v>8152</v>
      </c>
      <c r="E695" s="16" t="s">
        <v>151</v>
      </c>
      <c r="F695" s="5" t="s">
        <v>924</v>
      </c>
      <c r="G695" s="16" t="s">
        <v>35</v>
      </c>
      <c r="H695" s="16" t="s">
        <v>36</v>
      </c>
      <c r="I695" s="16"/>
      <c r="J695" s="16"/>
      <c r="K695" s="16"/>
      <c r="L695" s="16"/>
      <c r="M695" s="16"/>
      <c r="N695" s="16"/>
      <c r="O695" s="17"/>
      <c r="P695" s="5" t="str">
        <f t="shared" si="16"/>
        <v/>
      </c>
      <c r="Q695" s="5"/>
      <c r="R695" s="5"/>
    </row>
    <row r="696" spans="1:18" x14ac:dyDescent="0.25">
      <c r="B696" s="19" t="s">
        <v>1006</v>
      </c>
      <c r="C696" s="16" t="s">
        <v>1007</v>
      </c>
      <c r="D696" s="5" t="s">
        <v>8152</v>
      </c>
      <c r="E696" s="16" t="s">
        <v>151</v>
      </c>
      <c r="F696" s="5" t="s">
        <v>924</v>
      </c>
      <c r="G696" s="16" t="s">
        <v>35</v>
      </c>
      <c r="H696" s="16" t="s">
        <v>36</v>
      </c>
      <c r="I696" s="16"/>
      <c r="J696" s="16"/>
      <c r="K696" s="16"/>
      <c r="L696" s="16"/>
      <c r="M696" s="16"/>
      <c r="N696" s="16"/>
      <c r="O696" s="17"/>
      <c r="P696" s="5" t="str">
        <f t="shared" si="16"/>
        <v/>
      </c>
      <c r="Q696" s="5"/>
      <c r="R696" s="5"/>
    </row>
    <row r="697" spans="1:18" x14ac:dyDescent="0.25">
      <c r="B697" s="19" t="s">
        <v>1008</v>
      </c>
      <c r="C697" s="16" t="s">
        <v>1009</v>
      </c>
      <c r="D697" s="5" t="s">
        <v>8152</v>
      </c>
      <c r="E697" s="16" t="s">
        <v>151</v>
      </c>
      <c r="F697" s="5" t="s">
        <v>924</v>
      </c>
      <c r="G697" s="16" t="s">
        <v>35</v>
      </c>
      <c r="H697" s="16" t="s">
        <v>36</v>
      </c>
      <c r="I697" s="16"/>
      <c r="J697" s="16"/>
      <c r="K697" s="16"/>
      <c r="L697" s="16"/>
      <c r="M697" s="16"/>
      <c r="N697" s="16"/>
      <c r="O697" s="17"/>
      <c r="P697" s="5" t="str">
        <f t="shared" si="16"/>
        <v/>
      </c>
      <c r="Q697" s="5"/>
      <c r="R697" s="5"/>
    </row>
    <row r="698" spans="1:18" x14ac:dyDescent="0.25">
      <c r="B698" s="19" t="s">
        <v>1010</v>
      </c>
      <c r="C698" s="16" t="s">
        <v>1011</v>
      </c>
      <c r="D698" s="5" t="s">
        <v>8152</v>
      </c>
      <c r="E698" s="16" t="s">
        <v>151</v>
      </c>
      <c r="F698" s="5" t="s">
        <v>924</v>
      </c>
      <c r="G698" s="16" t="s">
        <v>35</v>
      </c>
      <c r="H698" s="16" t="s">
        <v>36</v>
      </c>
      <c r="I698" s="16"/>
      <c r="J698" s="16"/>
      <c r="K698" s="16"/>
      <c r="L698" s="16"/>
      <c r="M698" s="16"/>
      <c r="N698" s="16"/>
      <c r="O698" s="17"/>
      <c r="P698" s="5" t="str">
        <f t="shared" si="16"/>
        <v/>
      </c>
      <c r="Q698" s="5"/>
      <c r="R698" s="5"/>
    </row>
    <row r="699" spans="1:18" x14ac:dyDescent="0.25">
      <c r="B699" s="19" t="s">
        <v>1012</v>
      </c>
      <c r="C699" s="16" t="s">
        <v>1013</v>
      </c>
      <c r="D699" s="5" t="s">
        <v>8152</v>
      </c>
      <c r="E699" s="16" t="s">
        <v>151</v>
      </c>
      <c r="F699" s="5" t="s">
        <v>924</v>
      </c>
      <c r="G699" s="16" t="s">
        <v>35</v>
      </c>
      <c r="H699" s="16" t="s">
        <v>36</v>
      </c>
      <c r="I699" s="16"/>
      <c r="J699" s="16"/>
      <c r="K699" s="16"/>
      <c r="L699" s="16"/>
      <c r="M699" s="16"/>
      <c r="N699" s="16"/>
      <c r="O699" s="17"/>
      <c r="P699" s="5" t="str">
        <f t="shared" si="16"/>
        <v/>
      </c>
      <c r="Q699" s="5"/>
      <c r="R699" s="5"/>
    </row>
    <row r="700" spans="1:18" x14ac:dyDescent="0.25">
      <c r="B700" s="19" t="s">
        <v>1014</v>
      </c>
      <c r="C700" s="16" t="s">
        <v>1015</v>
      </c>
      <c r="D700" s="5" t="s">
        <v>8152</v>
      </c>
      <c r="E700" s="16" t="s">
        <v>151</v>
      </c>
      <c r="F700" s="5" t="s">
        <v>924</v>
      </c>
      <c r="G700" s="16" t="s">
        <v>35</v>
      </c>
      <c r="H700" s="16" t="s">
        <v>36</v>
      </c>
      <c r="I700" s="16"/>
      <c r="J700" s="16"/>
      <c r="K700" s="16"/>
      <c r="L700" s="16"/>
      <c r="M700" s="16"/>
      <c r="N700" s="16"/>
      <c r="O700" s="17"/>
      <c r="P700" s="5" t="str">
        <f t="shared" si="16"/>
        <v/>
      </c>
      <c r="Q700" s="5"/>
      <c r="R700" s="5"/>
    </row>
    <row r="701" spans="1:18" x14ac:dyDescent="0.25">
      <c r="B701" s="19" t="s">
        <v>1016</v>
      </c>
      <c r="C701" s="30" t="s">
        <v>1017</v>
      </c>
      <c r="D701" s="5" t="s">
        <v>8152</v>
      </c>
      <c r="E701" s="16" t="s">
        <v>151</v>
      </c>
      <c r="F701" s="5" t="s">
        <v>924</v>
      </c>
      <c r="G701" s="16" t="s">
        <v>35</v>
      </c>
      <c r="H701" s="16" t="s">
        <v>36</v>
      </c>
      <c r="I701" s="16"/>
      <c r="J701" s="16"/>
      <c r="K701" s="16" t="s">
        <v>925</v>
      </c>
      <c r="L701" s="16"/>
      <c r="M701" s="16"/>
      <c r="N701" s="16"/>
      <c r="O701" s="17" t="s">
        <v>38</v>
      </c>
      <c r="P701" s="5" t="str">
        <f t="shared" si="16"/>
        <v/>
      </c>
      <c r="Q701" s="5"/>
      <c r="R701" s="5"/>
    </row>
    <row r="702" spans="1:18" x14ac:dyDescent="0.25">
      <c r="B702" s="19" t="s">
        <v>1018</v>
      </c>
      <c r="C702" s="20" t="s">
        <v>1017</v>
      </c>
      <c r="D702" s="5" t="s">
        <v>8152</v>
      </c>
      <c r="E702" s="16" t="s">
        <v>151</v>
      </c>
      <c r="F702" s="5" t="s">
        <v>924</v>
      </c>
      <c r="G702" s="16" t="s">
        <v>35</v>
      </c>
      <c r="H702" s="16" t="s">
        <v>36</v>
      </c>
      <c r="I702" s="16"/>
      <c r="J702" s="16"/>
      <c r="K702" s="16"/>
      <c r="L702" s="16"/>
      <c r="M702" s="16"/>
      <c r="N702" s="16"/>
      <c r="O702" s="17"/>
      <c r="P702" s="5" t="str">
        <f t="shared" si="16"/>
        <v/>
      </c>
      <c r="Q702" s="5"/>
      <c r="R702" s="5"/>
    </row>
    <row r="703" spans="1:18" x14ac:dyDescent="0.25">
      <c r="B703" s="19" t="s">
        <v>1019</v>
      </c>
      <c r="C703" s="16" t="s">
        <v>1020</v>
      </c>
      <c r="D703" s="5" t="s">
        <v>8152</v>
      </c>
      <c r="E703" s="16" t="s">
        <v>151</v>
      </c>
      <c r="F703" s="5" t="s">
        <v>924</v>
      </c>
      <c r="G703" s="16" t="s">
        <v>35</v>
      </c>
      <c r="H703" s="16" t="s">
        <v>36</v>
      </c>
      <c r="I703" s="16"/>
      <c r="J703" s="16"/>
      <c r="K703" s="16"/>
      <c r="L703" s="16"/>
      <c r="M703" s="16"/>
      <c r="N703" s="16"/>
      <c r="O703" s="17"/>
      <c r="P703" s="5" t="str">
        <f t="shared" si="16"/>
        <v/>
      </c>
      <c r="Q703" s="5"/>
      <c r="R703" s="5"/>
    </row>
    <row r="704" spans="1:18" x14ac:dyDescent="0.25">
      <c r="B704" s="19" t="s">
        <v>1021</v>
      </c>
      <c r="C704" s="16" t="s">
        <v>1022</v>
      </c>
      <c r="D704" s="5" t="s">
        <v>8152</v>
      </c>
      <c r="E704" s="16" t="s">
        <v>151</v>
      </c>
      <c r="F704" s="5" t="s">
        <v>924</v>
      </c>
      <c r="G704" s="16" t="s">
        <v>35</v>
      </c>
      <c r="H704" s="16" t="s">
        <v>36</v>
      </c>
      <c r="I704" s="16"/>
      <c r="J704" s="16"/>
      <c r="K704" s="16"/>
      <c r="L704" s="16"/>
      <c r="M704" s="16"/>
      <c r="N704" s="16"/>
      <c r="O704" s="17"/>
      <c r="P704" s="5" t="str">
        <f t="shared" si="16"/>
        <v/>
      </c>
      <c r="Q704" s="5"/>
      <c r="R704" s="5"/>
    </row>
    <row r="705" spans="2:18" x14ac:dyDescent="0.25">
      <c r="B705" s="19" t="s">
        <v>1023</v>
      </c>
      <c r="C705" s="16" t="s">
        <v>1024</v>
      </c>
      <c r="D705" s="5" t="s">
        <v>29</v>
      </c>
      <c r="E705" s="16" t="s">
        <v>151</v>
      </c>
      <c r="F705" s="5" t="s">
        <v>924</v>
      </c>
      <c r="G705" s="16" t="s">
        <v>35</v>
      </c>
      <c r="H705" s="16" t="s">
        <v>36</v>
      </c>
      <c r="I705" s="16"/>
      <c r="J705" s="16"/>
      <c r="K705" s="16"/>
      <c r="L705" s="16"/>
      <c r="M705" s="16"/>
      <c r="N705" s="16"/>
      <c r="O705" s="17"/>
      <c r="P705" s="5" t="str">
        <f t="shared" si="16"/>
        <v>Truncate table CSMU01;</v>
      </c>
      <c r="Q705" s="5"/>
      <c r="R705" s="5"/>
    </row>
    <row r="706" spans="2:18" x14ac:dyDescent="0.25">
      <c r="B706" s="19" t="s">
        <v>1025</v>
      </c>
      <c r="C706" s="305" t="s">
        <v>9907</v>
      </c>
      <c r="D706" s="16" t="s">
        <v>29</v>
      </c>
      <c r="E706" s="16"/>
      <c r="F706" s="5"/>
      <c r="G706" s="16" t="s">
        <v>35</v>
      </c>
      <c r="H706" s="16"/>
      <c r="I706" s="16"/>
      <c r="J706" s="16"/>
      <c r="K706" s="16"/>
      <c r="L706" s="16"/>
      <c r="M706" s="16"/>
      <c r="N706" s="16"/>
      <c r="O706" s="17"/>
      <c r="P706" s="5" t="str">
        <f t="shared" si="16"/>
        <v>Truncate table CSMX006;</v>
      </c>
      <c r="Q706" s="5"/>
      <c r="R706" s="5"/>
    </row>
    <row r="707" spans="2:18" x14ac:dyDescent="0.25">
      <c r="B707" s="19" t="s">
        <v>1026</v>
      </c>
      <c r="C707" s="305" t="s">
        <v>9908</v>
      </c>
      <c r="D707" s="16" t="s">
        <v>29</v>
      </c>
      <c r="E707" s="16"/>
      <c r="F707" s="5"/>
      <c r="G707" s="16" t="s">
        <v>35</v>
      </c>
      <c r="H707" s="16"/>
      <c r="I707" s="16"/>
      <c r="J707" s="16"/>
      <c r="K707" s="16"/>
      <c r="L707" s="16"/>
      <c r="M707" s="16"/>
      <c r="N707" s="16"/>
      <c r="O707" s="17"/>
      <c r="P707" s="5" t="str">
        <f t="shared" si="16"/>
        <v>Truncate table CSMX008;</v>
      </c>
      <c r="Q707" s="5"/>
      <c r="R707" s="5"/>
    </row>
    <row r="708" spans="2:18" x14ac:dyDescent="0.25">
      <c r="B708" s="19" t="s">
        <v>1027</v>
      </c>
      <c r="C708" s="305" t="s">
        <v>9909</v>
      </c>
      <c r="D708" s="16" t="s">
        <v>29</v>
      </c>
      <c r="E708" s="16"/>
      <c r="F708" s="5"/>
      <c r="G708" s="16" t="s">
        <v>35</v>
      </c>
      <c r="H708" s="16"/>
      <c r="I708" s="16"/>
      <c r="J708" s="16"/>
      <c r="K708" s="16"/>
      <c r="L708" s="16"/>
      <c r="M708" s="16"/>
      <c r="N708" s="16"/>
      <c r="O708" s="17"/>
      <c r="P708" s="5" t="str">
        <f t="shared" si="16"/>
        <v>Truncate table CSMX940;</v>
      </c>
      <c r="Q708" s="5"/>
      <c r="R708" s="5"/>
    </row>
    <row r="709" spans="2:18" x14ac:dyDescent="0.25">
      <c r="B709" s="19" t="s">
        <v>1028</v>
      </c>
      <c r="C709" s="305" t="s">
        <v>9910</v>
      </c>
      <c r="D709" s="16" t="s">
        <v>29</v>
      </c>
      <c r="E709" s="16"/>
      <c r="F709" s="5"/>
      <c r="G709" s="16" t="s">
        <v>35</v>
      </c>
      <c r="H709" s="16"/>
      <c r="I709" s="16"/>
      <c r="J709" s="16"/>
      <c r="K709" s="16"/>
      <c r="L709" s="16"/>
      <c r="M709" s="16"/>
      <c r="N709" s="16"/>
      <c r="O709" s="17"/>
      <c r="P709" s="5" t="str">
        <f t="shared" si="16"/>
        <v>Truncate table CSMZ001;</v>
      </c>
      <c r="Q709" s="5"/>
      <c r="R709" s="5"/>
    </row>
    <row r="710" spans="2:18" x14ac:dyDescent="0.25">
      <c r="B710" s="19" t="s">
        <v>1029</v>
      </c>
      <c r="C710" s="305" t="s">
        <v>9911</v>
      </c>
      <c r="D710" s="16" t="s">
        <v>29</v>
      </c>
      <c r="E710" s="16" t="s">
        <v>151</v>
      </c>
      <c r="F710" s="5" t="s">
        <v>1030</v>
      </c>
      <c r="G710" s="16" t="s">
        <v>35</v>
      </c>
      <c r="H710" s="16"/>
      <c r="I710" s="16"/>
      <c r="J710" s="16"/>
      <c r="K710" s="16"/>
      <c r="L710" s="16"/>
      <c r="M710" s="16"/>
      <c r="N710" s="16"/>
      <c r="O710" s="17" t="s">
        <v>38</v>
      </c>
      <c r="P710" s="5" t="str">
        <f t="shared" si="16"/>
        <v>Truncate table CSW003;</v>
      </c>
      <c r="Q710" s="5"/>
      <c r="R710" s="5"/>
    </row>
    <row r="711" spans="2:18" x14ac:dyDescent="0.25">
      <c r="B711" s="19" t="s">
        <v>1031</v>
      </c>
      <c r="C711" s="305" t="s">
        <v>9912</v>
      </c>
      <c r="D711" s="16" t="s">
        <v>29</v>
      </c>
      <c r="E711" s="16"/>
      <c r="F711" s="5"/>
      <c r="G711" s="16" t="s">
        <v>35</v>
      </c>
      <c r="H711" s="16"/>
      <c r="I711" s="16"/>
      <c r="J711" s="16"/>
      <c r="K711" s="16"/>
      <c r="L711" s="16"/>
      <c r="M711" s="16"/>
      <c r="N711" s="16"/>
      <c r="O711" s="17"/>
      <c r="P711" s="5" t="str">
        <f t="shared" si="16"/>
        <v>Truncate table CSW005;</v>
      </c>
      <c r="Q711" s="5"/>
      <c r="R711" s="5"/>
    </row>
    <row r="712" spans="2:18" x14ac:dyDescent="0.25">
      <c r="B712" s="19" t="s">
        <v>1032</v>
      </c>
      <c r="C712" s="305" t="s">
        <v>9913</v>
      </c>
      <c r="D712" s="16" t="s">
        <v>29</v>
      </c>
      <c r="E712" s="16"/>
      <c r="F712" s="5"/>
      <c r="G712" s="16" t="s">
        <v>35</v>
      </c>
      <c r="H712" s="16"/>
      <c r="I712" s="16"/>
      <c r="J712" s="16"/>
      <c r="K712" s="16"/>
      <c r="L712" s="16"/>
      <c r="M712" s="16"/>
      <c r="N712" s="16"/>
      <c r="O712" s="17"/>
      <c r="P712" s="5" t="str">
        <f t="shared" si="16"/>
        <v>Truncate table CSW006;</v>
      </c>
      <c r="Q712" s="5"/>
      <c r="R712" s="5"/>
    </row>
    <row r="713" spans="2:18" ht="54" x14ac:dyDescent="0.25">
      <c r="B713" s="12" t="s">
        <v>1033</v>
      </c>
      <c r="C713" s="16" t="s">
        <v>1034</v>
      </c>
      <c r="D713" s="5" t="s">
        <v>29</v>
      </c>
      <c r="E713" s="5" t="s">
        <v>54</v>
      </c>
      <c r="F713" s="5" t="s">
        <v>163</v>
      </c>
      <c r="G713" s="5" t="s">
        <v>35</v>
      </c>
      <c r="H713" s="5" t="s">
        <v>36</v>
      </c>
      <c r="I713" s="5"/>
      <c r="J713" s="5"/>
      <c r="K713" s="5"/>
      <c r="L713" s="60" t="s">
        <v>1035</v>
      </c>
      <c r="M713" s="60"/>
      <c r="N713" s="5"/>
      <c r="O713" s="17" t="s">
        <v>38</v>
      </c>
      <c r="P713" s="5" t="str">
        <f t="shared" si="16"/>
        <v>Truncate table CSW007;</v>
      </c>
      <c r="Q713" s="5"/>
      <c r="R713" s="5"/>
    </row>
    <row r="714" spans="2:18" x14ac:dyDescent="0.25">
      <c r="B714" s="19" t="s">
        <v>1036</v>
      </c>
      <c r="C714" s="16" t="s">
        <v>1037</v>
      </c>
      <c r="D714" s="16" t="s">
        <v>29</v>
      </c>
      <c r="E714" s="16" t="s">
        <v>54</v>
      </c>
      <c r="F714" s="5" t="s">
        <v>163</v>
      </c>
      <c r="G714" s="16" t="s">
        <v>35</v>
      </c>
      <c r="H714" s="16" t="s">
        <v>36</v>
      </c>
      <c r="I714" s="16"/>
      <c r="J714" s="16"/>
      <c r="K714" s="16"/>
      <c r="L714" s="16"/>
      <c r="M714" s="16"/>
      <c r="N714" s="16"/>
      <c r="O714" s="17" t="s">
        <v>38</v>
      </c>
      <c r="P714" s="5" t="str">
        <f t="shared" si="16"/>
        <v>Truncate table CSW01;</v>
      </c>
      <c r="Q714" s="5"/>
      <c r="R714" s="5"/>
    </row>
    <row r="715" spans="2:18" ht="54" x14ac:dyDescent="0.25">
      <c r="B715" s="19" t="s">
        <v>1038</v>
      </c>
      <c r="C715" s="16" t="s">
        <v>1039</v>
      </c>
      <c r="D715" s="16" t="s">
        <v>29</v>
      </c>
      <c r="E715" s="5" t="s">
        <v>54</v>
      </c>
      <c r="F715" s="5" t="s">
        <v>163</v>
      </c>
      <c r="G715" s="16" t="s">
        <v>35</v>
      </c>
      <c r="H715" s="5" t="s">
        <v>36</v>
      </c>
      <c r="I715" s="16"/>
      <c r="J715" s="16"/>
      <c r="K715" s="16"/>
      <c r="L715" s="60" t="s">
        <v>1035</v>
      </c>
      <c r="M715" s="60"/>
      <c r="N715" s="16"/>
      <c r="O715" s="17" t="s">
        <v>38</v>
      </c>
      <c r="P715" s="5" t="str">
        <f t="shared" si="16"/>
        <v>Truncate table CSW010;</v>
      </c>
      <c r="Q715" s="5"/>
      <c r="R715" s="5"/>
    </row>
    <row r="716" spans="2:18" ht="54" x14ac:dyDescent="0.25">
      <c r="B716" s="19" t="s">
        <v>1040</v>
      </c>
      <c r="C716" s="16" t="s">
        <v>1041</v>
      </c>
      <c r="D716" s="16" t="s">
        <v>29</v>
      </c>
      <c r="E716" s="5" t="s">
        <v>54</v>
      </c>
      <c r="F716" s="5" t="s">
        <v>163</v>
      </c>
      <c r="G716" s="16" t="s">
        <v>35</v>
      </c>
      <c r="H716" s="5" t="s">
        <v>36</v>
      </c>
      <c r="I716" s="16"/>
      <c r="J716" s="16"/>
      <c r="K716" s="16"/>
      <c r="L716" s="60" t="s">
        <v>1035</v>
      </c>
      <c r="M716" s="60"/>
      <c r="N716" s="16"/>
      <c r="O716" s="17" t="s">
        <v>38</v>
      </c>
      <c r="P716" s="5" t="str">
        <f t="shared" si="16"/>
        <v>Truncate table CSW011;</v>
      </c>
      <c r="Q716" s="5"/>
      <c r="R716" s="5"/>
    </row>
    <row r="717" spans="2:18" ht="54" x14ac:dyDescent="0.25">
      <c r="B717" s="19" t="s">
        <v>1042</v>
      </c>
      <c r="C717" s="16" t="s">
        <v>1043</v>
      </c>
      <c r="D717" s="16" t="s">
        <v>29</v>
      </c>
      <c r="E717" s="5" t="s">
        <v>54</v>
      </c>
      <c r="F717" s="5" t="s">
        <v>163</v>
      </c>
      <c r="G717" s="16" t="s">
        <v>35</v>
      </c>
      <c r="H717" s="5" t="s">
        <v>36</v>
      </c>
      <c r="I717" s="16"/>
      <c r="J717" s="16"/>
      <c r="K717" s="16"/>
      <c r="L717" s="60" t="s">
        <v>1035</v>
      </c>
      <c r="M717" s="60"/>
      <c r="N717" s="16"/>
      <c r="O717" s="17" t="s">
        <v>38</v>
      </c>
      <c r="P717" s="5" t="str">
        <f t="shared" si="16"/>
        <v>Truncate table CSW012;</v>
      </c>
      <c r="Q717" s="5"/>
      <c r="R717" s="5"/>
    </row>
    <row r="718" spans="2:18" x14ac:dyDescent="0.25">
      <c r="B718" s="19" t="s">
        <v>1044</v>
      </c>
      <c r="C718" s="16" t="s">
        <v>9699</v>
      </c>
      <c r="D718" s="16" t="s">
        <v>8152</v>
      </c>
      <c r="E718" s="16" t="s">
        <v>54</v>
      </c>
      <c r="F718" s="5" t="s">
        <v>74</v>
      </c>
      <c r="G718" s="16" t="s">
        <v>35</v>
      </c>
      <c r="H718" s="16" t="s">
        <v>36</v>
      </c>
      <c r="I718" s="16"/>
      <c r="J718" s="16"/>
      <c r="K718" s="16"/>
      <c r="L718" s="16"/>
      <c r="M718" s="5"/>
      <c r="N718" s="16"/>
      <c r="O718" s="17" t="s">
        <v>38</v>
      </c>
      <c r="P718" s="5" t="str">
        <f t="shared" si="16"/>
        <v/>
      </c>
      <c r="Q718" s="5"/>
      <c r="R718" s="5"/>
    </row>
    <row r="719" spans="2:18" x14ac:dyDescent="0.25">
      <c r="B719" s="19" t="s">
        <v>1046</v>
      </c>
      <c r="C719" s="16" t="s">
        <v>9698</v>
      </c>
      <c r="D719" s="16" t="s">
        <v>8152</v>
      </c>
      <c r="E719" s="16" t="s">
        <v>54</v>
      </c>
      <c r="F719" s="5" t="s">
        <v>74</v>
      </c>
      <c r="G719" s="16" t="s">
        <v>35</v>
      </c>
      <c r="H719" s="16" t="s">
        <v>36</v>
      </c>
      <c r="I719" s="16"/>
      <c r="J719" s="16"/>
      <c r="K719" s="16"/>
      <c r="L719" s="16"/>
      <c r="M719" s="5"/>
      <c r="N719" s="16"/>
      <c r="O719" s="17" t="s">
        <v>38</v>
      </c>
      <c r="P719" s="5" t="str">
        <f t="shared" si="16"/>
        <v/>
      </c>
      <c r="Q719" s="5"/>
      <c r="R719" s="5"/>
    </row>
    <row r="720" spans="2:18" x14ac:dyDescent="0.25">
      <c r="B720" s="19" t="s">
        <v>1047</v>
      </c>
      <c r="C720" s="16" t="s">
        <v>1048</v>
      </c>
      <c r="D720" s="16" t="s">
        <v>29</v>
      </c>
      <c r="E720" s="16" t="s">
        <v>54</v>
      </c>
      <c r="F720" s="5" t="s">
        <v>74</v>
      </c>
      <c r="G720" s="16" t="s">
        <v>35</v>
      </c>
      <c r="H720" s="16" t="s">
        <v>36</v>
      </c>
      <c r="I720" s="16"/>
      <c r="J720" s="16"/>
      <c r="K720" s="16"/>
      <c r="L720" s="16"/>
      <c r="M720" s="5"/>
      <c r="N720" s="16"/>
      <c r="O720" s="17" t="s">
        <v>38</v>
      </c>
      <c r="P720" s="5" t="str">
        <f t="shared" si="16"/>
        <v>Truncate table CTD002;</v>
      </c>
      <c r="Q720" s="5"/>
      <c r="R720" s="5"/>
    </row>
    <row r="721" spans="1:18" x14ac:dyDescent="0.25">
      <c r="B721" s="19" t="s">
        <v>1049</v>
      </c>
      <c r="C721" s="16" t="s">
        <v>1050</v>
      </c>
      <c r="D721" s="16" t="s">
        <v>29</v>
      </c>
      <c r="E721" s="16" t="s">
        <v>54</v>
      </c>
      <c r="F721" s="5" t="s">
        <v>74</v>
      </c>
      <c r="G721" s="16" t="s">
        <v>35</v>
      </c>
      <c r="H721" s="16" t="s">
        <v>36</v>
      </c>
      <c r="I721" s="16"/>
      <c r="J721" s="16"/>
      <c r="K721" s="16"/>
      <c r="L721" s="16"/>
      <c r="M721" s="5"/>
      <c r="N721" s="16"/>
      <c r="O721" s="17" t="s">
        <v>38</v>
      </c>
      <c r="P721" s="5" t="str">
        <f t="shared" si="16"/>
        <v>Truncate table CTD003;</v>
      </c>
      <c r="Q721" s="5"/>
      <c r="R721" s="5"/>
    </row>
    <row r="722" spans="1:18" x14ac:dyDescent="0.25">
      <c r="B722" s="19" t="s">
        <v>1051</v>
      </c>
      <c r="C722" s="16" t="s">
        <v>1045</v>
      </c>
      <c r="D722" s="16" t="s">
        <v>8152</v>
      </c>
      <c r="E722" s="16" t="s">
        <v>54</v>
      </c>
      <c r="F722" s="5" t="s">
        <v>74</v>
      </c>
      <c r="G722" s="16" t="s">
        <v>35</v>
      </c>
      <c r="H722" s="16" t="s">
        <v>36</v>
      </c>
      <c r="I722" s="16"/>
      <c r="J722" s="16"/>
      <c r="K722" s="16"/>
      <c r="L722" s="16"/>
      <c r="M722" s="5"/>
      <c r="N722" s="16"/>
      <c r="O722" s="17" t="s">
        <v>38</v>
      </c>
      <c r="P722" s="5" t="str">
        <f t="shared" si="16"/>
        <v/>
      </c>
      <c r="Q722" s="5"/>
      <c r="R722" s="5"/>
    </row>
    <row r="723" spans="1:18" x14ac:dyDescent="0.25">
      <c r="B723" s="19" t="s">
        <v>1052</v>
      </c>
      <c r="C723" s="16" t="s">
        <v>1045</v>
      </c>
      <c r="D723" s="16" t="s">
        <v>29</v>
      </c>
      <c r="E723" s="16" t="s">
        <v>54</v>
      </c>
      <c r="F723" s="5" t="s">
        <v>74</v>
      </c>
      <c r="G723" s="16" t="s">
        <v>35</v>
      </c>
      <c r="H723" s="16" t="s">
        <v>36</v>
      </c>
      <c r="I723" s="16"/>
      <c r="J723" s="16"/>
      <c r="K723" s="16"/>
      <c r="L723" s="16"/>
      <c r="M723" s="5"/>
      <c r="N723" s="16"/>
      <c r="O723" s="17"/>
      <c r="P723" s="5" t="str">
        <f t="shared" si="16"/>
        <v>Truncate table CTD005;</v>
      </c>
      <c r="Q723" s="5"/>
      <c r="R723" s="5"/>
    </row>
    <row r="724" spans="1:18" x14ac:dyDescent="0.25">
      <c r="B724" s="19" t="s">
        <v>1053</v>
      </c>
      <c r="C724" s="16" t="s">
        <v>1045</v>
      </c>
      <c r="D724" s="16" t="s">
        <v>8152</v>
      </c>
      <c r="E724" s="16" t="s">
        <v>54</v>
      </c>
      <c r="F724" s="5" t="s">
        <v>74</v>
      </c>
      <c r="G724" s="16" t="s">
        <v>35</v>
      </c>
      <c r="H724" s="16"/>
      <c r="I724" s="16"/>
      <c r="J724" s="16"/>
      <c r="K724" s="16"/>
      <c r="L724" s="16"/>
      <c r="M724" s="5"/>
      <c r="N724" s="16"/>
      <c r="O724" s="17" t="s">
        <v>38</v>
      </c>
      <c r="P724" s="5" t="str">
        <f t="shared" si="16"/>
        <v/>
      </c>
      <c r="Q724" s="5"/>
      <c r="R724" s="5"/>
    </row>
    <row r="725" spans="1:18" x14ac:dyDescent="0.25">
      <c r="B725" s="19" t="s">
        <v>1054</v>
      </c>
      <c r="C725" s="16" t="s">
        <v>1045</v>
      </c>
      <c r="D725" s="16" t="s">
        <v>8152</v>
      </c>
      <c r="E725" s="16" t="s">
        <v>54</v>
      </c>
      <c r="F725" s="5" t="s">
        <v>74</v>
      </c>
      <c r="G725" s="16" t="s">
        <v>35</v>
      </c>
      <c r="H725" s="16"/>
      <c r="I725" s="16"/>
      <c r="J725" s="16"/>
      <c r="K725" s="16"/>
      <c r="L725" s="16"/>
      <c r="M725" s="5"/>
      <c r="N725" s="16"/>
      <c r="O725" s="17" t="s">
        <v>38</v>
      </c>
      <c r="P725" s="5" t="str">
        <f t="shared" si="16"/>
        <v/>
      </c>
      <c r="Q725" s="5"/>
      <c r="R725" s="5"/>
    </row>
    <row r="726" spans="1:18" x14ac:dyDescent="0.25">
      <c r="B726" s="19" t="s">
        <v>1055</v>
      </c>
      <c r="C726" s="16" t="s">
        <v>1045</v>
      </c>
      <c r="D726" s="16" t="s">
        <v>8152</v>
      </c>
      <c r="E726" s="16" t="s">
        <v>54</v>
      </c>
      <c r="F726" s="5" t="s">
        <v>74</v>
      </c>
      <c r="G726" s="16" t="s">
        <v>35</v>
      </c>
      <c r="H726" s="16"/>
      <c r="I726" s="16"/>
      <c r="J726" s="16"/>
      <c r="K726" s="16"/>
      <c r="L726" s="16"/>
      <c r="M726" s="5"/>
      <c r="N726" s="16"/>
      <c r="O726" s="17" t="s">
        <v>38</v>
      </c>
      <c r="P726" s="5" t="str">
        <f t="shared" ref="P726:P757" si="17">IF(D726="Datos","Truncate table "&amp; B726&amp; ";","")</f>
        <v/>
      </c>
      <c r="Q726" s="5"/>
      <c r="R726" s="5"/>
    </row>
    <row r="727" spans="1:18" x14ac:dyDescent="0.25">
      <c r="B727" s="19" t="s">
        <v>1056</v>
      </c>
      <c r="C727" s="16" t="s">
        <v>1045</v>
      </c>
      <c r="D727" s="16" t="s">
        <v>29</v>
      </c>
      <c r="E727" s="16" t="s">
        <v>54</v>
      </c>
      <c r="F727" s="5" t="s">
        <v>1057</v>
      </c>
      <c r="G727" s="16" t="s">
        <v>35</v>
      </c>
      <c r="H727" s="16"/>
      <c r="I727" s="16"/>
      <c r="J727" s="16"/>
      <c r="K727" s="16"/>
      <c r="L727" s="16"/>
      <c r="M727" s="5"/>
      <c r="N727" s="16"/>
      <c r="O727" s="17" t="s">
        <v>38</v>
      </c>
      <c r="P727" s="5" t="str">
        <f t="shared" si="17"/>
        <v>Truncate table CTDAUX1;</v>
      </c>
      <c r="Q727" s="5"/>
      <c r="R727" s="5"/>
    </row>
    <row r="728" spans="1:18" x14ac:dyDescent="0.25">
      <c r="B728" s="19" t="s">
        <v>1058</v>
      </c>
      <c r="C728" s="16" t="s">
        <v>1045</v>
      </c>
      <c r="D728" s="16" t="s">
        <v>29</v>
      </c>
      <c r="E728" s="16" t="s">
        <v>54</v>
      </c>
      <c r="F728" s="5" t="s">
        <v>1057</v>
      </c>
      <c r="G728" s="16" t="s">
        <v>35</v>
      </c>
      <c r="H728" s="16"/>
      <c r="I728" s="16"/>
      <c r="J728" s="16"/>
      <c r="K728" s="16"/>
      <c r="L728" s="16"/>
      <c r="M728" s="5"/>
      <c r="N728" s="16"/>
      <c r="O728" s="17" t="s">
        <v>38</v>
      </c>
      <c r="P728" s="5" t="str">
        <f t="shared" si="17"/>
        <v>Truncate table CTDAUX8;</v>
      </c>
      <c r="Q728" s="5"/>
      <c r="R728" s="5"/>
    </row>
    <row r="729" spans="1:18" ht="15.75" thickBot="1" x14ac:dyDescent="0.3">
      <c r="B729" s="19" t="s">
        <v>1059</v>
      </c>
      <c r="C729" s="16" t="s">
        <v>9915</v>
      </c>
      <c r="D729" s="16" t="s">
        <v>29</v>
      </c>
      <c r="E729" s="16"/>
      <c r="F729" s="5"/>
      <c r="G729" s="16" t="s">
        <v>35</v>
      </c>
      <c r="H729" s="16"/>
      <c r="I729" s="16"/>
      <c r="J729" s="16"/>
      <c r="K729" s="16"/>
      <c r="L729" s="16"/>
      <c r="M729" s="16"/>
      <c r="N729" s="16"/>
      <c r="O729" s="17"/>
      <c r="P729" s="5" t="str">
        <f t="shared" si="17"/>
        <v>Truncate table CTDFIRM;</v>
      </c>
      <c r="Q729" s="5"/>
      <c r="R729" s="5"/>
    </row>
    <row r="730" spans="1:18" ht="15.75" thickBot="1" x14ac:dyDescent="0.3">
      <c r="B730" s="19" t="s">
        <v>1060</v>
      </c>
      <c r="C730" s="329" t="s">
        <v>9916</v>
      </c>
      <c r="D730" s="16" t="s">
        <v>29</v>
      </c>
      <c r="E730" s="16"/>
      <c r="F730" s="5"/>
      <c r="G730" s="16" t="s">
        <v>35</v>
      </c>
      <c r="H730" s="16"/>
      <c r="I730" s="16"/>
      <c r="J730" s="16"/>
      <c r="K730" s="16"/>
      <c r="L730" s="16"/>
      <c r="M730" s="16"/>
      <c r="N730" s="16"/>
      <c r="O730" s="17"/>
      <c r="P730" s="5" t="str">
        <f t="shared" si="17"/>
        <v>Truncate table CTDVIS;</v>
      </c>
      <c r="Q730" s="5"/>
      <c r="R730" s="5"/>
    </row>
    <row r="731" spans="1:18" x14ac:dyDescent="0.25">
      <c r="B731" s="19" t="s">
        <v>1061</v>
      </c>
      <c r="C731" s="329" t="s">
        <v>9917</v>
      </c>
      <c r="D731" s="16" t="s">
        <v>29</v>
      </c>
      <c r="E731" s="16"/>
      <c r="F731" s="5"/>
      <c r="G731" s="16" t="s">
        <v>35</v>
      </c>
      <c r="H731" s="16"/>
      <c r="I731" s="16"/>
      <c r="J731" s="16"/>
      <c r="K731" s="16"/>
      <c r="L731" s="16"/>
      <c r="M731" s="16"/>
      <c r="N731" s="16"/>
      <c r="O731" s="17"/>
      <c r="P731" s="5" t="str">
        <f t="shared" si="17"/>
        <v>Truncate table CTRHOR1;</v>
      </c>
      <c r="Q731" s="5"/>
      <c r="R731" s="5"/>
    </row>
    <row r="732" spans="1:18" s="306" customFormat="1" x14ac:dyDescent="0.25">
      <c r="A732" s="71"/>
      <c r="B732" s="307" t="s">
        <v>1062</v>
      </c>
      <c r="C732" s="308"/>
      <c r="D732" s="308" t="s">
        <v>29</v>
      </c>
      <c r="E732" s="308"/>
      <c r="F732" s="308"/>
      <c r="G732" s="308" t="s">
        <v>35</v>
      </c>
      <c r="H732" s="308"/>
      <c r="I732" s="308"/>
      <c r="J732" s="308"/>
      <c r="K732" s="308"/>
      <c r="L732" s="308"/>
      <c r="M732" s="308"/>
      <c r="N732" s="308"/>
      <c r="O732" s="309"/>
      <c r="P732" s="308" t="str">
        <f t="shared" si="17"/>
        <v>Truncate table CTRHOR2;</v>
      </c>
      <c r="Q732" s="308"/>
      <c r="R732" s="308"/>
    </row>
    <row r="733" spans="1:18" x14ac:dyDescent="0.25">
      <c r="B733" s="19" t="s">
        <v>1063</v>
      </c>
      <c r="C733" s="16" t="s">
        <v>9918</v>
      </c>
      <c r="D733" s="16" t="s">
        <v>29</v>
      </c>
      <c r="E733" s="16"/>
      <c r="F733" s="5"/>
      <c r="G733" s="16" t="s">
        <v>35</v>
      </c>
      <c r="H733" s="16"/>
      <c r="I733" s="16"/>
      <c r="J733" s="16"/>
      <c r="K733" s="16"/>
      <c r="L733" s="16"/>
      <c r="M733" s="16"/>
      <c r="N733" s="16"/>
      <c r="O733" s="17"/>
      <c r="P733" s="5" t="str">
        <f t="shared" si="17"/>
        <v>Truncate table CTS001;</v>
      </c>
      <c r="Q733" s="5"/>
      <c r="R733" s="5"/>
    </row>
    <row r="734" spans="1:18" ht="40.5" x14ac:dyDescent="0.25">
      <c r="B734" s="4" t="s">
        <v>1064</v>
      </c>
      <c r="C734" s="5" t="s">
        <v>1065</v>
      </c>
      <c r="D734" s="25" t="s">
        <v>29</v>
      </c>
      <c r="E734" s="31" t="s">
        <v>151</v>
      </c>
      <c r="F734" s="31" t="s">
        <v>243</v>
      </c>
      <c r="G734" s="16" t="s">
        <v>503</v>
      </c>
      <c r="H734" s="16" t="s">
        <v>36</v>
      </c>
      <c r="I734" s="5" t="s">
        <v>1066</v>
      </c>
      <c r="J734" s="5" t="s">
        <v>1067</v>
      </c>
      <c r="K734" s="5" t="s">
        <v>1068</v>
      </c>
      <c r="L734" s="31" t="s">
        <v>503</v>
      </c>
      <c r="M734" s="31"/>
      <c r="N734" s="5" t="s">
        <v>1069</v>
      </c>
      <c r="O734" s="17"/>
      <c r="P734" s="5" t="str">
        <f t="shared" si="17"/>
        <v>Truncate table CV020;</v>
      </c>
      <c r="Q734" s="5"/>
      <c r="R734" s="5"/>
    </row>
    <row r="735" spans="1:18" x14ac:dyDescent="0.25">
      <c r="B735" s="19" t="s">
        <v>1070</v>
      </c>
      <c r="C735" s="305" t="s">
        <v>9914</v>
      </c>
      <c r="D735" s="16" t="s">
        <v>29</v>
      </c>
      <c r="E735" s="16"/>
      <c r="F735" s="5"/>
      <c r="G735" s="16" t="s">
        <v>35</v>
      </c>
      <c r="H735" s="16"/>
      <c r="I735" s="16"/>
      <c r="J735" s="16"/>
      <c r="K735" s="16"/>
      <c r="L735" s="16"/>
      <c r="M735" s="16"/>
      <c r="N735" s="16"/>
      <c r="O735" s="17"/>
      <c r="P735" s="5" t="str">
        <f t="shared" si="17"/>
        <v>Truncate table CYP010;</v>
      </c>
      <c r="Q735" s="5"/>
      <c r="R735" s="5"/>
    </row>
    <row r="736" spans="1:18" s="306" customFormat="1" x14ac:dyDescent="0.25">
      <c r="A736" s="71"/>
      <c r="B736" s="307" t="s">
        <v>1071</v>
      </c>
      <c r="C736" s="308"/>
      <c r="D736" s="308" t="s">
        <v>29</v>
      </c>
      <c r="E736" s="308"/>
      <c r="F736" s="308"/>
      <c r="G736" s="308" t="s">
        <v>35</v>
      </c>
      <c r="H736" s="308"/>
      <c r="I736" s="308"/>
      <c r="J736" s="308"/>
      <c r="K736" s="308"/>
      <c r="L736" s="308"/>
      <c r="M736" s="308"/>
      <c r="N736" s="308"/>
      <c r="O736" s="309"/>
      <c r="P736" s="308" t="str">
        <f t="shared" si="17"/>
        <v>Truncate table D51008;</v>
      </c>
      <c r="Q736" s="308"/>
      <c r="R736" s="308"/>
    </row>
    <row r="737" spans="1:18" x14ac:dyDescent="0.25">
      <c r="B737" s="19" t="s">
        <v>1072</v>
      </c>
      <c r="C737" s="5" t="s">
        <v>9919</v>
      </c>
      <c r="D737" s="16" t="s">
        <v>29</v>
      </c>
      <c r="E737" s="16"/>
      <c r="F737" s="5"/>
      <c r="G737" s="16" t="s">
        <v>35</v>
      </c>
      <c r="H737" s="16"/>
      <c r="I737" s="16"/>
      <c r="J737" s="16"/>
      <c r="K737" s="16"/>
      <c r="L737" s="16"/>
      <c r="M737" s="16"/>
      <c r="N737" s="16"/>
      <c r="O737" s="17"/>
      <c r="P737" s="5" t="str">
        <f t="shared" si="17"/>
        <v>Truncate table DCO000;</v>
      </c>
      <c r="Q737" s="5"/>
      <c r="R737" s="5"/>
    </row>
    <row r="738" spans="1:18" x14ac:dyDescent="0.25">
      <c r="B738" s="19" t="s">
        <v>1073</v>
      </c>
      <c r="C738" s="5" t="s">
        <v>9920</v>
      </c>
      <c r="D738" s="16" t="s">
        <v>29</v>
      </c>
      <c r="E738" s="16"/>
      <c r="F738" s="5"/>
      <c r="G738" s="16" t="s">
        <v>35</v>
      </c>
      <c r="H738" s="16"/>
      <c r="I738" s="16"/>
      <c r="J738" s="16"/>
      <c r="K738" s="16"/>
      <c r="L738" s="16"/>
      <c r="M738" s="16"/>
      <c r="N738" s="16"/>
      <c r="O738" s="17"/>
      <c r="P738" s="5" t="str">
        <f t="shared" si="17"/>
        <v>Truncate table DCO001;</v>
      </c>
      <c r="Q738" s="5"/>
      <c r="R738" s="5"/>
    </row>
    <row r="739" spans="1:18" x14ac:dyDescent="0.25">
      <c r="B739" s="19" t="s">
        <v>1074</v>
      </c>
      <c r="C739" s="5" t="s">
        <v>9921</v>
      </c>
      <c r="D739" s="16" t="s">
        <v>29</v>
      </c>
      <c r="E739" s="16"/>
      <c r="F739" s="5"/>
      <c r="G739" s="16" t="s">
        <v>35</v>
      </c>
      <c r="H739" s="16"/>
      <c r="I739" s="16"/>
      <c r="J739" s="16"/>
      <c r="K739" s="16"/>
      <c r="L739" s="16"/>
      <c r="M739" s="16"/>
      <c r="N739" s="16"/>
      <c r="O739" s="17"/>
      <c r="P739" s="5" t="str">
        <f t="shared" si="17"/>
        <v>Truncate table DCO002;</v>
      </c>
      <c r="Q739" s="5"/>
      <c r="R739" s="5"/>
    </row>
    <row r="740" spans="1:18" x14ac:dyDescent="0.25">
      <c r="B740" s="19" t="s">
        <v>1075</v>
      </c>
      <c r="C740" s="5" t="s">
        <v>9922</v>
      </c>
      <c r="D740" s="16" t="s">
        <v>29</v>
      </c>
      <c r="E740" s="16"/>
      <c r="F740" s="5"/>
      <c r="G740" s="16" t="s">
        <v>35</v>
      </c>
      <c r="H740" s="16"/>
      <c r="I740" s="16"/>
      <c r="J740" s="16"/>
      <c r="K740" s="16"/>
      <c r="L740" s="16"/>
      <c r="M740" s="16"/>
      <c r="N740" s="16"/>
      <c r="O740" s="17"/>
      <c r="P740" s="5" t="str">
        <f t="shared" si="17"/>
        <v>Truncate table DCO003;</v>
      </c>
      <c r="Q740" s="5"/>
      <c r="R740" s="5"/>
    </row>
    <row r="741" spans="1:18" x14ac:dyDescent="0.25">
      <c r="B741" s="19" t="s">
        <v>1076</v>
      </c>
      <c r="C741" s="5" t="s">
        <v>9923</v>
      </c>
      <c r="D741" s="16" t="s">
        <v>29</v>
      </c>
      <c r="E741" s="16"/>
      <c r="F741" s="5"/>
      <c r="G741" s="16" t="s">
        <v>35</v>
      </c>
      <c r="H741" s="16"/>
      <c r="I741" s="16"/>
      <c r="J741" s="16"/>
      <c r="K741" s="16"/>
      <c r="L741" s="16"/>
      <c r="M741" s="16"/>
      <c r="N741" s="16"/>
      <c r="O741" s="17"/>
      <c r="P741" s="5" t="str">
        <f t="shared" si="17"/>
        <v>Truncate table DCO004;</v>
      </c>
      <c r="Q741" s="5"/>
      <c r="R741" s="5"/>
    </row>
    <row r="742" spans="1:18" x14ac:dyDescent="0.25">
      <c r="B742" s="19" t="s">
        <v>1077</v>
      </c>
      <c r="C742" s="5" t="s">
        <v>9924</v>
      </c>
      <c r="D742" s="16" t="s">
        <v>29</v>
      </c>
      <c r="E742" s="16"/>
      <c r="F742" s="5"/>
      <c r="G742" s="16" t="s">
        <v>35</v>
      </c>
      <c r="H742" s="16"/>
      <c r="I742" s="16"/>
      <c r="J742" s="16"/>
      <c r="K742" s="16"/>
      <c r="L742" s="16"/>
      <c r="M742" s="16"/>
      <c r="N742" s="16"/>
      <c r="O742" s="17"/>
      <c r="P742" s="5" t="str">
        <f t="shared" si="17"/>
        <v>Truncate table DCO005;</v>
      </c>
      <c r="Q742" s="5"/>
      <c r="R742" s="5"/>
    </row>
    <row r="743" spans="1:18" x14ac:dyDescent="0.25">
      <c r="B743" s="19" t="s">
        <v>1078</v>
      </c>
      <c r="C743" s="5" t="s">
        <v>9925</v>
      </c>
      <c r="D743" s="16" t="s">
        <v>29</v>
      </c>
      <c r="E743" s="16"/>
      <c r="F743" s="5"/>
      <c r="G743" s="16" t="s">
        <v>35</v>
      </c>
      <c r="H743" s="16"/>
      <c r="I743" s="16"/>
      <c r="J743" s="16"/>
      <c r="K743" s="16"/>
      <c r="L743" s="16"/>
      <c r="M743" s="16"/>
      <c r="N743" s="16"/>
      <c r="O743" s="17"/>
      <c r="P743" s="5" t="str">
        <f t="shared" si="17"/>
        <v>Truncate table DCO006;</v>
      </c>
      <c r="Q743" s="5"/>
      <c r="R743" s="5"/>
    </row>
    <row r="744" spans="1:18" x14ac:dyDescent="0.25">
      <c r="B744" s="19" t="s">
        <v>1079</v>
      </c>
      <c r="C744" s="5" t="s">
        <v>9926</v>
      </c>
      <c r="D744" s="16" t="s">
        <v>29</v>
      </c>
      <c r="E744" s="16"/>
      <c r="F744" s="5"/>
      <c r="G744" s="16" t="s">
        <v>35</v>
      </c>
      <c r="H744" s="16"/>
      <c r="I744" s="16"/>
      <c r="J744" s="16"/>
      <c r="K744" s="16"/>
      <c r="L744" s="16"/>
      <c r="M744" s="16"/>
      <c r="N744" s="16"/>
      <c r="O744" s="17"/>
      <c r="P744" s="5" t="str">
        <f t="shared" si="17"/>
        <v>Truncate table DCO007;</v>
      </c>
      <c r="Q744" s="5"/>
      <c r="R744" s="5"/>
    </row>
    <row r="745" spans="1:18" x14ac:dyDescent="0.25">
      <c r="B745" s="19" t="s">
        <v>1080</v>
      </c>
      <c r="C745" s="5" t="s">
        <v>9927</v>
      </c>
      <c r="D745" s="16" t="s">
        <v>29</v>
      </c>
      <c r="E745" s="16"/>
      <c r="F745" s="5"/>
      <c r="G745" s="16" t="s">
        <v>35</v>
      </c>
      <c r="H745" s="16"/>
      <c r="I745" s="16"/>
      <c r="J745" s="16"/>
      <c r="K745" s="16"/>
      <c r="L745" s="16"/>
      <c r="M745" s="16"/>
      <c r="N745" s="16"/>
      <c r="O745" s="17"/>
      <c r="P745" s="5" t="str">
        <f t="shared" si="17"/>
        <v>Truncate table DCO008;</v>
      </c>
      <c r="Q745" s="5"/>
      <c r="R745" s="5"/>
    </row>
    <row r="746" spans="1:18" x14ac:dyDescent="0.25">
      <c r="B746" s="19" t="s">
        <v>1081</v>
      </c>
      <c r="C746" s="5" t="s">
        <v>9928</v>
      </c>
      <c r="D746" s="16" t="s">
        <v>29</v>
      </c>
      <c r="E746" s="16"/>
      <c r="F746" s="5"/>
      <c r="G746" s="16" t="s">
        <v>35</v>
      </c>
      <c r="H746" s="16"/>
      <c r="I746" s="16"/>
      <c r="J746" s="16"/>
      <c r="K746" s="16"/>
      <c r="L746" s="16"/>
      <c r="M746" s="16"/>
      <c r="N746" s="16"/>
      <c r="O746" s="17"/>
      <c r="P746" s="5" t="str">
        <f t="shared" si="17"/>
        <v>Truncate table DCO009;</v>
      </c>
      <c r="Q746" s="5"/>
      <c r="R746" s="5"/>
    </row>
    <row r="747" spans="1:18" x14ac:dyDescent="0.25">
      <c r="B747" s="19" t="s">
        <v>1082</v>
      </c>
      <c r="C747" s="5" t="s">
        <v>9929</v>
      </c>
      <c r="D747" s="16" t="s">
        <v>29</v>
      </c>
      <c r="E747" s="16"/>
      <c r="F747" s="5"/>
      <c r="G747" s="16" t="s">
        <v>35</v>
      </c>
      <c r="H747" s="16"/>
      <c r="I747" s="16"/>
      <c r="J747" s="16"/>
      <c r="K747" s="16"/>
      <c r="L747" s="16"/>
      <c r="M747" s="16"/>
      <c r="N747" s="16"/>
      <c r="O747" s="17"/>
      <c r="P747" s="5" t="str">
        <f t="shared" si="17"/>
        <v>Truncate table DCO010;</v>
      </c>
      <c r="Q747" s="5"/>
      <c r="R747" s="5"/>
    </row>
    <row r="748" spans="1:18" s="306" customFormat="1" x14ac:dyDescent="0.25">
      <c r="A748" s="71"/>
      <c r="B748" s="307" t="s">
        <v>1083</v>
      </c>
      <c r="C748" s="308"/>
      <c r="D748" s="308" t="s">
        <v>29</v>
      </c>
      <c r="E748" s="308"/>
      <c r="F748" s="308"/>
      <c r="G748" s="308" t="s">
        <v>35</v>
      </c>
      <c r="H748" s="308"/>
      <c r="I748" s="308"/>
      <c r="J748" s="308"/>
      <c r="K748" s="308"/>
      <c r="L748" s="308"/>
      <c r="M748" s="308"/>
      <c r="N748" s="308"/>
      <c r="O748" s="309"/>
      <c r="P748" s="308" t="str">
        <f t="shared" si="17"/>
        <v>Truncate table DCO011;</v>
      </c>
      <c r="Q748" s="308"/>
      <c r="R748" s="308"/>
    </row>
    <row r="749" spans="1:18" s="306" customFormat="1" x14ac:dyDescent="0.25">
      <c r="A749" s="71"/>
      <c r="B749" s="307" t="s">
        <v>1084</v>
      </c>
      <c r="C749" s="308"/>
      <c r="D749" s="308" t="s">
        <v>29</v>
      </c>
      <c r="E749" s="308"/>
      <c r="F749" s="308"/>
      <c r="G749" s="308" t="s">
        <v>35</v>
      </c>
      <c r="H749" s="308"/>
      <c r="I749" s="308"/>
      <c r="J749" s="308"/>
      <c r="K749" s="308"/>
      <c r="L749" s="308"/>
      <c r="M749" s="308"/>
      <c r="N749" s="308"/>
      <c r="O749" s="309"/>
      <c r="P749" s="308" t="str">
        <f t="shared" si="17"/>
        <v>Truncate table DCO012;</v>
      </c>
      <c r="Q749" s="308"/>
      <c r="R749" s="308"/>
    </row>
    <row r="750" spans="1:18" s="306" customFormat="1" x14ac:dyDescent="0.25">
      <c r="A750" s="71"/>
      <c r="B750" s="307" t="s">
        <v>1085</v>
      </c>
      <c r="C750" s="308"/>
      <c r="D750" s="308" t="s">
        <v>29</v>
      </c>
      <c r="E750" s="308"/>
      <c r="F750" s="308"/>
      <c r="G750" s="308" t="s">
        <v>35</v>
      </c>
      <c r="H750" s="308"/>
      <c r="I750" s="308"/>
      <c r="J750" s="308"/>
      <c r="K750" s="308"/>
      <c r="L750" s="308"/>
      <c r="M750" s="308"/>
      <c r="N750" s="308"/>
      <c r="O750" s="309"/>
      <c r="P750" s="308" t="str">
        <f t="shared" si="17"/>
        <v>Truncate table DCO013;</v>
      </c>
      <c r="Q750" s="330"/>
      <c r="R750" s="330"/>
    </row>
    <row r="751" spans="1:18" x14ac:dyDescent="0.25">
      <c r="B751" s="19" t="s">
        <v>1086</v>
      </c>
      <c r="C751" s="305" t="s">
        <v>9930</v>
      </c>
      <c r="D751" s="16" t="s">
        <v>29</v>
      </c>
      <c r="E751" s="16"/>
      <c r="F751" s="5"/>
      <c r="G751" s="16" t="s">
        <v>35</v>
      </c>
      <c r="H751" s="16"/>
      <c r="I751" s="16"/>
      <c r="J751" s="16"/>
      <c r="K751" s="16"/>
      <c r="L751" s="16"/>
      <c r="M751" s="16"/>
      <c r="N751" s="16"/>
      <c r="O751" s="17"/>
      <c r="P751" s="5" t="str">
        <f t="shared" si="17"/>
        <v>Truncate table DDOA01;</v>
      </c>
      <c r="Q751" s="60"/>
      <c r="R751" s="87"/>
    </row>
    <row r="752" spans="1:18" x14ac:dyDescent="0.25">
      <c r="B752" s="19" t="s">
        <v>1087</v>
      </c>
      <c r="C752" s="305" t="s">
        <v>9931</v>
      </c>
      <c r="D752" s="16" t="s">
        <v>29</v>
      </c>
      <c r="E752" s="16"/>
      <c r="F752" s="5"/>
      <c r="G752" s="16" t="s">
        <v>35</v>
      </c>
      <c r="H752" s="16"/>
      <c r="I752" s="16"/>
      <c r="J752" s="16"/>
      <c r="K752" s="16"/>
      <c r="L752" s="16"/>
      <c r="M752" s="16"/>
      <c r="N752" s="16"/>
      <c r="O752" s="17"/>
      <c r="P752" s="5" t="str">
        <f t="shared" si="17"/>
        <v>Truncate table DDOA02;</v>
      </c>
      <c r="Q752" s="60"/>
      <c r="R752" s="87"/>
    </row>
    <row r="753" spans="2:18" x14ac:dyDescent="0.25">
      <c r="B753" s="19" t="s">
        <v>1088</v>
      </c>
      <c r="C753" s="305" t="s">
        <v>9932</v>
      </c>
      <c r="D753" s="16" t="s">
        <v>29</v>
      </c>
      <c r="E753" s="16"/>
      <c r="F753" s="5"/>
      <c r="G753" s="16" t="s">
        <v>35</v>
      </c>
      <c r="H753" s="16"/>
      <c r="I753" s="16"/>
      <c r="J753" s="16"/>
      <c r="K753" s="16"/>
      <c r="L753" s="16"/>
      <c r="M753" s="16"/>
      <c r="N753" s="16"/>
      <c r="O753" s="17"/>
      <c r="P753" s="5" t="str">
        <f t="shared" si="17"/>
        <v>Truncate table DDOA03;</v>
      </c>
      <c r="Q753" s="60"/>
      <c r="R753" s="87"/>
    </row>
    <row r="754" spans="2:18" x14ac:dyDescent="0.25">
      <c r="B754" s="19" t="s">
        <v>1089</v>
      </c>
      <c r="C754" s="305" t="s">
        <v>9933</v>
      </c>
      <c r="D754" s="16" t="s">
        <v>29</v>
      </c>
      <c r="E754" s="16"/>
      <c r="F754" s="5"/>
      <c r="G754" s="16" t="s">
        <v>35</v>
      </c>
      <c r="H754" s="16"/>
      <c r="I754" s="16"/>
      <c r="J754" s="16"/>
      <c r="K754" s="16"/>
      <c r="L754" s="16"/>
      <c r="M754" s="16"/>
      <c r="N754" s="16"/>
      <c r="O754" s="17"/>
      <c r="P754" s="5" t="str">
        <f t="shared" si="17"/>
        <v>Truncate table DDOA04;</v>
      </c>
      <c r="Q754" s="60"/>
      <c r="R754" s="87"/>
    </row>
    <row r="755" spans="2:18" x14ac:dyDescent="0.25">
      <c r="B755" s="19" t="s">
        <v>1090</v>
      </c>
      <c r="C755" s="305" t="s">
        <v>9934</v>
      </c>
      <c r="D755" s="16" t="s">
        <v>29</v>
      </c>
      <c r="E755" s="16"/>
      <c r="F755" s="5"/>
      <c r="G755" s="16" t="s">
        <v>35</v>
      </c>
      <c r="H755" s="16"/>
      <c r="I755" s="16"/>
      <c r="J755" s="16"/>
      <c r="K755" s="16"/>
      <c r="L755" s="16"/>
      <c r="M755" s="16"/>
      <c r="N755" s="16"/>
      <c r="O755" s="17"/>
      <c r="P755" s="5" t="str">
        <f t="shared" si="17"/>
        <v>Truncate table DDOA52;</v>
      </c>
      <c r="Q755" s="60"/>
      <c r="R755" s="87"/>
    </row>
    <row r="756" spans="2:18" x14ac:dyDescent="0.25">
      <c r="B756" s="19" t="s">
        <v>1091</v>
      </c>
      <c r="C756" s="305" t="s">
        <v>9935</v>
      </c>
      <c r="D756" s="16" t="s">
        <v>29</v>
      </c>
      <c r="E756" s="16"/>
      <c r="F756" s="5"/>
      <c r="G756" s="16" t="s">
        <v>35</v>
      </c>
      <c r="H756" s="16"/>
      <c r="I756" s="16"/>
      <c r="J756" s="16"/>
      <c r="K756" s="16"/>
      <c r="L756" s="16"/>
      <c r="M756" s="16"/>
      <c r="N756" s="16"/>
      <c r="O756" s="17"/>
      <c r="P756" s="5" t="str">
        <f t="shared" si="17"/>
        <v>Truncate table DDOA53;</v>
      </c>
      <c r="Q756" s="60"/>
      <c r="R756" s="87"/>
    </row>
    <row r="757" spans="2:18" x14ac:dyDescent="0.25">
      <c r="B757" s="19" t="s">
        <v>1092</v>
      </c>
      <c r="C757" s="305" t="s">
        <v>9936</v>
      </c>
      <c r="D757" s="16" t="s">
        <v>29</v>
      </c>
      <c r="E757" s="16"/>
      <c r="F757" s="5"/>
      <c r="G757" s="16" t="s">
        <v>35</v>
      </c>
      <c r="H757" s="16"/>
      <c r="I757" s="16"/>
      <c r="J757" s="16"/>
      <c r="K757" s="16"/>
      <c r="L757" s="16"/>
      <c r="M757" s="16"/>
      <c r="N757" s="16"/>
      <c r="O757" s="17"/>
      <c r="P757" s="5" t="str">
        <f t="shared" si="17"/>
        <v>Truncate table DDOA54;</v>
      </c>
      <c r="Q757" s="60"/>
      <c r="R757" s="87"/>
    </row>
    <row r="758" spans="2:18" x14ac:dyDescent="0.25">
      <c r="B758" s="19" t="s">
        <v>1093</v>
      </c>
      <c r="C758" s="16" t="s">
        <v>1094</v>
      </c>
      <c r="D758" s="16" t="s">
        <v>29</v>
      </c>
      <c r="E758" s="16" t="s">
        <v>1096</v>
      </c>
      <c r="F758" s="5" t="s">
        <v>1095</v>
      </c>
      <c r="G758" s="16" t="s">
        <v>35</v>
      </c>
      <c r="H758" s="16"/>
      <c r="I758" s="16"/>
      <c r="J758" s="16"/>
      <c r="K758" s="16"/>
      <c r="L758" s="16"/>
      <c r="M758" s="16"/>
      <c r="N758" s="16"/>
      <c r="O758" s="17" t="s">
        <v>38</v>
      </c>
      <c r="P758" s="5" t="str">
        <f t="shared" ref="P758:P789" si="18">IF(D758="Datos","Truncate table "&amp; B758&amp; ";","")</f>
        <v>Truncate table DDOA70;</v>
      </c>
      <c r="Q758" s="60"/>
      <c r="R758" s="87"/>
    </row>
    <row r="759" spans="2:18" x14ac:dyDescent="0.25">
      <c r="B759" s="19" t="s">
        <v>1097</v>
      </c>
      <c r="C759" s="16" t="s">
        <v>1098</v>
      </c>
      <c r="D759" s="16" t="s">
        <v>29</v>
      </c>
      <c r="E759" s="16" t="s">
        <v>1096</v>
      </c>
      <c r="F759" s="5" t="s">
        <v>1095</v>
      </c>
      <c r="G759" s="16" t="s">
        <v>35</v>
      </c>
      <c r="H759" s="16"/>
      <c r="I759" s="16"/>
      <c r="J759" s="16"/>
      <c r="K759" s="16"/>
      <c r="L759" s="16"/>
      <c r="M759" s="16"/>
      <c r="N759" s="16"/>
      <c r="O759" s="17" t="s">
        <v>38</v>
      </c>
      <c r="P759" s="5" t="str">
        <f t="shared" si="18"/>
        <v>Truncate table DDOA71;</v>
      </c>
      <c r="Q759" s="60"/>
      <c r="R759" s="87"/>
    </row>
    <row r="760" spans="2:18" x14ac:dyDescent="0.25">
      <c r="B760" s="19" t="s">
        <v>1099</v>
      </c>
      <c r="C760" s="16" t="s">
        <v>1100</v>
      </c>
      <c r="D760" s="16" t="s">
        <v>29</v>
      </c>
      <c r="E760" s="16" t="s">
        <v>1096</v>
      </c>
      <c r="F760" s="5" t="s">
        <v>1095</v>
      </c>
      <c r="G760" s="16" t="s">
        <v>35</v>
      </c>
      <c r="H760" s="16"/>
      <c r="I760" s="16"/>
      <c r="J760" s="16"/>
      <c r="K760" s="16"/>
      <c r="L760" s="16"/>
      <c r="M760" s="16"/>
      <c r="N760" s="16"/>
      <c r="O760" s="17" t="s">
        <v>38</v>
      </c>
      <c r="P760" s="5" t="str">
        <f t="shared" si="18"/>
        <v>Truncate table DDOA72;</v>
      </c>
      <c r="Q760" s="60"/>
      <c r="R760" s="87"/>
    </row>
    <row r="761" spans="2:18" x14ac:dyDescent="0.25">
      <c r="B761" s="19" t="s">
        <v>1101</v>
      </c>
      <c r="C761" s="305" t="s">
        <v>9937</v>
      </c>
      <c r="D761" s="16" t="s">
        <v>29</v>
      </c>
      <c r="E761" s="16"/>
      <c r="F761" s="5"/>
      <c r="G761" s="16" t="s">
        <v>35</v>
      </c>
      <c r="H761" s="16"/>
      <c r="I761" s="16"/>
      <c r="J761" s="16"/>
      <c r="K761" s="16"/>
      <c r="L761" s="16"/>
      <c r="M761" s="16"/>
      <c r="N761" s="16"/>
      <c r="O761" s="17"/>
      <c r="P761" s="5" t="str">
        <f t="shared" si="18"/>
        <v>Truncate table DDOA73;</v>
      </c>
      <c r="Q761" s="60"/>
      <c r="R761" s="87"/>
    </row>
    <row r="762" spans="2:18" x14ac:dyDescent="0.25">
      <c r="B762" s="19" t="s">
        <v>1102</v>
      </c>
      <c r="C762" s="16" t="s">
        <v>1103</v>
      </c>
      <c r="D762" s="16" t="s">
        <v>8152</v>
      </c>
      <c r="E762" s="16" t="s">
        <v>1096</v>
      </c>
      <c r="F762" s="5" t="s">
        <v>1095</v>
      </c>
      <c r="G762" s="16" t="s">
        <v>35</v>
      </c>
      <c r="H762" s="16"/>
      <c r="I762" s="16"/>
      <c r="J762" s="16"/>
      <c r="K762" s="16"/>
      <c r="L762" s="16"/>
      <c r="M762" s="16" t="s">
        <v>8645</v>
      </c>
      <c r="N762" s="16"/>
      <c r="O762" s="17" t="s">
        <v>38</v>
      </c>
      <c r="P762" s="5" t="str">
        <f t="shared" si="18"/>
        <v/>
      </c>
      <c r="Q762" s="60"/>
      <c r="R762" s="87"/>
    </row>
    <row r="763" spans="2:18" ht="40.5" x14ac:dyDescent="0.25">
      <c r="B763" s="19" t="s">
        <v>1104</v>
      </c>
      <c r="C763" s="16" t="s">
        <v>1105</v>
      </c>
      <c r="D763" s="16" t="s">
        <v>8152</v>
      </c>
      <c r="E763" s="16" t="s">
        <v>1096</v>
      </c>
      <c r="F763" s="5" t="s">
        <v>1095</v>
      </c>
      <c r="G763" s="16" t="s">
        <v>35</v>
      </c>
      <c r="H763" s="16"/>
      <c r="I763" s="16"/>
      <c r="J763" s="16"/>
      <c r="K763" s="16"/>
      <c r="L763" s="16"/>
      <c r="M763" s="16" t="s">
        <v>8577</v>
      </c>
      <c r="N763" s="16" t="s">
        <v>8646</v>
      </c>
      <c r="O763" s="17" t="s">
        <v>38</v>
      </c>
      <c r="P763" s="5" t="str">
        <f t="shared" si="18"/>
        <v/>
      </c>
      <c r="Q763" s="60"/>
      <c r="R763" s="87"/>
    </row>
    <row r="764" spans="2:18" x14ac:dyDescent="0.25">
      <c r="B764" s="19" t="s">
        <v>1106</v>
      </c>
      <c r="C764" s="16" t="s">
        <v>1107</v>
      </c>
      <c r="D764" s="16" t="s">
        <v>29</v>
      </c>
      <c r="E764" s="16" t="s">
        <v>1096</v>
      </c>
      <c r="F764" s="5" t="s">
        <v>1095</v>
      </c>
      <c r="G764" s="16" t="s">
        <v>35</v>
      </c>
      <c r="H764" s="16"/>
      <c r="I764" s="16"/>
      <c r="J764" s="16"/>
      <c r="K764" s="16"/>
      <c r="L764" s="16"/>
      <c r="M764" s="16"/>
      <c r="N764" s="16"/>
      <c r="O764" s="17" t="s">
        <v>38</v>
      </c>
      <c r="P764" s="5" t="str">
        <f t="shared" si="18"/>
        <v>Truncate table DDOA77;</v>
      </c>
      <c r="Q764" s="60"/>
      <c r="R764" s="87"/>
    </row>
    <row r="765" spans="2:18" x14ac:dyDescent="0.25">
      <c r="B765" s="19" t="s">
        <v>1108</v>
      </c>
      <c r="C765" s="16" t="s">
        <v>1109</v>
      </c>
      <c r="D765" s="16" t="s">
        <v>29</v>
      </c>
      <c r="E765" s="16" t="s">
        <v>1096</v>
      </c>
      <c r="F765" s="5" t="s">
        <v>1095</v>
      </c>
      <c r="G765" s="16" t="s">
        <v>35</v>
      </c>
      <c r="H765" s="16"/>
      <c r="I765" s="16"/>
      <c r="J765" s="16"/>
      <c r="K765" s="16"/>
      <c r="L765" s="16"/>
      <c r="M765" s="16"/>
      <c r="N765" s="16"/>
      <c r="O765" s="17" t="s">
        <v>38</v>
      </c>
      <c r="P765" s="5" t="str">
        <f t="shared" si="18"/>
        <v>Truncate table DDOA78;</v>
      </c>
      <c r="Q765" s="60"/>
      <c r="R765" s="87"/>
    </row>
    <row r="766" spans="2:18" x14ac:dyDescent="0.25">
      <c r="B766" s="19" t="s">
        <v>1110</v>
      </c>
      <c r="C766" s="305" t="s">
        <v>9938</v>
      </c>
      <c r="D766" s="16" t="s">
        <v>29</v>
      </c>
      <c r="E766" s="16"/>
      <c r="F766" s="5"/>
      <c r="G766" s="16" t="s">
        <v>35</v>
      </c>
      <c r="H766" s="16"/>
      <c r="I766" s="16"/>
      <c r="J766" s="16"/>
      <c r="K766" s="16"/>
      <c r="L766" s="16"/>
      <c r="M766" s="16"/>
      <c r="N766" s="16"/>
      <c r="O766" s="17"/>
      <c r="P766" s="5" t="str">
        <f t="shared" si="18"/>
        <v>Truncate table DEAR01;</v>
      </c>
      <c r="Q766" s="60"/>
      <c r="R766" s="87"/>
    </row>
    <row r="767" spans="2:18" x14ac:dyDescent="0.25">
      <c r="B767" s="19" t="s">
        <v>1111</v>
      </c>
      <c r="C767" s="305" t="s">
        <v>9939</v>
      </c>
      <c r="D767" s="16" t="s">
        <v>29</v>
      </c>
      <c r="E767" s="16"/>
      <c r="F767" s="5" t="s">
        <v>1112</v>
      </c>
      <c r="G767" s="16" t="s">
        <v>35</v>
      </c>
      <c r="H767" s="16"/>
      <c r="I767" s="16"/>
      <c r="J767" s="16"/>
      <c r="K767" s="16"/>
      <c r="L767" s="16"/>
      <c r="M767" s="16"/>
      <c r="N767" s="16"/>
      <c r="O767" s="17"/>
      <c r="P767" s="5" t="str">
        <f t="shared" si="18"/>
        <v>Truncate table DEMX010;</v>
      </c>
      <c r="Q767" s="60"/>
      <c r="R767" s="87"/>
    </row>
    <row r="768" spans="2:18" x14ac:dyDescent="0.25">
      <c r="B768" s="19" t="s">
        <v>1113</v>
      </c>
      <c r="C768" s="305" t="s">
        <v>9940</v>
      </c>
      <c r="D768" s="16" t="s">
        <v>29</v>
      </c>
      <c r="E768" s="16"/>
      <c r="F768" s="5" t="s">
        <v>1112</v>
      </c>
      <c r="G768" s="16" t="s">
        <v>35</v>
      </c>
      <c r="H768" s="16"/>
      <c r="I768" s="16"/>
      <c r="J768" s="16"/>
      <c r="K768" s="16"/>
      <c r="L768" s="16"/>
      <c r="M768" s="16"/>
      <c r="N768" s="16"/>
      <c r="O768" s="17"/>
      <c r="P768" s="5" t="str">
        <f t="shared" si="18"/>
        <v>Truncate table DEMX011;</v>
      </c>
      <c r="Q768" s="60"/>
      <c r="R768" s="87"/>
    </row>
    <row r="769" spans="1:18" x14ac:dyDescent="0.25">
      <c r="B769" s="19" t="s">
        <v>1114</v>
      </c>
      <c r="C769" s="305" t="s">
        <v>9941</v>
      </c>
      <c r="D769" s="16" t="s">
        <v>29</v>
      </c>
      <c r="E769" s="16"/>
      <c r="F769" s="5" t="s">
        <v>1112</v>
      </c>
      <c r="G769" s="16" t="s">
        <v>35</v>
      </c>
      <c r="H769" s="16"/>
      <c r="I769" s="16"/>
      <c r="J769" s="16"/>
      <c r="K769" s="16"/>
      <c r="L769" s="16"/>
      <c r="M769" s="16"/>
      <c r="N769" s="16"/>
      <c r="O769" s="17"/>
      <c r="P769" s="5" t="str">
        <f t="shared" si="18"/>
        <v>Truncate table DEMX012;</v>
      </c>
      <c r="Q769" s="60"/>
      <c r="R769" s="87"/>
    </row>
    <row r="770" spans="1:18" x14ac:dyDescent="0.25">
      <c r="B770" s="19" t="s">
        <v>1115</v>
      </c>
      <c r="C770" s="305" t="s">
        <v>9942</v>
      </c>
      <c r="D770" s="16" t="s">
        <v>29</v>
      </c>
      <c r="E770" s="16"/>
      <c r="F770" s="5" t="s">
        <v>1112</v>
      </c>
      <c r="G770" s="16" t="s">
        <v>35</v>
      </c>
      <c r="H770" s="16" t="s">
        <v>12</v>
      </c>
      <c r="I770" s="16"/>
      <c r="J770" s="16"/>
      <c r="K770" s="16"/>
      <c r="L770" s="16"/>
      <c r="M770" s="16"/>
      <c r="N770" s="16"/>
      <c r="O770" s="17"/>
      <c r="P770" s="5" t="str">
        <f t="shared" si="18"/>
        <v>Truncate table DEMX1Z;</v>
      </c>
      <c r="Q770" s="60"/>
      <c r="R770" s="87"/>
    </row>
    <row r="771" spans="1:18" x14ac:dyDescent="0.25">
      <c r="B771" s="19" t="s">
        <v>1116</v>
      </c>
      <c r="C771" s="305" t="s">
        <v>9943</v>
      </c>
      <c r="D771" s="16" t="s">
        <v>29</v>
      </c>
      <c r="E771" s="16"/>
      <c r="F771" s="5" t="s">
        <v>1112</v>
      </c>
      <c r="G771" s="16" t="s">
        <v>35</v>
      </c>
      <c r="H771" s="16" t="s">
        <v>12</v>
      </c>
      <c r="I771" s="16"/>
      <c r="J771" s="16"/>
      <c r="K771" s="16"/>
      <c r="L771" s="16"/>
      <c r="M771" s="16"/>
      <c r="N771" s="16"/>
      <c r="O771" s="17"/>
      <c r="P771" s="5" t="str">
        <f t="shared" si="18"/>
        <v>Truncate table DEMX1ZE;</v>
      </c>
      <c r="Q771" s="60"/>
      <c r="R771" s="87"/>
    </row>
    <row r="772" spans="1:18" ht="67.5" x14ac:dyDescent="0.25">
      <c r="B772" s="4" t="s">
        <v>1117</v>
      </c>
      <c r="C772" s="5" t="s">
        <v>1118</v>
      </c>
      <c r="D772" s="5" t="s">
        <v>8152</v>
      </c>
      <c r="E772" s="16" t="s">
        <v>54</v>
      </c>
      <c r="F772" s="5" t="s">
        <v>235</v>
      </c>
      <c r="G772" s="16" t="s">
        <v>35</v>
      </c>
      <c r="H772" s="16" t="s">
        <v>36</v>
      </c>
      <c r="I772" s="5" t="s">
        <v>1119</v>
      </c>
      <c r="J772" s="5" t="s">
        <v>1120</v>
      </c>
      <c r="K772" s="5" t="s">
        <v>1121</v>
      </c>
      <c r="L772" s="5" t="s">
        <v>1122</v>
      </c>
      <c r="M772" s="229"/>
      <c r="N772" s="5" t="s">
        <v>1123</v>
      </c>
      <c r="O772" s="17" t="s">
        <v>38</v>
      </c>
      <c r="P772" s="5" t="str">
        <f t="shared" si="18"/>
        <v/>
      </c>
      <c r="Q772" s="60"/>
      <c r="R772" s="87"/>
    </row>
    <row r="773" spans="1:18" ht="229.5" x14ac:dyDescent="0.25">
      <c r="B773" s="23" t="s">
        <v>1124</v>
      </c>
      <c r="C773" s="23" t="s">
        <v>1125</v>
      </c>
      <c r="D773" s="23" t="s">
        <v>29</v>
      </c>
      <c r="E773" s="23" t="s">
        <v>54</v>
      </c>
      <c r="F773" s="23" t="s">
        <v>163</v>
      </c>
      <c r="G773" s="23" t="s">
        <v>503</v>
      </c>
      <c r="H773" s="23" t="s">
        <v>12</v>
      </c>
      <c r="I773" s="23" t="s">
        <v>1126</v>
      </c>
      <c r="J773" s="23" t="s">
        <v>1127</v>
      </c>
      <c r="K773" s="23" t="s">
        <v>1128</v>
      </c>
      <c r="L773" s="88" t="s">
        <v>1129</v>
      </c>
      <c r="M773" s="88"/>
      <c r="N773" s="5" t="s">
        <v>1130</v>
      </c>
      <c r="O773" s="32" t="s">
        <v>38</v>
      </c>
      <c r="P773" s="5" t="str">
        <f t="shared" si="18"/>
        <v>Truncate table DEMX60;</v>
      </c>
      <c r="Q773" s="60"/>
      <c r="R773" s="87"/>
    </row>
    <row r="774" spans="1:18" ht="67.5" x14ac:dyDescent="0.25">
      <c r="B774" s="23" t="s">
        <v>1131</v>
      </c>
      <c r="C774" s="23" t="s">
        <v>1132</v>
      </c>
      <c r="D774" s="19" t="s">
        <v>29</v>
      </c>
      <c r="E774" s="19" t="s">
        <v>151</v>
      </c>
      <c r="F774" s="23" t="s">
        <v>699</v>
      </c>
      <c r="G774" s="19" t="s">
        <v>35</v>
      </c>
      <c r="H774" s="19" t="s">
        <v>12</v>
      </c>
      <c r="I774" s="23" t="s">
        <v>1133</v>
      </c>
      <c r="J774" s="23" t="s">
        <v>1134</v>
      </c>
      <c r="K774" s="23" t="s">
        <v>1135</v>
      </c>
      <c r="L774" s="88" t="s">
        <v>1136</v>
      </c>
      <c r="M774" s="88"/>
      <c r="N774" s="19"/>
      <c r="O774" s="24" t="s">
        <v>38</v>
      </c>
      <c r="P774" s="5" t="str">
        <f t="shared" si="18"/>
        <v>Truncate table DEMXP19;</v>
      </c>
      <c r="Q774" s="5"/>
      <c r="R774" s="5"/>
    </row>
    <row r="775" spans="1:18" ht="67.5" x14ac:dyDescent="0.25">
      <c r="B775" s="23" t="s">
        <v>1137</v>
      </c>
      <c r="C775" s="23" t="s">
        <v>1138</v>
      </c>
      <c r="D775" s="19" t="s">
        <v>29</v>
      </c>
      <c r="E775" s="19" t="s">
        <v>151</v>
      </c>
      <c r="F775" s="89" t="s">
        <v>699</v>
      </c>
      <c r="G775" s="19" t="s">
        <v>35</v>
      </c>
      <c r="H775" s="19" t="s">
        <v>12</v>
      </c>
      <c r="I775" s="23" t="s">
        <v>1139</v>
      </c>
      <c r="J775" s="23" t="s">
        <v>1140</v>
      </c>
      <c r="K775" s="23" t="s">
        <v>1135</v>
      </c>
      <c r="L775" s="88" t="s">
        <v>1136</v>
      </c>
      <c r="M775" s="88"/>
      <c r="N775" s="19"/>
      <c r="O775" s="24" t="s">
        <v>38</v>
      </c>
      <c r="P775" s="5" t="str">
        <f t="shared" si="18"/>
        <v>Truncate table DEMXP20;</v>
      </c>
      <c r="Q775" s="5"/>
      <c r="R775" s="5"/>
    </row>
    <row r="776" spans="1:18" s="306" customFormat="1" x14ac:dyDescent="0.25">
      <c r="A776" s="71"/>
      <c r="B776" s="307" t="s">
        <v>1141</v>
      </c>
      <c r="C776" s="308"/>
      <c r="D776" s="308" t="s">
        <v>29</v>
      </c>
      <c r="E776" s="308"/>
      <c r="F776" s="308" t="s">
        <v>1142</v>
      </c>
      <c r="G776" s="308" t="s">
        <v>35</v>
      </c>
      <c r="H776" s="308" t="s">
        <v>12</v>
      </c>
      <c r="I776" s="308"/>
      <c r="J776" s="308"/>
      <c r="K776" s="308"/>
      <c r="L776" s="308"/>
      <c r="M776" s="308"/>
      <c r="N776" s="308"/>
      <c r="O776" s="309"/>
      <c r="P776" s="308" t="str">
        <f t="shared" si="18"/>
        <v>Truncate table DEPA05;</v>
      </c>
      <c r="Q776" s="308"/>
      <c r="R776" s="308"/>
    </row>
    <row r="777" spans="1:18" s="306" customFormat="1" x14ac:dyDescent="0.25">
      <c r="A777" s="71"/>
      <c r="B777" s="307" t="s">
        <v>1143</v>
      </c>
      <c r="C777" s="308"/>
      <c r="D777" s="308" t="s">
        <v>29</v>
      </c>
      <c r="E777" s="308"/>
      <c r="F777" s="308" t="s">
        <v>1144</v>
      </c>
      <c r="G777" s="308" t="s">
        <v>35</v>
      </c>
      <c r="H777" s="308" t="s">
        <v>12</v>
      </c>
      <c r="I777" s="308"/>
      <c r="J777" s="308"/>
      <c r="K777" s="308"/>
      <c r="L777" s="308"/>
      <c r="M777" s="308"/>
      <c r="N777" s="308"/>
      <c r="O777" s="309"/>
      <c r="P777" s="308" t="str">
        <f t="shared" si="18"/>
        <v>Truncate table DEPE01;</v>
      </c>
      <c r="Q777" s="308" t="s">
        <v>8144</v>
      </c>
      <c r="R777" s="308"/>
    </row>
    <row r="778" spans="1:18" s="306" customFormat="1" x14ac:dyDescent="0.25">
      <c r="A778" s="71"/>
      <c r="B778" s="307" t="s">
        <v>1145</v>
      </c>
      <c r="C778" s="308"/>
      <c r="D778" s="308" t="s">
        <v>29</v>
      </c>
      <c r="E778" s="308"/>
      <c r="F778" s="308" t="s">
        <v>1144</v>
      </c>
      <c r="G778" s="308" t="s">
        <v>35</v>
      </c>
      <c r="H778" s="308" t="s">
        <v>12</v>
      </c>
      <c r="I778" s="308"/>
      <c r="J778" s="308"/>
      <c r="K778" s="308"/>
      <c r="L778" s="308"/>
      <c r="M778" s="308"/>
      <c r="N778" s="308"/>
      <c r="O778" s="309"/>
      <c r="P778" s="308" t="str">
        <f t="shared" si="18"/>
        <v>Truncate table DEPE02;</v>
      </c>
      <c r="Q778" s="308" t="s">
        <v>8144</v>
      </c>
      <c r="R778" s="308"/>
    </row>
    <row r="779" spans="1:18" s="306" customFormat="1" x14ac:dyDescent="0.25">
      <c r="A779" s="71"/>
      <c r="B779" s="307" t="s">
        <v>1146</v>
      </c>
      <c r="C779" s="308"/>
      <c r="D779" s="308" t="s">
        <v>29</v>
      </c>
      <c r="E779" s="308"/>
      <c r="F779" s="308" t="s">
        <v>1144</v>
      </c>
      <c r="G779" s="308" t="s">
        <v>35</v>
      </c>
      <c r="H779" s="308" t="s">
        <v>12</v>
      </c>
      <c r="I779" s="308"/>
      <c r="J779" s="308"/>
      <c r="K779" s="308"/>
      <c r="L779" s="308"/>
      <c r="M779" s="308"/>
      <c r="N779" s="308"/>
      <c r="O779" s="309"/>
      <c r="P779" s="308" t="str">
        <f t="shared" si="18"/>
        <v>Truncate table DEPE03;</v>
      </c>
      <c r="Q779" s="308" t="s">
        <v>8144</v>
      </c>
      <c r="R779" s="308"/>
    </row>
    <row r="780" spans="1:18" s="306" customFormat="1" x14ac:dyDescent="0.25">
      <c r="A780" s="71"/>
      <c r="B780" s="307" t="s">
        <v>1147</v>
      </c>
      <c r="C780" s="308"/>
      <c r="D780" s="308" t="s">
        <v>29</v>
      </c>
      <c r="E780" s="308"/>
      <c r="F780" s="308" t="s">
        <v>1144</v>
      </c>
      <c r="G780" s="308" t="s">
        <v>35</v>
      </c>
      <c r="H780" s="308" t="s">
        <v>12</v>
      </c>
      <c r="I780" s="308"/>
      <c r="J780" s="308"/>
      <c r="K780" s="308"/>
      <c r="L780" s="308"/>
      <c r="M780" s="308"/>
      <c r="N780" s="308"/>
      <c r="O780" s="309"/>
      <c r="P780" s="308" t="str">
        <f t="shared" si="18"/>
        <v>Truncate table DEPE04;</v>
      </c>
      <c r="Q780" s="308" t="s">
        <v>8144</v>
      </c>
      <c r="R780" s="308"/>
    </row>
    <row r="781" spans="1:18" s="306" customFormat="1" x14ac:dyDescent="0.25">
      <c r="A781" s="71"/>
      <c r="B781" s="307" t="s">
        <v>1148</v>
      </c>
      <c r="C781" s="308"/>
      <c r="D781" s="308" t="s">
        <v>29</v>
      </c>
      <c r="E781" s="308"/>
      <c r="F781" s="308" t="s">
        <v>1144</v>
      </c>
      <c r="G781" s="308" t="s">
        <v>35</v>
      </c>
      <c r="H781" s="308" t="s">
        <v>12</v>
      </c>
      <c r="I781" s="308"/>
      <c r="J781" s="308"/>
      <c r="K781" s="308"/>
      <c r="L781" s="308"/>
      <c r="M781" s="308"/>
      <c r="N781" s="308"/>
      <c r="O781" s="309"/>
      <c r="P781" s="308" t="str">
        <f t="shared" si="18"/>
        <v>Truncate table DEPE05;</v>
      </c>
      <c r="Q781" s="308" t="s">
        <v>8144</v>
      </c>
      <c r="R781" s="308"/>
    </row>
    <row r="782" spans="1:18" s="306" customFormat="1" x14ac:dyDescent="0.25">
      <c r="A782" s="71"/>
      <c r="B782" s="307" t="s">
        <v>1149</v>
      </c>
      <c r="C782" s="308"/>
      <c r="D782" s="308" t="s">
        <v>29</v>
      </c>
      <c r="E782" s="308"/>
      <c r="F782" s="308" t="s">
        <v>1144</v>
      </c>
      <c r="G782" s="308" t="s">
        <v>35</v>
      </c>
      <c r="H782" s="308" t="s">
        <v>12</v>
      </c>
      <c r="I782" s="308"/>
      <c r="J782" s="308"/>
      <c r="K782" s="308"/>
      <c r="L782" s="308"/>
      <c r="M782" s="308"/>
      <c r="N782" s="308"/>
      <c r="O782" s="309"/>
      <c r="P782" s="308" t="str">
        <f t="shared" si="18"/>
        <v>Truncate table DEPE09;</v>
      </c>
      <c r="Q782" s="308" t="s">
        <v>8144</v>
      </c>
      <c r="R782" s="308"/>
    </row>
    <row r="783" spans="1:18" s="306" customFormat="1" x14ac:dyDescent="0.25">
      <c r="A783" s="71"/>
      <c r="B783" s="307" t="s">
        <v>1150</v>
      </c>
      <c r="C783" s="308"/>
      <c r="D783" s="308" t="s">
        <v>29</v>
      </c>
      <c r="E783" s="308"/>
      <c r="F783" s="308" t="s">
        <v>1144</v>
      </c>
      <c r="G783" s="308" t="s">
        <v>35</v>
      </c>
      <c r="H783" s="308" t="s">
        <v>12</v>
      </c>
      <c r="I783" s="308"/>
      <c r="J783" s="308"/>
      <c r="K783" s="308"/>
      <c r="L783" s="308"/>
      <c r="M783" s="308"/>
      <c r="N783" s="308"/>
      <c r="O783" s="309"/>
      <c r="P783" s="308" t="str">
        <f t="shared" si="18"/>
        <v>Truncate table DEPE13;</v>
      </c>
      <c r="Q783" s="308" t="s">
        <v>8144</v>
      </c>
      <c r="R783" s="308"/>
    </row>
    <row r="784" spans="1:18" s="306" customFormat="1" x14ac:dyDescent="0.25">
      <c r="A784" s="71"/>
      <c r="B784" s="307" t="s">
        <v>1151</v>
      </c>
      <c r="C784" s="308"/>
      <c r="D784" s="308" t="s">
        <v>29</v>
      </c>
      <c r="E784" s="308"/>
      <c r="F784" s="308" t="s">
        <v>1144</v>
      </c>
      <c r="G784" s="308" t="s">
        <v>35</v>
      </c>
      <c r="H784" s="308" t="s">
        <v>12</v>
      </c>
      <c r="I784" s="308"/>
      <c r="J784" s="308"/>
      <c r="K784" s="308"/>
      <c r="L784" s="308"/>
      <c r="M784" s="308"/>
      <c r="N784" s="308"/>
      <c r="O784" s="309"/>
      <c r="P784" s="308" t="str">
        <f t="shared" si="18"/>
        <v>Truncate table DEPE17;</v>
      </c>
      <c r="Q784" s="308" t="s">
        <v>8144</v>
      </c>
      <c r="R784" s="308"/>
    </row>
    <row r="785" spans="1:18" s="306" customFormat="1" x14ac:dyDescent="0.25">
      <c r="A785" s="71"/>
      <c r="B785" s="307" t="s">
        <v>1152</v>
      </c>
      <c r="C785" s="308"/>
      <c r="D785" s="308" t="s">
        <v>29</v>
      </c>
      <c r="E785" s="308"/>
      <c r="F785" s="308" t="s">
        <v>1144</v>
      </c>
      <c r="G785" s="308" t="s">
        <v>35</v>
      </c>
      <c r="H785" s="308" t="s">
        <v>12</v>
      </c>
      <c r="I785" s="308"/>
      <c r="J785" s="308"/>
      <c r="K785" s="308"/>
      <c r="L785" s="308"/>
      <c r="M785" s="308"/>
      <c r="N785" s="308"/>
      <c r="O785" s="309"/>
      <c r="P785" s="308" t="str">
        <f t="shared" si="18"/>
        <v>Truncate table DEPE18;</v>
      </c>
      <c r="Q785" s="308" t="s">
        <v>8144</v>
      </c>
      <c r="R785" s="308"/>
    </row>
    <row r="786" spans="1:18" s="306" customFormat="1" x14ac:dyDescent="0.25">
      <c r="A786" s="71"/>
      <c r="B786" s="307" t="s">
        <v>1153</v>
      </c>
      <c r="C786" s="308"/>
      <c r="D786" s="308" t="s">
        <v>29</v>
      </c>
      <c r="E786" s="308"/>
      <c r="F786" s="308" t="s">
        <v>1144</v>
      </c>
      <c r="G786" s="308" t="s">
        <v>35</v>
      </c>
      <c r="H786" s="308" t="s">
        <v>12</v>
      </c>
      <c r="I786" s="308"/>
      <c r="J786" s="308"/>
      <c r="K786" s="308"/>
      <c r="L786" s="308"/>
      <c r="M786" s="308"/>
      <c r="N786" s="308"/>
      <c r="O786" s="309"/>
      <c r="P786" s="308" t="str">
        <f t="shared" si="18"/>
        <v>Truncate table DEPE27;</v>
      </c>
      <c r="Q786" s="308" t="s">
        <v>8144</v>
      </c>
      <c r="R786" s="308"/>
    </row>
    <row r="787" spans="1:18" s="306" customFormat="1" x14ac:dyDescent="0.25">
      <c r="A787" s="71"/>
      <c r="B787" s="307" t="s">
        <v>1154</v>
      </c>
      <c r="C787" s="308"/>
      <c r="D787" s="308" t="s">
        <v>29</v>
      </c>
      <c r="E787" s="308"/>
      <c r="F787" s="308" t="s">
        <v>1144</v>
      </c>
      <c r="G787" s="308" t="s">
        <v>35</v>
      </c>
      <c r="H787" s="308" t="s">
        <v>12</v>
      </c>
      <c r="I787" s="308"/>
      <c r="J787" s="308"/>
      <c r="K787" s="308"/>
      <c r="L787" s="308"/>
      <c r="M787" s="308"/>
      <c r="N787" s="308"/>
      <c r="O787" s="309"/>
      <c r="P787" s="308" t="str">
        <f t="shared" si="18"/>
        <v>Truncate table DEPE31;</v>
      </c>
      <c r="Q787" s="308" t="s">
        <v>8144</v>
      </c>
      <c r="R787" s="308"/>
    </row>
    <row r="788" spans="1:18" s="306" customFormat="1" x14ac:dyDescent="0.25">
      <c r="A788" s="71"/>
      <c r="B788" s="307" t="s">
        <v>1155</v>
      </c>
      <c r="C788" s="308"/>
      <c r="D788" s="308" t="s">
        <v>29</v>
      </c>
      <c r="E788" s="308"/>
      <c r="F788" s="308" t="s">
        <v>1144</v>
      </c>
      <c r="G788" s="308" t="s">
        <v>35</v>
      </c>
      <c r="H788" s="308" t="s">
        <v>12</v>
      </c>
      <c r="I788" s="308"/>
      <c r="J788" s="308"/>
      <c r="K788" s="308"/>
      <c r="L788" s="308"/>
      <c r="M788" s="308"/>
      <c r="N788" s="308"/>
      <c r="O788" s="309"/>
      <c r="P788" s="308" t="str">
        <f t="shared" si="18"/>
        <v>Truncate table DEPE32;</v>
      </c>
      <c r="Q788" s="308" t="s">
        <v>8144</v>
      </c>
      <c r="R788" s="308"/>
    </row>
    <row r="789" spans="1:18" s="306" customFormat="1" x14ac:dyDescent="0.25">
      <c r="A789" s="71"/>
      <c r="B789" s="307" t="s">
        <v>1156</v>
      </c>
      <c r="C789" s="308"/>
      <c r="D789" s="308" t="s">
        <v>29</v>
      </c>
      <c r="E789" s="308"/>
      <c r="F789" s="308" t="s">
        <v>1144</v>
      </c>
      <c r="G789" s="308" t="s">
        <v>35</v>
      </c>
      <c r="H789" s="308" t="s">
        <v>12</v>
      </c>
      <c r="I789" s="308"/>
      <c r="J789" s="308"/>
      <c r="K789" s="308"/>
      <c r="L789" s="308"/>
      <c r="M789" s="308"/>
      <c r="N789" s="308"/>
      <c r="O789" s="309"/>
      <c r="P789" s="308" t="str">
        <f t="shared" si="18"/>
        <v>Truncate table DEPE33;</v>
      </c>
      <c r="Q789" s="308" t="s">
        <v>8144</v>
      </c>
      <c r="R789" s="308"/>
    </row>
    <row r="790" spans="1:18" s="306" customFormat="1" x14ac:dyDescent="0.25">
      <c r="A790" s="71"/>
      <c r="B790" s="307" t="s">
        <v>1157</v>
      </c>
      <c r="C790" s="308"/>
      <c r="D790" s="308" t="s">
        <v>29</v>
      </c>
      <c r="E790" s="308"/>
      <c r="F790" s="308" t="s">
        <v>1144</v>
      </c>
      <c r="G790" s="308" t="s">
        <v>35</v>
      </c>
      <c r="H790" s="308" t="s">
        <v>12</v>
      </c>
      <c r="I790" s="308"/>
      <c r="J790" s="308"/>
      <c r="K790" s="308"/>
      <c r="L790" s="308"/>
      <c r="M790" s="308"/>
      <c r="N790" s="308"/>
      <c r="O790" s="309"/>
      <c r="P790" s="308" t="str">
        <f t="shared" ref="P790:P821" si="19">IF(D790="Datos","Truncate table "&amp; B790&amp; ";","")</f>
        <v>Truncate table DEPE34;</v>
      </c>
      <c r="Q790" s="308" t="s">
        <v>8144</v>
      </c>
      <c r="R790" s="308"/>
    </row>
    <row r="791" spans="1:18" s="306" customFormat="1" x14ac:dyDescent="0.25">
      <c r="A791" s="71"/>
      <c r="B791" s="307" t="s">
        <v>1158</v>
      </c>
      <c r="C791" s="308"/>
      <c r="D791" s="308" t="s">
        <v>29</v>
      </c>
      <c r="E791" s="308"/>
      <c r="F791" s="308" t="s">
        <v>1144</v>
      </c>
      <c r="G791" s="308" t="s">
        <v>35</v>
      </c>
      <c r="H791" s="308" t="s">
        <v>12</v>
      </c>
      <c r="I791" s="308"/>
      <c r="J791" s="308"/>
      <c r="K791" s="308"/>
      <c r="L791" s="308"/>
      <c r="M791" s="308"/>
      <c r="N791" s="308"/>
      <c r="O791" s="309"/>
      <c r="P791" s="308" t="str">
        <f t="shared" si="19"/>
        <v>Truncate table DEPE60;</v>
      </c>
      <c r="Q791" s="308" t="s">
        <v>8144</v>
      </c>
      <c r="R791" s="308"/>
    </row>
    <row r="792" spans="1:18" s="306" customFormat="1" x14ac:dyDescent="0.25">
      <c r="A792" s="71"/>
      <c r="B792" s="307" t="s">
        <v>1159</v>
      </c>
      <c r="C792" s="308"/>
      <c r="D792" s="308" t="s">
        <v>29</v>
      </c>
      <c r="E792" s="308"/>
      <c r="F792" s="308" t="s">
        <v>1144</v>
      </c>
      <c r="G792" s="308" t="s">
        <v>35</v>
      </c>
      <c r="H792" s="308" t="s">
        <v>12</v>
      </c>
      <c r="I792" s="308"/>
      <c r="J792" s="308"/>
      <c r="K792" s="308"/>
      <c r="L792" s="308"/>
      <c r="M792" s="308"/>
      <c r="N792" s="308"/>
      <c r="O792" s="309"/>
      <c r="P792" s="308" t="str">
        <f t="shared" si="19"/>
        <v>Truncate table DEPE61;</v>
      </c>
      <c r="Q792" s="308" t="s">
        <v>8144</v>
      </c>
      <c r="R792" s="308"/>
    </row>
    <row r="793" spans="1:18" s="306" customFormat="1" x14ac:dyDescent="0.25">
      <c r="A793" s="71"/>
      <c r="B793" s="307" t="s">
        <v>1160</v>
      </c>
      <c r="C793" s="308"/>
      <c r="D793" s="308" t="s">
        <v>29</v>
      </c>
      <c r="E793" s="308"/>
      <c r="F793" s="308" t="s">
        <v>1144</v>
      </c>
      <c r="G793" s="308" t="s">
        <v>35</v>
      </c>
      <c r="H793" s="308" t="s">
        <v>12</v>
      </c>
      <c r="I793" s="308"/>
      <c r="J793" s="308"/>
      <c r="K793" s="308"/>
      <c r="L793" s="308"/>
      <c r="M793" s="308"/>
      <c r="N793" s="308"/>
      <c r="O793" s="309"/>
      <c r="P793" s="308" t="str">
        <f t="shared" si="19"/>
        <v>Truncate table DEPE67;</v>
      </c>
      <c r="Q793" s="308" t="s">
        <v>8144</v>
      </c>
      <c r="R793" s="308"/>
    </row>
    <row r="794" spans="1:18" s="306" customFormat="1" x14ac:dyDescent="0.25">
      <c r="A794" s="71"/>
      <c r="B794" s="307" t="s">
        <v>1161</v>
      </c>
      <c r="C794" s="308"/>
      <c r="D794" s="308" t="s">
        <v>29</v>
      </c>
      <c r="E794" s="308"/>
      <c r="F794" s="308" t="s">
        <v>1144</v>
      </c>
      <c r="G794" s="308" t="s">
        <v>35</v>
      </c>
      <c r="H794" s="308" t="s">
        <v>12</v>
      </c>
      <c r="I794" s="308"/>
      <c r="J794" s="308"/>
      <c r="K794" s="308"/>
      <c r="L794" s="308"/>
      <c r="M794" s="308"/>
      <c r="N794" s="308"/>
      <c r="O794" s="309"/>
      <c r="P794" s="308" t="str">
        <f t="shared" si="19"/>
        <v>Truncate table DEPE67A;</v>
      </c>
      <c r="Q794" s="308" t="s">
        <v>8144</v>
      </c>
      <c r="R794" s="308"/>
    </row>
    <row r="795" spans="1:18" s="306" customFormat="1" x14ac:dyDescent="0.25">
      <c r="A795" s="71"/>
      <c r="B795" s="307" t="s">
        <v>1162</v>
      </c>
      <c r="C795" s="308"/>
      <c r="D795" s="308" t="s">
        <v>29</v>
      </c>
      <c r="E795" s="308"/>
      <c r="F795" s="308" t="s">
        <v>1144</v>
      </c>
      <c r="G795" s="308" t="s">
        <v>35</v>
      </c>
      <c r="H795" s="308" t="s">
        <v>12</v>
      </c>
      <c r="I795" s="308"/>
      <c r="J795" s="308"/>
      <c r="K795" s="308"/>
      <c r="L795" s="308"/>
      <c r="M795" s="308"/>
      <c r="N795" s="308"/>
      <c r="O795" s="309"/>
      <c r="P795" s="308" t="str">
        <f t="shared" si="19"/>
        <v>Truncate table DEPE68;</v>
      </c>
      <c r="Q795" s="308" t="s">
        <v>8144</v>
      </c>
      <c r="R795" s="308"/>
    </row>
    <row r="796" spans="1:18" s="306" customFormat="1" x14ac:dyDescent="0.25">
      <c r="A796" s="71"/>
      <c r="B796" s="307" t="s">
        <v>1163</v>
      </c>
      <c r="C796" s="308"/>
      <c r="D796" s="308" t="s">
        <v>29</v>
      </c>
      <c r="E796" s="308"/>
      <c r="F796" s="308" t="s">
        <v>1144</v>
      </c>
      <c r="G796" s="308" t="s">
        <v>35</v>
      </c>
      <c r="H796" s="308" t="s">
        <v>12</v>
      </c>
      <c r="I796" s="308"/>
      <c r="J796" s="308"/>
      <c r="K796" s="308"/>
      <c r="L796" s="308"/>
      <c r="M796" s="308"/>
      <c r="N796" s="308"/>
      <c r="O796" s="309"/>
      <c r="P796" s="308" t="str">
        <f t="shared" si="19"/>
        <v>Truncate table DEPE69;</v>
      </c>
      <c r="Q796" s="308" t="s">
        <v>8144</v>
      </c>
      <c r="R796" s="308"/>
    </row>
    <row r="797" spans="1:18" s="306" customFormat="1" x14ac:dyDescent="0.25">
      <c r="A797" s="71"/>
      <c r="B797" s="307" t="s">
        <v>1164</v>
      </c>
      <c r="C797" s="308"/>
      <c r="D797" s="308" t="s">
        <v>29</v>
      </c>
      <c r="E797" s="308"/>
      <c r="F797" s="308" t="s">
        <v>1144</v>
      </c>
      <c r="G797" s="308" t="s">
        <v>35</v>
      </c>
      <c r="H797" s="308" t="s">
        <v>12</v>
      </c>
      <c r="I797" s="308"/>
      <c r="J797" s="308"/>
      <c r="K797" s="308"/>
      <c r="L797" s="308"/>
      <c r="M797" s="308"/>
      <c r="N797" s="308"/>
      <c r="O797" s="309"/>
      <c r="P797" s="308" t="str">
        <f t="shared" si="19"/>
        <v>Truncate table DEPE69A;</v>
      </c>
      <c r="Q797" s="308" t="s">
        <v>8144</v>
      </c>
      <c r="R797" s="308"/>
    </row>
    <row r="798" spans="1:18" s="306" customFormat="1" x14ac:dyDescent="0.25">
      <c r="A798" s="71"/>
      <c r="B798" s="307" t="s">
        <v>1165</v>
      </c>
      <c r="C798" s="308"/>
      <c r="D798" s="308" t="s">
        <v>29</v>
      </c>
      <c r="E798" s="308"/>
      <c r="F798" s="308" t="s">
        <v>1144</v>
      </c>
      <c r="G798" s="308" t="s">
        <v>35</v>
      </c>
      <c r="H798" s="308" t="s">
        <v>12</v>
      </c>
      <c r="I798" s="308"/>
      <c r="J798" s="308"/>
      <c r="K798" s="308"/>
      <c r="L798" s="308"/>
      <c r="M798" s="308"/>
      <c r="N798" s="308"/>
      <c r="O798" s="309"/>
      <c r="P798" s="308" t="str">
        <f t="shared" si="19"/>
        <v>Truncate table DEPE69B;</v>
      </c>
      <c r="Q798" s="308" t="s">
        <v>8144</v>
      </c>
      <c r="R798" s="308"/>
    </row>
    <row r="799" spans="1:18" s="306" customFormat="1" x14ac:dyDescent="0.25">
      <c r="A799" s="71"/>
      <c r="B799" s="307" t="s">
        <v>1166</v>
      </c>
      <c r="C799" s="308"/>
      <c r="D799" s="308" t="s">
        <v>29</v>
      </c>
      <c r="E799" s="308"/>
      <c r="F799" s="308" t="s">
        <v>1144</v>
      </c>
      <c r="G799" s="308" t="s">
        <v>35</v>
      </c>
      <c r="H799" s="308" t="s">
        <v>12</v>
      </c>
      <c r="I799" s="308"/>
      <c r="J799" s="308"/>
      <c r="K799" s="308"/>
      <c r="L799" s="308"/>
      <c r="M799" s="308"/>
      <c r="N799" s="308"/>
      <c r="O799" s="309"/>
      <c r="P799" s="308" t="str">
        <f t="shared" si="19"/>
        <v>Truncate table DEPE69C;</v>
      </c>
      <c r="Q799" s="308" t="s">
        <v>8144</v>
      </c>
      <c r="R799" s="308"/>
    </row>
    <row r="800" spans="1:18" s="306" customFormat="1" x14ac:dyDescent="0.25">
      <c r="A800" s="71"/>
      <c r="B800" s="307" t="s">
        <v>1167</v>
      </c>
      <c r="C800" s="308"/>
      <c r="D800" s="308" t="s">
        <v>29</v>
      </c>
      <c r="E800" s="308"/>
      <c r="F800" s="308" t="s">
        <v>1144</v>
      </c>
      <c r="G800" s="308" t="s">
        <v>35</v>
      </c>
      <c r="H800" s="308" t="s">
        <v>12</v>
      </c>
      <c r="I800" s="308"/>
      <c r="J800" s="308"/>
      <c r="K800" s="308"/>
      <c r="L800" s="308"/>
      <c r="M800" s="308"/>
      <c r="N800" s="308"/>
      <c r="O800" s="309"/>
      <c r="P800" s="308" t="str">
        <f t="shared" si="19"/>
        <v>Truncate table DEPE69D;</v>
      </c>
      <c r="Q800" s="308" t="s">
        <v>8144</v>
      </c>
      <c r="R800" s="308"/>
    </row>
    <row r="801" spans="1:18" s="306" customFormat="1" x14ac:dyDescent="0.25">
      <c r="A801" s="71"/>
      <c r="B801" s="307" t="s">
        <v>1168</v>
      </c>
      <c r="C801" s="308"/>
      <c r="D801" s="308" t="s">
        <v>29</v>
      </c>
      <c r="E801" s="308"/>
      <c r="F801" s="308" t="s">
        <v>1144</v>
      </c>
      <c r="G801" s="308" t="s">
        <v>35</v>
      </c>
      <c r="H801" s="308" t="s">
        <v>12</v>
      </c>
      <c r="I801" s="308"/>
      <c r="J801" s="308"/>
      <c r="K801" s="308"/>
      <c r="L801" s="308"/>
      <c r="M801" s="308"/>
      <c r="N801" s="308"/>
      <c r="O801" s="309"/>
      <c r="P801" s="308" t="str">
        <f t="shared" si="19"/>
        <v>Truncate table DEPE69E;</v>
      </c>
      <c r="Q801" s="308" t="s">
        <v>8144</v>
      </c>
      <c r="R801" s="308"/>
    </row>
    <row r="802" spans="1:18" s="306" customFormat="1" x14ac:dyDescent="0.25">
      <c r="A802" s="71"/>
      <c r="B802" s="307" t="s">
        <v>1169</v>
      </c>
      <c r="C802" s="308"/>
      <c r="D802" s="308" t="s">
        <v>29</v>
      </c>
      <c r="E802" s="308"/>
      <c r="F802" s="308" t="s">
        <v>1144</v>
      </c>
      <c r="G802" s="308" t="s">
        <v>35</v>
      </c>
      <c r="H802" s="308" t="s">
        <v>12</v>
      </c>
      <c r="I802" s="308"/>
      <c r="J802" s="308"/>
      <c r="K802" s="308"/>
      <c r="L802" s="308"/>
      <c r="M802" s="308"/>
      <c r="N802" s="308"/>
      <c r="O802" s="309"/>
      <c r="P802" s="308" t="str">
        <f t="shared" si="19"/>
        <v>Truncate table DEPE69F;</v>
      </c>
      <c r="Q802" s="308" t="s">
        <v>8144</v>
      </c>
      <c r="R802" s="308"/>
    </row>
    <row r="803" spans="1:18" s="306" customFormat="1" x14ac:dyDescent="0.25">
      <c r="A803" s="71"/>
      <c r="B803" s="307" t="s">
        <v>1170</v>
      </c>
      <c r="C803" s="308"/>
      <c r="D803" s="308" t="s">
        <v>29</v>
      </c>
      <c r="E803" s="308"/>
      <c r="F803" s="308" t="s">
        <v>1144</v>
      </c>
      <c r="G803" s="308" t="s">
        <v>35</v>
      </c>
      <c r="H803" s="308" t="s">
        <v>12</v>
      </c>
      <c r="I803" s="308"/>
      <c r="J803" s="308"/>
      <c r="K803" s="308"/>
      <c r="L803" s="308"/>
      <c r="M803" s="308"/>
      <c r="N803" s="308"/>
      <c r="O803" s="309"/>
      <c r="P803" s="308" t="str">
        <f t="shared" si="19"/>
        <v>Truncate table DEPE69G;</v>
      </c>
      <c r="Q803" s="308" t="s">
        <v>8144</v>
      </c>
      <c r="R803" s="308"/>
    </row>
    <row r="804" spans="1:18" s="306" customFormat="1" x14ac:dyDescent="0.25">
      <c r="A804" s="71"/>
      <c r="B804" s="307" t="s">
        <v>1171</v>
      </c>
      <c r="C804" s="308"/>
      <c r="D804" s="308" t="s">
        <v>29</v>
      </c>
      <c r="E804" s="308"/>
      <c r="F804" s="308" t="s">
        <v>1144</v>
      </c>
      <c r="G804" s="308" t="s">
        <v>35</v>
      </c>
      <c r="H804" s="308" t="s">
        <v>12</v>
      </c>
      <c r="I804" s="308"/>
      <c r="J804" s="308"/>
      <c r="K804" s="308"/>
      <c r="L804" s="308"/>
      <c r="M804" s="308"/>
      <c r="N804" s="308"/>
      <c r="O804" s="309"/>
      <c r="P804" s="308" t="str">
        <f t="shared" si="19"/>
        <v>Truncate table DEPE69H;</v>
      </c>
      <c r="Q804" s="308" t="s">
        <v>8144</v>
      </c>
      <c r="R804" s="308"/>
    </row>
    <row r="805" spans="1:18" s="306" customFormat="1" x14ac:dyDescent="0.25">
      <c r="A805" s="71"/>
      <c r="B805" s="307" t="s">
        <v>1172</v>
      </c>
      <c r="C805" s="308"/>
      <c r="D805" s="308" t="s">
        <v>29</v>
      </c>
      <c r="E805" s="308"/>
      <c r="F805" s="308" t="s">
        <v>1144</v>
      </c>
      <c r="G805" s="308" t="s">
        <v>35</v>
      </c>
      <c r="H805" s="308" t="s">
        <v>12</v>
      </c>
      <c r="I805" s="308"/>
      <c r="J805" s="308"/>
      <c r="K805" s="308"/>
      <c r="L805" s="308"/>
      <c r="M805" s="308"/>
      <c r="N805" s="308"/>
      <c r="O805" s="309"/>
      <c r="P805" s="308" t="str">
        <f t="shared" si="19"/>
        <v>Truncate table DEPE69I;</v>
      </c>
      <c r="Q805" s="308" t="s">
        <v>8144</v>
      </c>
      <c r="R805" s="308"/>
    </row>
    <row r="806" spans="1:18" s="306" customFormat="1" x14ac:dyDescent="0.25">
      <c r="A806" s="71"/>
      <c r="B806" s="307" t="s">
        <v>1173</v>
      </c>
      <c r="C806" s="308"/>
      <c r="D806" s="308" t="s">
        <v>29</v>
      </c>
      <c r="E806" s="308"/>
      <c r="F806" s="308" t="s">
        <v>1144</v>
      </c>
      <c r="G806" s="308" t="s">
        <v>35</v>
      </c>
      <c r="H806" s="308" t="s">
        <v>12</v>
      </c>
      <c r="I806" s="308"/>
      <c r="J806" s="308"/>
      <c r="K806" s="308"/>
      <c r="L806" s="308"/>
      <c r="M806" s="308"/>
      <c r="N806" s="308"/>
      <c r="O806" s="309"/>
      <c r="P806" s="308" t="str">
        <f t="shared" si="19"/>
        <v>Truncate table DEPE69J;</v>
      </c>
      <c r="Q806" s="308" t="s">
        <v>8144</v>
      </c>
      <c r="R806" s="308"/>
    </row>
    <row r="807" spans="1:18" s="306" customFormat="1" x14ac:dyDescent="0.25">
      <c r="A807" s="71"/>
      <c r="B807" s="307" t="s">
        <v>1174</v>
      </c>
      <c r="C807" s="308"/>
      <c r="D807" s="308" t="s">
        <v>29</v>
      </c>
      <c r="E807" s="308"/>
      <c r="F807" s="308" t="s">
        <v>1144</v>
      </c>
      <c r="G807" s="308" t="s">
        <v>35</v>
      </c>
      <c r="H807" s="308" t="s">
        <v>12</v>
      </c>
      <c r="I807" s="308"/>
      <c r="J807" s="308"/>
      <c r="K807" s="308"/>
      <c r="L807" s="308"/>
      <c r="M807" s="308"/>
      <c r="N807" s="308"/>
      <c r="O807" s="309"/>
      <c r="P807" s="308" t="str">
        <f t="shared" si="19"/>
        <v>Truncate table DEPE69K;</v>
      </c>
      <c r="Q807" s="308" t="s">
        <v>8144</v>
      </c>
      <c r="R807" s="308"/>
    </row>
    <row r="808" spans="1:18" s="306" customFormat="1" x14ac:dyDescent="0.25">
      <c r="A808" s="71"/>
      <c r="B808" s="307" t="s">
        <v>1175</v>
      </c>
      <c r="C808" s="308"/>
      <c r="D808" s="308" t="s">
        <v>29</v>
      </c>
      <c r="E808" s="308"/>
      <c r="F808" s="308" t="s">
        <v>1144</v>
      </c>
      <c r="G808" s="308" t="s">
        <v>35</v>
      </c>
      <c r="H808" s="308" t="s">
        <v>12</v>
      </c>
      <c r="I808" s="308"/>
      <c r="J808" s="308"/>
      <c r="K808" s="308"/>
      <c r="L808" s="308"/>
      <c r="M808" s="308"/>
      <c r="N808" s="308"/>
      <c r="O808" s="309"/>
      <c r="P808" s="308" t="str">
        <f t="shared" si="19"/>
        <v>Truncate table DEPE69L;</v>
      </c>
      <c r="Q808" s="308" t="s">
        <v>8144</v>
      </c>
      <c r="R808" s="308"/>
    </row>
    <row r="809" spans="1:18" s="306" customFormat="1" x14ac:dyDescent="0.25">
      <c r="A809" s="71"/>
      <c r="B809" s="307" t="s">
        <v>1176</v>
      </c>
      <c r="C809" s="308"/>
      <c r="D809" s="308" t="s">
        <v>29</v>
      </c>
      <c r="E809" s="308"/>
      <c r="F809" s="308" t="s">
        <v>1144</v>
      </c>
      <c r="G809" s="308" t="s">
        <v>35</v>
      </c>
      <c r="H809" s="308" t="s">
        <v>12</v>
      </c>
      <c r="I809" s="308"/>
      <c r="J809" s="308"/>
      <c r="K809" s="308"/>
      <c r="L809" s="308"/>
      <c r="M809" s="308"/>
      <c r="N809" s="308"/>
      <c r="O809" s="309"/>
      <c r="P809" s="308" t="str">
        <f t="shared" si="19"/>
        <v>Truncate table DEPE70;</v>
      </c>
      <c r="Q809" s="308" t="s">
        <v>8144</v>
      </c>
      <c r="R809" s="308"/>
    </row>
    <row r="810" spans="1:18" s="306" customFormat="1" x14ac:dyDescent="0.25">
      <c r="A810" s="71"/>
      <c r="B810" s="307" t="s">
        <v>1177</v>
      </c>
      <c r="C810" s="308"/>
      <c r="D810" s="308" t="s">
        <v>29</v>
      </c>
      <c r="E810" s="308"/>
      <c r="F810" s="308" t="s">
        <v>1144</v>
      </c>
      <c r="G810" s="308" t="s">
        <v>35</v>
      </c>
      <c r="H810" s="308" t="s">
        <v>12</v>
      </c>
      <c r="I810" s="308"/>
      <c r="J810" s="308"/>
      <c r="K810" s="308"/>
      <c r="L810" s="308"/>
      <c r="M810" s="308"/>
      <c r="N810" s="308"/>
      <c r="O810" s="309"/>
      <c r="P810" s="308" t="str">
        <f t="shared" si="19"/>
        <v>Truncate table DEPEF0;</v>
      </c>
      <c r="Q810" s="308" t="s">
        <v>8144</v>
      </c>
      <c r="R810" s="308"/>
    </row>
    <row r="811" spans="1:18" x14ac:dyDescent="0.25">
      <c r="B811" s="19" t="s">
        <v>1178</v>
      </c>
      <c r="C811" s="305" t="s">
        <v>9944</v>
      </c>
      <c r="D811" s="16" t="s">
        <v>29</v>
      </c>
      <c r="E811" s="16"/>
      <c r="F811" s="5" t="s">
        <v>1144</v>
      </c>
      <c r="G811" s="16" t="s">
        <v>35</v>
      </c>
      <c r="H811" s="16" t="s">
        <v>12</v>
      </c>
      <c r="I811" s="16"/>
      <c r="J811" s="16"/>
      <c r="K811" s="16"/>
      <c r="L811" s="16"/>
      <c r="M811" s="16"/>
      <c r="N811" s="16"/>
      <c r="O811" s="17"/>
      <c r="P811" s="5" t="str">
        <f t="shared" si="19"/>
        <v>Truncate table DEPEF1;</v>
      </c>
      <c r="Q811" s="5" t="s">
        <v>8144</v>
      </c>
      <c r="R811" s="5"/>
    </row>
    <row r="812" spans="1:18" x14ac:dyDescent="0.25">
      <c r="B812" s="19" t="s">
        <v>1179</v>
      </c>
      <c r="C812" s="305" t="s">
        <v>9945</v>
      </c>
      <c r="D812" s="16" t="s">
        <v>29</v>
      </c>
      <c r="E812" s="16"/>
      <c r="F812" s="5" t="s">
        <v>1144</v>
      </c>
      <c r="G812" s="16" t="s">
        <v>35</v>
      </c>
      <c r="H812" s="16" t="s">
        <v>12</v>
      </c>
      <c r="I812" s="16"/>
      <c r="J812" s="16"/>
      <c r="K812" s="16"/>
      <c r="L812" s="16"/>
      <c r="M812" s="16"/>
      <c r="N812" s="16"/>
      <c r="O812" s="17"/>
      <c r="P812" s="5" t="str">
        <f t="shared" si="19"/>
        <v>Truncate table DEPEF11;</v>
      </c>
      <c r="Q812" s="5" t="s">
        <v>8144</v>
      </c>
      <c r="R812" s="5"/>
    </row>
    <row r="813" spans="1:18" x14ac:dyDescent="0.25">
      <c r="B813" s="19" t="s">
        <v>1180</v>
      </c>
      <c r="C813" s="305" t="s">
        <v>9946</v>
      </c>
      <c r="D813" s="16" t="s">
        <v>29</v>
      </c>
      <c r="E813" s="16"/>
      <c r="F813" s="5" t="s">
        <v>1144</v>
      </c>
      <c r="G813" s="16" t="s">
        <v>35</v>
      </c>
      <c r="H813" s="16" t="s">
        <v>12</v>
      </c>
      <c r="I813" s="16"/>
      <c r="J813" s="16"/>
      <c r="K813" s="16"/>
      <c r="L813" s="16"/>
      <c r="M813" s="16"/>
      <c r="N813" s="16"/>
      <c r="O813" s="17"/>
      <c r="P813" s="5" t="str">
        <f t="shared" si="19"/>
        <v>Truncate table DEPEF2;</v>
      </c>
      <c r="Q813" s="5" t="s">
        <v>8144</v>
      </c>
      <c r="R813" s="5"/>
    </row>
    <row r="814" spans="1:18" x14ac:dyDescent="0.25">
      <c r="B814" s="19" t="s">
        <v>1181</v>
      </c>
      <c r="C814" s="305" t="s">
        <v>9947</v>
      </c>
      <c r="D814" s="16" t="s">
        <v>29</v>
      </c>
      <c r="E814" s="16"/>
      <c r="F814" s="5" t="s">
        <v>1144</v>
      </c>
      <c r="G814" s="16" t="s">
        <v>35</v>
      </c>
      <c r="H814" s="16" t="s">
        <v>12</v>
      </c>
      <c r="I814" s="16"/>
      <c r="J814" s="16"/>
      <c r="K814" s="16"/>
      <c r="L814" s="16"/>
      <c r="M814" s="16"/>
      <c r="N814" s="16"/>
      <c r="O814" s="17"/>
      <c r="P814" s="5" t="str">
        <f t="shared" si="19"/>
        <v>Truncate table DEPEF3;</v>
      </c>
      <c r="Q814" s="5" t="s">
        <v>8144</v>
      </c>
      <c r="R814" s="5"/>
    </row>
    <row r="815" spans="1:18" s="306" customFormat="1" x14ac:dyDescent="0.25">
      <c r="A815" s="71"/>
      <c r="B815" s="307" t="s">
        <v>1182</v>
      </c>
      <c r="C815" s="308"/>
      <c r="D815" s="308" t="s">
        <v>29</v>
      </c>
      <c r="E815" s="308"/>
      <c r="F815" s="308" t="s">
        <v>1144</v>
      </c>
      <c r="G815" s="308" t="s">
        <v>35</v>
      </c>
      <c r="H815" s="308" t="s">
        <v>12</v>
      </c>
      <c r="I815" s="308"/>
      <c r="J815" s="308"/>
      <c r="K815" s="308"/>
      <c r="L815" s="308"/>
      <c r="M815" s="308"/>
      <c r="N815" s="308"/>
      <c r="O815" s="309"/>
      <c r="P815" s="308" t="str">
        <f t="shared" si="19"/>
        <v>Truncate table DEPEF4;</v>
      </c>
      <c r="Q815" s="308" t="s">
        <v>8144</v>
      </c>
      <c r="R815" s="308"/>
    </row>
    <row r="816" spans="1:18" s="306" customFormat="1" x14ac:dyDescent="0.25">
      <c r="A816" s="71"/>
      <c r="B816" s="307" t="s">
        <v>1183</v>
      </c>
      <c r="C816" s="308"/>
      <c r="D816" s="308" t="s">
        <v>29</v>
      </c>
      <c r="E816" s="308"/>
      <c r="F816" s="308" t="s">
        <v>1144</v>
      </c>
      <c r="G816" s="308" t="s">
        <v>35</v>
      </c>
      <c r="H816" s="308" t="s">
        <v>12</v>
      </c>
      <c r="I816" s="308"/>
      <c r="J816" s="308"/>
      <c r="K816" s="308"/>
      <c r="L816" s="308"/>
      <c r="M816" s="308"/>
      <c r="N816" s="308"/>
      <c r="O816" s="309"/>
      <c r="P816" s="308" t="str">
        <f t="shared" si="19"/>
        <v>Truncate table DEPEF5;</v>
      </c>
      <c r="Q816" s="308" t="s">
        <v>8144</v>
      </c>
      <c r="R816" s="308"/>
    </row>
    <row r="817" spans="1:18" s="306" customFormat="1" x14ac:dyDescent="0.25">
      <c r="A817" s="71"/>
      <c r="B817" s="307" t="s">
        <v>1184</v>
      </c>
      <c r="C817" s="308"/>
      <c r="D817" s="308" t="s">
        <v>29</v>
      </c>
      <c r="E817" s="308"/>
      <c r="F817" s="308" t="s">
        <v>1144</v>
      </c>
      <c r="G817" s="308" t="s">
        <v>35</v>
      </c>
      <c r="H817" s="308" t="s">
        <v>12</v>
      </c>
      <c r="I817" s="308"/>
      <c r="J817" s="308"/>
      <c r="K817" s="308"/>
      <c r="L817" s="308"/>
      <c r="M817" s="308"/>
      <c r="N817" s="308"/>
      <c r="O817" s="309"/>
      <c r="P817" s="308" t="str">
        <f t="shared" si="19"/>
        <v>Truncate table DEPEF6;</v>
      </c>
      <c r="Q817" s="308" t="s">
        <v>8144</v>
      </c>
      <c r="R817" s="308"/>
    </row>
    <row r="818" spans="1:18" s="306" customFormat="1" x14ac:dyDescent="0.25">
      <c r="A818" s="71"/>
      <c r="B818" s="307" t="s">
        <v>1185</v>
      </c>
      <c r="C818" s="308"/>
      <c r="D818" s="308" t="s">
        <v>29</v>
      </c>
      <c r="E818" s="308"/>
      <c r="F818" s="308" t="s">
        <v>1144</v>
      </c>
      <c r="G818" s="308" t="s">
        <v>35</v>
      </c>
      <c r="H818" s="308" t="s">
        <v>12</v>
      </c>
      <c r="I818" s="308"/>
      <c r="J818" s="308"/>
      <c r="K818" s="308"/>
      <c r="L818" s="308"/>
      <c r="M818" s="308"/>
      <c r="N818" s="308"/>
      <c r="O818" s="309"/>
      <c r="P818" s="308" t="str">
        <f t="shared" si="19"/>
        <v>Truncate table DEPEF7;</v>
      </c>
      <c r="Q818" s="308" t="s">
        <v>8144</v>
      </c>
      <c r="R818" s="308"/>
    </row>
    <row r="819" spans="1:18" s="306" customFormat="1" x14ac:dyDescent="0.25">
      <c r="A819" s="71"/>
      <c r="B819" s="307" t="s">
        <v>1186</v>
      </c>
      <c r="C819" s="308"/>
      <c r="D819" s="308" t="s">
        <v>29</v>
      </c>
      <c r="E819" s="308"/>
      <c r="F819" s="308" t="s">
        <v>1144</v>
      </c>
      <c r="G819" s="308" t="s">
        <v>35</v>
      </c>
      <c r="H819" s="308" t="s">
        <v>12</v>
      </c>
      <c r="I819" s="308"/>
      <c r="J819" s="308"/>
      <c r="K819" s="308"/>
      <c r="L819" s="308"/>
      <c r="M819" s="308"/>
      <c r="N819" s="308"/>
      <c r="O819" s="309"/>
      <c r="P819" s="308" t="str">
        <f t="shared" si="19"/>
        <v>Truncate table DEPEF8;</v>
      </c>
      <c r="Q819" s="308" t="s">
        <v>8144</v>
      </c>
      <c r="R819" s="308"/>
    </row>
    <row r="820" spans="1:18" s="306" customFormat="1" x14ac:dyDescent="0.25">
      <c r="A820" s="71"/>
      <c r="B820" s="307" t="s">
        <v>1187</v>
      </c>
      <c r="C820" s="308"/>
      <c r="D820" s="308" t="s">
        <v>29</v>
      </c>
      <c r="E820" s="308"/>
      <c r="F820" s="308" t="s">
        <v>1144</v>
      </c>
      <c r="G820" s="308" t="s">
        <v>35</v>
      </c>
      <c r="H820" s="308" t="s">
        <v>12</v>
      </c>
      <c r="I820" s="308"/>
      <c r="J820" s="308"/>
      <c r="K820" s="308"/>
      <c r="L820" s="308"/>
      <c r="M820" s="308"/>
      <c r="N820" s="308"/>
      <c r="O820" s="309"/>
      <c r="P820" s="308" t="str">
        <f t="shared" si="19"/>
        <v>Truncate table DEPEF9;</v>
      </c>
      <c r="Q820" s="308" t="s">
        <v>8144</v>
      </c>
      <c r="R820" s="308"/>
    </row>
    <row r="821" spans="1:18" x14ac:dyDescent="0.25">
      <c r="B821" s="19" t="s">
        <v>1188</v>
      </c>
      <c r="C821" s="305" t="s">
        <v>4539</v>
      </c>
      <c r="D821" s="16" t="s">
        <v>29</v>
      </c>
      <c r="E821" s="16"/>
      <c r="F821" s="5" t="s">
        <v>1144</v>
      </c>
      <c r="G821" s="16" t="s">
        <v>35</v>
      </c>
      <c r="H821" s="16" t="s">
        <v>12</v>
      </c>
      <c r="I821" s="16"/>
      <c r="J821" s="16"/>
      <c r="K821" s="16"/>
      <c r="L821" s="16"/>
      <c r="M821" s="16"/>
      <c r="N821" s="16"/>
      <c r="O821" s="17"/>
      <c r="P821" s="5" t="str">
        <f t="shared" si="19"/>
        <v>Truncate table DEPEI01;</v>
      </c>
      <c r="Q821" s="5" t="s">
        <v>8144</v>
      </c>
      <c r="R821" s="5"/>
    </row>
    <row r="822" spans="1:18" x14ac:dyDescent="0.25">
      <c r="B822" s="19" t="s">
        <v>1189</v>
      </c>
      <c r="C822" s="305" t="s">
        <v>9948</v>
      </c>
      <c r="D822" s="16" t="s">
        <v>29</v>
      </c>
      <c r="E822" s="16"/>
      <c r="F822" s="5" t="s">
        <v>1144</v>
      </c>
      <c r="G822" s="16" t="s">
        <v>35</v>
      </c>
      <c r="H822" s="16" t="s">
        <v>12</v>
      </c>
      <c r="I822" s="16"/>
      <c r="J822" s="16"/>
      <c r="K822" s="16"/>
      <c r="L822" s="16"/>
      <c r="M822" s="16"/>
      <c r="N822" s="16"/>
      <c r="O822" s="17"/>
      <c r="P822" s="5" t="str">
        <f t="shared" ref="P822:P847" si="20">IF(D822="Datos","Truncate table "&amp; B822&amp; ";","")</f>
        <v>Truncate table DEPHI1;</v>
      </c>
      <c r="Q822" s="5"/>
      <c r="R822" s="5"/>
    </row>
    <row r="823" spans="1:18" x14ac:dyDescent="0.25">
      <c r="B823" s="19" t="s">
        <v>1190</v>
      </c>
      <c r="C823" s="305" t="s">
        <v>9949</v>
      </c>
      <c r="D823" s="16" t="s">
        <v>29</v>
      </c>
      <c r="E823" s="16"/>
      <c r="F823" s="5" t="s">
        <v>1144</v>
      </c>
      <c r="G823" s="16" t="s">
        <v>35</v>
      </c>
      <c r="H823" s="16" t="s">
        <v>12</v>
      </c>
      <c r="I823" s="16"/>
      <c r="J823" s="16"/>
      <c r="K823" s="16"/>
      <c r="L823" s="16"/>
      <c r="M823" s="16"/>
      <c r="N823" s="16"/>
      <c r="O823" s="17"/>
      <c r="P823" s="5" t="str">
        <f t="shared" si="20"/>
        <v>Truncate table DEPHI2;</v>
      </c>
      <c r="Q823" s="5"/>
      <c r="R823" s="5"/>
    </row>
    <row r="824" spans="1:18" x14ac:dyDescent="0.25">
      <c r="B824" s="19" t="s">
        <v>1191</v>
      </c>
      <c r="C824" s="305" t="s">
        <v>9950</v>
      </c>
      <c r="D824" s="16" t="s">
        <v>29</v>
      </c>
      <c r="E824" s="16"/>
      <c r="F824" s="5" t="s">
        <v>1144</v>
      </c>
      <c r="G824" s="16" t="s">
        <v>35</v>
      </c>
      <c r="H824" s="16" t="s">
        <v>12</v>
      </c>
      <c r="I824" s="16"/>
      <c r="J824" s="16"/>
      <c r="K824" s="16"/>
      <c r="L824" s="16"/>
      <c r="M824" s="16"/>
      <c r="N824" s="16"/>
      <c r="O824" s="17"/>
      <c r="P824" s="5" t="str">
        <f t="shared" si="20"/>
        <v>Truncate table DEPI01;</v>
      </c>
      <c r="Q824" s="5"/>
      <c r="R824" s="5"/>
    </row>
    <row r="825" spans="1:18" x14ac:dyDescent="0.25">
      <c r="B825" s="19" t="s">
        <v>1192</v>
      </c>
      <c r="C825" s="5" t="s">
        <v>9951</v>
      </c>
      <c r="D825" s="16" t="s">
        <v>29</v>
      </c>
      <c r="E825" s="16"/>
      <c r="F825" s="5" t="s">
        <v>1193</v>
      </c>
      <c r="G825" s="16" t="s">
        <v>35</v>
      </c>
      <c r="H825" s="16" t="s">
        <v>12</v>
      </c>
      <c r="I825" s="16"/>
      <c r="J825" s="16"/>
      <c r="K825" s="16"/>
      <c r="L825" s="16"/>
      <c r="M825" s="16" t="s">
        <v>11158</v>
      </c>
      <c r="N825" s="16"/>
      <c r="O825" s="17"/>
      <c r="P825" s="5" t="str">
        <f t="shared" si="20"/>
        <v>Truncate table DEUY01;</v>
      </c>
      <c r="Q825" s="5" t="s">
        <v>8146</v>
      </c>
      <c r="R825" s="5"/>
    </row>
    <row r="826" spans="1:18" x14ac:dyDescent="0.25">
      <c r="B826" s="19" t="s">
        <v>1194</v>
      </c>
      <c r="C826" s="5" t="s">
        <v>9952</v>
      </c>
      <c r="D826" s="16" t="s">
        <v>29</v>
      </c>
      <c r="E826" s="16"/>
      <c r="F826" s="5" t="s">
        <v>1193</v>
      </c>
      <c r="G826" s="16" t="s">
        <v>35</v>
      </c>
      <c r="H826" s="16" t="s">
        <v>12</v>
      </c>
      <c r="I826" s="16"/>
      <c r="J826" s="16"/>
      <c r="K826" s="16"/>
      <c r="L826" s="16"/>
      <c r="M826" s="16" t="s">
        <v>11158</v>
      </c>
      <c r="N826" s="16"/>
      <c r="O826" s="17"/>
      <c r="P826" s="5" t="str">
        <f t="shared" si="20"/>
        <v>Truncate table DEUY02;</v>
      </c>
      <c r="Q826" s="5" t="s">
        <v>8146</v>
      </c>
      <c r="R826" s="5"/>
    </row>
    <row r="827" spans="1:18" x14ac:dyDescent="0.25">
      <c r="B827" s="19" t="s">
        <v>1195</v>
      </c>
      <c r="C827" s="5" t="s">
        <v>9953</v>
      </c>
      <c r="D827" s="16" t="s">
        <v>29</v>
      </c>
      <c r="E827" s="16"/>
      <c r="F827" s="5" t="s">
        <v>1193</v>
      </c>
      <c r="G827" s="16" t="s">
        <v>35</v>
      </c>
      <c r="H827" s="16" t="s">
        <v>12</v>
      </c>
      <c r="I827" s="16"/>
      <c r="J827" s="16"/>
      <c r="K827" s="16"/>
      <c r="L827" s="16"/>
      <c r="M827" s="16" t="s">
        <v>11158</v>
      </c>
      <c r="N827" s="16"/>
      <c r="O827" s="17"/>
      <c r="P827" s="5" t="str">
        <f t="shared" si="20"/>
        <v>Truncate table DEUY03;</v>
      </c>
      <c r="Q827" s="5" t="s">
        <v>8146</v>
      </c>
      <c r="R827" s="5"/>
    </row>
    <row r="828" spans="1:18" x14ac:dyDescent="0.25">
      <c r="B828" s="118" t="s">
        <v>11570</v>
      </c>
      <c r="C828" s="118" t="s">
        <v>11572</v>
      </c>
      <c r="D828" s="16" t="s">
        <v>29</v>
      </c>
      <c r="E828" s="16" t="s">
        <v>54</v>
      </c>
      <c r="F828" s="5" t="s">
        <v>235</v>
      </c>
      <c r="G828" s="16" t="s">
        <v>35</v>
      </c>
      <c r="H828" s="16" t="s">
        <v>12</v>
      </c>
      <c r="I828" s="16"/>
      <c r="J828" s="16"/>
      <c r="K828" s="118" t="s">
        <v>11574</v>
      </c>
      <c r="L828" s="16"/>
      <c r="M828" s="16" t="s">
        <v>11158</v>
      </c>
      <c r="N828" s="16"/>
      <c r="O828" s="17"/>
      <c r="P828" s="5" t="str">
        <f t="shared" ref="P828:P829" si="21">IF(D828="Datos","Truncate table "&amp; B828&amp; ";","")</f>
        <v>Truncate table DEUY11;</v>
      </c>
      <c r="Q828" s="5" t="s">
        <v>8146</v>
      </c>
      <c r="R828" s="5"/>
    </row>
    <row r="829" spans="1:18" x14ac:dyDescent="0.25">
      <c r="B829" s="118" t="s">
        <v>11571</v>
      </c>
      <c r="C829" s="118" t="s">
        <v>11573</v>
      </c>
      <c r="D829" s="16" t="s">
        <v>29</v>
      </c>
      <c r="E829" s="16" t="s">
        <v>54</v>
      </c>
      <c r="F829" s="5" t="s">
        <v>235</v>
      </c>
      <c r="G829" s="16" t="s">
        <v>35</v>
      </c>
      <c r="H829" s="16" t="s">
        <v>12</v>
      </c>
      <c r="I829" s="16"/>
      <c r="J829" s="16"/>
      <c r="K829" s="118" t="s">
        <v>11574</v>
      </c>
      <c r="L829" s="16"/>
      <c r="M829" s="16" t="s">
        <v>11158</v>
      </c>
      <c r="N829" s="16"/>
      <c r="O829" s="17"/>
      <c r="P829" s="5" t="str">
        <f t="shared" si="21"/>
        <v>Truncate table DEUY10;</v>
      </c>
      <c r="Q829" s="5" t="s">
        <v>8146</v>
      </c>
      <c r="R829" s="5"/>
    </row>
    <row r="830" spans="1:18" ht="45" x14ac:dyDescent="0.25">
      <c r="B830" s="4" t="s">
        <v>1196</v>
      </c>
      <c r="C830" s="5" t="s">
        <v>1197</v>
      </c>
      <c r="D830" s="5" t="s">
        <v>29</v>
      </c>
      <c r="E830" s="5" t="s">
        <v>54</v>
      </c>
      <c r="F830" s="5" t="s">
        <v>1198</v>
      </c>
      <c r="G830" s="16" t="s">
        <v>35</v>
      </c>
      <c r="H830" s="16" t="s">
        <v>12</v>
      </c>
      <c r="I830" s="5" t="s">
        <v>1199</v>
      </c>
      <c r="J830" s="5" t="s">
        <v>1200</v>
      </c>
      <c r="K830" s="51" t="s">
        <v>1201</v>
      </c>
      <c r="L830" s="186" t="s">
        <v>1202</v>
      </c>
      <c r="M830" s="16" t="s">
        <v>11158</v>
      </c>
      <c r="N830" s="5"/>
      <c r="O830" s="17"/>
      <c r="P830" s="5" t="str">
        <f t="shared" si="20"/>
        <v>Truncate table DEUY25;</v>
      </c>
      <c r="Q830" s="5" t="s">
        <v>8146</v>
      </c>
      <c r="R830" s="5"/>
    </row>
    <row r="831" spans="1:18" x14ac:dyDescent="0.25">
      <c r="B831" s="19" t="s">
        <v>1203</v>
      </c>
      <c r="C831" s="5" t="s">
        <v>9954</v>
      </c>
      <c r="D831" s="16" t="s">
        <v>29</v>
      </c>
      <c r="E831" s="16"/>
      <c r="F831" s="5"/>
      <c r="G831" s="16" t="s">
        <v>35</v>
      </c>
      <c r="H831" s="16"/>
      <c r="I831" s="16"/>
      <c r="J831" s="16"/>
      <c r="K831" s="16"/>
      <c r="L831" s="16"/>
      <c r="M831" s="16"/>
      <c r="N831" s="16"/>
      <c r="O831" s="17"/>
      <c r="P831" s="5" t="str">
        <f t="shared" si="20"/>
        <v>Truncate table DUP001;</v>
      </c>
      <c r="Q831" s="5"/>
      <c r="R831" s="5"/>
    </row>
    <row r="832" spans="1:18" x14ac:dyDescent="0.25">
      <c r="B832" s="19" t="s">
        <v>1204</v>
      </c>
      <c r="C832" s="5" t="s">
        <v>1205</v>
      </c>
      <c r="D832" s="16" t="s">
        <v>29</v>
      </c>
      <c r="E832" s="16" t="s">
        <v>151</v>
      </c>
      <c r="F832" s="5"/>
      <c r="G832" s="16" t="s">
        <v>35</v>
      </c>
      <c r="H832" s="16" t="s">
        <v>36</v>
      </c>
      <c r="I832" s="16"/>
      <c r="J832" s="16"/>
      <c r="K832" s="16"/>
      <c r="L832" s="16"/>
      <c r="M832" s="16"/>
      <c r="N832" s="16"/>
      <c r="O832" s="17" t="s">
        <v>38</v>
      </c>
      <c r="P832" s="5" t="str">
        <f t="shared" si="20"/>
        <v>Truncate table E05501;</v>
      </c>
      <c r="Q832" s="5"/>
      <c r="R832" s="5"/>
    </row>
    <row r="833" spans="1:18" x14ac:dyDescent="0.25">
      <c r="B833" s="19" t="s">
        <v>1206</v>
      </c>
      <c r="C833" s="5" t="s">
        <v>9955</v>
      </c>
      <c r="D833" s="16" t="s">
        <v>29</v>
      </c>
      <c r="E833" s="16"/>
      <c r="F833" s="5"/>
      <c r="G833" s="16" t="s">
        <v>35</v>
      </c>
      <c r="H833" s="16"/>
      <c r="I833" s="16"/>
      <c r="J833" s="16"/>
      <c r="K833" s="16"/>
      <c r="L833" s="16"/>
      <c r="M833" s="16"/>
      <c r="N833" s="16"/>
      <c r="O833" s="17"/>
      <c r="P833" s="5" t="str">
        <f t="shared" si="20"/>
        <v>Truncate table E05507;</v>
      </c>
      <c r="Q833" s="5"/>
      <c r="R833" s="5"/>
    </row>
    <row r="834" spans="1:18" s="306" customFormat="1" x14ac:dyDescent="0.25">
      <c r="A834" s="71"/>
      <c r="B834" s="307" t="s">
        <v>1207</v>
      </c>
      <c r="C834" s="5"/>
      <c r="D834" s="308" t="s">
        <v>29</v>
      </c>
      <c r="E834" s="308"/>
      <c r="F834" s="308"/>
      <c r="G834" s="308" t="s">
        <v>35</v>
      </c>
      <c r="H834" s="308"/>
      <c r="I834" s="308"/>
      <c r="J834" s="308"/>
      <c r="K834" s="308"/>
      <c r="L834" s="308"/>
      <c r="M834" s="308"/>
      <c r="N834" s="308"/>
      <c r="O834" s="309"/>
      <c r="P834" s="308" t="str">
        <f t="shared" si="20"/>
        <v>Truncate table E05513;</v>
      </c>
      <c r="Q834" s="308"/>
      <c r="R834" s="308"/>
    </row>
    <row r="835" spans="1:18" x14ac:dyDescent="0.25">
      <c r="B835" s="19" t="s">
        <v>1208</v>
      </c>
      <c r="C835" s="5" t="s">
        <v>9956</v>
      </c>
      <c r="D835" s="16" t="s">
        <v>29</v>
      </c>
      <c r="E835" s="16"/>
      <c r="F835" s="5"/>
      <c r="G835" s="16" t="s">
        <v>35</v>
      </c>
      <c r="H835" s="16"/>
      <c r="I835" s="16"/>
      <c r="J835" s="16"/>
      <c r="K835" s="16"/>
      <c r="L835" s="16"/>
      <c r="M835" s="16"/>
      <c r="N835" s="16"/>
      <c r="O835" s="17"/>
      <c r="P835" s="5" t="str">
        <f t="shared" si="20"/>
        <v>Truncate table E05515;</v>
      </c>
      <c r="Q835" s="5"/>
      <c r="R835" s="5"/>
    </row>
    <row r="836" spans="1:18" x14ac:dyDescent="0.25">
      <c r="B836" s="19" t="s">
        <v>1209</v>
      </c>
      <c r="C836" s="5" t="s">
        <v>9957</v>
      </c>
      <c r="D836" s="16" t="s">
        <v>29</v>
      </c>
      <c r="E836" s="16"/>
      <c r="F836" s="5"/>
      <c r="G836" s="16" t="s">
        <v>35</v>
      </c>
      <c r="H836" s="16"/>
      <c r="I836" s="16"/>
      <c r="J836" s="16"/>
      <c r="K836" s="16"/>
      <c r="L836" s="16"/>
      <c r="M836" s="16"/>
      <c r="N836" s="16"/>
      <c r="O836" s="17"/>
      <c r="P836" s="5" t="str">
        <f t="shared" si="20"/>
        <v>Truncate table E05516;</v>
      </c>
      <c r="Q836" s="5"/>
      <c r="R836" s="5"/>
    </row>
    <row r="837" spans="1:18" x14ac:dyDescent="0.25">
      <c r="B837" s="19" t="s">
        <v>1210</v>
      </c>
      <c r="C837" s="5" t="s">
        <v>9958</v>
      </c>
      <c r="D837" s="16" t="s">
        <v>29</v>
      </c>
      <c r="E837" s="16"/>
      <c r="F837" s="5"/>
      <c r="G837" s="16" t="s">
        <v>35</v>
      </c>
      <c r="H837" s="16"/>
      <c r="I837" s="16"/>
      <c r="J837" s="16"/>
      <c r="K837" s="16"/>
      <c r="L837" s="16"/>
      <c r="M837" s="16"/>
      <c r="N837" s="16"/>
      <c r="O837" s="17"/>
      <c r="P837" s="5" t="str">
        <f t="shared" si="20"/>
        <v>Truncate table E05517;</v>
      </c>
      <c r="Q837" s="5"/>
      <c r="R837" s="5"/>
    </row>
    <row r="838" spans="1:18" x14ac:dyDescent="0.25">
      <c r="B838" s="19" t="s">
        <v>1211</v>
      </c>
      <c r="C838" s="5" t="s">
        <v>9959</v>
      </c>
      <c r="D838" s="16" t="s">
        <v>29</v>
      </c>
      <c r="E838" s="16"/>
      <c r="F838" s="5"/>
      <c r="G838" s="16" t="s">
        <v>35</v>
      </c>
      <c r="H838" s="16"/>
      <c r="I838" s="16"/>
      <c r="J838" s="16"/>
      <c r="K838" s="16"/>
      <c r="L838" s="16"/>
      <c r="M838" s="16"/>
      <c r="N838" s="16"/>
      <c r="O838" s="17"/>
      <c r="P838" s="5" t="str">
        <f t="shared" si="20"/>
        <v>Truncate table E05518;</v>
      </c>
      <c r="Q838" s="5"/>
      <c r="R838" s="5"/>
    </row>
    <row r="839" spans="1:18" x14ac:dyDescent="0.25">
      <c r="B839" s="19" t="s">
        <v>1212</v>
      </c>
      <c r="C839" s="5" t="s">
        <v>9960</v>
      </c>
      <c r="D839" s="16" t="s">
        <v>29</v>
      </c>
      <c r="E839" s="16"/>
      <c r="F839" s="5"/>
      <c r="G839" s="16" t="s">
        <v>35</v>
      </c>
      <c r="H839" s="16"/>
      <c r="I839" s="16"/>
      <c r="J839" s="16"/>
      <c r="K839" s="16"/>
      <c r="L839" s="16"/>
      <c r="M839" s="16"/>
      <c r="N839" s="16"/>
      <c r="O839" s="17"/>
      <c r="P839" s="5" t="str">
        <f t="shared" si="20"/>
        <v>Truncate table E05520;</v>
      </c>
      <c r="Q839" s="5"/>
      <c r="R839" s="5"/>
    </row>
    <row r="840" spans="1:18" x14ac:dyDescent="0.25">
      <c r="B840" s="19" t="s">
        <v>1213</v>
      </c>
      <c r="C840" s="5" t="s">
        <v>9961</v>
      </c>
      <c r="D840" s="16" t="s">
        <v>29</v>
      </c>
      <c r="E840" s="16"/>
      <c r="F840" s="5"/>
      <c r="G840" s="16" t="s">
        <v>35</v>
      </c>
      <c r="H840" s="16"/>
      <c r="I840" s="16"/>
      <c r="J840" s="16"/>
      <c r="K840" s="16"/>
      <c r="L840" s="16"/>
      <c r="M840" s="16"/>
      <c r="N840" s="16"/>
      <c r="O840" s="17"/>
      <c r="P840" s="5" t="str">
        <f t="shared" si="20"/>
        <v>Truncate table E05521;</v>
      </c>
      <c r="Q840" s="5"/>
      <c r="R840" s="5"/>
    </row>
    <row r="841" spans="1:18" x14ac:dyDescent="0.25">
      <c r="B841" s="19" t="s">
        <v>1214</v>
      </c>
      <c r="C841" s="5" t="s">
        <v>9962</v>
      </c>
      <c r="D841" s="16" t="s">
        <v>29</v>
      </c>
      <c r="E841" s="16"/>
      <c r="F841" s="5"/>
      <c r="G841" s="16" t="s">
        <v>35</v>
      </c>
      <c r="H841" s="16"/>
      <c r="I841" s="16"/>
      <c r="J841" s="16"/>
      <c r="K841" s="16"/>
      <c r="L841" s="16"/>
      <c r="M841" s="16"/>
      <c r="N841" s="16"/>
      <c r="O841" s="17"/>
      <c r="P841" s="5" t="str">
        <f t="shared" si="20"/>
        <v>Truncate table E05522;</v>
      </c>
      <c r="Q841" s="5"/>
      <c r="R841" s="5"/>
    </row>
    <row r="842" spans="1:18" x14ac:dyDescent="0.25">
      <c r="B842" s="19" t="s">
        <v>1215</v>
      </c>
      <c r="C842" s="5" t="s">
        <v>9963</v>
      </c>
      <c r="D842" s="16" t="s">
        <v>29</v>
      </c>
      <c r="E842" s="16"/>
      <c r="F842" s="5"/>
      <c r="G842" s="16" t="s">
        <v>35</v>
      </c>
      <c r="H842" s="16"/>
      <c r="I842" s="16"/>
      <c r="J842" s="16"/>
      <c r="K842" s="16"/>
      <c r="L842" s="16"/>
      <c r="M842" s="16"/>
      <c r="N842" s="16"/>
      <c r="O842" s="17"/>
      <c r="P842" s="5" t="str">
        <f t="shared" si="20"/>
        <v>Truncate table E05523;</v>
      </c>
      <c r="Q842" s="5"/>
      <c r="R842" s="5"/>
    </row>
    <row r="843" spans="1:18" s="306" customFormat="1" x14ac:dyDescent="0.25">
      <c r="A843" s="71"/>
      <c r="B843" s="307" t="s">
        <v>1216</v>
      </c>
      <c r="C843" s="308"/>
      <c r="D843" s="308" t="s">
        <v>29</v>
      </c>
      <c r="E843" s="308"/>
      <c r="F843" s="308"/>
      <c r="G843" s="308" t="s">
        <v>35</v>
      </c>
      <c r="H843" s="308"/>
      <c r="I843" s="308"/>
      <c r="J843" s="308"/>
      <c r="K843" s="308"/>
      <c r="L843" s="308"/>
      <c r="M843" s="308"/>
      <c r="N843" s="308"/>
      <c r="O843" s="309"/>
      <c r="P843" s="308" t="str">
        <f t="shared" si="20"/>
        <v>Truncate table EQ011;</v>
      </c>
      <c r="Q843" s="308"/>
      <c r="R843" s="308"/>
    </row>
    <row r="844" spans="1:18" s="306" customFormat="1" x14ac:dyDescent="0.25">
      <c r="A844" s="71"/>
      <c r="B844" s="307" t="s">
        <v>1217</v>
      </c>
      <c r="C844" s="308"/>
      <c r="D844" s="308" t="s">
        <v>29</v>
      </c>
      <c r="E844" s="308"/>
      <c r="F844" s="308"/>
      <c r="G844" s="308" t="s">
        <v>35</v>
      </c>
      <c r="H844" s="308"/>
      <c r="I844" s="308"/>
      <c r="J844" s="308"/>
      <c r="K844" s="308"/>
      <c r="L844" s="308"/>
      <c r="M844" s="308"/>
      <c r="N844" s="308"/>
      <c r="O844" s="309"/>
      <c r="P844" s="308" t="str">
        <f t="shared" si="20"/>
        <v>Truncate table F7XBIT;</v>
      </c>
      <c r="Q844" s="308"/>
      <c r="R844" s="308"/>
    </row>
    <row r="845" spans="1:18" x14ac:dyDescent="0.25">
      <c r="B845" s="19" t="s">
        <v>1218</v>
      </c>
      <c r="C845" s="5" t="s">
        <v>1219</v>
      </c>
      <c r="D845" s="16" t="s">
        <v>29</v>
      </c>
      <c r="E845" s="31" t="s">
        <v>151</v>
      </c>
      <c r="F845" s="5" t="s">
        <v>699</v>
      </c>
      <c r="G845" s="16" t="s">
        <v>35</v>
      </c>
      <c r="H845" s="16" t="s">
        <v>36</v>
      </c>
      <c r="I845" s="16"/>
      <c r="J845" s="16"/>
      <c r="K845" s="16"/>
      <c r="L845" s="26"/>
      <c r="M845" s="26"/>
      <c r="N845" s="16"/>
      <c r="O845" s="17"/>
      <c r="P845" s="5" t="str">
        <f t="shared" si="20"/>
        <v>Truncate table FACH01;</v>
      </c>
      <c r="Q845" s="5"/>
      <c r="R845" s="5"/>
    </row>
    <row r="846" spans="1:18" x14ac:dyDescent="0.25">
      <c r="B846" s="19" t="s">
        <v>1220</v>
      </c>
      <c r="C846" s="9" t="s">
        <v>1219</v>
      </c>
      <c r="D846" s="16" t="s">
        <v>29</v>
      </c>
      <c r="E846" s="31" t="s">
        <v>151</v>
      </c>
      <c r="F846" s="5" t="s">
        <v>699</v>
      </c>
      <c r="G846" s="16" t="s">
        <v>35</v>
      </c>
      <c r="H846" s="16" t="s">
        <v>36</v>
      </c>
      <c r="I846" s="16"/>
      <c r="J846" s="16"/>
      <c r="K846" s="16"/>
      <c r="L846" s="16"/>
      <c r="M846" s="16"/>
      <c r="N846" s="16"/>
      <c r="O846" s="17"/>
      <c r="P846" s="5" t="str">
        <f t="shared" si="20"/>
        <v>Truncate table FACH02;</v>
      </c>
      <c r="Q846" s="5"/>
      <c r="R846" s="5"/>
    </row>
    <row r="847" spans="1:18" x14ac:dyDescent="0.25">
      <c r="B847" s="19" t="s">
        <v>1221</v>
      </c>
      <c r="C847" s="5" t="s">
        <v>1219</v>
      </c>
      <c r="D847" s="16" t="s">
        <v>29</v>
      </c>
      <c r="E847" s="31" t="s">
        <v>151</v>
      </c>
      <c r="F847" s="5" t="s">
        <v>699</v>
      </c>
      <c r="G847" s="16" t="s">
        <v>35</v>
      </c>
      <c r="H847" s="16" t="s">
        <v>36</v>
      </c>
      <c r="I847" s="16"/>
      <c r="J847" s="16"/>
      <c r="K847" s="16"/>
      <c r="L847" s="16"/>
      <c r="M847" s="16"/>
      <c r="N847" s="16"/>
      <c r="O847" s="17"/>
      <c r="P847" s="5" t="str">
        <f t="shared" si="20"/>
        <v>Truncate table FACH03;</v>
      </c>
      <c r="Q847" s="5"/>
      <c r="R847" s="5"/>
    </row>
    <row r="848" spans="1:18" x14ac:dyDescent="0.25">
      <c r="B848" s="19" t="s">
        <v>1222</v>
      </c>
      <c r="C848" s="5" t="s">
        <v>1219</v>
      </c>
      <c r="D848" s="16" t="s">
        <v>29</v>
      </c>
      <c r="E848" s="31" t="s">
        <v>151</v>
      </c>
      <c r="F848" s="5" t="s">
        <v>699</v>
      </c>
      <c r="G848" s="16" t="s">
        <v>35</v>
      </c>
      <c r="H848" s="16" t="s">
        <v>36</v>
      </c>
      <c r="I848" s="16"/>
      <c r="J848" s="16"/>
      <c r="K848" s="16"/>
      <c r="L848" s="16"/>
      <c r="M848" s="16"/>
      <c r="N848" s="16"/>
      <c r="O848" s="17" t="s">
        <v>387</v>
      </c>
      <c r="P848" s="5"/>
      <c r="Q848" s="5"/>
      <c r="R848" s="5"/>
    </row>
    <row r="849" spans="2:18" x14ac:dyDescent="0.25">
      <c r="B849" s="19" t="s">
        <v>1223</v>
      </c>
      <c r="C849" s="5" t="s">
        <v>1219</v>
      </c>
      <c r="D849" s="16" t="s">
        <v>29</v>
      </c>
      <c r="E849" s="31" t="s">
        <v>151</v>
      </c>
      <c r="F849" s="5" t="s">
        <v>699</v>
      </c>
      <c r="G849" s="16" t="s">
        <v>35</v>
      </c>
      <c r="H849" s="16" t="s">
        <v>36</v>
      </c>
      <c r="I849" s="16"/>
      <c r="J849" s="16"/>
      <c r="K849" s="16"/>
      <c r="L849" s="16"/>
      <c r="M849" s="16"/>
      <c r="N849" s="16"/>
      <c r="O849" s="17"/>
      <c r="P849" s="5" t="str">
        <f t="shared" ref="P849:P860" si="22">IF(D849="Datos","Truncate table "&amp; B849&amp; ";","")</f>
        <v>Truncate table FACH05;</v>
      </c>
      <c r="Q849" s="5"/>
      <c r="R849" s="5"/>
    </row>
    <row r="850" spans="2:18" x14ac:dyDescent="0.25">
      <c r="B850" s="19" t="s">
        <v>1224</v>
      </c>
      <c r="C850" s="5" t="s">
        <v>1219</v>
      </c>
      <c r="D850" s="16" t="s">
        <v>29</v>
      </c>
      <c r="E850" s="31" t="s">
        <v>151</v>
      </c>
      <c r="F850" s="5" t="s">
        <v>699</v>
      </c>
      <c r="G850" s="16" t="s">
        <v>35</v>
      </c>
      <c r="H850" s="16" t="s">
        <v>36</v>
      </c>
      <c r="I850" s="16"/>
      <c r="J850" s="16"/>
      <c r="K850" s="16"/>
      <c r="L850" s="16"/>
      <c r="M850" s="16"/>
      <c r="N850" s="16"/>
      <c r="O850" s="17"/>
      <c r="P850" s="5" t="str">
        <f t="shared" si="22"/>
        <v>Truncate table FACH06;</v>
      </c>
      <c r="Q850" s="5"/>
      <c r="R850" s="5"/>
    </row>
    <row r="851" spans="2:18" x14ac:dyDescent="0.25">
      <c r="B851" s="19" t="s">
        <v>1225</v>
      </c>
      <c r="C851" s="5" t="s">
        <v>1219</v>
      </c>
      <c r="D851" s="16" t="s">
        <v>29</v>
      </c>
      <c r="E851" s="31" t="s">
        <v>151</v>
      </c>
      <c r="F851" s="5" t="s">
        <v>699</v>
      </c>
      <c r="G851" s="16" t="s">
        <v>35</v>
      </c>
      <c r="H851" s="16" t="s">
        <v>36</v>
      </c>
      <c r="I851" s="16"/>
      <c r="J851" s="16"/>
      <c r="K851" s="16"/>
      <c r="L851" s="16"/>
      <c r="M851" s="16"/>
      <c r="N851" s="16"/>
      <c r="O851" s="17"/>
      <c r="P851" s="5" t="str">
        <f t="shared" si="22"/>
        <v>Truncate table FACH09;</v>
      </c>
      <c r="Q851" s="5"/>
      <c r="R851" s="5"/>
    </row>
    <row r="852" spans="2:18" x14ac:dyDescent="0.25">
      <c r="B852" s="19" t="s">
        <v>1226</v>
      </c>
      <c r="C852" s="5" t="s">
        <v>1219</v>
      </c>
      <c r="D852" s="16" t="s">
        <v>29</v>
      </c>
      <c r="E852" s="31" t="s">
        <v>151</v>
      </c>
      <c r="F852" s="5" t="s">
        <v>699</v>
      </c>
      <c r="G852" s="16" t="s">
        <v>35</v>
      </c>
      <c r="H852" s="16" t="s">
        <v>36</v>
      </c>
      <c r="I852" s="16"/>
      <c r="J852" s="16"/>
      <c r="K852" s="16"/>
      <c r="L852" s="16"/>
      <c r="M852" s="16"/>
      <c r="N852" s="16"/>
      <c r="O852" s="17"/>
      <c r="P852" s="5" t="str">
        <f t="shared" si="22"/>
        <v>Truncate table FACH10;</v>
      </c>
      <c r="Q852" s="5"/>
      <c r="R852" s="5"/>
    </row>
    <row r="853" spans="2:18" x14ac:dyDescent="0.25">
      <c r="B853" s="19" t="s">
        <v>1227</v>
      </c>
      <c r="C853" s="16" t="s">
        <v>1228</v>
      </c>
      <c r="D853" s="16" t="s">
        <v>8152</v>
      </c>
      <c r="E853" s="16" t="s">
        <v>54</v>
      </c>
      <c r="F853" s="5" t="s">
        <v>1198</v>
      </c>
      <c r="G853" s="16" t="s">
        <v>35</v>
      </c>
      <c r="H853" s="16" t="s">
        <v>36</v>
      </c>
      <c r="I853" s="16"/>
      <c r="J853" s="16"/>
      <c r="K853" s="16"/>
      <c r="L853" s="16"/>
      <c r="M853" s="238" t="s">
        <v>387</v>
      </c>
      <c r="N853" s="16" t="s">
        <v>8623</v>
      </c>
      <c r="O853" s="17" t="s">
        <v>38</v>
      </c>
      <c r="P853" s="5" t="str">
        <f t="shared" si="22"/>
        <v/>
      </c>
      <c r="Q853" s="5"/>
      <c r="R853" s="5"/>
    </row>
    <row r="854" spans="2:18" x14ac:dyDescent="0.25">
      <c r="B854" s="19" t="s">
        <v>1229</v>
      </c>
      <c r="C854" s="305" t="s">
        <v>9964</v>
      </c>
      <c r="D854" s="16" t="s">
        <v>29</v>
      </c>
      <c r="E854" s="16" t="s">
        <v>54</v>
      </c>
      <c r="F854" s="5" t="s">
        <v>1198</v>
      </c>
      <c r="G854" s="16" t="s">
        <v>35</v>
      </c>
      <c r="H854" s="16" t="s">
        <v>36</v>
      </c>
      <c r="I854" s="16"/>
      <c r="J854" s="16"/>
      <c r="K854" s="16"/>
      <c r="L854" s="16"/>
      <c r="M854" s="16"/>
      <c r="N854" s="16"/>
      <c r="O854" s="17"/>
      <c r="P854" s="5" t="str">
        <f t="shared" si="22"/>
        <v>Truncate table FAI003;</v>
      </c>
      <c r="Q854" s="5"/>
      <c r="R854" s="5"/>
    </row>
    <row r="855" spans="2:18" x14ac:dyDescent="0.25">
      <c r="B855" s="19" t="s">
        <v>1230</v>
      </c>
      <c r="C855" s="305" t="s">
        <v>9965</v>
      </c>
      <c r="D855" s="16" t="s">
        <v>29</v>
      </c>
      <c r="E855" s="16" t="s">
        <v>54</v>
      </c>
      <c r="F855" s="5" t="s">
        <v>1198</v>
      </c>
      <c r="G855" s="16" t="s">
        <v>35</v>
      </c>
      <c r="H855" s="16" t="s">
        <v>36</v>
      </c>
      <c r="I855" s="16"/>
      <c r="J855" s="16"/>
      <c r="K855" s="16"/>
      <c r="L855" s="16"/>
      <c r="M855" s="16"/>
      <c r="N855" s="16"/>
      <c r="O855" s="17"/>
      <c r="P855" s="5" t="str">
        <f t="shared" si="22"/>
        <v>Truncate table FAI004;</v>
      </c>
      <c r="Q855" s="5"/>
      <c r="R855" s="5"/>
    </row>
    <row r="856" spans="2:18" x14ac:dyDescent="0.25">
      <c r="B856" s="19" t="s">
        <v>1231</v>
      </c>
      <c r="C856" s="16" t="s">
        <v>1232</v>
      </c>
      <c r="D856" s="16" t="s">
        <v>29</v>
      </c>
      <c r="E856" s="16" t="s">
        <v>54</v>
      </c>
      <c r="F856" s="5" t="s">
        <v>1198</v>
      </c>
      <c r="G856" s="16" t="s">
        <v>35</v>
      </c>
      <c r="H856" s="16" t="s">
        <v>36</v>
      </c>
      <c r="I856" s="16"/>
      <c r="J856" s="16"/>
      <c r="K856" s="16"/>
      <c r="L856" s="16"/>
      <c r="M856" s="16"/>
      <c r="N856" s="16"/>
      <c r="O856" s="17" t="s">
        <v>38</v>
      </c>
      <c r="P856" s="5" t="str">
        <f t="shared" si="22"/>
        <v>Truncate table FAID01;</v>
      </c>
      <c r="Q856" s="5"/>
      <c r="R856" s="5"/>
    </row>
    <row r="857" spans="2:18" x14ac:dyDescent="0.25">
      <c r="B857" s="19" t="s">
        <v>1233</v>
      </c>
      <c r="C857" s="125" t="s">
        <v>8373</v>
      </c>
      <c r="D857" s="16" t="s">
        <v>29</v>
      </c>
      <c r="E857" s="16" t="s">
        <v>54</v>
      </c>
      <c r="F857" s="5" t="s">
        <v>1198</v>
      </c>
      <c r="G857" s="16" t="s">
        <v>35</v>
      </c>
      <c r="H857" s="16" t="s">
        <v>36</v>
      </c>
      <c r="I857" t="s">
        <v>8374</v>
      </c>
      <c r="J857" t="s">
        <v>8375</v>
      </c>
      <c r="K857" s="259" t="s">
        <v>1581</v>
      </c>
      <c r="L857" s="16" t="s">
        <v>8376</v>
      </c>
      <c r="M857" s="238" t="s">
        <v>387</v>
      </c>
      <c r="N857" s="16"/>
      <c r="O857" s="17" t="s">
        <v>38</v>
      </c>
      <c r="P857" s="5" t="str">
        <f t="shared" si="22"/>
        <v>Truncate table FAID02;</v>
      </c>
      <c r="Q857" s="5"/>
      <c r="R857" s="5"/>
    </row>
    <row r="858" spans="2:18" x14ac:dyDescent="0.25">
      <c r="B858" s="19" t="s">
        <v>1234</v>
      </c>
      <c r="C858" s="305" t="s">
        <v>9966</v>
      </c>
      <c r="D858" s="16" t="s">
        <v>29</v>
      </c>
      <c r="E858" s="16" t="s">
        <v>54</v>
      </c>
      <c r="F858" s="5" t="s">
        <v>1198</v>
      </c>
      <c r="G858" s="16" t="s">
        <v>35</v>
      </c>
      <c r="H858" s="16" t="s">
        <v>36</v>
      </c>
      <c r="I858" s="16"/>
      <c r="J858" s="16"/>
      <c r="K858" s="16"/>
      <c r="L858" s="16"/>
      <c r="M858" s="16"/>
      <c r="N858" s="16"/>
      <c r="O858" s="17"/>
      <c r="P858" s="5" t="str">
        <f t="shared" si="22"/>
        <v>Truncate table FAID03;</v>
      </c>
      <c r="Q858" s="5"/>
      <c r="R858" s="5"/>
    </row>
    <row r="859" spans="2:18" ht="26.25" customHeight="1" x14ac:dyDescent="0.25">
      <c r="B859" s="19" t="s">
        <v>1235</v>
      </c>
      <c r="C859" s="16" t="s">
        <v>8480</v>
      </c>
      <c r="D859" s="16" t="s">
        <v>8152</v>
      </c>
      <c r="E859" s="16" t="s">
        <v>54</v>
      </c>
      <c r="F859" s="5" t="s">
        <v>1198</v>
      </c>
      <c r="G859" s="16" t="s">
        <v>35</v>
      </c>
      <c r="H859" s="16" t="s">
        <v>36</v>
      </c>
      <c r="I859" s="16"/>
      <c r="J859" s="16"/>
      <c r="K859" s="16"/>
      <c r="L859" s="16"/>
      <c r="M859" s="238" t="s">
        <v>387</v>
      </c>
      <c r="N859" s="16"/>
      <c r="O859" s="17" t="s">
        <v>38</v>
      </c>
      <c r="P859" s="5" t="str">
        <f t="shared" si="22"/>
        <v/>
      </c>
      <c r="Q859" s="5"/>
      <c r="R859" s="5"/>
    </row>
    <row r="860" spans="2:18" x14ac:dyDescent="0.25">
      <c r="B860" s="19" t="s">
        <v>1236</v>
      </c>
      <c r="C860" s="16" t="s">
        <v>8481</v>
      </c>
      <c r="D860" s="16" t="s">
        <v>8152</v>
      </c>
      <c r="E860" s="16" t="s">
        <v>54</v>
      </c>
      <c r="F860" s="5" t="s">
        <v>1198</v>
      </c>
      <c r="G860" s="16" t="s">
        <v>35</v>
      </c>
      <c r="H860" s="16" t="s">
        <v>36</v>
      </c>
      <c r="I860" s="16"/>
      <c r="J860" s="16"/>
      <c r="K860" s="16"/>
      <c r="L860" s="16"/>
      <c r="M860" s="238" t="s">
        <v>387</v>
      </c>
      <c r="N860" s="16"/>
      <c r="O860" s="17" t="s">
        <v>38</v>
      </c>
      <c r="P860" s="5" t="str">
        <f t="shared" si="22"/>
        <v/>
      </c>
      <c r="Q860" s="5"/>
      <c r="R860" s="5"/>
    </row>
    <row r="861" spans="2:18" x14ac:dyDescent="0.25">
      <c r="B861" s="19" t="s">
        <v>9472</v>
      </c>
      <c r="C861" s="305" t="s">
        <v>9967</v>
      </c>
      <c r="D861" s="16" t="s">
        <v>29</v>
      </c>
      <c r="E861" s="16" t="s">
        <v>54</v>
      </c>
      <c r="F861" s="5" t="s">
        <v>1198</v>
      </c>
      <c r="G861" s="16" t="s">
        <v>35</v>
      </c>
      <c r="H861" s="16" t="s">
        <v>36</v>
      </c>
      <c r="I861" s="16"/>
      <c r="J861" s="16"/>
      <c r="K861" s="16"/>
      <c r="L861" s="16"/>
      <c r="M861" s="238"/>
      <c r="N861" s="16"/>
      <c r="O861" s="17"/>
      <c r="P861" s="5"/>
      <c r="Q861" s="5"/>
      <c r="R861" s="5"/>
    </row>
    <row r="862" spans="2:18" x14ac:dyDescent="0.25">
      <c r="B862" s="19" t="s">
        <v>1237</v>
      </c>
      <c r="C862" s="16" t="s">
        <v>1238</v>
      </c>
      <c r="D862" s="16" t="s">
        <v>8152</v>
      </c>
      <c r="E862" s="16" t="s">
        <v>54</v>
      </c>
      <c r="F862" s="5" t="s">
        <v>1198</v>
      </c>
      <c r="G862" s="16" t="s">
        <v>35</v>
      </c>
      <c r="H862" s="16" t="s">
        <v>36</v>
      </c>
      <c r="I862" s="16"/>
      <c r="J862" s="16"/>
      <c r="K862" s="16"/>
      <c r="L862" s="16"/>
      <c r="M862" s="238" t="s">
        <v>387</v>
      </c>
      <c r="N862" s="16"/>
      <c r="O862" s="17" t="s">
        <v>38</v>
      </c>
      <c r="P862" s="5" t="str">
        <f t="shared" ref="P862:P893" si="23">IF(D862="Datos","Truncate table "&amp; B862&amp; ";","")</f>
        <v/>
      </c>
      <c r="Q862" s="5"/>
      <c r="R862" s="5"/>
    </row>
    <row r="863" spans="2:18" x14ac:dyDescent="0.25">
      <c r="B863" s="19" t="s">
        <v>1239</v>
      </c>
      <c r="C863" s="16" t="s">
        <v>1240</v>
      </c>
      <c r="D863" s="16" t="s">
        <v>8152</v>
      </c>
      <c r="E863" s="16" t="s">
        <v>54</v>
      </c>
      <c r="F863" s="5" t="s">
        <v>1198</v>
      </c>
      <c r="G863" s="16" t="s">
        <v>35</v>
      </c>
      <c r="H863" s="16" t="s">
        <v>36</v>
      </c>
      <c r="I863" s="16"/>
      <c r="J863" s="16"/>
      <c r="K863" s="16"/>
      <c r="L863" s="26"/>
      <c r="M863" s="238" t="s">
        <v>387</v>
      </c>
      <c r="N863" s="16"/>
      <c r="O863" s="17" t="s">
        <v>38</v>
      </c>
      <c r="P863" s="5" t="str">
        <f t="shared" si="23"/>
        <v/>
      </c>
      <c r="Q863" s="5"/>
      <c r="R863" s="5"/>
    </row>
    <row r="864" spans="2:18" x14ac:dyDescent="0.25">
      <c r="B864" s="19" t="s">
        <v>1241</v>
      </c>
      <c r="C864" s="16" t="s">
        <v>1242</v>
      </c>
      <c r="D864" s="16" t="s">
        <v>8152</v>
      </c>
      <c r="E864" s="16" t="s">
        <v>54</v>
      </c>
      <c r="F864" s="5" t="s">
        <v>1198</v>
      </c>
      <c r="G864" s="16" t="s">
        <v>35</v>
      </c>
      <c r="H864" s="16" t="s">
        <v>36</v>
      </c>
      <c r="I864" s="16"/>
      <c r="J864" s="16"/>
      <c r="K864" s="16"/>
      <c r="L864" s="16"/>
      <c r="M864" s="238" t="s">
        <v>387</v>
      </c>
      <c r="N864" s="16"/>
      <c r="O864" s="17" t="s">
        <v>38</v>
      </c>
      <c r="P864" s="5" t="str">
        <f t="shared" si="23"/>
        <v/>
      </c>
      <c r="Q864" s="5"/>
      <c r="R864" s="5"/>
    </row>
    <row r="865" spans="1:18" x14ac:dyDescent="0.25">
      <c r="B865" s="19" t="s">
        <v>1243</v>
      </c>
      <c r="C865" s="16" t="s">
        <v>1244</v>
      </c>
      <c r="D865" s="16" t="s">
        <v>8152</v>
      </c>
      <c r="E865" s="16" t="s">
        <v>54</v>
      </c>
      <c r="F865" s="5" t="s">
        <v>1198</v>
      </c>
      <c r="G865" s="16" t="s">
        <v>35</v>
      </c>
      <c r="H865" s="16"/>
      <c r="I865" s="16"/>
      <c r="J865" s="16"/>
      <c r="K865" s="16"/>
      <c r="L865" s="16"/>
      <c r="M865" s="238" t="s">
        <v>387</v>
      </c>
      <c r="N865" s="16"/>
      <c r="O865" s="17" t="s">
        <v>38</v>
      </c>
      <c r="P865" s="5" t="str">
        <f t="shared" si="23"/>
        <v/>
      </c>
      <c r="Q865" s="5"/>
      <c r="R865" s="5"/>
    </row>
    <row r="866" spans="1:18" s="306" customFormat="1" x14ac:dyDescent="0.25">
      <c r="A866" s="71"/>
      <c r="B866" s="307" t="s">
        <v>1245</v>
      </c>
      <c r="C866" s="308"/>
      <c r="D866" s="308" t="s">
        <v>29</v>
      </c>
      <c r="E866" s="308"/>
      <c r="F866" s="308"/>
      <c r="G866" s="308" t="s">
        <v>35</v>
      </c>
      <c r="H866" s="308"/>
      <c r="I866" s="308"/>
      <c r="J866" s="308"/>
      <c r="K866" s="308"/>
      <c r="L866" s="308"/>
      <c r="M866" s="308"/>
      <c r="N866" s="308"/>
      <c r="O866" s="309"/>
      <c r="P866" s="308" t="str">
        <f t="shared" si="23"/>
        <v>Truncate table FAPA940;</v>
      </c>
      <c r="Q866" s="308"/>
      <c r="R866" s="308"/>
    </row>
    <row r="867" spans="1:18" x14ac:dyDescent="0.25">
      <c r="B867" s="19" t="s">
        <v>1246</v>
      </c>
      <c r="C867" s="305" t="s">
        <v>9968</v>
      </c>
      <c r="D867" s="16" t="s">
        <v>29</v>
      </c>
      <c r="E867" s="16"/>
      <c r="F867" s="5"/>
      <c r="G867" s="16" t="s">
        <v>35</v>
      </c>
      <c r="H867" s="16"/>
      <c r="I867" s="16"/>
      <c r="J867" s="16"/>
      <c r="K867" s="16"/>
      <c r="L867" s="16"/>
      <c r="M867" s="16"/>
      <c r="N867" s="16"/>
      <c r="O867" s="17"/>
      <c r="P867" s="5" t="str">
        <f t="shared" si="23"/>
        <v>Truncate table FAT02;</v>
      </c>
      <c r="Q867" s="5"/>
      <c r="R867" s="5"/>
    </row>
    <row r="868" spans="1:18" ht="40.5" x14ac:dyDescent="0.25">
      <c r="B868" s="19" t="s">
        <v>1247</v>
      </c>
      <c r="C868" s="26" t="s">
        <v>1248</v>
      </c>
      <c r="D868" s="16" t="s">
        <v>29</v>
      </c>
      <c r="E868" s="16"/>
      <c r="F868" s="5" t="s">
        <v>163</v>
      </c>
      <c r="G868" s="16" t="s">
        <v>35</v>
      </c>
      <c r="H868" s="16"/>
      <c r="I868" s="16"/>
      <c r="J868" s="16"/>
      <c r="K868" s="16"/>
      <c r="L868" s="20" t="s">
        <v>1249</v>
      </c>
      <c r="M868" s="20"/>
      <c r="N868" s="16"/>
      <c r="O868" s="17"/>
      <c r="P868" s="5" t="str">
        <f t="shared" si="23"/>
        <v>Truncate table FAT03;</v>
      </c>
      <c r="Q868" s="5"/>
      <c r="R868" s="5"/>
    </row>
    <row r="869" spans="1:18" ht="40.5" x14ac:dyDescent="0.25">
      <c r="B869" s="19" t="s">
        <v>1250</v>
      </c>
      <c r="C869" s="16" t="s">
        <v>1251</v>
      </c>
      <c r="D869" s="16" t="s">
        <v>8152</v>
      </c>
      <c r="E869" s="16" t="s">
        <v>54</v>
      </c>
      <c r="F869" s="5" t="s">
        <v>163</v>
      </c>
      <c r="G869" s="16" t="s">
        <v>35</v>
      </c>
      <c r="H869" s="16" t="s">
        <v>36</v>
      </c>
      <c r="I869" s="16"/>
      <c r="J869" s="16"/>
      <c r="K869" s="16"/>
      <c r="L869" s="20" t="s">
        <v>1249</v>
      </c>
      <c r="M869" s="238" t="s">
        <v>38</v>
      </c>
      <c r="N869" s="16"/>
      <c r="O869" s="17"/>
      <c r="P869" s="5" t="str">
        <f t="shared" si="23"/>
        <v/>
      </c>
      <c r="Q869" s="5"/>
      <c r="R869" s="5"/>
    </row>
    <row r="870" spans="1:18" ht="40.5" x14ac:dyDescent="0.25">
      <c r="B870" s="19" t="s">
        <v>1252</v>
      </c>
      <c r="C870" s="16" t="s">
        <v>1253</v>
      </c>
      <c r="D870" s="16" t="s">
        <v>29</v>
      </c>
      <c r="E870" s="16"/>
      <c r="F870" s="5" t="s">
        <v>163</v>
      </c>
      <c r="G870" s="16" t="s">
        <v>35</v>
      </c>
      <c r="H870" s="16"/>
      <c r="I870" s="16"/>
      <c r="J870" s="16"/>
      <c r="K870" s="16"/>
      <c r="L870" s="20" t="s">
        <v>1249</v>
      </c>
      <c r="M870" s="20"/>
      <c r="N870" s="16"/>
      <c r="O870" s="17"/>
      <c r="P870" s="5" t="str">
        <f t="shared" si="23"/>
        <v>Truncate table FAT05;</v>
      </c>
      <c r="Q870" s="5"/>
      <c r="R870" s="5"/>
    </row>
    <row r="871" spans="1:18" ht="40.5" x14ac:dyDescent="0.25">
      <c r="B871" s="19" t="s">
        <v>1254</v>
      </c>
      <c r="C871" s="16" t="s">
        <v>1255</v>
      </c>
      <c r="D871" s="16" t="s">
        <v>29</v>
      </c>
      <c r="E871" s="16"/>
      <c r="F871" s="5" t="s">
        <v>163</v>
      </c>
      <c r="G871" s="16"/>
      <c r="H871" s="16"/>
      <c r="I871" s="16"/>
      <c r="J871" s="16"/>
      <c r="K871" s="16"/>
      <c r="L871" s="21" t="s">
        <v>1249</v>
      </c>
      <c r="M871" s="21"/>
      <c r="N871" s="16"/>
      <c r="O871" s="17"/>
      <c r="P871" s="5" t="str">
        <f t="shared" si="23"/>
        <v>Truncate table FAT06;</v>
      </c>
      <c r="Q871" s="5"/>
      <c r="R871" s="5"/>
    </row>
    <row r="872" spans="1:18" x14ac:dyDescent="0.25">
      <c r="B872" s="19" t="s">
        <v>1256</v>
      </c>
      <c r="C872" s="305" t="s">
        <v>9969</v>
      </c>
      <c r="D872" s="16" t="s">
        <v>29</v>
      </c>
      <c r="E872" s="16"/>
      <c r="F872" s="5"/>
      <c r="G872" s="16" t="s">
        <v>35</v>
      </c>
      <c r="H872" s="16"/>
      <c r="I872" s="16"/>
      <c r="J872" s="16"/>
      <c r="K872" s="16"/>
      <c r="L872" s="16"/>
      <c r="M872" s="16"/>
      <c r="N872" s="16"/>
      <c r="O872" s="17"/>
      <c r="P872" s="5" t="str">
        <f t="shared" si="23"/>
        <v>Truncate table FAU008;</v>
      </c>
      <c r="Q872" s="5"/>
      <c r="R872" s="5"/>
    </row>
    <row r="873" spans="1:18" x14ac:dyDescent="0.25">
      <c r="B873" s="19" t="s">
        <v>1257</v>
      </c>
      <c r="C873" s="16" t="s">
        <v>1258</v>
      </c>
      <c r="D873" s="16" t="s">
        <v>29</v>
      </c>
      <c r="E873" s="16" t="s">
        <v>54</v>
      </c>
      <c r="F873" s="5" t="s">
        <v>235</v>
      </c>
      <c r="G873" s="16" t="s">
        <v>35</v>
      </c>
      <c r="H873" s="16"/>
      <c r="I873" s="16"/>
      <c r="J873" s="16"/>
      <c r="K873" s="16"/>
      <c r="L873" s="16"/>
      <c r="M873" s="16"/>
      <c r="N873" s="16"/>
      <c r="O873" s="17" t="s">
        <v>38</v>
      </c>
      <c r="P873" s="5" t="str">
        <f t="shared" si="23"/>
        <v>Truncate table FAU011;</v>
      </c>
      <c r="Q873" s="5"/>
      <c r="R873" s="5"/>
    </row>
    <row r="874" spans="1:18" s="306" customFormat="1" x14ac:dyDescent="0.25">
      <c r="A874" s="71"/>
      <c r="B874" s="307" t="s">
        <v>1259</v>
      </c>
      <c r="C874" s="308"/>
      <c r="D874" s="308" t="s">
        <v>29</v>
      </c>
      <c r="E874" s="308"/>
      <c r="F874" s="308"/>
      <c r="G874" s="308" t="s">
        <v>35</v>
      </c>
      <c r="H874" s="308"/>
      <c r="I874" s="308"/>
      <c r="J874" s="308"/>
      <c r="K874" s="308"/>
      <c r="L874" s="308"/>
      <c r="M874" s="308"/>
      <c r="N874" s="308"/>
      <c r="O874" s="309"/>
      <c r="P874" s="308" t="str">
        <f t="shared" si="23"/>
        <v>Truncate table FBAE58;</v>
      </c>
      <c r="Q874" s="308"/>
      <c r="R874" s="308"/>
    </row>
    <row r="875" spans="1:18" x14ac:dyDescent="0.25">
      <c r="B875" s="19" t="s">
        <v>1260</v>
      </c>
      <c r="C875" s="16" t="s">
        <v>1037</v>
      </c>
      <c r="D875" s="16" t="s">
        <v>8152</v>
      </c>
      <c r="E875" s="16" t="s">
        <v>34</v>
      </c>
      <c r="F875" s="5" t="s">
        <v>33</v>
      </c>
      <c r="G875" s="16" t="s">
        <v>35</v>
      </c>
      <c r="H875" s="16" t="s">
        <v>12</v>
      </c>
      <c r="I875" s="16"/>
      <c r="J875" s="16"/>
      <c r="K875" s="16"/>
      <c r="L875" s="16"/>
      <c r="M875" s="16"/>
      <c r="N875" s="16"/>
      <c r="O875" s="17" t="s">
        <v>38</v>
      </c>
      <c r="P875" s="5" t="str">
        <f t="shared" si="23"/>
        <v/>
      </c>
      <c r="Q875" s="5"/>
      <c r="R875" s="5"/>
    </row>
    <row r="876" spans="1:18" x14ac:dyDescent="0.25">
      <c r="B876" s="19" t="s">
        <v>1261</v>
      </c>
      <c r="C876" s="16" t="s">
        <v>1716</v>
      </c>
      <c r="D876" s="16" t="s">
        <v>29</v>
      </c>
      <c r="E876" s="16" t="s">
        <v>34</v>
      </c>
      <c r="F876" s="5" t="s">
        <v>33</v>
      </c>
      <c r="G876" s="16" t="s">
        <v>35</v>
      </c>
      <c r="H876" s="16" t="s">
        <v>12</v>
      </c>
      <c r="I876" s="16"/>
      <c r="J876" s="16"/>
      <c r="K876" s="16"/>
      <c r="L876" s="16"/>
      <c r="M876" s="16"/>
      <c r="N876" s="16"/>
      <c r="O876" s="17"/>
      <c r="P876" s="5" t="str">
        <f t="shared" si="23"/>
        <v>Truncate table FBC002;</v>
      </c>
      <c r="Q876" s="5"/>
      <c r="R876" s="5"/>
    </row>
    <row r="877" spans="1:18" x14ac:dyDescent="0.25">
      <c r="B877" s="19" t="s">
        <v>1262</v>
      </c>
      <c r="C877" s="16" t="s">
        <v>8829</v>
      </c>
      <c r="D877" s="16" t="s">
        <v>29</v>
      </c>
      <c r="E877" s="16" t="s">
        <v>34</v>
      </c>
      <c r="F877" s="5" t="s">
        <v>33</v>
      </c>
      <c r="G877" s="16" t="s">
        <v>35</v>
      </c>
      <c r="H877" s="16" t="s">
        <v>12</v>
      </c>
      <c r="I877" s="16"/>
      <c r="J877" s="16"/>
      <c r="K877" s="16"/>
      <c r="L877" s="16"/>
      <c r="M877" s="16"/>
      <c r="N877" s="16"/>
      <c r="O877" s="17"/>
      <c r="P877" s="5" t="str">
        <f t="shared" si="23"/>
        <v>Truncate table FBC003;</v>
      </c>
      <c r="Q877" s="5"/>
      <c r="R877" s="5"/>
    </row>
    <row r="878" spans="1:18" x14ac:dyDescent="0.25">
      <c r="B878" s="19" t="s">
        <v>1263</v>
      </c>
      <c r="C878" s="16" t="s">
        <v>8830</v>
      </c>
      <c r="D878" s="16" t="s">
        <v>29</v>
      </c>
      <c r="E878" s="16" t="s">
        <v>34</v>
      </c>
      <c r="F878" s="5" t="s">
        <v>33</v>
      </c>
      <c r="G878" s="16" t="s">
        <v>35</v>
      </c>
      <c r="H878" s="16" t="s">
        <v>12</v>
      </c>
      <c r="I878" s="16"/>
      <c r="J878" s="16"/>
      <c r="K878" s="16" t="s">
        <v>9569</v>
      </c>
      <c r="L878" s="16"/>
      <c r="M878" s="16"/>
      <c r="N878" s="16"/>
      <c r="O878" s="17"/>
      <c r="P878" s="5" t="str">
        <f t="shared" si="23"/>
        <v>Truncate table FBC004;</v>
      </c>
      <c r="Q878" s="5"/>
      <c r="R878" s="5"/>
    </row>
    <row r="879" spans="1:18" x14ac:dyDescent="0.25">
      <c r="B879" s="19" t="s">
        <v>1264</v>
      </c>
      <c r="C879" s="16" t="s">
        <v>8831</v>
      </c>
      <c r="D879" s="16" t="s">
        <v>29</v>
      </c>
      <c r="E879" s="16" t="s">
        <v>34</v>
      </c>
      <c r="F879" s="5" t="s">
        <v>33</v>
      </c>
      <c r="G879" s="16" t="s">
        <v>35</v>
      </c>
      <c r="H879" s="16" t="s">
        <v>12</v>
      </c>
      <c r="I879" s="16"/>
      <c r="J879" s="16"/>
      <c r="K879" s="16"/>
      <c r="L879" s="16"/>
      <c r="M879" s="16"/>
      <c r="N879" s="16"/>
      <c r="O879" s="17"/>
      <c r="P879" s="5" t="str">
        <f t="shared" si="23"/>
        <v>Truncate table FBC005;</v>
      </c>
      <c r="Q879" s="5"/>
      <c r="R879" s="5"/>
    </row>
    <row r="880" spans="1:18" x14ac:dyDescent="0.25">
      <c r="B880" s="19" t="s">
        <v>1265</v>
      </c>
      <c r="C880" s="16" t="s">
        <v>8832</v>
      </c>
      <c r="D880" s="16" t="s">
        <v>29</v>
      </c>
      <c r="E880" s="16" t="s">
        <v>34</v>
      </c>
      <c r="F880" s="5" t="s">
        <v>33</v>
      </c>
      <c r="G880" s="16" t="s">
        <v>35</v>
      </c>
      <c r="H880" s="16" t="s">
        <v>12</v>
      </c>
      <c r="I880" s="16"/>
      <c r="J880" s="16"/>
      <c r="K880" s="16"/>
      <c r="L880" s="16"/>
      <c r="M880" s="16"/>
      <c r="N880" s="16"/>
      <c r="O880" s="17"/>
      <c r="P880" s="5" t="str">
        <f t="shared" si="23"/>
        <v>Truncate table FBC006;</v>
      </c>
      <c r="Q880" s="5"/>
      <c r="R880" s="5"/>
    </row>
    <row r="881" spans="2:18" x14ac:dyDescent="0.25">
      <c r="B881" s="19" t="s">
        <v>1266</v>
      </c>
      <c r="C881" s="16" t="s">
        <v>8833</v>
      </c>
      <c r="D881" s="16" t="s">
        <v>29</v>
      </c>
      <c r="E881" s="16" t="s">
        <v>34</v>
      </c>
      <c r="F881" s="5" t="s">
        <v>33</v>
      </c>
      <c r="G881" s="16" t="s">
        <v>35</v>
      </c>
      <c r="H881" s="16" t="s">
        <v>12</v>
      </c>
      <c r="I881" s="16"/>
      <c r="J881" s="16"/>
      <c r="K881" s="16"/>
      <c r="L881" s="16"/>
      <c r="M881" s="16"/>
      <c r="N881" s="16"/>
      <c r="O881" s="17"/>
      <c r="P881" s="5" t="str">
        <f t="shared" si="23"/>
        <v>Truncate table FBC007;</v>
      </c>
      <c r="Q881" s="5"/>
      <c r="R881" s="5"/>
    </row>
    <row r="882" spans="2:18" x14ac:dyDescent="0.25">
      <c r="B882" s="19" t="s">
        <v>1267</v>
      </c>
      <c r="C882" s="16" t="s">
        <v>8834</v>
      </c>
      <c r="D882" s="16" t="s">
        <v>29</v>
      </c>
      <c r="E882" s="16" t="s">
        <v>34</v>
      </c>
      <c r="F882" s="5" t="s">
        <v>33</v>
      </c>
      <c r="G882" s="16" t="s">
        <v>35</v>
      </c>
      <c r="H882" s="16" t="s">
        <v>12</v>
      </c>
      <c r="I882" s="16"/>
      <c r="J882" s="16"/>
      <c r="K882" s="16"/>
      <c r="L882" s="16"/>
      <c r="M882" s="16"/>
      <c r="N882" s="16"/>
      <c r="O882" s="17"/>
      <c r="P882" s="5" t="str">
        <f t="shared" si="23"/>
        <v>Truncate table FBC008;</v>
      </c>
      <c r="Q882" s="5"/>
      <c r="R882" s="5"/>
    </row>
    <row r="883" spans="2:18" x14ac:dyDescent="0.25">
      <c r="B883" s="19" t="s">
        <v>1268</v>
      </c>
      <c r="C883" s="16" t="s">
        <v>8835</v>
      </c>
      <c r="D883" s="16" t="s">
        <v>29</v>
      </c>
      <c r="E883" s="16" t="s">
        <v>34</v>
      </c>
      <c r="F883" s="5" t="s">
        <v>33</v>
      </c>
      <c r="G883" s="16" t="s">
        <v>35</v>
      </c>
      <c r="H883" s="16" t="s">
        <v>12</v>
      </c>
      <c r="I883" s="16"/>
      <c r="J883" s="16"/>
      <c r="K883" s="16"/>
      <c r="L883" s="16"/>
      <c r="M883" s="16"/>
      <c r="N883" s="16"/>
      <c r="O883" s="17"/>
      <c r="P883" s="5" t="str">
        <f t="shared" si="23"/>
        <v>Truncate table FBC009;</v>
      </c>
      <c r="Q883" s="5"/>
      <c r="R883" s="5"/>
    </row>
    <row r="884" spans="2:18" x14ac:dyDescent="0.25">
      <c r="B884" s="19" t="s">
        <v>1269</v>
      </c>
      <c r="C884" s="16" t="s">
        <v>8836</v>
      </c>
      <c r="D884" s="16" t="s">
        <v>29</v>
      </c>
      <c r="E884" s="16" t="s">
        <v>34</v>
      </c>
      <c r="F884" s="5" t="s">
        <v>33</v>
      </c>
      <c r="G884" s="16" t="s">
        <v>35</v>
      </c>
      <c r="H884" s="16" t="s">
        <v>12</v>
      </c>
      <c r="I884" s="16"/>
      <c r="J884" s="16"/>
      <c r="K884" s="16"/>
      <c r="L884" s="16"/>
      <c r="M884" s="16"/>
      <c r="N884" s="16"/>
      <c r="O884" s="17"/>
      <c r="P884" s="5" t="str">
        <f t="shared" si="23"/>
        <v>Truncate table FBC010;</v>
      </c>
      <c r="Q884" s="5"/>
      <c r="R884" s="5"/>
    </row>
    <row r="885" spans="2:18" x14ac:dyDescent="0.25">
      <c r="B885" s="19" t="s">
        <v>1270</v>
      </c>
      <c r="C885" s="16" t="s">
        <v>8837</v>
      </c>
      <c r="D885" s="16" t="s">
        <v>29</v>
      </c>
      <c r="E885" s="16" t="s">
        <v>34</v>
      </c>
      <c r="F885" s="5" t="s">
        <v>33</v>
      </c>
      <c r="G885" s="16" t="s">
        <v>35</v>
      </c>
      <c r="H885" s="16" t="s">
        <v>12</v>
      </c>
      <c r="I885" s="16"/>
      <c r="J885" s="16"/>
      <c r="K885" s="16"/>
      <c r="L885" s="16"/>
      <c r="M885" s="16"/>
      <c r="N885" s="16"/>
      <c r="O885" s="17"/>
      <c r="P885" s="5" t="str">
        <f t="shared" si="23"/>
        <v>Truncate table FBC011;</v>
      </c>
      <c r="Q885" s="5"/>
      <c r="R885" s="5"/>
    </row>
    <row r="886" spans="2:18" x14ac:dyDescent="0.25">
      <c r="B886" s="19" t="s">
        <v>1271</v>
      </c>
      <c r="C886" s="16" t="s">
        <v>8838</v>
      </c>
      <c r="D886" s="16" t="s">
        <v>29</v>
      </c>
      <c r="E886" s="16" t="s">
        <v>34</v>
      </c>
      <c r="F886" s="5" t="s">
        <v>33</v>
      </c>
      <c r="G886" s="16" t="s">
        <v>35</v>
      </c>
      <c r="H886" s="16" t="s">
        <v>12</v>
      </c>
      <c r="I886" s="16"/>
      <c r="J886" s="16"/>
      <c r="K886" s="16"/>
      <c r="L886" s="16"/>
      <c r="M886" s="16"/>
      <c r="N886" s="16"/>
      <c r="O886" s="17"/>
      <c r="P886" s="5" t="str">
        <f t="shared" si="23"/>
        <v>Truncate table FBC012;</v>
      </c>
      <c r="Q886" s="5"/>
      <c r="R886" s="5"/>
    </row>
    <row r="887" spans="2:18" x14ac:dyDescent="0.25">
      <c r="B887" s="19" t="s">
        <v>1272</v>
      </c>
      <c r="C887" s="16" t="s">
        <v>8839</v>
      </c>
      <c r="D887" s="16" t="s">
        <v>29</v>
      </c>
      <c r="E887" s="16" t="s">
        <v>34</v>
      </c>
      <c r="F887" s="5" t="s">
        <v>33</v>
      </c>
      <c r="G887" s="16" t="s">
        <v>28</v>
      </c>
      <c r="H887" s="16" t="s">
        <v>12</v>
      </c>
      <c r="I887" s="16"/>
      <c r="J887" s="16"/>
      <c r="K887" s="16"/>
      <c r="L887" s="16"/>
      <c r="M887" s="16"/>
      <c r="N887" s="16"/>
      <c r="O887" s="17" t="s">
        <v>38</v>
      </c>
      <c r="P887" s="5" t="str">
        <f t="shared" si="23"/>
        <v>Truncate table FBC013;</v>
      </c>
      <c r="Q887" s="5"/>
      <c r="R887" s="5"/>
    </row>
    <row r="888" spans="2:18" x14ac:dyDescent="0.25">
      <c r="B888" s="19" t="s">
        <v>1273</v>
      </c>
      <c r="C888" s="16" t="s">
        <v>8840</v>
      </c>
      <c r="D888" s="16" t="s">
        <v>29</v>
      </c>
      <c r="E888" s="16" t="s">
        <v>34</v>
      </c>
      <c r="F888" s="5" t="s">
        <v>33</v>
      </c>
      <c r="G888" s="16" t="s">
        <v>35</v>
      </c>
      <c r="H888" s="16" t="s">
        <v>12</v>
      </c>
      <c r="I888" s="16"/>
      <c r="J888" s="16"/>
      <c r="K888" s="16"/>
      <c r="L888" s="16"/>
      <c r="M888" s="16"/>
      <c r="N888" s="16"/>
      <c r="O888" s="17"/>
      <c r="P888" s="5" t="str">
        <f t="shared" si="23"/>
        <v>Truncate table FBC014;</v>
      </c>
      <c r="Q888" s="5"/>
      <c r="R888" s="5"/>
    </row>
    <row r="889" spans="2:18" x14ac:dyDescent="0.25">
      <c r="B889" s="19" t="s">
        <v>1274</v>
      </c>
      <c r="C889" s="16" t="s">
        <v>8841</v>
      </c>
      <c r="D889" s="16" t="s">
        <v>29</v>
      </c>
      <c r="E889" s="16" t="s">
        <v>34</v>
      </c>
      <c r="F889" s="5" t="s">
        <v>33</v>
      </c>
      <c r="G889" s="16" t="s">
        <v>28</v>
      </c>
      <c r="H889" s="16" t="s">
        <v>12</v>
      </c>
      <c r="I889" s="16"/>
      <c r="J889" s="16"/>
      <c r="K889" s="16"/>
      <c r="L889" s="16"/>
      <c r="M889" s="16"/>
      <c r="N889" s="16"/>
      <c r="O889" s="17" t="s">
        <v>38</v>
      </c>
      <c r="P889" s="5" t="str">
        <f t="shared" si="23"/>
        <v>Truncate table FBC015;</v>
      </c>
      <c r="Q889" s="5"/>
      <c r="R889" s="5"/>
    </row>
    <row r="890" spans="2:18" x14ac:dyDescent="0.25">
      <c r="B890" s="19" t="s">
        <v>1275</v>
      </c>
      <c r="C890" s="16" t="s">
        <v>8842</v>
      </c>
      <c r="D890" s="16" t="s">
        <v>29</v>
      </c>
      <c r="E890" s="16" t="s">
        <v>34</v>
      </c>
      <c r="F890" s="5" t="s">
        <v>33</v>
      </c>
      <c r="G890" s="16" t="s">
        <v>35</v>
      </c>
      <c r="H890" s="16" t="s">
        <v>12</v>
      </c>
      <c r="I890" s="16"/>
      <c r="J890" s="16"/>
      <c r="K890" s="16"/>
      <c r="L890" s="16"/>
      <c r="M890" s="16"/>
      <c r="N890" s="16"/>
      <c r="O890" s="17"/>
      <c r="P890" s="5" t="str">
        <f t="shared" si="23"/>
        <v>Truncate table FBC016;</v>
      </c>
      <c r="Q890" s="5"/>
      <c r="R890" s="5"/>
    </row>
    <row r="891" spans="2:18" x14ac:dyDescent="0.25">
      <c r="B891" s="19" t="s">
        <v>1276</v>
      </c>
      <c r="C891" s="16" t="s">
        <v>8843</v>
      </c>
      <c r="D891" s="16" t="s">
        <v>29</v>
      </c>
      <c r="E891" s="16" t="s">
        <v>34</v>
      </c>
      <c r="F891" s="5" t="s">
        <v>33</v>
      </c>
      <c r="G891" s="16" t="s">
        <v>35</v>
      </c>
      <c r="H891" s="16" t="s">
        <v>12</v>
      </c>
      <c r="I891" s="16"/>
      <c r="J891" s="16"/>
      <c r="K891" s="16"/>
      <c r="L891" s="16"/>
      <c r="M891" s="16"/>
      <c r="N891" s="16"/>
      <c r="O891" s="17"/>
      <c r="P891" s="5" t="str">
        <f t="shared" si="23"/>
        <v>Truncate table FBC017;</v>
      </c>
      <c r="Q891" s="5"/>
      <c r="R891" s="5"/>
    </row>
    <row r="892" spans="2:18" x14ac:dyDescent="0.25">
      <c r="B892" s="19" t="s">
        <v>1277</v>
      </c>
      <c r="C892" s="16" t="s">
        <v>8844</v>
      </c>
      <c r="D892" s="16" t="s">
        <v>29</v>
      </c>
      <c r="E892" s="16" t="s">
        <v>34</v>
      </c>
      <c r="F892" s="5" t="s">
        <v>33</v>
      </c>
      <c r="G892" s="16" t="s">
        <v>35</v>
      </c>
      <c r="H892" s="16" t="s">
        <v>12</v>
      </c>
      <c r="I892" s="16"/>
      <c r="J892" s="16"/>
      <c r="K892" s="16"/>
      <c r="L892" s="16"/>
      <c r="M892" s="16"/>
      <c r="N892" s="16"/>
      <c r="O892" s="17"/>
      <c r="P892" s="5" t="str">
        <f t="shared" si="23"/>
        <v>Truncate table FBC018;</v>
      </c>
      <c r="Q892" s="5"/>
      <c r="R892" s="5"/>
    </row>
    <row r="893" spans="2:18" x14ac:dyDescent="0.25">
      <c r="B893" s="19" t="s">
        <v>1278</v>
      </c>
      <c r="C893" s="16" t="s">
        <v>8845</v>
      </c>
      <c r="D893" s="16" t="s">
        <v>29</v>
      </c>
      <c r="E893" s="16" t="s">
        <v>34</v>
      </c>
      <c r="F893" s="5" t="s">
        <v>33</v>
      </c>
      <c r="G893" s="16" t="s">
        <v>35</v>
      </c>
      <c r="H893" s="16" t="s">
        <v>12</v>
      </c>
      <c r="I893" s="16"/>
      <c r="J893" s="16"/>
      <c r="K893" s="16"/>
      <c r="L893" s="16"/>
      <c r="M893" s="16"/>
      <c r="N893" s="16"/>
      <c r="O893" s="17"/>
      <c r="P893" s="5" t="str">
        <f t="shared" si="23"/>
        <v>Truncate table FBC019;</v>
      </c>
      <c r="Q893" s="5"/>
      <c r="R893" s="5"/>
    </row>
    <row r="894" spans="2:18" x14ac:dyDescent="0.25">
      <c r="B894" s="19" t="s">
        <v>1279</v>
      </c>
      <c r="C894" s="16" t="s">
        <v>8846</v>
      </c>
      <c r="D894" s="16" t="s">
        <v>29</v>
      </c>
      <c r="E894" s="16" t="s">
        <v>34</v>
      </c>
      <c r="F894" s="5" t="s">
        <v>33</v>
      </c>
      <c r="G894" s="16" t="s">
        <v>35</v>
      </c>
      <c r="H894" s="16" t="s">
        <v>12</v>
      </c>
      <c r="I894" s="16"/>
      <c r="J894" s="16"/>
      <c r="K894" s="16"/>
      <c r="L894" s="16"/>
      <c r="M894" s="16"/>
      <c r="N894" s="16"/>
      <c r="O894" s="17"/>
      <c r="P894" s="5" t="str">
        <f t="shared" ref="P894:P925" si="24">IF(D894="Datos","Truncate table "&amp; B894&amp; ";","")</f>
        <v>Truncate table FBC020;</v>
      </c>
      <c r="Q894" s="5"/>
      <c r="R894" s="5"/>
    </row>
    <row r="895" spans="2:18" x14ac:dyDescent="0.25">
      <c r="B895" s="19" t="s">
        <v>1280</v>
      </c>
      <c r="C895" s="16" t="s">
        <v>8847</v>
      </c>
      <c r="D895" s="16" t="s">
        <v>29</v>
      </c>
      <c r="E895" s="16" t="s">
        <v>34</v>
      </c>
      <c r="F895" s="5" t="s">
        <v>33</v>
      </c>
      <c r="G895" s="16" t="s">
        <v>35</v>
      </c>
      <c r="H895" s="16" t="s">
        <v>12</v>
      </c>
      <c r="I895" s="16"/>
      <c r="J895" s="16"/>
      <c r="K895" s="16"/>
      <c r="L895" s="16"/>
      <c r="M895" s="16"/>
      <c r="N895" s="16"/>
      <c r="O895" s="17"/>
      <c r="P895" s="5" t="str">
        <f t="shared" si="24"/>
        <v>Truncate table FBC021;</v>
      </c>
      <c r="Q895" s="5"/>
      <c r="R895" s="5"/>
    </row>
    <row r="896" spans="2:18" x14ac:dyDescent="0.25">
      <c r="B896" s="19" t="s">
        <v>1281</v>
      </c>
      <c r="C896" s="16" t="s">
        <v>8848</v>
      </c>
      <c r="D896" s="16" t="s">
        <v>29</v>
      </c>
      <c r="E896" s="16" t="s">
        <v>34</v>
      </c>
      <c r="F896" s="5" t="s">
        <v>33</v>
      </c>
      <c r="G896" s="16" t="s">
        <v>35</v>
      </c>
      <c r="H896" s="16" t="s">
        <v>12</v>
      </c>
      <c r="I896" s="16"/>
      <c r="J896" s="16"/>
      <c r="K896" s="16"/>
      <c r="L896" s="16"/>
      <c r="M896" s="16"/>
      <c r="N896" s="16"/>
      <c r="O896" s="17"/>
      <c r="P896" s="5" t="str">
        <f t="shared" si="24"/>
        <v>Truncate table FBC022;</v>
      </c>
      <c r="Q896" s="5"/>
      <c r="R896" s="5"/>
    </row>
    <row r="897" spans="2:18" x14ac:dyDescent="0.25">
      <c r="B897" s="19" t="s">
        <v>1282</v>
      </c>
      <c r="C897" s="16" t="s">
        <v>8849</v>
      </c>
      <c r="D897" s="16" t="s">
        <v>29</v>
      </c>
      <c r="E897" s="16" t="s">
        <v>34</v>
      </c>
      <c r="F897" s="5" t="s">
        <v>33</v>
      </c>
      <c r="G897" s="16" t="s">
        <v>35</v>
      </c>
      <c r="H897" s="16" t="s">
        <v>12</v>
      </c>
      <c r="I897" s="16"/>
      <c r="J897" s="16"/>
      <c r="K897" s="16"/>
      <c r="L897" s="16"/>
      <c r="M897" s="16"/>
      <c r="N897" s="16"/>
      <c r="O897" s="17"/>
      <c r="P897" s="5" t="str">
        <f t="shared" si="24"/>
        <v>Truncate table FBC028;</v>
      </c>
      <c r="Q897" s="5"/>
      <c r="R897" s="5"/>
    </row>
    <row r="898" spans="2:18" x14ac:dyDescent="0.25">
      <c r="B898" s="19" t="s">
        <v>1283</v>
      </c>
      <c r="C898" s="16" t="s">
        <v>8850</v>
      </c>
      <c r="D898" s="16" t="s">
        <v>29</v>
      </c>
      <c r="E898" s="16" t="s">
        <v>34</v>
      </c>
      <c r="F898" s="5" t="s">
        <v>33</v>
      </c>
      <c r="G898" s="16" t="s">
        <v>35</v>
      </c>
      <c r="H898" s="16" t="s">
        <v>12</v>
      </c>
      <c r="I898" s="16"/>
      <c r="J898" s="16"/>
      <c r="K898" s="16"/>
      <c r="L898" s="16"/>
      <c r="M898" s="16"/>
      <c r="N898" s="16"/>
      <c r="O898" s="17"/>
      <c r="P898" s="5" t="str">
        <f t="shared" si="24"/>
        <v>Truncate table FBC029;</v>
      </c>
      <c r="Q898" s="5"/>
      <c r="R898" s="5"/>
    </row>
    <row r="899" spans="2:18" x14ac:dyDescent="0.25">
      <c r="B899" s="19" t="s">
        <v>1284</v>
      </c>
      <c r="C899" s="16" t="s">
        <v>8851</v>
      </c>
      <c r="D899" s="16" t="s">
        <v>29</v>
      </c>
      <c r="E899" s="16" t="s">
        <v>34</v>
      </c>
      <c r="F899" s="5" t="s">
        <v>33</v>
      </c>
      <c r="G899" s="16" t="s">
        <v>35</v>
      </c>
      <c r="H899" s="16" t="s">
        <v>12</v>
      </c>
      <c r="I899" s="16"/>
      <c r="J899" s="16"/>
      <c r="K899" s="16"/>
      <c r="L899" s="16"/>
      <c r="M899" s="16"/>
      <c r="N899" s="16"/>
      <c r="O899" s="17"/>
      <c r="P899" s="5" t="str">
        <f t="shared" si="24"/>
        <v>Truncate table FBC030;</v>
      </c>
      <c r="Q899" s="5"/>
      <c r="R899" s="5"/>
    </row>
    <row r="900" spans="2:18" x14ac:dyDescent="0.25">
      <c r="B900" s="19" t="s">
        <v>1285</v>
      </c>
      <c r="C900" s="16" t="s">
        <v>8852</v>
      </c>
      <c r="D900" s="16" t="s">
        <v>29</v>
      </c>
      <c r="E900" s="16" t="s">
        <v>34</v>
      </c>
      <c r="F900" s="5" t="s">
        <v>33</v>
      </c>
      <c r="G900" s="16" t="s">
        <v>35</v>
      </c>
      <c r="H900" s="16" t="s">
        <v>12</v>
      </c>
      <c r="I900" s="16"/>
      <c r="J900" s="16"/>
      <c r="K900" s="16"/>
      <c r="L900" s="16"/>
      <c r="M900" s="16"/>
      <c r="N900" s="16"/>
      <c r="O900" s="17"/>
      <c r="P900" s="5" t="str">
        <f t="shared" si="24"/>
        <v>Truncate table FBC031;</v>
      </c>
      <c r="Q900" s="5"/>
      <c r="R900" s="5"/>
    </row>
    <row r="901" spans="2:18" x14ac:dyDescent="0.25">
      <c r="B901" s="19" t="s">
        <v>1286</v>
      </c>
      <c r="C901" s="16" t="s">
        <v>8853</v>
      </c>
      <c r="D901" s="16" t="s">
        <v>29</v>
      </c>
      <c r="E901" s="16" t="s">
        <v>34</v>
      </c>
      <c r="F901" s="5" t="s">
        <v>33</v>
      </c>
      <c r="G901" s="16" t="s">
        <v>35</v>
      </c>
      <c r="H901" s="16" t="s">
        <v>12</v>
      </c>
      <c r="I901" s="16"/>
      <c r="J901" s="16"/>
      <c r="K901" s="16"/>
      <c r="L901" s="16"/>
      <c r="M901" s="16"/>
      <c r="N901" s="16"/>
      <c r="O901" s="17"/>
      <c r="P901" s="5" t="str">
        <f t="shared" si="24"/>
        <v>Truncate table FBC032;</v>
      </c>
      <c r="Q901" s="5"/>
      <c r="R901" s="5"/>
    </row>
    <row r="902" spans="2:18" x14ac:dyDescent="0.25">
      <c r="B902" s="197" t="s">
        <v>8369</v>
      </c>
      <c r="C902" s="187" t="s">
        <v>8370</v>
      </c>
      <c r="D902" s="21" t="s">
        <v>29</v>
      </c>
      <c r="E902" s="198" t="s">
        <v>151</v>
      </c>
      <c r="F902" s="220" t="s">
        <v>8229</v>
      </c>
      <c r="G902" s="21" t="s">
        <v>35</v>
      </c>
      <c r="H902" s="21" t="s">
        <v>36</v>
      </c>
      <c r="I902" s="187" t="s">
        <v>8371</v>
      </c>
      <c r="J902" s="187" t="s">
        <v>8372</v>
      </c>
      <c r="K902" s="187" t="s">
        <v>1135</v>
      </c>
      <c r="L902" s="21"/>
      <c r="M902" s="21"/>
      <c r="N902" s="21"/>
      <c r="O902" s="21"/>
      <c r="P902" s="4" t="str">
        <f t="shared" si="24"/>
        <v>Truncate table FBC040;</v>
      </c>
      <c r="Q902" s="4"/>
      <c r="R902" s="4"/>
    </row>
    <row r="903" spans="2:18" x14ac:dyDescent="0.25">
      <c r="B903" s="19" t="s">
        <v>1287</v>
      </c>
      <c r="C903" s="16" t="s">
        <v>8854</v>
      </c>
      <c r="D903" s="16" t="s">
        <v>29</v>
      </c>
      <c r="E903" s="16" t="s">
        <v>34</v>
      </c>
      <c r="F903" s="5" t="s">
        <v>33</v>
      </c>
      <c r="G903" s="16" t="s">
        <v>28</v>
      </c>
      <c r="H903" s="16" t="s">
        <v>12</v>
      </c>
      <c r="I903" s="16"/>
      <c r="J903" s="16"/>
      <c r="K903" s="16"/>
      <c r="L903" s="16"/>
      <c r="M903" s="16"/>
      <c r="N903" s="16"/>
      <c r="O903" s="17" t="s">
        <v>38</v>
      </c>
      <c r="P903" s="5" t="str">
        <f t="shared" si="24"/>
        <v>Truncate table FBC050;</v>
      </c>
      <c r="Q903" s="5"/>
      <c r="R903" s="5"/>
    </row>
    <row r="904" spans="2:18" x14ac:dyDescent="0.25">
      <c r="B904" s="19" t="s">
        <v>1288</v>
      </c>
      <c r="C904" s="16" t="s">
        <v>1289</v>
      </c>
      <c r="D904" s="16" t="s">
        <v>8152</v>
      </c>
      <c r="E904" s="16" t="s">
        <v>34</v>
      </c>
      <c r="F904" s="5" t="s">
        <v>33</v>
      </c>
      <c r="G904" s="16" t="s">
        <v>35</v>
      </c>
      <c r="H904" s="16" t="s">
        <v>12</v>
      </c>
      <c r="I904" s="16"/>
      <c r="J904" s="16"/>
      <c r="K904" s="16"/>
      <c r="L904" s="16"/>
      <c r="M904" s="16"/>
      <c r="N904" s="16"/>
      <c r="O904" s="17" t="s">
        <v>38</v>
      </c>
      <c r="P904" s="5" t="str">
        <f t="shared" si="24"/>
        <v/>
      </c>
      <c r="Q904" s="5"/>
      <c r="R904" s="5"/>
    </row>
    <row r="905" spans="2:18" x14ac:dyDescent="0.25">
      <c r="B905" s="19" t="s">
        <v>1290</v>
      </c>
      <c r="C905" s="16" t="s">
        <v>8855</v>
      </c>
      <c r="D905" s="16" t="s">
        <v>29</v>
      </c>
      <c r="E905" s="16" t="s">
        <v>34</v>
      </c>
      <c r="F905" s="5" t="s">
        <v>33</v>
      </c>
      <c r="G905" s="16" t="s">
        <v>28</v>
      </c>
      <c r="H905" s="16" t="s">
        <v>12</v>
      </c>
      <c r="I905" s="16"/>
      <c r="J905" s="16"/>
      <c r="K905" s="16"/>
      <c r="L905" s="16"/>
      <c r="M905" s="16"/>
      <c r="N905" s="16"/>
      <c r="O905" s="17" t="s">
        <v>38</v>
      </c>
      <c r="P905" s="5" t="str">
        <f t="shared" si="24"/>
        <v>Truncate table FBC052;</v>
      </c>
      <c r="Q905" s="5"/>
      <c r="R905" s="5"/>
    </row>
    <row r="906" spans="2:18" x14ac:dyDescent="0.25">
      <c r="B906" s="19" t="s">
        <v>1291</v>
      </c>
      <c r="C906" s="16" t="s">
        <v>1292</v>
      </c>
      <c r="D906" s="16" t="s">
        <v>29</v>
      </c>
      <c r="E906" s="16" t="s">
        <v>34</v>
      </c>
      <c r="F906" s="5" t="s">
        <v>33</v>
      </c>
      <c r="G906" s="16" t="s">
        <v>28</v>
      </c>
      <c r="H906" s="16" t="s">
        <v>12</v>
      </c>
      <c r="I906" s="16"/>
      <c r="J906" s="16"/>
      <c r="K906" s="16"/>
      <c r="L906" s="16"/>
      <c r="M906" s="16"/>
      <c r="N906" s="16"/>
      <c r="O906" s="17" t="s">
        <v>38</v>
      </c>
      <c r="P906" s="5" t="str">
        <f t="shared" si="24"/>
        <v>Truncate table FBC053;</v>
      </c>
      <c r="Q906" s="5"/>
      <c r="R906" s="5"/>
    </row>
    <row r="907" spans="2:18" x14ac:dyDescent="0.25">
      <c r="B907" s="19" t="s">
        <v>1293</v>
      </c>
      <c r="C907" s="378" t="s">
        <v>9970</v>
      </c>
      <c r="D907" s="16" t="s">
        <v>29</v>
      </c>
      <c r="E907" s="16" t="s">
        <v>34</v>
      </c>
      <c r="F907" s="5" t="s">
        <v>33</v>
      </c>
      <c r="G907" s="16" t="s">
        <v>35</v>
      </c>
      <c r="H907" s="16" t="s">
        <v>12</v>
      </c>
      <c r="I907" s="16"/>
      <c r="J907" s="16"/>
      <c r="K907" s="16"/>
      <c r="L907" s="16"/>
      <c r="M907" s="16"/>
      <c r="N907" s="16"/>
      <c r="O907" s="17"/>
      <c r="P907" s="5" t="str">
        <f t="shared" si="24"/>
        <v>Truncate table FBC054;</v>
      </c>
      <c r="Q907" s="5"/>
      <c r="R907" s="5"/>
    </row>
    <row r="908" spans="2:18" x14ac:dyDescent="0.25">
      <c r="B908" s="19" t="s">
        <v>1294</v>
      </c>
      <c r="C908" s="16" t="s">
        <v>8856</v>
      </c>
      <c r="D908" s="16" t="s">
        <v>29</v>
      </c>
      <c r="E908" s="16" t="s">
        <v>34</v>
      </c>
      <c r="F908" s="5" t="s">
        <v>33</v>
      </c>
      <c r="G908" s="16" t="s">
        <v>35</v>
      </c>
      <c r="H908" s="16" t="s">
        <v>12</v>
      </c>
      <c r="I908" s="16"/>
      <c r="J908" s="16"/>
      <c r="K908" s="16"/>
      <c r="L908" s="16"/>
      <c r="M908" s="16"/>
      <c r="N908" s="16"/>
      <c r="O908" s="17"/>
      <c r="P908" s="5" t="str">
        <f t="shared" si="24"/>
        <v>Truncate table FBC055;</v>
      </c>
      <c r="Q908" s="5"/>
      <c r="R908" s="5"/>
    </row>
    <row r="909" spans="2:18" x14ac:dyDescent="0.25">
      <c r="B909" s="19" t="s">
        <v>1295</v>
      </c>
      <c r="C909" s="16" t="s">
        <v>8857</v>
      </c>
      <c r="D909" s="16" t="s">
        <v>29</v>
      </c>
      <c r="E909" s="16" t="s">
        <v>34</v>
      </c>
      <c r="F909" s="5" t="s">
        <v>33</v>
      </c>
      <c r="G909" s="16" t="s">
        <v>35</v>
      </c>
      <c r="H909" s="16" t="s">
        <v>12</v>
      </c>
      <c r="I909" s="16"/>
      <c r="J909" s="16"/>
      <c r="K909" s="16"/>
      <c r="L909" s="16"/>
      <c r="M909" s="16"/>
      <c r="N909" s="16"/>
      <c r="O909" s="17"/>
      <c r="P909" s="5" t="str">
        <f t="shared" si="24"/>
        <v>Truncate table FBC058;</v>
      </c>
      <c r="Q909" s="5"/>
      <c r="R909" s="5"/>
    </row>
    <row r="910" spans="2:18" x14ac:dyDescent="0.25">
      <c r="B910" s="19" t="s">
        <v>1296</v>
      </c>
      <c r="C910" s="16" t="s">
        <v>8858</v>
      </c>
      <c r="D910" s="16" t="s">
        <v>29</v>
      </c>
      <c r="E910" s="16" t="s">
        <v>34</v>
      </c>
      <c r="F910" s="5" t="s">
        <v>33</v>
      </c>
      <c r="G910" s="16" t="s">
        <v>35</v>
      </c>
      <c r="H910" s="16" t="s">
        <v>12</v>
      </c>
      <c r="I910" s="16"/>
      <c r="J910" s="16"/>
      <c r="K910" s="16"/>
      <c r="L910" s="16"/>
      <c r="M910" s="16"/>
      <c r="N910" s="16"/>
      <c r="O910" s="17"/>
      <c r="P910" s="5" t="str">
        <f t="shared" si="24"/>
        <v>Truncate table FBC059;</v>
      </c>
      <c r="Q910" s="5"/>
      <c r="R910" s="5"/>
    </row>
    <row r="911" spans="2:18" x14ac:dyDescent="0.25">
      <c r="B911" s="19" t="s">
        <v>1297</v>
      </c>
      <c r="C911" s="16" t="s">
        <v>8859</v>
      </c>
      <c r="D911" s="16" t="s">
        <v>29</v>
      </c>
      <c r="E911" s="16" t="s">
        <v>34</v>
      </c>
      <c r="F911" s="5" t="s">
        <v>33</v>
      </c>
      <c r="G911" s="16" t="s">
        <v>35</v>
      </c>
      <c r="H911" s="16" t="s">
        <v>12</v>
      </c>
      <c r="I911" s="16"/>
      <c r="J911" s="16"/>
      <c r="K911" s="16"/>
      <c r="L911" s="16"/>
      <c r="M911" s="16"/>
      <c r="N911" s="16"/>
      <c r="O911" s="17"/>
      <c r="P911" s="5" t="str">
        <f t="shared" si="24"/>
        <v>Truncate table FBC061;</v>
      </c>
      <c r="Q911" s="5"/>
      <c r="R911" s="5"/>
    </row>
    <row r="912" spans="2:18" x14ac:dyDescent="0.25">
      <c r="B912" s="19" t="s">
        <v>1298</v>
      </c>
      <c r="C912" s="16" t="s">
        <v>8860</v>
      </c>
      <c r="D912" s="16" t="s">
        <v>29</v>
      </c>
      <c r="E912" s="16" t="s">
        <v>34</v>
      </c>
      <c r="F912" s="5" t="s">
        <v>33</v>
      </c>
      <c r="G912" s="16" t="s">
        <v>35</v>
      </c>
      <c r="H912" s="16" t="s">
        <v>12</v>
      </c>
      <c r="I912" s="16"/>
      <c r="J912" s="16"/>
      <c r="K912" s="16"/>
      <c r="L912" s="16"/>
      <c r="M912" s="16"/>
      <c r="N912" s="16"/>
      <c r="O912" s="17"/>
      <c r="P912" s="5" t="str">
        <f t="shared" si="24"/>
        <v>Truncate table FBC062;</v>
      </c>
      <c r="Q912" s="5"/>
      <c r="R912" s="5"/>
    </row>
    <row r="913" spans="2:18" x14ac:dyDescent="0.25">
      <c r="B913" s="19" t="s">
        <v>1299</v>
      </c>
      <c r="C913" s="16" t="s">
        <v>8861</v>
      </c>
      <c r="D913" s="16" t="s">
        <v>29</v>
      </c>
      <c r="E913" s="16" t="s">
        <v>34</v>
      </c>
      <c r="F913" s="5" t="s">
        <v>33</v>
      </c>
      <c r="G913" s="16" t="s">
        <v>35</v>
      </c>
      <c r="H913" s="16" t="s">
        <v>12</v>
      </c>
      <c r="I913" s="16"/>
      <c r="J913" s="16"/>
      <c r="K913" s="16"/>
      <c r="L913" s="16"/>
      <c r="M913" s="16"/>
      <c r="N913" s="16"/>
      <c r="O913" s="17"/>
      <c r="P913" s="5" t="str">
        <f t="shared" si="24"/>
        <v>Truncate table FBC071;</v>
      </c>
      <c r="Q913" s="5"/>
      <c r="R913" s="5"/>
    </row>
    <row r="914" spans="2:18" x14ac:dyDescent="0.25">
      <c r="B914" s="19" t="s">
        <v>1300</v>
      </c>
      <c r="C914" s="16" t="s">
        <v>8862</v>
      </c>
      <c r="D914" s="16" t="s">
        <v>29</v>
      </c>
      <c r="E914" s="16" t="s">
        <v>34</v>
      </c>
      <c r="F914" s="5" t="s">
        <v>33</v>
      </c>
      <c r="G914" s="16" t="s">
        <v>35</v>
      </c>
      <c r="H914" s="16" t="s">
        <v>12</v>
      </c>
      <c r="I914" s="16"/>
      <c r="J914" s="16"/>
      <c r="K914" s="16"/>
      <c r="L914" s="16"/>
      <c r="M914" s="16"/>
      <c r="N914" s="16"/>
      <c r="O914" s="17"/>
      <c r="P914" s="5" t="str">
        <f t="shared" si="24"/>
        <v>Truncate table FBC075;</v>
      </c>
      <c r="Q914" s="5"/>
      <c r="R914" s="5"/>
    </row>
    <row r="915" spans="2:18" x14ac:dyDescent="0.25">
      <c r="B915" s="19" t="s">
        <v>1301</v>
      </c>
      <c r="C915" s="16" t="s">
        <v>8863</v>
      </c>
      <c r="D915" s="16" t="s">
        <v>29</v>
      </c>
      <c r="E915" s="16" t="s">
        <v>34</v>
      </c>
      <c r="F915" s="5" t="s">
        <v>33</v>
      </c>
      <c r="G915" s="16" t="s">
        <v>35</v>
      </c>
      <c r="H915" s="16" t="s">
        <v>12</v>
      </c>
      <c r="I915" s="16"/>
      <c r="J915" s="16"/>
      <c r="K915" s="16"/>
      <c r="L915" s="16"/>
      <c r="M915" s="16"/>
      <c r="N915" s="16"/>
      <c r="O915" s="17"/>
      <c r="P915" s="5" t="str">
        <f t="shared" si="24"/>
        <v>Truncate table FBC090;</v>
      </c>
      <c r="Q915" s="5"/>
      <c r="R915" s="5"/>
    </row>
    <row r="916" spans="2:18" x14ac:dyDescent="0.25">
      <c r="B916" s="19" t="s">
        <v>1302</v>
      </c>
      <c r="C916" s="16" t="s">
        <v>8864</v>
      </c>
      <c r="D916" s="16" t="s">
        <v>29</v>
      </c>
      <c r="E916" s="16" t="s">
        <v>34</v>
      </c>
      <c r="F916" s="5" t="s">
        <v>33</v>
      </c>
      <c r="G916" s="16" t="s">
        <v>35</v>
      </c>
      <c r="H916" s="16" t="s">
        <v>12</v>
      </c>
      <c r="I916" s="16"/>
      <c r="J916" s="16"/>
      <c r="K916" s="16"/>
      <c r="L916" s="16"/>
      <c r="M916" s="16"/>
      <c r="N916" s="16"/>
      <c r="O916" s="17"/>
      <c r="P916" s="5" t="str">
        <f t="shared" si="24"/>
        <v>Truncate table FBC091;</v>
      </c>
      <c r="Q916" s="5"/>
      <c r="R916" s="5"/>
    </row>
    <row r="917" spans="2:18" x14ac:dyDescent="0.25">
      <c r="B917" s="19" t="s">
        <v>1303</v>
      </c>
      <c r="C917" s="16" t="s">
        <v>8865</v>
      </c>
      <c r="D917" s="16" t="s">
        <v>29</v>
      </c>
      <c r="E917" s="16" t="s">
        <v>34</v>
      </c>
      <c r="F917" s="5" t="s">
        <v>33</v>
      </c>
      <c r="G917" s="16" t="s">
        <v>35</v>
      </c>
      <c r="H917" s="16" t="s">
        <v>12</v>
      </c>
      <c r="I917" s="16"/>
      <c r="J917" s="16"/>
      <c r="K917" s="16"/>
      <c r="L917" s="16"/>
      <c r="M917" s="16"/>
      <c r="N917" s="16"/>
      <c r="O917" s="17"/>
      <c r="P917" s="5" t="str">
        <f t="shared" si="24"/>
        <v>Truncate table FBC111;</v>
      </c>
      <c r="Q917" s="5"/>
      <c r="R917" s="5"/>
    </row>
    <row r="918" spans="2:18" x14ac:dyDescent="0.25">
      <c r="B918" s="19" t="s">
        <v>1304</v>
      </c>
      <c r="C918" s="16" t="s">
        <v>8866</v>
      </c>
      <c r="D918" s="16" t="s">
        <v>29</v>
      </c>
      <c r="E918" s="16" t="s">
        <v>34</v>
      </c>
      <c r="F918" s="5" t="s">
        <v>33</v>
      </c>
      <c r="G918" s="16" t="s">
        <v>35</v>
      </c>
      <c r="H918" s="16" t="s">
        <v>12</v>
      </c>
      <c r="I918" s="16"/>
      <c r="J918" s="16"/>
      <c r="K918" s="16"/>
      <c r="L918" s="16"/>
      <c r="M918" s="16"/>
      <c r="N918" s="16"/>
      <c r="O918" s="17"/>
      <c r="P918" s="5" t="str">
        <f t="shared" si="24"/>
        <v>Truncate table FBC117;</v>
      </c>
      <c r="Q918" s="5"/>
      <c r="R918" s="5"/>
    </row>
    <row r="919" spans="2:18" x14ac:dyDescent="0.25">
      <c r="B919" s="19" t="s">
        <v>1305</v>
      </c>
      <c r="C919" s="16" t="s">
        <v>8867</v>
      </c>
      <c r="D919" s="16" t="s">
        <v>29</v>
      </c>
      <c r="E919" s="16" t="s">
        <v>34</v>
      </c>
      <c r="F919" s="5" t="s">
        <v>33</v>
      </c>
      <c r="G919" s="16" t="s">
        <v>35</v>
      </c>
      <c r="H919" s="16" t="s">
        <v>12</v>
      </c>
      <c r="I919" s="16"/>
      <c r="J919" s="16"/>
      <c r="K919" s="16"/>
      <c r="L919" s="16"/>
      <c r="M919" s="16"/>
      <c r="N919" s="16"/>
      <c r="O919" s="17"/>
      <c r="P919" s="5" t="str">
        <f t="shared" si="24"/>
        <v>Truncate table FBC132;</v>
      </c>
      <c r="Q919" s="5"/>
      <c r="R919" s="5"/>
    </row>
    <row r="920" spans="2:18" x14ac:dyDescent="0.25">
      <c r="B920" s="19" t="s">
        <v>1306</v>
      </c>
      <c r="C920" s="378" t="s">
        <v>9971</v>
      </c>
      <c r="D920" s="16" t="s">
        <v>29</v>
      </c>
      <c r="E920" s="16" t="s">
        <v>34</v>
      </c>
      <c r="F920" s="5" t="s">
        <v>33</v>
      </c>
      <c r="G920" s="16" t="s">
        <v>28</v>
      </c>
      <c r="H920" s="16" t="s">
        <v>12</v>
      </c>
      <c r="I920" s="16"/>
      <c r="J920" s="16"/>
      <c r="K920" s="16"/>
      <c r="L920" s="16"/>
      <c r="M920" s="16"/>
      <c r="N920" s="16"/>
      <c r="O920" s="17" t="s">
        <v>38</v>
      </c>
      <c r="P920" s="5" t="str">
        <f t="shared" si="24"/>
        <v>Truncate table FBC147;</v>
      </c>
      <c r="Q920" s="5"/>
      <c r="R920" s="5"/>
    </row>
    <row r="921" spans="2:18" x14ac:dyDescent="0.25">
      <c r="B921" s="19" t="s">
        <v>1307</v>
      </c>
      <c r="C921" s="16" t="s">
        <v>1037</v>
      </c>
      <c r="D921" s="16" t="s">
        <v>29</v>
      </c>
      <c r="E921" s="16" t="s">
        <v>34</v>
      </c>
      <c r="F921" s="5" t="s">
        <v>33</v>
      </c>
      <c r="G921" s="16" t="s">
        <v>35</v>
      </c>
      <c r="H921" s="16" t="s">
        <v>12</v>
      </c>
      <c r="I921" s="16"/>
      <c r="J921" s="16"/>
      <c r="K921" s="16"/>
      <c r="L921" s="16"/>
      <c r="M921" s="16"/>
      <c r="N921" s="16"/>
      <c r="O921" s="17" t="s">
        <v>38</v>
      </c>
      <c r="P921" s="5" t="str">
        <f t="shared" si="24"/>
        <v>Truncate table FBC148;</v>
      </c>
      <c r="Q921" s="5"/>
      <c r="R921" s="5"/>
    </row>
    <row r="922" spans="2:18" x14ac:dyDescent="0.25">
      <c r="B922" s="19" t="s">
        <v>1308</v>
      </c>
      <c r="C922" s="16" t="s">
        <v>8868</v>
      </c>
      <c r="D922" s="16" t="s">
        <v>29</v>
      </c>
      <c r="E922" s="16" t="s">
        <v>34</v>
      </c>
      <c r="F922" s="5" t="s">
        <v>33</v>
      </c>
      <c r="G922" s="16" t="s">
        <v>35</v>
      </c>
      <c r="H922" s="16" t="s">
        <v>12</v>
      </c>
      <c r="I922" s="16"/>
      <c r="J922" s="16"/>
      <c r="K922" s="16"/>
      <c r="L922" s="16"/>
      <c r="M922" s="16"/>
      <c r="N922" s="16"/>
      <c r="O922" s="17"/>
      <c r="P922" s="5" t="str">
        <f t="shared" si="24"/>
        <v>Truncate table FBC153;</v>
      </c>
      <c r="Q922" s="5"/>
      <c r="R922" s="5"/>
    </row>
    <row r="923" spans="2:18" x14ac:dyDescent="0.25">
      <c r="B923" s="19" t="s">
        <v>1309</v>
      </c>
      <c r="C923" s="16" t="s">
        <v>8869</v>
      </c>
      <c r="D923" s="16" t="s">
        <v>29</v>
      </c>
      <c r="E923" s="16" t="s">
        <v>34</v>
      </c>
      <c r="F923" s="5" t="s">
        <v>33</v>
      </c>
      <c r="G923" s="16" t="s">
        <v>35</v>
      </c>
      <c r="H923" s="16" t="s">
        <v>12</v>
      </c>
      <c r="I923" s="16"/>
      <c r="J923" s="16"/>
      <c r="K923" s="16"/>
      <c r="L923" s="16"/>
      <c r="M923" s="16"/>
      <c r="N923" s="16"/>
      <c r="O923" s="17"/>
      <c r="P923" s="5" t="str">
        <f t="shared" si="24"/>
        <v>Truncate table FBC154;</v>
      </c>
      <c r="Q923" s="5"/>
      <c r="R923" s="5"/>
    </row>
    <row r="924" spans="2:18" x14ac:dyDescent="0.25">
      <c r="B924" s="19" t="s">
        <v>1310</v>
      </c>
      <c r="C924" t="s">
        <v>11600</v>
      </c>
      <c r="D924" s="16" t="s">
        <v>29</v>
      </c>
      <c r="E924" s="16" t="s">
        <v>34</v>
      </c>
      <c r="F924" s="5" t="s">
        <v>33</v>
      </c>
      <c r="G924" s="16" t="s">
        <v>35</v>
      </c>
      <c r="H924" s="16" t="s">
        <v>12</v>
      </c>
      <c r="I924" s="16"/>
      <c r="J924" s="16"/>
      <c r="K924" s="16" t="s">
        <v>11577</v>
      </c>
      <c r="L924" s="16"/>
      <c r="M924" s="16" t="s">
        <v>11601</v>
      </c>
      <c r="N924" s="16"/>
      <c r="O924" s="17" t="s">
        <v>38</v>
      </c>
      <c r="P924" s="5" t="str">
        <f t="shared" si="24"/>
        <v>Truncate table FBC170;</v>
      </c>
      <c r="Q924" s="5" t="s">
        <v>8134</v>
      </c>
      <c r="R924" s="5"/>
    </row>
    <row r="925" spans="2:18" x14ac:dyDescent="0.25">
      <c r="B925" s="19" t="s">
        <v>1311</v>
      </c>
      <c r="C925" s="378" t="s">
        <v>9972</v>
      </c>
      <c r="D925" s="16" t="s">
        <v>29</v>
      </c>
      <c r="E925" s="16" t="s">
        <v>34</v>
      </c>
      <c r="F925" s="5" t="s">
        <v>33</v>
      </c>
      <c r="G925" s="16" t="s">
        <v>35</v>
      </c>
      <c r="H925" s="16" t="s">
        <v>12</v>
      </c>
      <c r="I925" s="16"/>
      <c r="J925" s="16"/>
      <c r="K925" s="16"/>
      <c r="L925" s="16"/>
      <c r="M925" s="16"/>
      <c r="N925" s="16"/>
      <c r="O925" s="17"/>
      <c r="P925" s="5" t="str">
        <f t="shared" si="24"/>
        <v>Truncate table FBC171;</v>
      </c>
      <c r="Q925" s="5"/>
      <c r="R925" s="5"/>
    </row>
    <row r="926" spans="2:18" x14ac:dyDescent="0.25">
      <c r="B926" s="19" t="s">
        <v>1312</v>
      </c>
      <c r="C926" s="16" t="s">
        <v>8870</v>
      </c>
      <c r="D926" s="16" t="s">
        <v>29</v>
      </c>
      <c r="E926" s="16" t="s">
        <v>34</v>
      </c>
      <c r="F926" s="5" t="s">
        <v>33</v>
      </c>
      <c r="G926" s="16" t="s">
        <v>35</v>
      </c>
      <c r="H926" s="16" t="s">
        <v>12</v>
      </c>
      <c r="I926" s="16"/>
      <c r="J926" s="16"/>
      <c r="K926" s="16"/>
      <c r="L926" s="16"/>
      <c r="M926" s="16"/>
      <c r="N926" s="16"/>
      <c r="O926" s="17"/>
      <c r="P926" s="5" t="str">
        <f t="shared" ref="P926:P941" si="25">IF(D926="Datos","Truncate table "&amp; B926&amp; ";","")</f>
        <v>Truncate table FBC172;</v>
      </c>
      <c r="Q926" s="5"/>
      <c r="R926" s="5"/>
    </row>
    <row r="927" spans="2:18" x14ac:dyDescent="0.25">
      <c r="B927" s="19" t="s">
        <v>1313</v>
      </c>
      <c r="C927" s="16" t="s">
        <v>8871</v>
      </c>
      <c r="D927" s="16" t="s">
        <v>29</v>
      </c>
      <c r="E927" s="16" t="s">
        <v>34</v>
      </c>
      <c r="F927" s="5" t="s">
        <v>33</v>
      </c>
      <c r="G927" s="16" t="s">
        <v>35</v>
      </c>
      <c r="H927" s="16" t="s">
        <v>12</v>
      </c>
      <c r="I927" s="16"/>
      <c r="J927" s="16"/>
      <c r="K927" s="16"/>
      <c r="L927" s="16"/>
      <c r="M927" s="16"/>
      <c r="N927" s="16"/>
      <c r="O927" s="17"/>
      <c r="P927" s="5" t="str">
        <f t="shared" si="25"/>
        <v>Truncate table FBC173;</v>
      </c>
      <c r="Q927" s="5"/>
      <c r="R927" s="5"/>
    </row>
    <row r="928" spans="2:18" x14ac:dyDescent="0.25">
      <c r="B928" s="19" t="s">
        <v>1314</v>
      </c>
      <c r="C928" s="16" t="s">
        <v>8872</v>
      </c>
      <c r="D928" s="16" t="s">
        <v>29</v>
      </c>
      <c r="E928" s="16" t="s">
        <v>34</v>
      </c>
      <c r="F928" s="5" t="s">
        <v>33</v>
      </c>
      <c r="G928" s="16" t="s">
        <v>35</v>
      </c>
      <c r="H928" s="16" t="s">
        <v>12</v>
      </c>
      <c r="I928" s="16"/>
      <c r="J928" s="16"/>
      <c r="K928" s="16"/>
      <c r="L928" s="16"/>
      <c r="M928" s="16"/>
      <c r="N928" s="16"/>
      <c r="O928" s="17"/>
      <c r="P928" s="5" t="str">
        <f t="shared" si="25"/>
        <v>Truncate table FBC174;</v>
      </c>
      <c r="Q928" s="5"/>
      <c r="R928" s="5"/>
    </row>
    <row r="929" spans="1:18" x14ac:dyDescent="0.25">
      <c r="B929" s="19" t="s">
        <v>1315</v>
      </c>
      <c r="C929" s="16" t="s">
        <v>8873</v>
      </c>
      <c r="D929" s="16" t="s">
        <v>29</v>
      </c>
      <c r="E929" s="16" t="s">
        <v>34</v>
      </c>
      <c r="F929" s="5" t="s">
        <v>33</v>
      </c>
      <c r="G929" s="16" t="s">
        <v>35</v>
      </c>
      <c r="H929" s="16" t="s">
        <v>12</v>
      </c>
      <c r="I929" s="16"/>
      <c r="J929" s="16"/>
      <c r="K929" s="16"/>
      <c r="L929" s="16"/>
      <c r="M929" s="16"/>
      <c r="N929" s="16"/>
      <c r="O929" s="17"/>
      <c r="P929" s="5" t="str">
        <f t="shared" si="25"/>
        <v>Truncate table FBC175;</v>
      </c>
      <c r="Q929" s="5"/>
      <c r="R929" s="5"/>
    </row>
    <row r="930" spans="1:18" x14ac:dyDescent="0.25">
      <c r="B930" s="19" t="s">
        <v>1316</v>
      </c>
      <c r="C930" s="16" t="s">
        <v>8874</v>
      </c>
      <c r="D930" s="16" t="s">
        <v>29</v>
      </c>
      <c r="E930" s="16" t="s">
        <v>34</v>
      </c>
      <c r="F930" s="5" t="s">
        <v>33</v>
      </c>
      <c r="G930" s="16" t="s">
        <v>35</v>
      </c>
      <c r="H930" s="16" t="s">
        <v>12</v>
      </c>
      <c r="I930" s="16"/>
      <c r="J930" s="16"/>
      <c r="K930" s="16"/>
      <c r="L930" s="16"/>
      <c r="M930" s="16"/>
      <c r="N930" s="16"/>
      <c r="O930" s="17"/>
      <c r="P930" s="5" t="str">
        <f t="shared" si="25"/>
        <v>Truncate table FBC176;</v>
      </c>
      <c r="Q930" s="5"/>
      <c r="R930" s="5"/>
    </row>
    <row r="931" spans="1:18" x14ac:dyDescent="0.25">
      <c r="B931" s="19" t="s">
        <v>1317</v>
      </c>
      <c r="C931" s="16" t="s">
        <v>8875</v>
      </c>
      <c r="D931" s="16" t="s">
        <v>29</v>
      </c>
      <c r="E931" s="16" t="s">
        <v>34</v>
      </c>
      <c r="F931" s="5" t="s">
        <v>33</v>
      </c>
      <c r="G931" s="16" t="s">
        <v>35</v>
      </c>
      <c r="H931" s="16" t="s">
        <v>12</v>
      </c>
      <c r="I931" s="16"/>
      <c r="J931" s="16"/>
      <c r="K931" s="16"/>
      <c r="L931" s="16"/>
      <c r="M931" s="16"/>
      <c r="N931" s="16"/>
      <c r="O931" s="17"/>
      <c r="P931" s="5" t="str">
        <f t="shared" si="25"/>
        <v>Truncate table FBC177;</v>
      </c>
      <c r="Q931" s="5"/>
      <c r="R931" s="5"/>
    </row>
    <row r="932" spans="1:18" x14ac:dyDescent="0.25">
      <c r="B932" s="19" t="s">
        <v>1318</v>
      </c>
      <c r="C932" s="16" t="s">
        <v>8876</v>
      </c>
      <c r="D932" s="16" t="s">
        <v>29</v>
      </c>
      <c r="E932" s="16" t="s">
        <v>34</v>
      </c>
      <c r="F932" s="5" t="s">
        <v>33</v>
      </c>
      <c r="G932" s="16" t="s">
        <v>35</v>
      </c>
      <c r="H932" s="16" t="s">
        <v>12</v>
      </c>
      <c r="I932" s="16"/>
      <c r="J932" s="16"/>
      <c r="K932" s="16"/>
      <c r="L932" s="16"/>
      <c r="M932" s="16"/>
      <c r="N932" s="16"/>
      <c r="O932" s="17"/>
      <c r="P932" s="5" t="str">
        <f t="shared" si="25"/>
        <v>Truncate table FBC178;</v>
      </c>
      <c r="Q932" s="5"/>
      <c r="R932" s="5"/>
    </row>
    <row r="933" spans="1:18" x14ac:dyDescent="0.25">
      <c r="B933" s="19" t="s">
        <v>1319</v>
      </c>
      <c r="C933" s="16" t="s">
        <v>8877</v>
      </c>
      <c r="D933" s="16" t="s">
        <v>29</v>
      </c>
      <c r="E933" s="16" t="s">
        <v>34</v>
      </c>
      <c r="F933" s="5" t="s">
        <v>33</v>
      </c>
      <c r="G933" s="16" t="s">
        <v>35</v>
      </c>
      <c r="H933" s="16" t="s">
        <v>12</v>
      </c>
      <c r="I933" s="16"/>
      <c r="J933" s="16"/>
      <c r="K933" s="16"/>
      <c r="L933" s="16"/>
      <c r="M933" s="16"/>
      <c r="N933" s="16"/>
      <c r="O933" s="17"/>
      <c r="P933" s="5" t="str">
        <f t="shared" si="25"/>
        <v>Truncate table FBC180;</v>
      </c>
      <c r="Q933" s="5"/>
      <c r="R933" s="5"/>
    </row>
    <row r="934" spans="1:18" x14ac:dyDescent="0.25">
      <c r="B934" s="19" t="s">
        <v>1320</v>
      </c>
      <c r="C934" s="16" t="s">
        <v>8878</v>
      </c>
      <c r="D934" s="16" t="s">
        <v>29</v>
      </c>
      <c r="E934" s="16" t="s">
        <v>34</v>
      </c>
      <c r="F934" s="5" t="s">
        <v>33</v>
      </c>
      <c r="G934" s="16" t="s">
        <v>35</v>
      </c>
      <c r="H934" s="16" t="s">
        <v>12</v>
      </c>
      <c r="I934" s="16"/>
      <c r="J934" s="16"/>
      <c r="K934" s="16"/>
      <c r="L934" s="16"/>
      <c r="M934" s="16"/>
      <c r="N934" s="16"/>
      <c r="O934" s="17"/>
      <c r="P934" s="5" t="str">
        <f t="shared" si="25"/>
        <v>Truncate table FBC181;</v>
      </c>
      <c r="Q934" s="5"/>
      <c r="R934" s="5"/>
    </row>
    <row r="935" spans="1:18" x14ac:dyDescent="0.25">
      <c r="B935" s="19" t="s">
        <v>1321</v>
      </c>
      <c r="C935" s="16" t="s">
        <v>1037</v>
      </c>
      <c r="D935" s="16" t="s">
        <v>8152</v>
      </c>
      <c r="E935" s="16" t="s">
        <v>34</v>
      </c>
      <c r="F935" s="5" t="s">
        <v>33</v>
      </c>
      <c r="G935" s="16" t="s">
        <v>35</v>
      </c>
      <c r="H935" s="16" t="s">
        <v>12</v>
      </c>
      <c r="I935" s="16"/>
      <c r="J935" s="16"/>
      <c r="K935" s="16"/>
      <c r="L935" s="16"/>
      <c r="M935" s="16"/>
      <c r="N935" s="16"/>
      <c r="O935" s="17" t="s">
        <v>38</v>
      </c>
      <c r="P935" s="5" t="str">
        <f t="shared" si="25"/>
        <v/>
      </c>
      <c r="Q935" s="5"/>
      <c r="R935" s="5"/>
    </row>
    <row r="936" spans="1:18" x14ac:dyDescent="0.25">
      <c r="B936" s="19" t="s">
        <v>1322</v>
      </c>
      <c r="C936" s="16" t="s">
        <v>1323</v>
      </c>
      <c r="D936" s="16" t="s">
        <v>8152</v>
      </c>
      <c r="E936" s="16" t="s">
        <v>34</v>
      </c>
      <c r="F936" s="5" t="s">
        <v>33</v>
      </c>
      <c r="G936" s="16" t="s">
        <v>35</v>
      </c>
      <c r="H936" s="16" t="s">
        <v>12</v>
      </c>
      <c r="I936" s="16"/>
      <c r="J936" s="16"/>
      <c r="K936" s="16"/>
      <c r="L936" s="16"/>
      <c r="M936" s="16"/>
      <c r="N936" s="16"/>
      <c r="O936" s="17" t="s">
        <v>38</v>
      </c>
      <c r="P936" s="5" t="str">
        <f t="shared" si="25"/>
        <v/>
      </c>
      <c r="Q936" s="5"/>
      <c r="R936" s="5"/>
    </row>
    <row r="937" spans="1:18" x14ac:dyDescent="0.25">
      <c r="B937" s="19" t="s">
        <v>1324</v>
      </c>
      <c r="C937" s="16" t="s">
        <v>1325</v>
      </c>
      <c r="D937" s="16" t="s">
        <v>8152</v>
      </c>
      <c r="E937" s="16" t="s">
        <v>34</v>
      </c>
      <c r="F937" s="5" t="s">
        <v>33</v>
      </c>
      <c r="G937" s="16" t="s">
        <v>35</v>
      </c>
      <c r="H937" s="16" t="s">
        <v>12</v>
      </c>
      <c r="I937" s="16"/>
      <c r="J937" s="16"/>
      <c r="K937" s="16"/>
      <c r="L937" s="16"/>
      <c r="M937" s="16"/>
      <c r="N937" s="16"/>
      <c r="O937" s="17" t="s">
        <v>38</v>
      </c>
      <c r="P937" s="5" t="str">
        <f t="shared" si="25"/>
        <v/>
      </c>
      <c r="Q937" s="5"/>
      <c r="R937" s="5"/>
    </row>
    <row r="938" spans="1:18" x14ac:dyDescent="0.25">
      <c r="B938" s="19" t="s">
        <v>1326</v>
      </c>
      <c r="C938" s="16" t="s">
        <v>1325</v>
      </c>
      <c r="D938" s="16" t="s">
        <v>8152</v>
      </c>
      <c r="E938" s="16" t="s">
        <v>34</v>
      </c>
      <c r="F938" s="5" t="s">
        <v>33</v>
      </c>
      <c r="G938" s="16" t="s">
        <v>35</v>
      </c>
      <c r="H938" s="16" t="s">
        <v>12</v>
      </c>
      <c r="I938" s="16"/>
      <c r="J938" s="16"/>
      <c r="K938" s="16"/>
      <c r="L938" s="16"/>
      <c r="M938" s="16"/>
      <c r="N938" s="16"/>
      <c r="O938" s="17" t="s">
        <v>38</v>
      </c>
      <c r="P938" s="5" t="str">
        <f t="shared" si="25"/>
        <v/>
      </c>
      <c r="Q938" s="5"/>
      <c r="R938" s="5"/>
    </row>
    <row r="939" spans="1:18" x14ac:dyDescent="0.25">
      <c r="B939" s="19" t="s">
        <v>1327</v>
      </c>
      <c r="C939" s="16" t="s">
        <v>1325</v>
      </c>
      <c r="D939" s="16" t="s">
        <v>8152</v>
      </c>
      <c r="E939" s="16" t="s">
        <v>34</v>
      </c>
      <c r="F939" s="5" t="s">
        <v>33</v>
      </c>
      <c r="G939" s="16" t="s">
        <v>35</v>
      </c>
      <c r="H939" s="16" t="s">
        <v>12</v>
      </c>
      <c r="I939" s="16"/>
      <c r="J939" s="16"/>
      <c r="K939" s="16"/>
      <c r="L939" s="16"/>
      <c r="M939" s="16"/>
      <c r="N939" s="16"/>
      <c r="O939" s="17" t="s">
        <v>38</v>
      </c>
      <c r="P939" s="5" t="str">
        <f t="shared" si="25"/>
        <v/>
      </c>
      <c r="Q939" s="5"/>
      <c r="R939" s="5"/>
    </row>
    <row r="940" spans="1:18" x14ac:dyDescent="0.25">
      <c r="B940" s="19" t="s">
        <v>1328</v>
      </c>
      <c r="C940" s="21" t="s">
        <v>1329</v>
      </c>
      <c r="D940" s="16" t="s">
        <v>29</v>
      </c>
      <c r="E940" s="16" t="s">
        <v>34</v>
      </c>
      <c r="F940" s="5" t="s">
        <v>33</v>
      </c>
      <c r="G940" s="16" t="s">
        <v>35</v>
      </c>
      <c r="H940" s="16" t="s">
        <v>12</v>
      </c>
      <c r="I940" s="16"/>
      <c r="J940" s="16"/>
      <c r="K940" s="16"/>
      <c r="L940" s="16"/>
      <c r="M940" s="16"/>
      <c r="N940" s="16"/>
      <c r="O940" s="17" t="s">
        <v>38</v>
      </c>
      <c r="P940" s="5" t="str">
        <f t="shared" si="25"/>
        <v>Truncate table FBC205;</v>
      </c>
      <c r="Q940" s="5"/>
      <c r="R940" s="5"/>
    </row>
    <row r="941" spans="1:18" x14ac:dyDescent="0.25">
      <c r="B941" s="19" t="s">
        <v>1330</v>
      </c>
      <c r="C941" s="16" t="s">
        <v>1037</v>
      </c>
      <c r="D941" s="16" t="s">
        <v>29</v>
      </c>
      <c r="E941" s="16" t="s">
        <v>34</v>
      </c>
      <c r="F941" s="5" t="s">
        <v>33</v>
      </c>
      <c r="G941" s="16" t="s">
        <v>35</v>
      </c>
      <c r="H941" s="16" t="s">
        <v>12</v>
      </c>
      <c r="I941" s="16"/>
      <c r="J941" s="16"/>
      <c r="K941" s="16"/>
      <c r="L941" s="16"/>
      <c r="M941" s="16"/>
      <c r="N941" s="16"/>
      <c r="O941" s="17" t="s">
        <v>38</v>
      </c>
      <c r="P941" s="5" t="str">
        <f t="shared" si="25"/>
        <v>Truncate table FBC206;</v>
      </c>
      <c r="Q941" s="5"/>
      <c r="R941" s="5"/>
    </row>
    <row r="942" spans="1:18" ht="54" x14ac:dyDescent="0.25">
      <c r="A942" s="240"/>
      <c r="B942" s="19" t="s">
        <v>9473</v>
      </c>
      <c r="C942" s="16" t="s">
        <v>9474</v>
      </c>
      <c r="D942" s="16" t="s">
        <v>8152</v>
      </c>
      <c r="E942" s="16" t="s">
        <v>34</v>
      </c>
      <c r="F942" s="5" t="s">
        <v>33</v>
      </c>
      <c r="G942" s="16" t="s">
        <v>35</v>
      </c>
      <c r="H942" s="16" t="s">
        <v>12</v>
      </c>
      <c r="I942" s="16"/>
      <c r="J942" s="16"/>
      <c r="K942" s="16" t="s">
        <v>9573</v>
      </c>
      <c r="L942" s="16" t="s">
        <v>9574</v>
      </c>
      <c r="M942" s="16"/>
      <c r="N942" s="16"/>
      <c r="O942" s="17"/>
      <c r="P942" s="5"/>
      <c r="Q942" s="5"/>
      <c r="R942" s="5"/>
    </row>
    <row r="943" spans="1:18" x14ac:dyDescent="0.25">
      <c r="B943" s="19" t="s">
        <v>1331</v>
      </c>
      <c r="C943" s="16" t="s">
        <v>8879</v>
      </c>
      <c r="D943" s="16" t="s">
        <v>29</v>
      </c>
      <c r="E943" s="16" t="s">
        <v>34</v>
      </c>
      <c r="F943" s="5" t="s">
        <v>33</v>
      </c>
      <c r="G943" s="16" t="s">
        <v>35</v>
      </c>
      <c r="H943" s="16" t="s">
        <v>36</v>
      </c>
      <c r="I943" s="16"/>
      <c r="J943" s="16"/>
      <c r="K943" s="16"/>
      <c r="L943" s="16"/>
      <c r="M943" s="16"/>
      <c r="N943" s="16"/>
      <c r="O943" s="17"/>
      <c r="P943" s="5" t="str">
        <f>IF(D943="Datos","Truncate table "&amp; B943&amp; ";","")</f>
        <v>Truncate table FBC210;</v>
      </c>
      <c r="Q943" s="5"/>
      <c r="R943" s="5"/>
    </row>
    <row r="944" spans="1:18" x14ac:dyDescent="0.25">
      <c r="B944" s="19" t="s">
        <v>1332</v>
      </c>
      <c r="C944" s="16" t="s">
        <v>8880</v>
      </c>
      <c r="D944" s="16" t="s">
        <v>29</v>
      </c>
      <c r="E944" s="16" t="s">
        <v>34</v>
      </c>
      <c r="F944" s="5" t="s">
        <v>33</v>
      </c>
      <c r="G944" s="16" t="s">
        <v>35</v>
      </c>
      <c r="H944" s="16" t="s">
        <v>36</v>
      </c>
      <c r="I944" s="16"/>
      <c r="J944" s="16"/>
      <c r="K944" s="16"/>
      <c r="L944" s="16"/>
      <c r="M944" s="16"/>
      <c r="N944" s="16"/>
      <c r="O944" s="17"/>
      <c r="P944" s="5" t="str">
        <f>IF(D944="Datos","Truncate table "&amp; B944&amp; ";","")</f>
        <v>Truncate table FBC211;</v>
      </c>
      <c r="Q944" s="5"/>
      <c r="R944" s="5"/>
    </row>
    <row r="945" spans="1:18" x14ac:dyDescent="0.25">
      <c r="B945" s="19" t="s">
        <v>1333</v>
      </c>
      <c r="C945" s="16" t="s">
        <v>8881</v>
      </c>
      <c r="D945" s="16" t="s">
        <v>29</v>
      </c>
      <c r="E945" s="16" t="s">
        <v>34</v>
      </c>
      <c r="F945" s="5" t="s">
        <v>33</v>
      </c>
      <c r="G945" s="16" t="s">
        <v>35</v>
      </c>
      <c r="H945" s="16" t="s">
        <v>36</v>
      </c>
      <c r="I945" s="16"/>
      <c r="J945" s="16"/>
      <c r="K945" s="16"/>
      <c r="L945" s="16"/>
      <c r="M945" s="16"/>
      <c r="N945" s="16"/>
      <c r="O945" s="17"/>
      <c r="P945" s="5" t="str">
        <f>IF(D945="Datos","Truncate table "&amp; B945&amp; ";","")</f>
        <v>Truncate table FBC220;</v>
      </c>
      <c r="Q945" s="5"/>
      <c r="R945" s="5"/>
    </row>
    <row r="946" spans="1:18" x14ac:dyDescent="0.25">
      <c r="B946" s="19" t="s">
        <v>1334</v>
      </c>
      <c r="C946" s="16" t="s">
        <v>8882</v>
      </c>
      <c r="D946" s="16" t="s">
        <v>29</v>
      </c>
      <c r="E946" s="16" t="s">
        <v>34</v>
      </c>
      <c r="F946" s="5" t="s">
        <v>33</v>
      </c>
      <c r="G946" s="16" t="s">
        <v>35</v>
      </c>
      <c r="H946" s="16" t="s">
        <v>36</v>
      </c>
      <c r="I946" s="16"/>
      <c r="J946" s="16"/>
      <c r="K946" s="16"/>
      <c r="L946" s="16"/>
      <c r="M946" s="16"/>
      <c r="N946" s="16"/>
      <c r="O946" s="17"/>
      <c r="P946" s="5" t="str">
        <f>IF(D946="Datos","Truncate table "&amp; B946&amp; ";","")</f>
        <v>Truncate table FBC221;</v>
      </c>
      <c r="Q946" s="5"/>
      <c r="R946" s="5"/>
    </row>
    <row r="947" spans="1:18" x14ac:dyDescent="0.25">
      <c r="B947" s="19" t="s">
        <v>1335</v>
      </c>
      <c r="C947" s="16" t="s">
        <v>8883</v>
      </c>
      <c r="D947" s="16" t="s">
        <v>29</v>
      </c>
      <c r="E947" s="16" t="s">
        <v>34</v>
      </c>
      <c r="F947" s="5" t="s">
        <v>33</v>
      </c>
      <c r="G947" s="16" t="s">
        <v>35</v>
      </c>
      <c r="H947" s="16" t="s">
        <v>36</v>
      </c>
      <c r="I947" s="16"/>
      <c r="J947" s="16"/>
      <c r="K947" s="16"/>
      <c r="L947" s="16"/>
      <c r="M947" s="16"/>
      <c r="N947" s="16"/>
      <c r="O947" s="17"/>
      <c r="P947" s="5" t="str">
        <f>IF(D947="Datos","Truncate table "&amp; B947&amp; ";","")</f>
        <v>Truncate table FBC300;</v>
      </c>
      <c r="Q947" s="5"/>
      <c r="R947" s="5"/>
    </row>
    <row r="948" spans="1:18" x14ac:dyDescent="0.25">
      <c r="A948" s="240"/>
      <c r="B948" s="19" t="s">
        <v>9475</v>
      </c>
      <c r="C948" s="16" t="s">
        <v>9476</v>
      </c>
      <c r="D948" s="16" t="s">
        <v>29</v>
      </c>
      <c r="E948" s="16" t="s">
        <v>34</v>
      </c>
      <c r="F948" s="5" t="s">
        <v>33</v>
      </c>
      <c r="G948" s="16" t="s">
        <v>35</v>
      </c>
      <c r="H948" s="16" t="s">
        <v>36</v>
      </c>
      <c r="I948" s="16"/>
      <c r="J948" s="16"/>
      <c r="K948" s="16"/>
      <c r="L948" s="16"/>
      <c r="M948" s="16"/>
      <c r="N948" s="16"/>
      <c r="O948" s="17"/>
      <c r="P948" s="5" t="str">
        <f t="shared" ref="P948:P950" si="26">IF(D948="Datos","Truncate table "&amp; B948&amp; ";","")</f>
        <v>Truncate table  FBC400;</v>
      </c>
      <c r="Q948" s="5"/>
      <c r="R948" s="5"/>
    </row>
    <row r="949" spans="1:18" x14ac:dyDescent="0.25">
      <c r="A949" s="240"/>
      <c r="B949" s="118" t="s">
        <v>11578</v>
      </c>
      <c r="C949" s="118" t="s">
        <v>11579</v>
      </c>
      <c r="D949" s="16" t="s">
        <v>29</v>
      </c>
      <c r="E949" s="16" t="s">
        <v>34</v>
      </c>
      <c r="F949" s="5" t="s">
        <v>33</v>
      </c>
      <c r="G949" s="16" t="s">
        <v>35</v>
      </c>
      <c r="H949" s="16" t="s">
        <v>36</v>
      </c>
      <c r="I949" s="16"/>
      <c r="J949" s="16"/>
      <c r="K949" t="s">
        <v>11577</v>
      </c>
      <c r="L949" s="16"/>
      <c r="M949" s="16"/>
      <c r="N949" s="16"/>
      <c r="O949" s="17"/>
      <c r="P949" s="5" t="str">
        <f t="shared" si="26"/>
        <v>Truncate table FBC413;</v>
      </c>
      <c r="Q949" s="5"/>
      <c r="R949" s="5"/>
    </row>
    <row r="950" spans="1:18" x14ac:dyDescent="0.25">
      <c r="A950" s="240"/>
      <c r="B950" s="118" t="s">
        <v>11580</v>
      </c>
      <c r="C950" s="118" t="s">
        <v>11581</v>
      </c>
      <c r="D950" s="16" t="s">
        <v>29</v>
      </c>
      <c r="E950" s="16" t="s">
        <v>34</v>
      </c>
      <c r="F950" s="5" t="s">
        <v>33</v>
      </c>
      <c r="G950" s="16" t="s">
        <v>35</v>
      </c>
      <c r="H950" s="16" t="s">
        <v>36</v>
      </c>
      <c r="I950" s="16"/>
      <c r="J950" s="16"/>
      <c r="K950" t="s">
        <v>11464</v>
      </c>
      <c r="L950" s="16"/>
      <c r="M950" s="16"/>
      <c r="N950" s="16"/>
      <c r="O950" s="17"/>
      <c r="P950" s="5" t="str">
        <f t="shared" si="26"/>
        <v>Truncate table FBC416;</v>
      </c>
      <c r="Q950" s="5"/>
      <c r="R950" s="5"/>
    </row>
    <row r="951" spans="1:18" x14ac:dyDescent="0.25">
      <c r="B951" s="19" t="s">
        <v>1336</v>
      </c>
      <c r="C951" s="16" t="s">
        <v>1037</v>
      </c>
      <c r="D951" s="16" t="s">
        <v>29</v>
      </c>
      <c r="E951" s="16" t="s">
        <v>34</v>
      </c>
      <c r="F951" s="5" t="s">
        <v>33</v>
      </c>
      <c r="G951" s="16" t="s">
        <v>35</v>
      </c>
      <c r="H951" s="16" t="s">
        <v>36</v>
      </c>
      <c r="I951" s="16"/>
      <c r="J951" s="16"/>
      <c r="K951" s="16"/>
      <c r="L951" s="16"/>
      <c r="M951" s="16"/>
      <c r="N951" s="16"/>
      <c r="O951" s="17" t="s">
        <v>38</v>
      </c>
      <c r="P951" s="5" t="str">
        <f t="shared" ref="P951:P982" si="27">IF(D951="Datos","Truncate table "&amp; B951&amp; ";","")</f>
        <v>Truncate table FBC500;</v>
      </c>
      <c r="Q951" s="5"/>
      <c r="R951" s="5"/>
    </row>
    <row r="952" spans="1:18" x14ac:dyDescent="0.25">
      <c r="B952" s="19" t="s">
        <v>1337</v>
      </c>
      <c r="C952" s="16" t="s">
        <v>1037</v>
      </c>
      <c r="D952" s="16" t="s">
        <v>29</v>
      </c>
      <c r="E952" s="16" t="s">
        <v>34</v>
      </c>
      <c r="F952" s="5" t="s">
        <v>33</v>
      </c>
      <c r="G952" s="16" t="s">
        <v>35</v>
      </c>
      <c r="H952" s="16" t="s">
        <v>36</v>
      </c>
      <c r="I952" s="16"/>
      <c r="J952" s="16"/>
      <c r="K952" s="16"/>
      <c r="L952" s="16"/>
      <c r="M952" s="16"/>
      <c r="N952" s="16"/>
      <c r="O952" s="17" t="s">
        <v>38</v>
      </c>
      <c r="P952" s="5" t="str">
        <f t="shared" si="27"/>
        <v>Truncate table FBC501;</v>
      </c>
      <c r="Q952" s="5"/>
      <c r="R952" s="5"/>
    </row>
    <row r="953" spans="1:18" x14ac:dyDescent="0.25">
      <c r="B953" s="19" t="s">
        <v>1338</v>
      </c>
      <c r="C953" s="16" t="s">
        <v>8884</v>
      </c>
      <c r="D953" s="16" t="s">
        <v>29</v>
      </c>
      <c r="E953" s="16" t="s">
        <v>34</v>
      </c>
      <c r="F953" s="5" t="s">
        <v>33</v>
      </c>
      <c r="G953" s="16" t="s">
        <v>35</v>
      </c>
      <c r="H953" s="16" t="s">
        <v>36</v>
      </c>
      <c r="I953" s="16"/>
      <c r="J953" s="16"/>
      <c r="K953" s="16"/>
      <c r="L953" s="16"/>
      <c r="M953" s="16"/>
      <c r="N953" s="16"/>
      <c r="O953" s="17"/>
      <c r="P953" s="5" t="str">
        <f t="shared" si="27"/>
        <v>Truncate table FBC502;</v>
      </c>
      <c r="Q953" s="5"/>
      <c r="R953" s="5"/>
    </row>
    <row r="954" spans="1:18" x14ac:dyDescent="0.25">
      <c r="B954" s="19" t="s">
        <v>1339</v>
      </c>
      <c r="C954" s="16" t="s">
        <v>8885</v>
      </c>
      <c r="D954" s="16" t="s">
        <v>29</v>
      </c>
      <c r="E954" s="16" t="s">
        <v>34</v>
      </c>
      <c r="F954" s="5" t="s">
        <v>33</v>
      </c>
      <c r="G954" s="16" t="s">
        <v>35</v>
      </c>
      <c r="H954" s="16" t="s">
        <v>36</v>
      </c>
      <c r="I954" s="16"/>
      <c r="J954" s="16"/>
      <c r="K954" s="16"/>
      <c r="L954" s="16"/>
      <c r="M954" s="16"/>
      <c r="N954" s="16"/>
      <c r="O954" s="17"/>
      <c r="P954" s="5" t="str">
        <f t="shared" si="27"/>
        <v>Truncate table FBC503;</v>
      </c>
      <c r="Q954" s="5"/>
      <c r="R954" s="5"/>
    </row>
    <row r="955" spans="1:18" x14ac:dyDescent="0.25">
      <c r="B955" s="19" t="s">
        <v>1340</v>
      </c>
      <c r="C955" s="16" t="s">
        <v>8886</v>
      </c>
      <c r="D955" s="16" t="s">
        <v>29</v>
      </c>
      <c r="E955" s="16" t="s">
        <v>34</v>
      </c>
      <c r="F955" s="5" t="s">
        <v>33</v>
      </c>
      <c r="G955" s="16" t="s">
        <v>35</v>
      </c>
      <c r="H955" s="16" t="s">
        <v>36</v>
      </c>
      <c r="I955" s="16"/>
      <c r="J955" s="16"/>
      <c r="K955" s="16"/>
      <c r="L955" s="16"/>
      <c r="M955" s="16"/>
      <c r="N955" s="16"/>
      <c r="O955" s="17"/>
      <c r="P955" s="5" t="str">
        <f t="shared" si="27"/>
        <v>Truncate table FBC504;</v>
      </c>
      <c r="Q955" s="5"/>
      <c r="R955" s="5"/>
    </row>
    <row r="956" spans="1:18" x14ac:dyDescent="0.25">
      <c r="B956" s="19" t="s">
        <v>1341</v>
      </c>
      <c r="C956" s="16" t="s">
        <v>8887</v>
      </c>
      <c r="D956" s="16" t="s">
        <v>29</v>
      </c>
      <c r="E956" s="16" t="s">
        <v>34</v>
      </c>
      <c r="F956" s="5" t="s">
        <v>33</v>
      </c>
      <c r="G956" s="16" t="s">
        <v>35</v>
      </c>
      <c r="H956" s="16" t="s">
        <v>36</v>
      </c>
      <c r="I956" s="16"/>
      <c r="J956" s="16"/>
      <c r="K956" s="16"/>
      <c r="L956" s="16"/>
      <c r="M956" s="16"/>
      <c r="N956" s="16"/>
      <c r="O956" s="17"/>
      <c r="P956" s="5" t="str">
        <f t="shared" si="27"/>
        <v>Truncate table FBC505;</v>
      </c>
      <c r="Q956" s="5"/>
      <c r="R956" s="5"/>
    </row>
    <row r="957" spans="1:18" x14ac:dyDescent="0.25">
      <c r="B957" s="19" t="s">
        <v>1342</v>
      </c>
      <c r="C957" s="16" t="s">
        <v>8888</v>
      </c>
      <c r="D957" s="16" t="s">
        <v>29</v>
      </c>
      <c r="E957" s="16" t="s">
        <v>34</v>
      </c>
      <c r="F957" s="5" t="s">
        <v>33</v>
      </c>
      <c r="G957" s="16" t="s">
        <v>35</v>
      </c>
      <c r="H957" s="16" t="s">
        <v>36</v>
      </c>
      <c r="I957" s="16"/>
      <c r="J957" s="16"/>
      <c r="K957" s="16"/>
      <c r="L957" s="16"/>
      <c r="M957" s="16"/>
      <c r="N957" s="16"/>
      <c r="O957" s="17"/>
      <c r="P957" s="5" t="str">
        <f t="shared" si="27"/>
        <v>Truncate table FBC506;</v>
      </c>
      <c r="Q957" s="5"/>
      <c r="R957" s="5"/>
    </row>
    <row r="958" spans="1:18" x14ac:dyDescent="0.25">
      <c r="B958" s="19" t="s">
        <v>1343</v>
      </c>
      <c r="C958" s="16" t="s">
        <v>8889</v>
      </c>
      <c r="D958" s="16" t="s">
        <v>29</v>
      </c>
      <c r="E958" s="16" t="s">
        <v>34</v>
      </c>
      <c r="F958" s="5" t="s">
        <v>33</v>
      </c>
      <c r="G958" s="16" t="s">
        <v>35</v>
      </c>
      <c r="H958" s="16" t="s">
        <v>36</v>
      </c>
      <c r="I958" s="16"/>
      <c r="J958" s="16"/>
      <c r="K958" s="16"/>
      <c r="L958" s="16"/>
      <c r="M958" s="16"/>
      <c r="N958" s="16"/>
      <c r="O958" s="17"/>
      <c r="P958" s="5" t="str">
        <f t="shared" si="27"/>
        <v>Truncate table FBC507;</v>
      </c>
      <c r="Q958" s="5"/>
      <c r="R958" s="5"/>
    </row>
    <row r="959" spans="1:18" x14ac:dyDescent="0.25">
      <c r="B959" s="19" t="s">
        <v>1344</v>
      </c>
      <c r="C959" s="16" t="s">
        <v>1037</v>
      </c>
      <c r="D959" s="16" t="s">
        <v>29</v>
      </c>
      <c r="E959" s="16" t="s">
        <v>34</v>
      </c>
      <c r="F959" s="5" t="s">
        <v>33</v>
      </c>
      <c r="G959" s="16" t="s">
        <v>35</v>
      </c>
      <c r="H959" s="16" t="s">
        <v>36</v>
      </c>
      <c r="I959" s="16"/>
      <c r="J959" s="16"/>
      <c r="K959" s="16"/>
      <c r="L959" s="16"/>
      <c r="M959" s="16"/>
      <c r="N959" s="16"/>
      <c r="O959" s="17" t="s">
        <v>38</v>
      </c>
      <c r="P959" s="5" t="str">
        <f t="shared" si="27"/>
        <v>Truncate table FBC508;</v>
      </c>
      <c r="Q959" s="5"/>
      <c r="R959" s="5"/>
    </row>
    <row r="960" spans="1:18" x14ac:dyDescent="0.25">
      <c r="B960" s="19" t="s">
        <v>1345</v>
      </c>
      <c r="C960" s="16" t="s">
        <v>8840</v>
      </c>
      <c r="D960" s="16" t="s">
        <v>29</v>
      </c>
      <c r="E960" s="16" t="s">
        <v>34</v>
      </c>
      <c r="F960" s="5" t="s">
        <v>33</v>
      </c>
      <c r="G960" s="16" t="s">
        <v>35</v>
      </c>
      <c r="H960" s="16" t="s">
        <v>36</v>
      </c>
      <c r="I960" s="16"/>
      <c r="J960" s="16"/>
      <c r="K960" s="16"/>
      <c r="L960" s="16"/>
      <c r="M960" s="16"/>
      <c r="N960" s="16"/>
      <c r="O960" s="17"/>
      <c r="P960" s="5" t="str">
        <f t="shared" si="27"/>
        <v>Truncate table FBC509;</v>
      </c>
      <c r="Q960" s="5"/>
      <c r="R960" s="5"/>
    </row>
    <row r="961" spans="2:18" ht="27" x14ac:dyDescent="0.25">
      <c r="B961" s="19" t="s">
        <v>1346</v>
      </c>
      <c r="C961" s="16" t="s">
        <v>9575</v>
      </c>
      <c r="D961" s="16" t="s">
        <v>29</v>
      </c>
      <c r="E961" s="16" t="s">
        <v>34</v>
      </c>
      <c r="F961" s="5" t="s">
        <v>33</v>
      </c>
      <c r="G961" s="16" t="s">
        <v>35</v>
      </c>
      <c r="H961" s="16" t="s">
        <v>36</v>
      </c>
      <c r="I961" s="16"/>
      <c r="J961" s="16"/>
      <c r="K961" s="16" t="s">
        <v>9568</v>
      </c>
      <c r="L961" s="16"/>
      <c r="M961" s="16"/>
      <c r="N961" s="16" t="s">
        <v>9576</v>
      </c>
      <c r="O961" s="17" t="s">
        <v>38</v>
      </c>
      <c r="P961" s="5" t="str">
        <f t="shared" si="27"/>
        <v>Truncate table FBC510;</v>
      </c>
      <c r="Q961" s="5"/>
      <c r="R961" s="5"/>
    </row>
    <row r="962" spans="2:18" x14ac:dyDescent="0.25">
      <c r="B962" s="19" t="s">
        <v>1347</v>
      </c>
      <c r="C962" s="16" t="s">
        <v>8548</v>
      </c>
      <c r="D962" s="16" t="s">
        <v>29</v>
      </c>
      <c r="E962" s="16" t="s">
        <v>34</v>
      </c>
      <c r="F962" s="5" t="s">
        <v>33</v>
      </c>
      <c r="G962" s="16" t="s">
        <v>35</v>
      </c>
      <c r="H962" s="16" t="s">
        <v>36</v>
      </c>
      <c r="I962" s="16"/>
      <c r="J962" s="16"/>
      <c r="K962" s="16"/>
      <c r="L962" s="16"/>
      <c r="M962" s="16"/>
      <c r="N962" s="16"/>
      <c r="O962" s="17" t="s">
        <v>38</v>
      </c>
      <c r="P962" s="5" t="str">
        <f t="shared" si="27"/>
        <v>Truncate table FBC511;</v>
      </c>
      <c r="Q962" s="5"/>
      <c r="R962" s="5"/>
    </row>
    <row r="963" spans="2:18" x14ac:dyDescent="0.25">
      <c r="B963" s="19" t="s">
        <v>1348</v>
      </c>
      <c r="C963" s="16" t="s">
        <v>8890</v>
      </c>
      <c r="D963" s="16" t="s">
        <v>29</v>
      </c>
      <c r="E963" s="16" t="s">
        <v>34</v>
      </c>
      <c r="F963" s="5" t="s">
        <v>33</v>
      </c>
      <c r="G963" s="16" t="s">
        <v>35</v>
      </c>
      <c r="H963" s="16" t="s">
        <v>36</v>
      </c>
      <c r="I963" s="16"/>
      <c r="J963" s="16"/>
      <c r="K963" s="16"/>
      <c r="L963" s="16"/>
      <c r="M963" s="16"/>
      <c r="N963" s="16"/>
      <c r="O963" s="17"/>
      <c r="P963" s="5" t="str">
        <f t="shared" si="27"/>
        <v>Truncate table FBC512;</v>
      </c>
      <c r="Q963" s="5"/>
      <c r="R963" s="5"/>
    </row>
    <row r="964" spans="2:18" x14ac:dyDescent="0.25">
      <c r="B964" s="19" t="s">
        <v>1349</v>
      </c>
      <c r="C964" s="16" t="s">
        <v>8891</v>
      </c>
      <c r="D964" s="16" t="s">
        <v>29</v>
      </c>
      <c r="E964" s="16" t="s">
        <v>34</v>
      </c>
      <c r="F964" s="5" t="s">
        <v>33</v>
      </c>
      <c r="G964" s="16" t="s">
        <v>35</v>
      </c>
      <c r="H964" s="16" t="s">
        <v>36</v>
      </c>
      <c r="I964" s="16"/>
      <c r="J964" s="16"/>
      <c r="K964" s="16"/>
      <c r="L964" s="16"/>
      <c r="M964" s="16"/>
      <c r="N964" s="16"/>
      <c r="O964" s="17"/>
      <c r="P964" s="5" t="str">
        <f t="shared" si="27"/>
        <v>Truncate table FBC515;</v>
      </c>
      <c r="Q964" s="5"/>
      <c r="R964" s="5"/>
    </row>
    <row r="965" spans="2:18" x14ac:dyDescent="0.25">
      <c r="B965" s="19" t="s">
        <v>1350</v>
      </c>
      <c r="C965" s="16" t="s">
        <v>8892</v>
      </c>
      <c r="D965" s="16" t="s">
        <v>29</v>
      </c>
      <c r="E965" s="16" t="s">
        <v>34</v>
      </c>
      <c r="F965" s="5" t="s">
        <v>33</v>
      </c>
      <c r="G965" s="16" t="s">
        <v>35</v>
      </c>
      <c r="H965" s="16" t="s">
        <v>36</v>
      </c>
      <c r="I965" s="16"/>
      <c r="J965" s="16"/>
      <c r="K965" s="16"/>
      <c r="L965" s="16"/>
      <c r="M965" s="16"/>
      <c r="N965" s="16"/>
      <c r="O965" s="17"/>
      <c r="P965" s="5" t="str">
        <f t="shared" si="27"/>
        <v>Truncate table FBC520;</v>
      </c>
      <c r="Q965" s="5"/>
      <c r="R965" s="5"/>
    </row>
    <row r="966" spans="2:18" x14ac:dyDescent="0.25">
      <c r="B966" s="19" t="s">
        <v>1351</v>
      </c>
      <c r="C966" s="16" t="s">
        <v>8893</v>
      </c>
      <c r="D966" s="16" t="s">
        <v>29</v>
      </c>
      <c r="E966" s="16" t="s">
        <v>34</v>
      </c>
      <c r="F966" s="5" t="s">
        <v>33</v>
      </c>
      <c r="G966" s="16" t="s">
        <v>35</v>
      </c>
      <c r="H966" s="16" t="s">
        <v>36</v>
      </c>
      <c r="I966" s="16"/>
      <c r="J966" s="16"/>
      <c r="K966" s="16"/>
      <c r="L966" s="16"/>
      <c r="M966" s="16"/>
      <c r="N966" s="16"/>
      <c r="O966" s="17"/>
      <c r="P966" s="5" t="str">
        <f t="shared" si="27"/>
        <v>Truncate table FBC521;</v>
      </c>
      <c r="Q966" s="5"/>
      <c r="R966" s="5"/>
    </row>
    <row r="967" spans="2:18" x14ac:dyDescent="0.25">
      <c r="B967" s="19" t="s">
        <v>1352</v>
      </c>
      <c r="C967" s="16" t="s">
        <v>8549</v>
      </c>
      <c r="D967" s="16" t="s">
        <v>29</v>
      </c>
      <c r="E967" s="16" t="s">
        <v>34</v>
      </c>
      <c r="F967" s="5" t="s">
        <v>33</v>
      </c>
      <c r="G967" s="16" t="s">
        <v>35</v>
      </c>
      <c r="H967" s="16" t="s">
        <v>36</v>
      </c>
      <c r="I967" s="16"/>
      <c r="J967" s="16"/>
      <c r="K967" s="16"/>
      <c r="L967" s="16"/>
      <c r="M967" s="16"/>
      <c r="N967" s="16"/>
      <c r="O967" s="17"/>
      <c r="P967" s="5" t="str">
        <f t="shared" si="27"/>
        <v>Truncate table FBC525;</v>
      </c>
      <c r="Q967" s="5"/>
      <c r="R967" s="5"/>
    </row>
    <row r="968" spans="2:18" x14ac:dyDescent="0.25">
      <c r="B968" s="19" t="s">
        <v>1353</v>
      </c>
      <c r="C968" s="16" t="s">
        <v>8894</v>
      </c>
      <c r="D968" s="16" t="s">
        <v>29</v>
      </c>
      <c r="E968" s="16" t="s">
        <v>34</v>
      </c>
      <c r="F968" s="5" t="s">
        <v>33</v>
      </c>
      <c r="G968" s="16" t="s">
        <v>35</v>
      </c>
      <c r="H968" s="16" t="s">
        <v>36</v>
      </c>
      <c r="I968" s="16"/>
      <c r="J968" s="16"/>
      <c r="K968" s="16"/>
      <c r="L968" s="16"/>
      <c r="M968" s="16"/>
      <c r="N968" s="16"/>
      <c r="O968" s="17"/>
      <c r="P968" s="5" t="str">
        <f t="shared" si="27"/>
        <v>Truncate table FBC530;</v>
      </c>
      <c r="Q968" s="5"/>
      <c r="R968" s="5"/>
    </row>
    <row r="969" spans="2:18" x14ac:dyDescent="0.25">
      <c r="B969" s="19" t="s">
        <v>1354</v>
      </c>
      <c r="C969" s="16" t="s">
        <v>8895</v>
      </c>
      <c r="D969" s="16" t="s">
        <v>29</v>
      </c>
      <c r="E969" s="16" t="s">
        <v>34</v>
      </c>
      <c r="F969" s="5" t="s">
        <v>33</v>
      </c>
      <c r="G969" s="16" t="s">
        <v>35</v>
      </c>
      <c r="H969" s="16" t="s">
        <v>36</v>
      </c>
      <c r="I969" s="16"/>
      <c r="J969" s="16"/>
      <c r="K969" s="16"/>
      <c r="L969" s="16"/>
      <c r="M969" s="16"/>
      <c r="N969" s="16"/>
      <c r="O969" s="17"/>
      <c r="P969" s="5" t="str">
        <f t="shared" si="27"/>
        <v>Truncate table FBC540;</v>
      </c>
      <c r="Q969" s="5"/>
      <c r="R969" s="5"/>
    </row>
    <row r="970" spans="2:18" x14ac:dyDescent="0.25">
      <c r="B970" s="19" t="s">
        <v>1355</v>
      </c>
      <c r="C970" s="16" t="s">
        <v>8896</v>
      </c>
      <c r="D970" s="16" t="s">
        <v>29</v>
      </c>
      <c r="E970" s="16" t="s">
        <v>34</v>
      </c>
      <c r="F970" s="5" t="s">
        <v>33</v>
      </c>
      <c r="G970" s="16" t="s">
        <v>35</v>
      </c>
      <c r="H970" s="16" t="s">
        <v>36</v>
      </c>
      <c r="I970" s="16"/>
      <c r="J970" s="16"/>
      <c r="K970" s="16"/>
      <c r="L970" s="16"/>
      <c r="M970" s="16"/>
      <c r="N970" s="16"/>
      <c r="O970" s="17"/>
      <c r="P970" s="5" t="str">
        <f t="shared" si="27"/>
        <v>Truncate table FBC550;</v>
      </c>
      <c r="Q970" s="5"/>
      <c r="R970" s="5"/>
    </row>
    <row r="971" spans="2:18" x14ac:dyDescent="0.25">
      <c r="B971" s="19" t="s">
        <v>1356</v>
      </c>
      <c r="C971" s="16" t="s">
        <v>8897</v>
      </c>
      <c r="D971" s="16" t="s">
        <v>29</v>
      </c>
      <c r="E971" s="16" t="s">
        <v>34</v>
      </c>
      <c r="F971" s="5" t="s">
        <v>33</v>
      </c>
      <c r="G971" s="16" t="s">
        <v>35</v>
      </c>
      <c r="H971" s="16" t="s">
        <v>36</v>
      </c>
      <c r="I971" s="16"/>
      <c r="J971" s="16"/>
      <c r="K971" s="16"/>
      <c r="L971" s="16"/>
      <c r="M971" s="16"/>
      <c r="N971" s="16"/>
      <c r="O971" s="17"/>
      <c r="P971" s="5" t="str">
        <f t="shared" si="27"/>
        <v>Truncate table FBC554;</v>
      </c>
      <c r="Q971" s="5"/>
      <c r="R971" s="5"/>
    </row>
    <row r="972" spans="2:18" x14ac:dyDescent="0.25">
      <c r="B972" s="19" t="s">
        <v>1357</v>
      </c>
      <c r="C972" s="16" t="s">
        <v>1037</v>
      </c>
      <c r="D972" s="16" t="s">
        <v>29</v>
      </c>
      <c r="E972" s="16" t="s">
        <v>34</v>
      </c>
      <c r="F972" s="5" t="s">
        <v>33</v>
      </c>
      <c r="G972" s="16" t="s">
        <v>35</v>
      </c>
      <c r="H972" s="16" t="s">
        <v>36</v>
      </c>
      <c r="I972" s="16"/>
      <c r="J972" s="16"/>
      <c r="K972" s="16"/>
      <c r="L972" s="16"/>
      <c r="M972" s="16"/>
      <c r="N972" s="16"/>
      <c r="O972" s="17" t="s">
        <v>38</v>
      </c>
      <c r="P972" s="5" t="str">
        <f t="shared" si="27"/>
        <v>Truncate table FBC555;</v>
      </c>
      <c r="Q972" s="5"/>
      <c r="R972" s="5"/>
    </row>
    <row r="973" spans="2:18" x14ac:dyDescent="0.25">
      <c r="B973" s="19" t="s">
        <v>1358</v>
      </c>
      <c r="C973" s="16" t="s">
        <v>1359</v>
      </c>
      <c r="D973" s="16" t="s">
        <v>29</v>
      </c>
      <c r="E973" s="16" t="s">
        <v>34</v>
      </c>
      <c r="F973" s="5" t="s">
        <v>33</v>
      </c>
      <c r="G973" s="16" t="s">
        <v>35</v>
      </c>
      <c r="H973" s="16" t="s">
        <v>36</v>
      </c>
      <c r="I973" s="16"/>
      <c r="J973" s="16"/>
      <c r="K973" s="16"/>
      <c r="L973" s="16"/>
      <c r="M973" s="16"/>
      <c r="N973" s="16"/>
      <c r="O973" s="17" t="s">
        <v>38</v>
      </c>
      <c r="P973" s="5" t="str">
        <f t="shared" si="27"/>
        <v>Truncate table FBC556;</v>
      </c>
      <c r="Q973" s="5"/>
      <c r="R973" s="5"/>
    </row>
    <row r="974" spans="2:18" x14ac:dyDescent="0.25">
      <c r="B974" s="19" t="s">
        <v>1360</v>
      </c>
      <c r="C974" s="16" t="s">
        <v>1359</v>
      </c>
      <c r="D974" s="16" t="s">
        <v>29</v>
      </c>
      <c r="E974" s="16" t="s">
        <v>34</v>
      </c>
      <c r="F974" s="5" t="s">
        <v>33</v>
      </c>
      <c r="G974" s="16" t="s">
        <v>35</v>
      </c>
      <c r="H974" s="16" t="s">
        <v>36</v>
      </c>
      <c r="I974" s="16"/>
      <c r="J974" s="16"/>
      <c r="K974" s="16"/>
      <c r="L974" s="16"/>
      <c r="M974" s="16"/>
      <c r="N974" s="16"/>
      <c r="O974" s="17" t="s">
        <v>38</v>
      </c>
      <c r="P974" s="5" t="str">
        <f t="shared" si="27"/>
        <v>Truncate table FBC557;</v>
      </c>
      <c r="Q974" s="5"/>
      <c r="R974" s="5"/>
    </row>
    <row r="975" spans="2:18" x14ac:dyDescent="0.25">
      <c r="B975" s="19" t="s">
        <v>1361</v>
      </c>
      <c r="C975" s="16" t="s">
        <v>8898</v>
      </c>
      <c r="D975" s="16" t="s">
        <v>29</v>
      </c>
      <c r="E975" s="16" t="s">
        <v>34</v>
      </c>
      <c r="F975" s="5" t="s">
        <v>33</v>
      </c>
      <c r="G975" s="16" t="s">
        <v>35</v>
      </c>
      <c r="H975" s="16" t="s">
        <v>36</v>
      </c>
      <c r="I975" s="16"/>
      <c r="J975" s="16"/>
      <c r="K975" s="16"/>
      <c r="L975" s="16"/>
      <c r="M975" s="16"/>
      <c r="N975" s="16"/>
      <c r="O975" s="17"/>
      <c r="P975" s="5" t="str">
        <f t="shared" si="27"/>
        <v>Truncate table FBC560;</v>
      </c>
      <c r="Q975" s="5"/>
      <c r="R975" s="5"/>
    </row>
    <row r="976" spans="2:18" x14ac:dyDescent="0.25">
      <c r="B976" s="19" t="s">
        <v>1362</v>
      </c>
      <c r="C976" s="16" t="s">
        <v>8899</v>
      </c>
      <c r="D976" s="16" t="s">
        <v>29</v>
      </c>
      <c r="E976" s="16" t="s">
        <v>34</v>
      </c>
      <c r="F976" s="5" t="s">
        <v>33</v>
      </c>
      <c r="G976" s="16" t="s">
        <v>35</v>
      </c>
      <c r="H976" s="16" t="s">
        <v>36</v>
      </c>
      <c r="I976" s="16"/>
      <c r="J976" s="16"/>
      <c r="K976" s="16"/>
      <c r="L976" s="16"/>
      <c r="M976" s="16"/>
      <c r="N976" s="16"/>
      <c r="O976" s="17"/>
      <c r="P976" s="5" t="str">
        <f t="shared" si="27"/>
        <v>Truncate table FBC565;</v>
      </c>
      <c r="Q976" s="5"/>
      <c r="R976" s="5"/>
    </row>
    <row r="977" spans="2:18" x14ac:dyDescent="0.25">
      <c r="B977" s="19" t="s">
        <v>1363</v>
      </c>
      <c r="C977" s="16" t="s">
        <v>8900</v>
      </c>
      <c r="D977" s="16" t="s">
        <v>29</v>
      </c>
      <c r="E977" s="16" t="s">
        <v>34</v>
      </c>
      <c r="F977" s="5" t="s">
        <v>33</v>
      </c>
      <c r="G977" s="16" t="s">
        <v>35</v>
      </c>
      <c r="H977" s="16" t="s">
        <v>36</v>
      </c>
      <c r="I977" s="16"/>
      <c r="J977" s="16"/>
      <c r="K977" s="16"/>
      <c r="L977" s="16"/>
      <c r="M977" s="16"/>
      <c r="N977" s="16"/>
      <c r="O977" s="17"/>
      <c r="P977" s="5" t="str">
        <f t="shared" si="27"/>
        <v>Truncate table FBC591;</v>
      </c>
      <c r="Q977" s="5"/>
      <c r="R977" s="5"/>
    </row>
    <row r="978" spans="2:18" x14ac:dyDescent="0.25">
      <c r="B978" s="19" t="s">
        <v>1364</v>
      </c>
      <c r="C978" s="16" t="s">
        <v>8901</v>
      </c>
      <c r="D978" s="16" t="s">
        <v>29</v>
      </c>
      <c r="E978" s="16" t="s">
        <v>34</v>
      </c>
      <c r="F978" s="5" t="s">
        <v>33</v>
      </c>
      <c r="G978" s="16" t="s">
        <v>35</v>
      </c>
      <c r="H978" s="16" t="s">
        <v>36</v>
      </c>
      <c r="I978" s="16"/>
      <c r="J978" s="16"/>
      <c r="K978" s="16"/>
      <c r="L978" s="16"/>
      <c r="M978" s="16"/>
      <c r="N978" s="16"/>
      <c r="O978" s="17"/>
      <c r="P978" s="5" t="str">
        <f t="shared" si="27"/>
        <v>Truncate table FBC592;</v>
      </c>
      <c r="Q978" s="5"/>
      <c r="R978" s="5"/>
    </row>
    <row r="979" spans="2:18" x14ac:dyDescent="0.25">
      <c r="B979" s="19" t="s">
        <v>1365</v>
      </c>
      <c r="C979" s="16" t="s">
        <v>8902</v>
      </c>
      <c r="D979" s="16" t="s">
        <v>29</v>
      </c>
      <c r="E979" s="16" t="s">
        <v>34</v>
      </c>
      <c r="F979" s="5" t="s">
        <v>33</v>
      </c>
      <c r="G979" s="16" t="s">
        <v>35</v>
      </c>
      <c r="H979" s="16" t="s">
        <v>36</v>
      </c>
      <c r="I979" s="16"/>
      <c r="J979" s="16"/>
      <c r="K979" s="16"/>
      <c r="L979" s="16"/>
      <c r="M979" s="16"/>
      <c r="N979" s="16"/>
      <c r="O979" s="17"/>
      <c r="P979" s="5" t="str">
        <f t="shared" si="27"/>
        <v>Truncate table FBC600;</v>
      </c>
      <c r="Q979" s="5"/>
      <c r="R979" s="5"/>
    </row>
    <row r="980" spans="2:18" x14ac:dyDescent="0.25">
      <c r="B980" s="19" t="s">
        <v>1366</v>
      </c>
      <c r="C980" s="16" t="s">
        <v>8903</v>
      </c>
      <c r="D980" s="16" t="s">
        <v>29</v>
      </c>
      <c r="E980" s="16" t="s">
        <v>34</v>
      </c>
      <c r="F980" s="5" t="s">
        <v>33</v>
      </c>
      <c r="G980" s="16" t="s">
        <v>35</v>
      </c>
      <c r="H980" s="16" t="s">
        <v>36</v>
      </c>
      <c r="I980" s="16"/>
      <c r="J980" s="16"/>
      <c r="K980" s="16"/>
      <c r="L980" s="16"/>
      <c r="M980" s="16"/>
      <c r="N980" s="16"/>
      <c r="O980" s="17"/>
      <c r="P980" s="5" t="str">
        <f t="shared" si="27"/>
        <v>Truncate table FBC602;</v>
      </c>
      <c r="Q980" s="5"/>
      <c r="R980" s="5"/>
    </row>
    <row r="981" spans="2:18" x14ac:dyDescent="0.25">
      <c r="B981" s="19" t="s">
        <v>1367</v>
      </c>
      <c r="C981" s="16" t="s">
        <v>8904</v>
      </c>
      <c r="D981" s="16" t="s">
        <v>29</v>
      </c>
      <c r="E981" s="16" t="s">
        <v>34</v>
      </c>
      <c r="F981" s="5" t="s">
        <v>33</v>
      </c>
      <c r="G981" s="16" t="s">
        <v>35</v>
      </c>
      <c r="H981" s="16" t="s">
        <v>36</v>
      </c>
      <c r="I981" s="16"/>
      <c r="J981" s="16"/>
      <c r="K981" s="16"/>
      <c r="L981" s="16"/>
      <c r="M981" s="16"/>
      <c r="N981" s="16"/>
      <c r="O981" s="17"/>
      <c r="P981" s="5" t="str">
        <f t="shared" si="27"/>
        <v>Truncate table FBC604;</v>
      </c>
      <c r="Q981" s="5"/>
      <c r="R981" s="5"/>
    </row>
    <row r="982" spans="2:18" x14ac:dyDescent="0.25">
      <c r="B982" s="19" t="s">
        <v>1368</v>
      </c>
      <c r="C982" s="16" t="s">
        <v>8905</v>
      </c>
      <c r="D982" s="16" t="s">
        <v>29</v>
      </c>
      <c r="E982" s="16" t="s">
        <v>34</v>
      </c>
      <c r="F982" s="5" t="s">
        <v>33</v>
      </c>
      <c r="G982" s="16" t="s">
        <v>35</v>
      </c>
      <c r="H982" s="16" t="s">
        <v>36</v>
      </c>
      <c r="I982" s="16"/>
      <c r="J982" s="16"/>
      <c r="K982" s="16"/>
      <c r="L982" s="16"/>
      <c r="M982" s="16"/>
      <c r="N982" s="16"/>
      <c r="O982" s="17"/>
      <c r="P982" s="5" t="str">
        <f t="shared" si="27"/>
        <v>Truncate table FBC605;</v>
      </c>
      <c r="Q982" s="5"/>
      <c r="R982" s="5"/>
    </row>
    <row r="983" spans="2:18" x14ac:dyDescent="0.25">
      <c r="B983" s="19" t="s">
        <v>1369</v>
      </c>
      <c r="C983" s="16" t="s">
        <v>8906</v>
      </c>
      <c r="D983" s="16" t="s">
        <v>29</v>
      </c>
      <c r="E983" s="16" t="s">
        <v>34</v>
      </c>
      <c r="F983" s="5" t="s">
        <v>33</v>
      </c>
      <c r="G983" s="16" t="s">
        <v>35</v>
      </c>
      <c r="H983" s="16" t="s">
        <v>36</v>
      </c>
      <c r="I983" s="16"/>
      <c r="J983" s="16"/>
      <c r="K983" s="16"/>
      <c r="L983" s="16"/>
      <c r="M983" s="16"/>
      <c r="N983" s="16"/>
      <c r="O983" s="17"/>
      <c r="P983" s="5" t="str">
        <f t="shared" ref="P983:P1014" si="28">IF(D983="Datos","Truncate table "&amp; B983&amp; ";","")</f>
        <v>Truncate table FBC606;</v>
      </c>
      <c r="Q983" s="5"/>
      <c r="R983" s="5"/>
    </row>
    <row r="984" spans="2:18" x14ac:dyDescent="0.25">
      <c r="B984" s="19" t="s">
        <v>1370</v>
      </c>
      <c r="C984" s="16" t="s">
        <v>8907</v>
      </c>
      <c r="D984" s="16" t="s">
        <v>29</v>
      </c>
      <c r="E984" s="16" t="s">
        <v>34</v>
      </c>
      <c r="F984" s="5" t="s">
        <v>33</v>
      </c>
      <c r="G984" s="16" t="s">
        <v>35</v>
      </c>
      <c r="H984" s="16" t="s">
        <v>36</v>
      </c>
      <c r="I984" s="16"/>
      <c r="J984" s="16"/>
      <c r="K984" s="16"/>
      <c r="L984" s="16"/>
      <c r="M984" s="16"/>
      <c r="N984" s="16"/>
      <c r="O984" s="17"/>
      <c r="P984" s="5" t="str">
        <f t="shared" si="28"/>
        <v>Truncate table FBC607;</v>
      </c>
      <c r="Q984" s="5"/>
      <c r="R984" s="5"/>
    </row>
    <row r="985" spans="2:18" x14ac:dyDescent="0.25">
      <c r="B985" s="19" t="s">
        <v>1371</v>
      </c>
      <c r="C985" s="16" t="s">
        <v>8908</v>
      </c>
      <c r="D985" s="16" t="s">
        <v>29</v>
      </c>
      <c r="E985" s="16" t="s">
        <v>34</v>
      </c>
      <c r="F985" s="5" t="s">
        <v>33</v>
      </c>
      <c r="G985" s="16" t="s">
        <v>35</v>
      </c>
      <c r="H985" s="16" t="s">
        <v>36</v>
      </c>
      <c r="I985" s="16"/>
      <c r="J985" s="16"/>
      <c r="K985" s="16"/>
      <c r="L985" s="16"/>
      <c r="M985" s="16"/>
      <c r="N985" s="16"/>
      <c r="O985" s="17"/>
      <c r="P985" s="5" t="str">
        <f t="shared" si="28"/>
        <v>Truncate table FBC608;</v>
      </c>
      <c r="Q985" s="60"/>
      <c r="R985" s="60"/>
    </row>
    <row r="986" spans="2:18" x14ac:dyDescent="0.25">
      <c r="B986" s="19" t="s">
        <v>1372</v>
      </c>
      <c r="C986" s="16" t="s">
        <v>8909</v>
      </c>
      <c r="D986" s="16" t="s">
        <v>29</v>
      </c>
      <c r="E986" s="16" t="s">
        <v>34</v>
      </c>
      <c r="F986" s="5" t="s">
        <v>33</v>
      </c>
      <c r="G986" s="16" t="s">
        <v>35</v>
      </c>
      <c r="H986" s="16" t="s">
        <v>36</v>
      </c>
      <c r="I986" s="16"/>
      <c r="J986" s="16"/>
      <c r="K986" s="16"/>
      <c r="L986" s="16"/>
      <c r="M986" s="16"/>
      <c r="N986" s="16"/>
      <c r="O986" s="17"/>
      <c r="P986" s="5" t="str">
        <f t="shared" si="28"/>
        <v>Truncate table FBC609;</v>
      </c>
      <c r="Q986" s="60"/>
      <c r="R986" s="60"/>
    </row>
    <row r="987" spans="2:18" x14ac:dyDescent="0.25">
      <c r="B987" s="19" t="s">
        <v>1373</v>
      </c>
      <c r="C987" s="16" t="s">
        <v>8910</v>
      </c>
      <c r="D987" s="16" t="s">
        <v>29</v>
      </c>
      <c r="E987" s="16" t="s">
        <v>34</v>
      </c>
      <c r="F987" s="5" t="s">
        <v>33</v>
      </c>
      <c r="G987" s="16" t="s">
        <v>35</v>
      </c>
      <c r="H987" s="16" t="s">
        <v>36</v>
      </c>
      <c r="I987" s="16"/>
      <c r="J987" s="16"/>
      <c r="K987" s="16"/>
      <c r="L987" s="16"/>
      <c r="M987" s="16"/>
      <c r="N987" s="16"/>
      <c r="O987" s="17"/>
      <c r="P987" s="5" t="str">
        <f t="shared" si="28"/>
        <v>Truncate table FBC610;</v>
      </c>
      <c r="Q987" s="5"/>
      <c r="R987" s="5"/>
    </row>
    <row r="988" spans="2:18" x14ac:dyDescent="0.25">
      <c r="B988" s="19" t="s">
        <v>1374</v>
      </c>
      <c r="C988" s="16" t="s">
        <v>1037</v>
      </c>
      <c r="D988" s="16" t="s">
        <v>29</v>
      </c>
      <c r="E988" s="16" t="s">
        <v>34</v>
      </c>
      <c r="F988" s="5" t="s">
        <v>33</v>
      </c>
      <c r="G988" s="16" t="s">
        <v>35</v>
      </c>
      <c r="H988" s="16" t="s">
        <v>36</v>
      </c>
      <c r="I988" s="16"/>
      <c r="J988" s="16"/>
      <c r="K988" s="16"/>
      <c r="L988" s="16"/>
      <c r="M988" s="16"/>
      <c r="N988" s="16"/>
      <c r="O988" s="17" t="s">
        <v>38</v>
      </c>
      <c r="P988" s="5" t="str">
        <f t="shared" si="28"/>
        <v>Truncate table FBC620;</v>
      </c>
      <c r="Q988" s="5"/>
      <c r="R988" s="5"/>
    </row>
    <row r="989" spans="2:18" x14ac:dyDescent="0.25">
      <c r="B989" s="19" t="s">
        <v>1375</v>
      </c>
      <c r="C989" s="378" t="s">
        <v>9973</v>
      </c>
      <c r="D989" s="16" t="s">
        <v>29</v>
      </c>
      <c r="E989" s="16" t="s">
        <v>34</v>
      </c>
      <c r="F989" s="5" t="s">
        <v>33</v>
      </c>
      <c r="G989" s="16" t="s">
        <v>35</v>
      </c>
      <c r="H989" s="16" t="s">
        <v>36</v>
      </c>
      <c r="I989" s="16"/>
      <c r="J989" s="16"/>
      <c r="K989" s="16"/>
      <c r="L989" s="16"/>
      <c r="M989" s="16"/>
      <c r="N989" s="16"/>
      <c r="O989" s="17"/>
      <c r="P989" s="5" t="str">
        <f t="shared" si="28"/>
        <v>Truncate table FBC630;</v>
      </c>
      <c r="Q989" s="5"/>
      <c r="R989" s="5"/>
    </row>
    <row r="990" spans="2:18" x14ac:dyDescent="0.25">
      <c r="B990" s="19" t="s">
        <v>1376</v>
      </c>
      <c r="C990" s="16" t="s">
        <v>8911</v>
      </c>
      <c r="D990" s="16" t="s">
        <v>29</v>
      </c>
      <c r="E990" s="16" t="s">
        <v>34</v>
      </c>
      <c r="F990" s="5" t="s">
        <v>33</v>
      </c>
      <c r="G990" s="16" t="s">
        <v>35</v>
      </c>
      <c r="H990" s="16" t="s">
        <v>36</v>
      </c>
      <c r="I990" s="16"/>
      <c r="J990" s="16"/>
      <c r="K990" s="16"/>
      <c r="L990" s="16"/>
      <c r="M990" s="16"/>
      <c r="N990" s="16"/>
      <c r="O990" s="17"/>
      <c r="P990" s="5" t="str">
        <f t="shared" si="28"/>
        <v>Truncate table FBC700;</v>
      </c>
      <c r="Q990" s="5"/>
      <c r="R990" s="5"/>
    </row>
    <row r="991" spans="2:18" x14ac:dyDescent="0.25">
      <c r="B991" s="19" t="s">
        <v>1377</v>
      </c>
      <c r="C991" s="16" t="s">
        <v>8912</v>
      </c>
      <c r="D991" s="16" t="s">
        <v>29</v>
      </c>
      <c r="E991" s="16" t="s">
        <v>34</v>
      </c>
      <c r="F991" s="5" t="s">
        <v>33</v>
      </c>
      <c r="G991" s="16" t="s">
        <v>35</v>
      </c>
      <c r="H991" s="16" t="s">
        <v>36</v>
      </c>
      <c r="I991" s="16"/>
      <c r="J991" s="16"/>
      <c r="K991" s="16"/>
      <c r="L991" s="16"/>
      <c r="M991" s="16"/>
      <c r="N991" s="16"/>
      <c r="O991" s="17"/>
      <c r="P991" s="5" t="str">
        <f t="shared" si="28"/>
        <v>Truncate table FBC701;</v>
      </c>
      <c r="Q991" s="5"/>
      <c r="R991" s="5"/>
    </row>
    <row r="992" spans="2:18" x14ac:dyDescent="0.25">
      <c r="B992" s="19" t="s">
        <v>1378</v>
      </c>
      <c r="C992" s="16" t="s">
        <v>8913</v>
      </c>
      <c r="D992" s="16" t="s">
        <v>29</v>
      </c>
      <c r="E992" s="16" t="s">
        <v>34</v>
      </c>
      <c r="F992" s="5" t="s">
        <v>33</v>
      </c>
      <c r="G992" s="16" t="s">
        <v>35</v>
      </c>
      <c r="H992" s="16" t="s">
        <v>36</v>
      </c>
      <c r="I992" s="16"/>
      <c r="J992" s="16"/>
      <c r="K992" s="16"/>
      <c r="L992" s="16"/>
      <c r="M992" s="16"/>
      <c r="N992" s="16"/>
      <c r="O992" s="17"/>
      <c r="P992" s="5" t="str">
        <f t="shared" si="28"/>
        <v>Truncate table FBC702;</v>
      </c>
      <c r="Q992" s="5"/>
      <c r="R992" s="5"/>
    </row>
    <row r="993" spans="2:18" x14ac:dyDescent="0.25">
      <c r="B993" s="19" t="s">
        <v>1379</v>
      </c>
      <c r="C993" s="16" t="s">
        <v>8914</v>
      </c>
      <c r="D993" s="16" t="s">
        <v>29</v>
      </c>
      <c r="E993" s="16" t="s">
        <v>34</v>
      </c>
      <c r="F993" s="5" t="s">
        <v>33</v>
      </c>
      <c r="G993" s="16" t="s">
        <v>35</v>
      </c>
      <c r="H993" s="16" t="s">
        <v>36</v>
      </c>
      <c r="I993" s="16"/>
      <c r="J993" s="16"/>
      <c r="K993" s="16"/>
      <c r="L993" s="16"/>
      <c r="M993" s="16"/>
      <c r="N993" s="16"/>
      <c r="O993" s="17"/>
      <c r="P993" s="5" t="str">
        <f t="shared" si="28"/>
        <v>Truncate table FBC703;</v>
      </c>
      <c r="Q993" s="5"/>
      <c r="R993" s="5"/>
    </row>
    <row r="994" spans="2:18" x14ac:dyDescent="0.25">
      <c r="B994" s="19" t="s">
        <v>1380</v>
      </c>
      <c r="C994" s="16" t="s">
        <v>8915</v>
      </c>
      <c r="D994" s="16" t="s">
        <v>29</v>
      </c>
      <c r="E994" s="16" t="s">
        <v>34</v>
      </c>
      <c r="F994" s="5" t="s">
        <v>33</v>
      </c>
      <c r="G994" s="16" t="s">
        <v>35</v>
      </c>
      <c r="H994" s="16" t="s">
        <v>36</v>
      </c>
      <c r="I994" s="16"/>
      <c r="J994" s="16"/>
      <c r="K994" s="16"/>
      <c r="L994" s="16"/>
      <c r="M994" s="16"/>
      <c r="N994" s="16"/>
      <c r="O994" s="17"/>
      <c r="P994" s="5" t="str">
        <f t="shared" si="28"/>
        <v>Truncate table FBC704;</v>
      </c>
      <c r="Q994" s="5"/>
      <c r="R994" s="5"/>
    </row>
    <row r="995" spans="2:18" x14ac:dyDescent="0.25">
      <c r="B995" s="19" t="s">
        <v>1381</v>
      </c>
      <c r="C995" s="16" t="s">
        <v>8916</v>
      </c>
      <c r="D995" s="16" t="s">
        <v>29</v>
      </c>
      <c r="E995" s="16" t="s">
        <v>34</v>
      </c>
      <c r="F995" s="5" t="s">
        <v>33</v>
      </c>
      <c r="G995" s="16" t="s">
        <v>35</v>
      </c>
      <c r="H995" s="16" t="s">
        <v>36</v>
      </c>
      <c r="I995" s="16"/>
      <c r="J995" s="16"/>
      <c r="K995" s="16"/>
      <c r="L995" s="16"/>
      <c r="M995" s="16"/>
      <c r="N995" s="16"/>
      <c r="O995" s="17"/>
      <c r="P995" s="5" t="str">
        <f t="shared" si="28"/>
        <v>Truncate table FBC705;</v>
      </c>
      <c r="Q995" s="5"/>
      <c r="R995" s="5"/>
    </row>
    <row r="996" spans="2:18" x14ac:dyDescent="0.25">
      <c r="B996" s="19" t="s">
        <v>1382</v>
      </c>
      <c r="C996" s="16" t="s">
        <v>8917</v>
      </c>
      <c r="D996" s="16" t="s">
        <v>29</v>
      </c>
      <c r="E996" s="16" t="s">
        <v>34</v>
      </c>
      <c r="F996" s="5" t="s">
        <v>33</v>
      </c>
      <c r="G996" s="16" t="s">
        <v>35</v>
      </c>
      <c r="H996" s="16" t="s">
        <v>36</v>
      </c>
      <c r="I996" s="16"/>
      <c r="J996" s="16"/>
      <c r="K996" s="16"/>
      <c r="L996" s="16"/>
      <c r="M996" s="16"/>
      <c r="N996" s="16"/>
      <c r="O996" s="17"/>
      <c r="P996" s="5" t="str">
        <f t="shared" si="28"/>
        <v>Truncate table FBC706;</v>
      </c>
      <c r="Q996" s="5"/>
      <c r="R996" s="5"/>
    </row>
    <row r="997" spans="2:18" x14ac:dyDescent="0.25">
      <c r="B997" s="19" t="s">
        <v>1383</v>
      </c>
      <c r="C997" s="305" t="s">
        <v>9974</v>
      </c>
      <c r="D997" s="16" t="s">
        <v>29</v>
      </c>
      <c r="E997" s="16" t="s">
        <v>34</v>
      </c>
      <c r="F997" s="5" t="s">
        <v>33</v>
      </c>
      <c r="G997" s="16" t="s">
        <v>35</v>
      </c>
      <c r="H997" s="16" t="s">
        <v>36</v>
      </c>
      <c r="I997" s="16"/>
      <c r="J997" s="16"/>
      <c r="K997" s="16"/>
      <c r="L997" s="16"/>
      <c r="M997" s="16"/>
      <c r="N997" s="16"/>
      <c r="O997" s="17"/>
      <c r="P997" s="5" t="str">
        <f t="shared" si="28"/>
        <v>Truncate table FBC707;</v>
      </c>
      <c r="Q997" s="5"/>
      <c r="R997" s="5"/>
    </row>
    <row r="998" spans="2:18" x14ac:dyDescent="0.25">
      <c r="B998" s="19" t="s">
        <v>1384</v>
      </c>
      <c r="C998" s="305" t="s">
        <v>9975</v>
      </c>
      <c r="D998" s="16" t="s">
        <v>29</v>
      </c>
      <c r="E998" s="16" t="s">
        <v>34</v>
      </c>
      <c r="F998" s="5" t="s">
        <v>33</v>
      </c>
      <c r="G998" s="16" t="s">
        <v>35</v>
      </c>
      <c r="H998" s="16" t="s">
        <v>36</v>
      </c>
      <c r="I998" s="16"/>
      <c r="J998" s="16"/>
      <c r="K998" s="16"/>
      <c r="L998" s="16"/>
      <c r="M998" s="16"/>
      <c r="N998" s="16"/>
      <c r="O998" s="17"/>
      <c r="P998" s="5" t="str">
        <f t="shared" si="28"/>
        <v>Truncate table FBC708;</v>
      </c>
      <c r="Q998" s="5"/>
      <c r="R998" s="5"/>
    </row>
    <row r="999" spans="2:18" x14ac:dyDescent="0.25">
      <c r="B999" s="19" t="s">
        <v>1385</v>
      </c>
      <c r="C999" s="305" t="s">
        <v>9976</v>
      </c>
      <c r="D999" s="16" t="s">
        <v>29</v>
      </c>
      <c r="E999" s="16" t="s">
        <v>34</v>
      </c>
      <c r="F999" s="5" t="s">
        <v>33</v>
      </c>
      <c r="G999" s="16" t="s">
        <v>35</v>
      </c>
      <c r="H999" s="16" t="s">
        <v>36</v>
      </c>
      <c r="I999" s="16"/>
      <c r="J999" s="16"/>
      <c r="K999" s="16"/>
      <c r="L999" s="16"/>
      <c r="M999" s="16"/>
      <c r="N999" s="16"/>
      <c r="O999" s="17"/>
      <c r="P999" s="5" t="str">
        <f t="shared" si="28"/>
        <v>Truncate table FBC709;</v>
      </c>
      <c r="Q999" s="5"/>
      <c r="R999" s="5"/>
    </row>
    <row r="1000" spans="2:18" x14ac:dyDescent="0.25">
      <c r="B1000" s="19" t="s">
        <v>1386</v>
      </c>
      <c r="C1000" s="16" t="s">
        <v>8918</v>
      </c>
      <c r="D1000" s="16" t="s">
        <v>29</v>
      </c>
      <c r="E1000" s="16" t="s">
        <v>34</v>
      </c>
      <c r="F1000" s="5" t="s">
        <v>33</v>
      </c>
      <c r="G1000" s="16" t="s">
        <v>35</v>
      </c>
      <c r="H1000" s="16" t="s">
        <v>36</v>
      </c>
      <c r="I1000" s="16"/>
      <c r="J1000" s="16"/>
      <c r="K1000" s="16"/>
      <c r="L1000" s="16"/>
      <c r="M1000" s="16"/>
      <c r="N1000" s="16"/>
      <c r="O1000" s="17"/>
      <c r="P1000" s="5" t="str">
        <f t="shared" si="28"/>
        <v>Truncate table FBC710;</v>
      </c>
      <c r="Q1000" s="5"/>
      <c r="R1000" s="5"/>
    </row>
    <row r="1001" spans="2:18" x14ac:dyDescent="0.25">
      <c r="B1001" s="19" t="s">
        <v>1387</v>
      </c>
      <c r="C1001" s="16" t="s">
        <v>8919</v>
      </c>
      <c r="D1001" s="16" t="s">
        <v>29</v>
      </c>
      <c r="E1001" s="16" t="s">
        <v>34</v>
      </c>
      <c r="F1001" s="5" t="s">
        <v>33</v>
      </c>
      <c r="G1001" s="16" t="s">
        <v>35</v>
      </c>
      <c r="H1001" s="16" t="s">
        <v>36</v>
      </c>
      <c r="I1001" s="16"/>
      <c r="J1001" s="16"/>
      <c r="K1001" s="16"/>
      <c r="L1001" s="16"/>
      <c r="M1001" s="16"/>
      <c r="N1001" s="16"/>
      <c r="O1001" s="17"/>
      <c r="P1001" s="5" t="str">
        <f t="shared" si="28"/>
        <v>Truncate table FBC711;</v>
      </c>
      <c r="Q1001" s="5"/>
      <c r="R1001" s="5"/>
    </row>
    <row r="1002" spans="2:18" x14ac:dyDescent="0.25">
      <c r="B1002" s="19" t="s">
        <v>1388</v>
      </c>
      <c r="C1002" s="16" t="s">
        <v>8920</v>
      </c>
      <c r="D1002" s="16" t="s">
        <v>29</v>
      </c>
      <c r="E1002" s="16" t="s">
        <v>34</v>
      </c>
      <c r="F1002" s="5" t="s">
        <v>33</v>
      </c>
      <c r="G1002" s="16" t="s">
        <v>35</v>
      </c>
      <c r="H1002" s="16" t="s">
        <v>36</v>
      </c>
      <c r="I1002" s="16"/>
      <c r="J1002" s="16"/>
      <c r="K1002" s="16"/>
      <c r="L1002" s="16"/>
      <c r="M1002" s="16"/>
      <c r="N1002" s="16"/>
      <c r="O1002" s="17"/>
      <c r="P1002" s="5" t="str">
        <f t="shared" si="28"/>
        <v>Truncate table FBC712;</v>
      </c>
      <c r="Q1002" s="5"/>
      <c r="R1002" s="5"/>
    </row>
    <row r="1003" spans="2:18" x14ac:dyDescent="0.25">
      <c r="B1003" s="19" t="s">
        <v>1389</v>
      </c>
      <c r="C1003" s="16" t="s">
        <v>8921</v>
      </c>
      <c r="D1003" s="16" t="s">
        <v>29</v>
      </c>
      <c r="E1003" s="16" t="s">
        <v>34</v>
      </c>
      <c r="F1003" s="5" t="s">
        <v>33</v>
      </c>
      <c r="G1003" s="16" t="s">
        <v>35</v>
      </c>
      <c r="H1003" s="16" t="s">
        <v>36</v>
      </c>
      <c r="I1003" s="16"/>
      <c r="J1003" s="16"/>
      <c r="K1003" s="16"/>
      <c r="L1003" s="16"/>
      <c r="M1003" s="16"/>
      <c r="N1003" s="16"/>
      <c r="O1003" s="17"/>
      <c r="P1003" s="5" t="str">
        <f t="shared" si="28"/>
        <v>Truncate table FBC713;</v>
      </c>
      <c r="Q1003" s="5"/>
      <c r="R1003" s="5"/>
    </row>
    <row r="1004" spans="2:18" x14ac:dyDescent="0.25">
      <c r="B1004" s="19" t="s">
        <v>1390</v>
      </c>
      <c r="C1004" s="16" t="s">
        <v>8922</v>
      </c>
      <c r="D1004" s="16" t="s">
        <v>29</v>
      </c>
      <c r="E1004" s="16" t="s">
        <v>34</v>
      </c>
      <c r="F1004" s="5" t="s">
        <v>33</v>
      </c>
      <c r="G1004" s="16" t="s">
        <v>35</v>
      </c>
      <c r="H1004" s="16" t="s">
        <v>36</v>
      </c>
      <c r="I1004" s="16"/>
      <c r="J1004" s="16"/>
      <c r="K1004" s="16"/>
      <c r="L1004" s="16"/>
      <c r="M1004" s="16"/>
      <c r="N1004" s="16"/>
      <c r="O1004" s="17"/>
      <c r="P1004" s="5" t="str">
        <f t="shared" si="28"/>
        <v>Truncate table FBC714;</v>
      </c>
      <c r="Q1004" s="5"/>
      <c r="R1004" s="5"/>
    </row>
    <row r="1005" spans="2:18" x14ac:dyDescent="0.25">
      <c r="B1005" s="19" t="s">
        <v>1391</v>
      </c>
      <c r="C1005" s="16" t="s">
        <v>8923</v>
      </c>
      <c r="D1005" s="16" t="s">
        <v>29</v>
      </c>
      <c r="E1005" s="16" t="s">
        <v>34</v>
      </c>
      <c r="F1005" s="5" t="s">
        <v>33</v>
      </c>
      <c r="G1005" s="16" t="s">
        <v>35</v>
      </c>
      <c r="H1005" s="16" t="s">
        <v>36</v>
      </c>
      <c r="I1005" s="16"/>
      <c r="J1005" s="16"/>
      <c r="K1005" s="16"/>
      <c r="L1005" s="16"/>
      <c r="M1005" s="16"/>
      <c r="N1005" s="16"/>
      <c r="O1005" s="17"/>
      <c r="P1005" s="5" t="str">
        <f t="shared" si="28"/>
        <v>Truncate table FBC715;</v>
      </c>
      <c r="Q1005" s="5"/>
      <c r="R1005" s="5"/>
    </row>
    <row r="1006" spans="2:18" x14ac:dyDescent="0.25">
      <c r="B1006" s="19" t="s">
        <v>1392</v>
      </c>
      <c r="C1006" s="16" t="s">
        <v>8924</v>
      </c>
      <c r="D1006" s="16" t="s">
        <v>29</v>
      </c>
      <c r="E1006" s="16" t="s">
        <v>34</v>
      </c>
      <c r="F1006" s="5" t="s">
        <v>33</v>
      </c>
      <c r="G1006" s="16" t="s">
        <v>35</v>
      </c>
      <c r="H1006" s="16" t="s">
        <v>36</v>
      </c>
      <c r="I1006" s="16"/>
      <c r="J1006" s="16"/>
      <c r="K1006" s="16"/>
      <c r="L1006" s="16"/>
      <c r="M1006" s="16"/>
      <c r="N1006" s="16"/>
      <c r="O1006" s="17"/>
      <c r="P1006" s="5" t="str">
        <f t="shared" si="28"/>
        <v>Truncate table FBC716;</v>
      </c>
      <c r="Q1006" s="5"/>
      <c r="R1006" s="5"/>
    </row>
    <row r="1007" spans="2:18" x14ac:dyDescent="0.25">
      <c r="B1007" s="19" t="s">
        <v>1393</v>
      </c>
      <c r="C1007" s="16" t="s">
        <v>8549</v>
      </c>
      <c r="D1007" s="16" t="s">
        <v>29</v>
      </c>
      <c r="E1007" s="16" t="s">
        <v>34</v>
      </c>
      <c r="F1007" s="5" t="s">
        <v>33</v>
      </c>
      <c r="G1007" s="16" t="s">
        <v>35</v>
      </c>
      <c r="H1007" s="16" t="s">
        <v>36</v>
      </c>
      <c r="I1007" s="16"/>
      <c r="J1007" s="16"/>
      <c r="K1007" s="16"/>
      <c r="L1007" s="16"/>
      <c r="M1007" s="16"/>
      <c r="N1007" s="16"/>
      <c r="O1007" s="17" t="s">
        <v>38</v>
      </c>
      <c r="P1007" s="5" t="str">
        <f t="shared" si="28"/>
        <v>Truncate table FBC717;</v>
      </c>
      <c r="Q1007" s="5"/>
      <c r="R1007" s="5"/>
    </row>
    <row r="1008" spans="2:18" x14ac:dyDescent="0.25">
      <c r="B1008" s="19" t="s">
        <v>1394</v>
      </c>
      <c r="C1008" s="16" t="s">
        <v>8925</v>
      </c>
      <c r="D1008" s="16" t="s">
        <v>29</v>
      </c>
      <c r="E1008" s="16" t="s">
        <v>34</v>
      </c>
      <c r="F1008" s="5" t="s">
        <v>33</v>
      </c>
      <c r="G1008" s="16" t="s">
        <v>35</v>
      </c>
      <c r="H1008" s="16" t="s">
        <v>36</v>
      </c>
      <c r="I1008" s="16"/>
      <c r="J1008" s="16"/>
      <c r="K1008" s="16"/>
      <c r="L1008" s="16"/>
      <c r="M1008" s="16"/>
      <c r="N1008" s="16"/>
      <c r="O1008" s="17"/>
      <c r="P1008" s="5" t="str">
        <f t="shared" si="28"/>
        <v>Truncate table FBC718;</v>
      </c>
      <c r="Q1008" s="5"/>
      <c r="R1008" s="5"/>
    </row>
    <row r="1009" spans="2:18" x14ac:dyDescent="0.25">
      <c r="B1009" s="19" t="s">
        <v>1395</v>
      </c>
      <c r="C1009" s="16" t="s">
        <v>8926</v>
      </c>
      <c r="D1009" s="16" t="s">
        <v>29</v>
      </c>
      <c r="E1009" s="16" t="s">
        <v>34</v>
      </c>
      <c r="F1009" s="5" t="s">
        <v>33</v>
      </c>
      <c r="G1009" s="16" t="s">
        <v>35</v>
      </c>
      <c r="H1009" s="16" t="s">
        <v>36</v>
      </c>
      <c r="I1009" s="16"/>
      <c r="J1009" s="16"/>
      <c r="K1009" s="16"/>
      <c r="L1009" s="16"/>
      <c r="M1009" s="16"/>
      <c r="N1009" s="16"/>
      <c r="O1009" s="17"/>
      <c r="P1009" s="5" t="str">
        <f t="shared" si="28"/>
        <v>Truncate table FBC719;</v>
      </c>
      <c r="Q1009" s="5"/>
      <c r="R1009" s="5"/>
    </row>
    <row r="1010" spans="2:18" x14ac:dyDescent="0.25">
      <c r="B1010" s="19" t="s">
        <v>1396</v>
      </c>
      <c r="C1010" s="16" t="s">
        <v>8927</v>
      </c>
      <c r="D1010" s="16" t="s">
        <v>29</v>
      </c>
      <c r="E1010" s="16" t="s">
        <v>34</v>
      </c>
      <c r="F1010" s="5" t="s">
        <v>33</v>
      </c>
      <c r="G1010" s="16" t="s">
        <v>35</v>
      </c>
      <c r="H1010" s="16" t="s">
        <v>36</v>
      </c>
      <c r="I1010" s="16"/>
      <c r="J1010" s="16"/>
      <c r="K1010" s="16"/>
      <c r="L1010" s="16"/>
      <c r="M1010" s="16"/>
      <c r="N1010" s="16"/>
      <c r="O1010" s="17"/>
      <c r="P1010" s="5" t="str">
        <f t="shared" si="28"/>
        <v>Truncate table FBC720;</v>
      </c>
      <c r="Q1010" s="5"/>
      <c r="R1010" s="5"/>
    </row>
    <row r="1011" spans="2:18" x14ac:dyDescent="0.25">
      <c r="B1011" s="19" t="s">
        <v>1397</v>
      </c>
      <c r="C1011" s="16" t="s">
        <v>8928</v>
      </c>
      <c r="D1011" s="16" t="s">
        <v>29</v>
      </c>
      <c r="E1011" s="16" t="s">
        <v>34</v>
      </c>
      <c r="F1011" s="5" t="s">
        <v>33</v>
      </c>
      <c r="G1011" s="16" t="s">
        <v>35</v>
      </c>
      <c r="H1011" s="16" t="s">
        <v>36</v>
      </c>
      <c r="I1011" s="16"/>
      <c r="J1011" s="16"/>
      <c r="K1011" s="16"/>
      <c r="L1011" s="16"/>
      <c r="M1011" s="16"/>
      <c r="N1011" s="16"/>
      <c r="O1011" s="17"/>
      <c r="P1011" s="5" t="str">
        <f t="shared" si="28"/>
        <v>Truncate table FBC721;</v>
      </c>
      <c r="Q1011" s="5"/>
      <c r="R1011" s="5"/>
    </row>
    <row r="1012" spans="2:18" x14ac:dyDescent="0.25">
      <c r="B1012" s="19" t="s">
        <v>1398</v>
      </c>
      <c r="C1012" s="16" t="s">
        <v>8929</v>
      </c>
      <c r="D1012" s="16" t="s">
        <v>29</v>
      </c>
      <c r="E1012" s="16" t="s">
        <v>34</v>
      </c>
      <c r="F1012" s="5" t="s">
        <v>33</v>
      </c>
      <c r="G1012" s="16" t="s">
        <v>35</v>
      </c>
      <c r="H1012" s="16" t="s">
        <v>36</v>
      </c>
      <c r="I1012" s="16"/>
      <c r="J1012" s="16"/>
      <c r="K1012" s="16"/>
      <c r="L1012" s="16"/>
      <c r="M1012" s="16"/>
      <c r="N1012" s="16"/>
      <c r="O1012" s="17"/>
      <c r="P1012" s="5" t="str">
        <f t="shared" si="28"/>
        <v>Truncate table FBC722;</v>
      </c>
      <c r="Q1012" s="5"/>
      <c r="R1012" s="5"/>
    </row>
    <row r="1013" spans="2:18" x14ac:dyDescent="0.25">
      <c r="B1013" s="19" t="s">
        <v>1399</v>
      </c>
      <c r="C1013" s="16" t="s">
        <v>8930</v>
      </c>
      <c r="D1013" s="16" t="s">
        <v>29</v>
      </c>
      <c r="E1013" s="16" t="s">
        <v>34</v>
      </c>
      <c r="F1013" s="5" t="s">
        <v>33</v>
      </c>
      <c r="G1013" s="16" t="s">
        <v>35</v>
      </c>
      <c r="H1013" s="16" t="s">
        <v>36</v>
      </c>
      <c r="I1013" s="16"/>
      <c r="J1013" s="16"/>
      <c r="K1013" s="16"/>
      <c r="L1013" s="16"/>
      <c r="M1013" s="16"/>
      <c r="N1013" s="16"/>
      <c r="O1013" s="17"/>
      <c r="P1013" s="5" t="str">
        <f t="shared" si="28"/>
        <v>Truncate table FBC723;</v>
      </c>
      <c r="Q1013" s="5"/>
      <c r="R1013" s="5"/>
    </row>
    <row r="1014" spans="2:18" x14ac:dyDescent="0.25">
      <c r="B1014" s="19" t="s">
        <v>1400</v>
      </c>
      <c r="C1014" s="16" t="s">
        <v>8931</v>
      </c>
      <c r="D1014" s="16" t="s">
        <v>29</v>
      </c>
      <c r="E1014" s="16" t="s">
        <v>34</v>
      </c>
      <c r="F1014" s="5" t="s">
        <v>33</v>
      </c>
      <c r="G1014" s="16" t="s">
        <v>35</v>
      </c>
      <c r="H1014" s="16" t="s">
        <v>36</v>
      </c>
      <c r="I1014" s="16"/>
      <c r="J1014" s="16"/>
      <c r="K1014" s="16"/>
      <c r="L1014" s="16"/>
      <c r="M1014" s="16"/>
      <c r="N1014" s="16"/>
      <c r="O1014" s="17"/>
      <c r="P1014" s="5" t="str">
        <f t="shared" si="28"/>
        <v>Truncate table FBC724;</v>
      </c>
      <c r="Q1014" s="5"/>
      <c r="R1014" s="5"/>
    </row>
    <row r="1015" spans="2:18" x14ac:dyDescent="0.25">
      <c r="B1015" s="19" t="s">
        <v>1401</v>
      </c>
      <c r="C1015" s="16" t="s">
        <v>8932</v>
      </c>
      <c r="D1015" s="16" t="s">
        <v>29</v>
      </c>
      <c r="E1015" s="16" t="s">
        <v>34</v>
      </c>
      <c r="F1015" s="5" t="s">
        <v>33</v>
      </c>
      <c r="G1015" s="16" t="s">
        <v>35</v>
      </c>
      <c r="H1015" s="16" t="s">
        <v>36</v>
      </c>
      <c r="I1015" s="16"/>
      <c r="J1015" s="16"/>
      <c r="K1015" s="16"/>
      <c r="L1015" s="16"/>
      <c r="M1015" s="16"/>
      <c r="N1015" s="16"/>
      <c r="O1015" s="17"/>
      <c r="P1015" s="5" t="str">
        <f t="shared" ref="P1015:P1046" si="29">IF(D1015="Datos","Truncate table "&amp; B1015&amp; ";","")</f>
        <v>Truncate table FBC725;</v>
      </c>
      <c r="Q1015" s="5"/>
      <c r="R1015" s="5"/>
    </row>
    <row r="1016" spans="2:18" x14ac:dyDescent="0.25">
      <c r="B1016" s="19" t="s">
        <v>1402</v>
      </c>
      <c r="C1016" s="16" t="s">
        <v>8933</v>
      </c>
      <c r="D1016" s="16" t="s">
        <v>29</v>
      </c>
      <c r="E1016" s="16" t="s">
        <v>34</v>
      </c>
      <c r="F1016" s="5" t="s">
        <v>33</v>
      </c>
      <c r="G1016" s="16" t="s">
        <v>35</v>
      </c>
      <c r="H1016" s="16" t="s">
        <v>36</v>
      </c>
      <c r="I1016" s="16"/>
      <c r="J1016" s="16"/>
      <c r="K1016" s="16"/>
      <c r="L1016" s="16"/>
      <c r="M1016" s="16"/>
      <c r="N1016" s="16"/>
      <c r="O1016" s="17"/>
      <c r="P1016" s="5" t="str">
        <f t="shared" si="29"/>
        <v>Truncate table FBC726;</v>
      </c>
      <c r="Q1016" s="5"/>
      <c r="R1016" s="5"/>
    </row>
    <row r="1017" spans="2:18" x14ac:dyDescent="0.25">
      <c r="B1017" s="19" t="s">
        <v>1403</v>
      </c>
      <c r="C1017" s="16" t="s">
        <v>8934</v>
      </c>
      <c r="D1017" s="16" t="s">
        <v>29</v>
      </c>
      <c r="E1017" s="16" t="s">
        <v>34</v>
      </c>
      <c r="F1017" s="5" t="s">
        <v>33</v>
      </c>
      <c r="G1017" s="16" t="s">
        <v>35</v>
      </c>
      <c r="H1017" s="16" t="s">
        <v>36</v>
      </c>
      <c r="I1017" s="16"/>
      <c r="J1017" s="16"/>
      <c r="K1017" s="16"/>
      <c r="L1017" s="16"/>
      <c r="M1017" s="16"/>
      <c r="N1017" s="16"/>
      <c r="O1017" s="17"/>
      <c r="P1017" s="5" t="str">
        <f t="shared" si="29"/>
        <v>Truncate table FBC727;</v>
      </c>
      <c r="Q1017" s="5"/>
      <c r="R1017" s="5"/>
    </row>
    <row r="1018" spans="2:18" x14ac:dyDescent="0.25">
      <c r="B1018" s="19" t="s">
        <v>1404</v>
      </c>
      <c r="C1018" s="16" t="s">
        <v>8935</v>
      </c>
      <c r="D1018" s="16" t="s">
        <v>29</v>
      </c>
      <c r="E1018" s="16" t="s">
        <v>34</v>
      </c>
      <c r="F1018" s="5" t="s">
        <v>33</v>
      </c>
      <c r="G1018" s="16" t="s">
        <v>35</v>
      </c>
      <c r="H1018" s="16" t="s">
        <v>36</v>
      </c>
      <c r="I1018" s="16"/>
      <c r="J1018" s="16"/>
      <c r="K1018" s="16"/>
      <c r="L1018" s="16"/>
      <c r="M1018" s="16"/>
      <c r="N1018" s="16"/>
      <c r="O1018" s="17"/>
      <c r="P1018" s="5" t="str">
        <f t="shared" si="29"/>
        <v>Truncate table FBC729;</v>
      </c>
      <c r="Q1018" s="5"/>
      <c r="R1018" s="5"/>
    </row>
    <row r="1019" spans="2:18" x14ac:dyDescent="0.25">
      <c r="B1019" s="19" t="s">
        <v>1405</v>
      </c>
      <c r="C1019" s="16" t="s">
        <v>8936</v>
      </c>
      <c r="D1019" s="16" t="s">
        <v>29</v>
      </c>
      <c r="E1019" s="16" t="s">
        <v>34</v>
      </c>
      <c r="F1019" s="5" t="s">
        <v>33</v>
      </c>
      <c r="G1019" s="16" t="s">
        <v>35</v>
      </c>
      <c r="H1019" s="16" t="s">
        <v>36</v>
      </c>
      <c r="I1019" s="16"/>
      <c r="J1019" s="16"/>
      <c r="K1019" s="16"/>
      <c r="L1019" s="16"/>
      <c r="M1019" s="16"/>
      <c r="N1019" s="16"/>
      <c r="O1019" s="17"/>
      <c r="P1019" s="5" t="str">
        <f t="shared" si="29"/>
        <v>Truncate table FBC730;</v>
      </c>
      <c r="Q1019" s="5"/>
      <c r="R1019" s="5"/>
    </row>
    <row r="1020" spans="2:18" x14ac:dyDescent="0.25">
      <c r="B1020" s="19" t="s">
        <v>1406</v>
      </c>
      <c r="C1020" s="16" t="s">
        <v>8937</v>
      </c>
      <c r="D1020" s="16" t="s">
        <v>29</v>
      </c>
      <c r="E1020" s="16" t="s">
        <v>34</v>
      </c>
      <c r="F1020" s="5" t="s">
        <v>33</v>
      </c>
      <c r="G1020" s="16" t="s">
        <v>35</v>
      </c>
      <c r="H1020" s="16" t="s">
        <v>36</v>
      </c>
      <c r="I1020" s="16"/>
      <c r="J1020" s="16"/>
      <c r="K1020" s="16"/>
      <c r="L1020" s="16"/>
      <c r="M1020" s="16"/>
      <c r="N1020" s="16"/>
      <c r="O1020" s="17"/>
      <c r="P1020" s="5" t="str">
        <f t="shared" si="29"/>
        <v>Truncate table FBC731;</v>
      </c>
      <c r="Q1020" s="5"/>
      <c r="R1020" s="5"/>
    </row>
    <row r="1021" spans="2:18" x14ac:dyDescent="0.25">
      <c r="B1021" s="19" t="s">
        <v>1407</v>
      </c>
      <c r="C1021" s="16" t="s">
        <v>8938</v>
      </c>
      <c r="D1021" s="16" t="s">
        <v>29</v>
      </c>
      <c r="E1021" s="16" t="s">
        <v>34</v>
      </c>
      <c r="F1021" s="5" t="s">
        <v>33</v>
      </c>
      <c r="G1021" s="16" t="s">
        <v>35</v>
      </c>
      <c r="H1021" s="16" t="s">
        <v>36</v>
      </c>
      <c r="I1021" s="16"/>
      <c r="J1021" s="16"/>
      <c r="K1021" s="16"/>
      <c r="L1021" s="16"/>
      <c r="M1021" s="16"/>
      <c r="N1021" s="16"/>
      <c r="O1021" s="17"/>
      <c r="P1021" s="5" t="str">
        <f t="shared" si="29"/>
        <v>Truncate table FBC732;</v>
      </c>
      <c r="Q1021" s="5"/>
      <c r="R1021" s="5"/>
    </row>
    <row r="1022" spans="2:18" x14ac:dyDescent="0.25">
      <c r="B1022" s="19" t="s">
        <v>1408</v>
      </c>
      <c r="C1022" s="16" t="s">
        <v>8939</v>
      </c>
      <c r="D1022" s="16" t="s">
        <v>29</v>
      </c>
      <c r="E1022" s="16" t="s">
        <v>34</v>
      </c>
      <c r="F1022" s="5" t="s">
        <v>33</v>
      </c>
      <c r="G1022" s="16" t="s">
        <v>35</v>
      </c>
      <c r="H1022" s="16" t="s">
        <v>36</v>
      </c>
      <c r="I1022" s="16"/>
      <c r="J1022" s="16"/>
      <c r="K1022" s="16"/>
      <c r="L1022" s="16"/>
      <c r="M1022" s="16"/>
      <c r="N1022" s="16"/>
      <c r="O1022" s="17"/>
      <c r="P1022" s="5" t="str">
        <f t="shared" si="29"/>
        <v>Truncate table FBC733;</v>
      </c>
      <c r="Q1022" s="5"/>
      <c r="R1022" s="5"/>
    </row>
    <row r="1023" spans="2:18" x14ac:dyDescent="0.25">
      <c r="B1023" s="19" t="s">
        <v>1409</v>
      </c>
      <c r="C1023" s="16" t="s">
        <v>8940</v>
      </c>
      <c r="D1023" s="16" t="s">
        <v>29</v>
      </c>
      <c r="E1023" s="16" t="s">
        <v>34</v>
      </c>
      <c r="F1023" s="5" t="s">
        <v>33</v>
      </c>
      <c r="G1023" s="16" t="s">
        <v>35</v>
      </c>
      <c r="H1023" s="16" t="s">
        <v>36</v>
      </c>
      <c r="I1023" s="16"/>
      <c r="J1023" s="16"/>
      <c r="K1023" s="16"/>
      <c r="L1023" s="16"/>
      <c r="M1023" s="16"/>
      <c r="N1023" s="16"/>
      <c r="O1023" s="17"/>
      <c r="P1023" s="5" t="str">
        <f t="shared" si="29"/>
        <v>Truncate table FBC734;</v>
      </c>
      <c r="Q1023" s="5"/>
      <c r="R1023" s="5"/>
    </row>
    <row r="1024" spans="2:18" x14ac:dyDescent="0.25">
      <c r="B1024" s="19" t="s">
        <v>1410</v>
      </c>
      <c r="C1024" s="16" t="s">
        <v>8941</v>
      </c>
      <c r="D1024" s="16" t="s">
        <v>29</v>
      </c>
      <c r="E1024" s="16" t="s">
        <v>34</v>
      </c>
      <c r="F1024" s="5" t="s">
        <v>33</v>
      </c>
      <c r="G1024" s="16" t="s">
        <v>35</v>
      </c>
      <c r="H1024" s="16" t="s">
        <v>36</v>
      </c>
      <c r="I1024" s="16"/>
      <c r="J1024" s="16"/>
      <c r="K1024" s="16"/>
      <c r="L1024" s="16"/>
      <c r="M1024" s="16"/>
      <c r="N1024" s="16"/>
      <c r="O1024" s="17"/>
      <c r="P1024" s="5" t="str">
        <f t="shared" si="29"/>
        <v>Truncate table FBC735;</v>
      </c>
      <c r="Q1024" s="5"/>
      <c r="R1024" s="5"/>
    </row>
    <row r="1025" spans="2:18" x14ac:dyDescent="0.25">
      <c r="B1025" s="19" t="s">
        <v>1411</v>
      </c>
      <c r="C1025" s="16" t="s">
        <v>8942</v>
      </c>
      <c r="D1025" s="16" t="s">
        <v>29</v>
      </c>
      <c r="E1025" s="16" t="s">
        <v>34</v>
      </c>
      <c r="F1025" s="5" t="s">
        <v>33</v>
      </c>
      <c r="G1025" s="16" t="s">
        <v>35</v>
      </c>
      <c r="H1025" s="16" t="s">
        <v>36</v>
      </c>
      <c r="I1025" s="16"/>
      <c r="J1025" s="16"/>
      <c r="K1025" s="16"/>
      <c r="L1025" s="16"/>
      <c r="M1025" s="16"/>
      <c r="N1025" s="16"/>
      <c r="O1025" s="17"/>
      <c r="P1025" s="5" t="str">
        <f t="shared" si="29"/>
        <v>Truncate table FBC736;</v>
      </c>
      <c r="Q1025" s="5"/>
      <c r="R1025" s="5"/>
    </row>
    <row r="1026" spans="2:18" x14ac:dyDescent="0.25">
      <c r="B1026" s="19" t="s">
        <v>1412</v>
      </c>
      <c r="C1026" s="16" t="s">
        <v>8943</v>
      </c>
      <c r="D1026" s="16" t="s">
        <v>29</v>
      </c>
      <c r="E1026" s="16" t="s">
        <v>34</v>
      </c>
      <c r="F1026" s="5" t="s">
        <v>33</v>
      </c>
      <c r="G1026" s="16" t="s">
        <v>35</v>
      </c>
      <c r="H1026" s="16" t="s">
        <v>36</v>
      </c>
      <c r="I1026" s="16"/>
      <c r="J1026" s="16"/>
      <c r="K1026" s="16"/>
      <c r="L1026" s="16"/>
      <c r="M1026" s="16"/>
      <c r="N1026" s="16"/>
      <c r="O1026" s="17"/>
      <c r="P1026" s="5" t="str">
        <f t="shared" si="29"/>
        <v>Truncate table FBC737;</v>
      </c>
      <c r="Q1026" s="5"/>
      <c r="R1026" s="5"/>
    </row>
    <row r="1027" spans="2:18" x14ac:dyDescent="0.25">
      <c r="B1027" s="19" t="s">
        <v>1413</v>
      </c>
      <c r="C1027" s="16" t="s">
        <v>8944</v>
      </c>
      <c r="D1027" s="16" t="s">
        <v>29</v>
      </c>
      <c r="E1027" s="16" t="s">
        <v>34</v>
      </c>
      <c r="F1027" s="5" t="s">
        <v>33</v>
      </c>
      <c r="G1027" s="16" t="s">
        <v>35</v>
      </c>
      <c r="H1027" s="16" t="s">
        <v>36</v>
      </c>
      <c r="I1027" s="16"/>
      <c r="J1027" s="16"/>
      <c r="K1027" s="16"/>
      <c r="L1027" s="16"/>
      <c r="M1027" s="16"/>
      <c r="N1027" s="16"/>
      <c r="O1027" s="17"/>
      <c r="P1027" s="5" t="str">
        <f t="shared" si="29"/>
        <v>Truncate table FBC739;</v>
      </c>
      <c r="Q1027" s="5"/>
      <c r="R1027" s="5"/>
    </row>
    <row r="1028" spans="2:18" x14ac:dyDescent="0.25">
      <c r="B1028" s="19" t="s">
        <v>1414</v>
      </c>
      <c r="C1028" s="16" t="s">
        <v>8945</v>
      </c>
      <c r="D1028" s="16" t="s">
        <v>29</v>
      </c>
      <c r="E1028" s="16" t="s">
        <v>34</v>
      </c>
      <c r="F1028" s="5" t="s">
        <v>33</v>
      </c>
      <c r="G1028" s="16" t="s">
        <v>35</v>
      </c>
      <c r="H1028" s="16" t="s">
        <v>36</v>
      </c>
      <c r="I1028" s="16"/>
      <c r="J1028" s="16"/>
      <c r="K1028" s="16"/>
      <c r="L1028" s="16"/>
      <c r="M1028" s="16"/>
      <c r="N1028" s="16"/>
      <c r="O1028" s="17"/>
      <c r="P1028" s="5" t="str">
        <f t="shared" si="29"/>
        <v>Truncate table FBC740;</v>
      </c>
      <c r="Q1028" s="5"/>
      <c r="R1028" s="5"/>
    </row>
    <row r="1029" spans="2:18" x14ac:dyDescent="0.25">
      <c r="B1029" s="19" t="s">
        <v>1415</v>
      </c>
      <c r="C1029" s="16" t="s">
        <v>8946</v>
      </c>
      <c r="D1029" s="16" t="s">
        <v>29</v>
      </c>
      <c r="E1029" s="16" t="s">
        <v>34</v>
      </c>
      <c r="F1029" s="5" t="s">
        <v>33</v>
      </c>
      <c r="G1029" s="16" t="s">
        <v>35</v>
      </c>
      <c r="H1029" s="16" t="s">
        <v>36</v>
      </c>
      <c r="I1029" s="16"/>
      <c r="J1029" s="16"/>
      <c r="K1029" s="16"/>
      <c r="L1029" s="16"/>
      <c r="M1029" s="16"/>
      <c r="N1029" s="16"/>
      <c r="O1029" s="17"/>
      <c r="P1029" s="5" t="str">
        <f t="shared" si="29"/>
        <v>Truncate table FBC741;</v>
      </c>
      <c r="Q1029" s="5"/>
      <c r="R1029" s="5"/>
    </row>
    <row r="1030" spans="2:18" x14ac:dyDescent="0.25">
      <c r="B1030" s="19" t="s">
        <v>1416</v>
      </c>
      <c r="C1030" s="16" t="s">
        <v>8947</v>
      </c>
      <c r="D1030" s="16" t="s">
        <v>29</v>
      </c>
      <c r="E1030" s="16" t="s">
        <v>34</v>
      </c>
      <c r="F1030" s="5" t="s">
        <v>33</v>
      </c>
      <c r="G1030" s="16" t="s">
        <v>35</v>
      </c>
      <c r="H1030" s="16" t="s">
        <v>36</v>
      </c>
      <c r="I1030" s="16"/>
      <c r="J1030" s="16"/>
      <c r="K1030" s="16"/>
      <c r="L1030" s="16"/>
      <c r="M1030" s="16"/>
      <c r="N1030" s="16"/>
      <c r="O1030" s="17"/>
      <c r="P1030" s="5" t="str">
        <f t="shared" si="29"/>
        <v>Truncate table FBC742;</v>
      </c>
      <c r="Q1030" s="5"/>
      <c r="R1030" s="5"/>
    </row>
    <row r="1031" spans="2:18" x14ac:dyDescent="0.25">
      <c r="B1031" s="19" t="s">
        <v>1417</v>
      </c>
      <c r="C1031" s="16" t="s">
        <v>8550</v>
      </c>
      <c r="D1031" s="16" t="s">
        <v>29</v>
      </c>
      <c r="E1031" s="16" t="s">
        <v>34</v>
      </c>
      <c r="F1031" s="5" t="s">
        <v>33</v>
      </c>
      <c r="G1031" s="16" t="s">
        <v>35</v>
      </c>
      <c r="H1031" s="16" t="s">
        <v>36</v>
      </c>
      <c r="I1031" s="16"/>
      <c r="J1031" s="16"/>
      <c r="K1031" s="16"/>
      <c r="L1031" s="16"/>
      <c r="M1031" s="16"/>
      <c r="N1031" s="16"/>
      <c r="O1031" s="17" t="s">
        <v>38</v>
      </c>
      <c r="P1031" s="5" t="str">
        <f t="shared" si="29"/>
        <v>Truncate table FBC744;</v>
      </c>
      <c r="Q1031" s="5"/>
      <c r="R1031" s="5"/>
    </row>
    <row r="1032" spans="2:18" x14ac:dyDescent="0.25">
      <c r="B1032" s="19" t="s">
        <v>1418</v>
      </c>
      <c r="C1032" s="16" t="s">
        <v>8551</v>
      </c>
      <c r="D1032" s="16" t="s">
        <v>29</v>
      </c>
      <c r="E1032" s="16" t="s">
        <v>34</v>
      </c>
      <c r="F1032" s="5" t="s">
        <v>33</v>
      </c>
      <c r="G1032" s="16" t="s">
        <v>35</v>
      </c>
      <c r="H1032" s="16" t="s">
        <v>36</v>
      </c>
      <c r="I1032" s="16"/>
      <c r="J1032" s="16"/>
      <c r="K1032" s="16"/>
      <c r="L1032" s="16"/>
      <c r="M1032" s="16"/>
      <c r="N1032" s="16"/>
      <c r="O1032" s="17" t="s">
        <v>38</v>
      </c>
      <c r="P1032" s="5" t="str">
        <f t="shared" si="29"/>
        <v>Truncate table FBC745;</v>
      </c>
      <c r="Q1032" s="5"/>
      <c r="R1032" s="5"/>
    </row>
    <row r="1033" spans="2:18" x14ac:dyDescent="0.25">
      <c r="B1033" s="19" t="s">
        <v>1419</v>
      </c>
      <c r="C1033" s="16" t="s">
        <v>8547</v>
      </c>
      <c r="D1033" s="16" t="s">
        <v>8152</v>
      </c>
      <c r="E1033" s="16" t="s">
        <v>34</v>
      </c>
      <c r="F1033" s="5" t="s">
        <v>33</v>
      </c>
      <c r="G1033" s="16" t="s">
        <v>35</v>
      </c>
      <c r="H1033" s="16" t="s">
        <v>36</v>
      </c>
      <c r="I1033" s="16"/>
      <c r="J1033" s="16"/>
      <c r="K1033" s="16"/>
      <c r="L1033" s="16"/>
      <c r="M1033" s="16"/>
      <c r="N1033" s="16"/>
      <c r="O1033" s="17"/>
      <c r="P1033" s="5" t="str">
        <f t="shared" si="29"/>
        <v/>
      </c>
      <c r="Q1033" s="5"/>
      <c r="R1033" s="5"/>
    </row>
    <row r="1034" spans="2:18" x14ac:dyDescent="0.25">
      <c r="B1034" s="19" t="s">
        <v>1420</v>
      </c>
      <c r="C1034" s="16" t="s">
        <v>8547</v>
      </c>
      <c r="D1034" s="16" t="s">
        <v>8152</v>
      </c>
      <c r="E1034" s="16" t="s">
        <v>34</v>
      </c>
      <c r="F1034" s="5" t="s">
        <v>33</v>
      </c>
      <c r="G1034" s="16" t="s">
        <v>35</v>
      </c>
      <c r="H1034" s="16" t="s">
        <v>36</v>
      </c>
      <c r="I1034" s="16"/>
      <c r="J1034" s="16"/>
      <c r="K1034" s="16"/>
      <c r="L1034" s="16"/>
      <c r="M1034" s="16"/>
      <c r="N1034" s="16"/>
      <c r="O1034" s="17"/>
      <c r="P1034" s="5" t="str">
        <f t="shared" si="29"/>
        <v/>
      </c>
      <c r="Q1034" s="5"/>
      <c r="R1034" s="5"/>
    </row>
    <row r="1035" spans="2:18" x14ac:dyDescent="0.25">
      <c r="B1035" s="19" t="s">
        <v>1421</v>
      </c>
      <c r="C1035" s="378" t="s">
        <v>9977</v>
      </c>
      <c r="D1035" s="16" t="s">
        <v>29</v>
      </c>
      <c r="E1035" s="16" t="s">
        <v>34</v>
      </c>
      <c r="F1035" s="5" t="s">
        <v>33</v>
      </c>
      <c r="G1035" s="16" t="s">
        <v>35</v>
      </c>
      <c r="H1035" s="16" t="s">
        <v>36</v>
      </c>
      <c r="I1035" s="16"/>
      <c r="J1035" s="16"/>
      <c r="K1035" s="16"/>
      <c r="L1035" s="16"/>
      <c r="M1035" s="16"/>
      <c r="N1035" s="16"/>
      <c r="O1035" s="17"/>
      <c r="P1035" s="5" t="str">
        <f t="shared" si="29"/>
        <v>Truncate table FBC749;</v>
      </c>
      <c r="Q1035" s="5"/>
      <c r="R1035" s="5"/>
    </row>
    <row r="1036" spans="2:18" x14ac:dyDescent="0.25">
      <c r="B1036" s="19" t="s">
        <v>1422</v>
      </c>
      <c r="C1036" s="16" t="s">
        <v>8948</v>
      </c>
      <c r="D1036" s="16" t="s">
        <v>29</v>
      </c>
      <c r="E1036" s="16" t="s">
        <v>34</v>
      </c>
      <c r="F1036" s="5" t="s">
        <v>33</v>
      </c>
      <c r="G1036" s="16" t="s">
        <v>35</v>
      </c>
      <c r="H1036" s="16" t="s">
        <v>36</v>
      </c>
      <c r="I1036" s="16"/>
      <c r="J1036" s="16"/>
      <c r="K1036" s="16"/>
      <c r="L1036" s="16"/>
      <c r="M1036" s="16"/>
      <c r="N1036" s="16"/>
      <c r="O1036" s="17"/>
      <c r="P1036" s="5" t="str">
        <f t="shared" si="29"/>
        <v>Truncate table FBC750;</v>
      </c>
      <c r="Q1036" s="5"/>
      <c r="R1036" s="5"/>
    </row>
    <row r="1037" spans="2:18" x14ac:dyDescent="0.25">
      <c r="B1037" s="19" t="s">
        <v>1423</v>
      </c>
      <c r="C1037" s="16" t="s">
        <v>8949</v>
      </c>
      <c r="D1037" s="16" t="s">
        <v>29</v>
      </c>
      <c r="E1037" s="16" t="s">
        <v>34</v>
      </c>
      <c r="F1037" s="5" t="s">
        <v>33</v>
      </c>
      <c r="G1037" s="16" t="s">
        <v>35</v>
      </c>
      <c r="H1037" s="16" t="s">
        <v>36</v>
      </c>
      <c r="I1037" s="16"/>
      <c r="J1037" s="16"/>
      <c r="K1037" s="16"/>
      <c r="L1037" s="16"/>
      <c r="M1037" s="16"/>
      <c r="N1037" s="16"/>
      <c r="O1037" s="17"/>
      <c r="P1037" s="5" t="str">
        <f t="shared" si="29"/>
        <v>Truncate table FBC754;</v>
      </c>
      <c r="Q1037" s="5"/>
      <c r="R1037" s="5"/>
    </row>
    <row r="1038" spans="2:18" x14ac:dyDescent="0.25">
      <c r="B1038" s="19" t="s">
        <v>1424</v>
      </c>
      <c r="C1038" s="16" t="s">
        <v>8950</v>
      </c>
      <c r="D1038" s="16" t="s">
        <v>29</v>
      </c>
      <c r="E1038" s="16" t="s">
        <v>34</v>
      </c>
      <c r="F1038" s="5" t="s">
        <v>33</v>
      </c>
      <c r="G1038" s="16" t="s">
        <v>35</v>
      </c>
      <c r="H1038" s="16" t="s">
        <v>36</v>
      </c>
      <c r="I1038" s="16"/>
      <c r="J1038" s="16"/>
      <c r="K1038" s="16"/>
      <c r="L1038" s="16"/>
      <c r="M1038" s="16"/>
      <c r="N1038" s="16"/>
      <c r="O1038" s="17"/>
      <c r="P1038" s="5" t="str">
        <f t="shared" si="29"/>
        <v>Truncate table FBC755;</v>
      </c>
      <c r="Q1038" s="60"/>
      <c r="R1038" s="60"/>
    </row>
    <row r="1039" spans="2:18" x14ac:dyDescent="0.25">
      <c r="B1039" s="19" t="s">
        <v>1425</v>
      </c>
      <c r="C1039" s="16" t="s">
        <v>8951</v>
      </c>
      <c r="D1039" s="16" t="s">
        <v>29</v>
      </c>
      <c r="E1039" s="16" t="s">
        <v>34</v>
      </c>
      <c r="F1039" s="5" t="s">
        <v>33</v>
      </c>
      <c r="G1039" s="16" t="s">
        <v>35</v>
      </c>
      <c r="H1039" s="16" t="s">
        <v>36</v>
      </c>
      <c r="I1039" s="16"/>
      <c r="J1039" s="16"/>
      <c r="K1039" s="16"/>
      <c r="L1039" s="16"/>
      <c r="M1039" s="16"/>
      <c r="N1039" s="16"/>
      <c r="O1039" s="17"/>
      <c r="P1039" s="5" t="str">
        <f t="shared" si="29"/>
        <v>Truncate table FBC758;</v>
      </c>
      <c r="Q1039" s="5"/>
      <c r="R1039" s="5"/>
    </row>
    <row r="1040" spans="2:18" x14ac:dyDescent="0.25">
      <c r="B1040" s="19" t="s">
        <v>1426</v>
      </c>
      <c r="C1040" s="386" t="s">
        <v>8952</v>
      </c>
      <c r="D1040" s="16" t="s">
        <v>29</v>
      </c>
      <c r="E1040" s="16" t="s">
        <v>34</v>
      </c>
      <c r="F1040" s="5" t="s">
        <v>33</v>
      </c>
      <c r="G1040" s="16" t="s">
        <v>35</v>
      </c>
      <c r="H1040" s="16" t="s">
        <v>36</v>
      </c>
      <c r="I1040" s="16"/>
      <c r="J1040" s="16"/>
      <c r="K1040" s="16"/>
      <c r="L1040" s="16"/>
      <c r="M1040" s="16"/>
      <c r="N1040" s="16"/>
      <c r="O1040" s="17"/>
      <c r="P1040" s="5" t="str">
        <f t="shared" si="29"/>
        <v>Truncate table FBC759;</v>
      </c>
      <c r="Q1040" s="5"/>
      <c r="R1040" s="5"/>
    </row>
    <row r="1041" spans="2:18" x14ac:dyDescent="0.25">
      <c r="B1041" s="19" t="s">
        <v>1427</v>
      </c>
      <c r="C1041" s="16" t="s">
        <v>8953</v>
      </c>
      <c r="D1041" s="16" t="s">
        <v>29</v>
      </c>
      <c r="E1041" s="16" t="s">
        <v>34</v>
      </c>
      <c r="F1041" s="5" t="s">
        <v>33</v>
      </c>
      <c r="G1041" s="16" t="s">
        <v>35</v>
      </c>
      <c r="H1041" s="16" t="s">
        <v>36</v>
      </c>
      <c r="I1041" s="16"/>
      <c r="J1041" s="16"/>
      <c r="K1041" s="16"/>
      <c r="L1041" s="16"/>
      <c r="M1041" s="16"/>
      <c r="N1041" s="16"/>
      <c r="O1041" s="17"/>
      <c r="P1041" s="5" t="str">
        <f t="shared" si="29"/>
        <v>Truncate table FBC760;</v>
      </c>
      <c r="Q1041" s="5"/>
      <c r="R1041" s="5"/>
    </row>
    <row r="1042" spans="2:18" x14ac:dyDescent="0.25">
      <c r="B1042" s="19" t="s">
        <v>1428</v>
      </c>
      <c r="C1042" s="16" t="s">
        <v>8954</v>
      </c>
      <c r="D1042" s="16" t="s">
        <v>29</v>
      </c>
      <c r="E1042" s="16" t="s">
        <v>34</v>
      </c>
      <c r="F1042" s="5" t="s">
        <v>33</v>
      </c>
      <c r="G1042" s="16" t="s">
        <v>35</v>
      </c>
      <c r="H1042" s="16" t="s">
        <v>36</v>
      </c>
      <c r="I1042" s="16"/>
      <c r="J1042" s="16"/>
      <c r="K1042" s="16"/>
      <c r="L1042" s="16"/>
      <c r="M1042" s="16"/>
      <c r="N1042" s="16"/>
      <c r="O1042" s="17"/>
      <c r="P1042" s="5" t="str">
        <f t="shared" si="29"/>
        <v>Truncate table FBC761;</v>
      </c>
      <c r="Q1042" s="5"/>
      <c r="R1042" s="5"/>
    </row>
    <row r="1043" spans="2:18" x14ac:dyDescent="0.25">
      <c r="B1043" s="19" t="s">
        <v>1429</v>
      </c>
      <c r="C1043" s="16" t="s">
        <v>8955</v>
      </c>
      <c r="D1043" s="16" t="s">
        <v>29</v>
      </c>
      <c r="E1043" s="16" t="s">
        <v>34</v>
      </c>
      <c r="F1043" s="5" t="s">
        <v>33</v>
      </c>
      <c r="G1043" s="16" t="s">
        <v>35</v>
      </c>
      <c r="H1043" s="16" t="s">
        <v>36</v>
      </c>
      <c r="I1043" s="16"/>
      <c r="J1043" s="16"/>
      <c r="K1043" s="16"/>
      <c r="L1043" s="16"/>
      <c r="M1043" s="16"/>
      <c r="N1043" s="16"/>
      <c r="O1043" s="17"/>
      <c r="P1043" s="5" t="str">
        <f t="shared" si="29"/>
        <v>Truncate table FBC762;</v>
      </c>
      <c r="Q1043" s="5"/>
      <c r="R1043" s="5"/>
    </row>
    <row r="1044" spans="2:18" x14ac:dyDescent="0.25">
      <c r="B1044" s="19" t="s">
        <v>1430</v>
      </c>
      <c r="C1044" s="16" t="s">
        <v>8956</v>
      </c>
      <c r="D1044" s="16" t="s">
        <v>29</v>
      </c>
      <c r="E1044" s="16" t="s">
        <v>34</v>
      </c>
      <c r="F1044" s="5" t="s">
        <v>33</v>
      </c>
      <c r="G1044" s="16" t="s">
        <v>35</v>
      </c>
      <c r="H1044" s="16" t="s">
        <v>36</v>
      </c>
      <c r="I1044" s="16"/>
      <c r="J1044" s="16"/>
      <c r="K1044" s="16"/>
      <c r="L1044" s="16"/>
      <c r="M1044" s="16"/>
      <c r="N1044" s="16"/>
      <c r="O1044" s="17"/>
      <c r="P1044" s="5" t="str">
        <f t="shared" si="29"/>
        <v>Truncate table FBC763;</v>
      </c>
      <c r="Q1044" s="5"/>
      <c r="R1044" s="5"/>
    </row>
    <row r="1045" spans="2:18" x14ac:dyDescent="0.25">
      <c r="B1045" s="19" t="s">
        <v>1431</v>
      </c>
      <c r="C1045" s="16" t="s">
        <v>8957</v>
      </c>
      <c r="D1045" s="16" t="s">
        <v>29</v>
      </c>
      <c r="E1045" s="16" t="s">
        <v>34</v>
      </c>
      <c r="F1045" s="5" t="s">
        <v>33</v>
      </c>
      <c r="G1045" s="16" t="s">
        <v>35</v>
      </c>
      <c r="H1045" s="16" t="s">
        <v>36</v>
      </c>
      <c r="I1045" s="16"/>
      <c r="J1045" s="16"/>
      <c r="K1045" s="16"/>
      <c r="L1045" s="16"/>
      <c r="M1045" s="16"/>
      <c r="N1045" s="16"/>
      <c r="O1045" s="17"/>
      <c r="P1045" s="5" t="str">
        <f t="shared" si="29"/>
        <v>Truncate table FBC764;</v>
      </c>
      <c r="Q1045" s="5"/>
      <c r="R1045" s="5"/>
    </row>
    <row r="1046" spans="2:18" x14ac:dyDescent="0.25">
      <c r="B1046" s="19" t="s">
        <v>1432</v>
      </c>
      <c r="C1046" s="16" t="s">
        <v>8958</v>
      </c>
      <c r="D1046" s="16" t="s">
        <v>29</v>
      </c>
      <c r="E1046" s="16" t="s">
        <v>34</v>
      </c>
      <c r="F1046" s="5" t="s">
        <v>33</v>
      </c>
      <c r="G1046" s="16" t="s">
        <v>35</v>
      </c>
      <c r="H1046" s="16" t="s">
        <v>36</v>
      </c>
      <c r="I1046" s="16"/>
      <c r="J1046" s="16"/>
      <c r="K1046" s="16"/>
      <c r="L1046" s="16"/>
      <c r="M1046" s="16"/>
      <c r="N1046" s="16"/>
      <c r="O1046" s="17"/>
      <c r="P1046" s="5" t="str">
        <f t="shared" si="29"/>
        <v>Truncate table FBC765;</v>
      </c>
      <c r="Q1046" s="5"/>
      <c r="R1046" s="5"/>
    </row>
    <row r="1047" spans="2:18" x14ac:dyDescent="0.25">
      <c r="B1047" s="19" t="s">
        <v>1433</v>
      </c>
      <c r="C1047" s="16" t="s">
        <v>8958</v>
      </c>
      <c r="D1047" s="16" t="s">
        <v>29</v>
      </c>
      <c r="E1047" s="16" t="s">
        <v>34</v>
      </c>
      <c r="F1047" s="5" t="s">
        <v>33</v>
      </c>
      <c r="G1047" s="16" t="s">
        <v>35</v>
      </c>
      <c r="H1047" s="16" t="s">
        <v>36</v>
      </c>
      <c r="I1047" s="16"/>
      <c r="J1047" s="16"/>
      <c r="K1047" s="16"/>
      <c r="L1047" s="16"/>
      <c r="M1047" s="16"/>
      <c r="N1047" s="16"/>
      <c r="O1047" s="17"/>
      <c r="P1047" s="5" t="str">
        <f t="shared" ref="P1047:P1078" si="30">IF(D1047="Datos","Truncate table "&amp; B1047&amp; ";","")</f>
        <v>Truncate table FBC766;</v>
      </c>
      <c r="Q1047" s="5"/>
      <c r="R1047" s="5"/>
    </row>
    <row r="1048" spans="2:18" x14ac:dyDescent="0.25">
      <c r="B1048" s="19" t="s">
        <v>1434</v>
      </c>
      <c r="C1048" s="16" t="s">
        <v>8959</v>
      </c>
      <c r="D1048" s="16" t="s">
        <v>29</v>
      </c>
      <c r="E1048" s="16" t="s">
        <v>34</v>
      </c>
      <c r="F1048" s="5" t="s">
        <v>33</v>
      </c>
      <c r="G1048" s="16" t="s">
        <v>35</v>
      </c>
      <c r="H1048" s="16" t="s">
        <v>36</v>
      </c>
      <c r="I1048" s="16"/>
      <c r="J1048" s="16"/>
      <c r="K1048" s="16"/>
      <c r="L1048" s="16"/>
      <c r="M1048" s="16"/>
      <c r="N1048" s="16"/>
      <c r="O1048" s="17"/>
      <c r="P1048" s="5" t="str">
        <f t="shared" si="30"/>
        <v>Truncate table FBC767;</v>
      </c>
      <c r="Q1048" s="5"/>
      <c r="R1048" s="5"/>
    </row>
    <row r="1049" spans="2:18" x14ac:dyDescent="0.25">
      <c r="B1049" s="19" t="s">
        <v>1435</v>
      </c>
      <c r="C1049" s="16" t="s">
        <v>8960</v>
      </c>
      <c r="D1049" s="16" t="s">
        <v>29</v>
      </c>
      <c r="E1049" s="16" t="s">
        <v>34</v>
      </c>
      <c r="F1049" s="5" t="s">
        <v>33</v>
      </c>
      <c r="G1049" s="16" t="s">
        <v>35</v>
      </c>
      <c r="H1049" s="16" t="s">
        <v>36</v>
      </c>
      <c r="I1049" s="16"/>
      <c r="J1049" s="16"/>
      <c r="K1049" s="16"/>
      <c r="L1049" s="16"/>
      <c r="M1049" s="16"/>
      <c r="N1049" s="16"/>
      <c r="O1049" s="17"/>
      <c r="P1049" s="5" t="str">
        <f t="shared" si="30"/>
        <v>Truncate table FBC768;</v>
      </c>
      <c r="Q1049" s="5"/>
      <c r="R1049" s="5"/>
    </row>
    <row r="1050" spans="2:18" ht="121.5" x14ac:dyDescent="0.25">
      <c r="B1050" s="19" t="s">
        <v>1436</v>
      </c>
      <c r="C1050" s="16" t="s">
        <v>8961</v>
      </c>
      <c r="D1050" s="16" t="s">
        <v>29</v>
      </c>
      <c r="E1050" s="16" t="s">
        <v>34</v>
      </c>
      <c r="F1050" s="5" t="s">
        <v>33</v>
      </c>
      <c r="G1050" s="16" t="s">
        <v>35</v>
      </c>
      <c r="H1050" s="16" t="s">
        <v>36</v>
      </c>
      <c r="I1050" s="16"/>
      <c r="J1050" s="16"/>
      <c r="K1050" s="16"/>
      <c r="L1050" s="16" t="s">
        <v>1437</v>
      </c>
      <c r="M1050" s="16"/>
      <c r="N1050" s="16" t="s">
        <v>1438</v>
      </c>
      <c r="O1050" s="17" t="s">
        <v>38</v>
      </c>
      <c r="P1050" s="5" t="str">
        <f t="shared" si="30"/>
        <v>Truncate table FBC769;</v>
      </c>
      <c r="Q1050" s="5"/>
      <c r="R1050" s="5"/>
    </row>
    <row r="1051" spans="2:18" ht="67.5" x14ac:dyDescent="0.25">
      <c r="B1051" s="19" t="s">
        <v>1439</v>
      </c>
      <c r="C1051" s="16" t="s">
        <v>1440</v>
      </c>
      <c r="D1051" s="16" t="s">
        <v>29</v>
      </c>
      <c r="E1051" s="16" t="s">
        <v>34</v>
      </c>
      <c r="F1051" s="5" t="s">
        <v>33</v>
      </c>
      <c r="G1051" s="16" t="s">
        <v>35</v>
      </c>
      <c r="H1051" s="16" t="s">
        <v>36</v>
      </c>
      <c r="I1051" s="16"/>
      <c r="J1051" s="16"/>
      <c r="K1051" s="16"/>
      <c r="L1051" s="16" t="s">
        <v>1441</v>
      </c>
      <c r="M1051" s="16"/>
      <c r="N1051" s="16" t="s">
        <v>1442</v>
      </c>
      <c r="O1051" s="17" t="s">
        <v>38</v>
      </c>
      <c r="P1051" s="5" t="str">
        <f t="shared" si="30"/>
        <v>Truncate table FBC772;</v>
      </c>
      <c r="Q1051" s="5"/>
      <c r="R1051" s="5"/>
    </row>
    <row r="1052" spans="2:18" ht="67.5" x14ac:dyDescent="0.25">
      <c r="B1052" s="19" t="s">
        <v>1443</v>
      </c>
      <c r="C1052" s="16" t="s">
        <v>1444</v>
      </c>
      <c r="D1052" s="16" t="s">
        <v>29</v>
      </c>
      <c r="E1052" s="16" t="s">
        <v>34</v>
      </c>
      <c r="F1052" s="5" t="s">
        <v>33</v>
      </c>
      <c r="G1052" s="16" t="s">
        <v>35</v>
      </c>
      <c r="H1052" s="16" t="s">
        <v>36</v>
      </c>
      <c r="I1052" s="16"/>
      <c r="J1052" s="16"/>
      <c r="K1052" s="16"/>
      <c r="L1052" s="16" t="s">
        <v>1445</v>
      </c>
      <c r="M1052" s="16"/>
      <c r="N1052" s="16" t="s">
        <v>1446</v>
      </c>
      <c r="O1052" s="17" t="s">
        <v>38</v>
      </c>
      <c r="P1052" s="5" t="str">
        <f t="shared" si="30"/>
        <v>Truncate table FBC774;</v>
      </c>
      <c r="Q1052" s="5"/>
      <c r="R1052" s="5"/>
    </row>
    <row r="1053" spans="2:18" x14ac:dyDescent="0.25">
      <c r="B1053" s="19" t="s">
        <v>1447</v>
      </c>
      <c r="C1053" s="16" t="s">
        <v>1448</v>
      </c>
      <c r="D1053" s="16" t="s">
        <v>29</v>
      </c>
      <c r="E1053" s="16" t="s">
        <v>34</v>
      </c>
      <c r="F1053" s="5" t="s">
        <v>33</v>
      </c>
      <c r="G1053" s="16" t="s">
        <v>35</v>
      </c>
      <c r="H1053" s="16" t="s">
        <v>36</v>
      </c>
      <c r="I1053" s="16"/>
      <c r="J1053" s="16"/>
      <c r="K1053" s="16"/>
      <c r="L1053" s="16" t="s">
        <v>1449</v>
      </c>
      <c r="M1053" s="16"/>
      <c r="N1053" s="16" t="s">
        <v>1442</v>
      </c>
      <c r="O1053" s="17" t="s">
        <v>38</v>
      </c>
      <c r="P1053" s="5" t="str">
        <f t="shared" si="30"/>
        <v>Truncate table FBC775;</v>
      </c>
      <c r="Q1053" s="5"/>
      <c r="R1053" s="5"/>
    </row>
    <row r="1054" spans="2:18" ht="27" x14ac:dyDescent="0.25">
      <c r="B1054" s="19" t="s">
        <v>1450</v>
      </c>
      <c r="C1054" s="16" t="s">
        <v>1451</v>
      </c>
      <c r="D1054" s="16" t="s">
        <v>29</v>
      </c>
      <c r="E1054" s="16" t="s">
        <v>34</v>
      </c>
      <c r="F1054" s="5" t="s">
        <v>33</v>
      </c>
      <c r="G1054" s="16" t="s">
        <v>35</v>
      </c>
      <c r="H1054" s="16" t="s">
        <v>36</v>
      </c>
      <c r="I1054" s="16"/>
      <c r="J1054" s="16"/>
      <c r="K1054" s="16"/>
      <c r="L1054" s="16" t="s">
        <v>1452</v>
      </c>
      <c r="M1054" s="16"/>
      <c r="N1054" s="16" t="s">
        <v>1453</v>
      </c>
      <c r="O1054" s="17" t="s">
        <v>38</v>
      </c>
      <c r="P1054" s="5" t="str">
        <f t="shared" si="30"/>
        <v>Truncate table FBC776;</v>
      </c>
      <c r="Q1054" s="5"/>
      <c r="R1054" s="5"/>
    </row>
    <row r="1055" spans="2:18" x14ac:dyDescent="0.25">
      <c r="B1055" s="19" t="s">
        <v>1454</v>
      </c>
      <c r="C1055" s="16" t="s">
        <v>1455</v>
      </c>
      <c r="D1055" s="16" t="s">
        <v>29</v>
      </c>
      <c r="E1055" s="16" t="s">
        <v>34</v>
      </c>
      <c r="F1055" s="5" t="s">
        <v>33</v>
      </c>
      <c r="G1055" s="16" t="s">
        <v>35</v>
      </c>
      <c r="H1055" s="16" t="s">
        <v>36</v>
      </c>
      <c r="I1055" s="16"/>
      <c r="J1055" s="16"/>
      <c r="K1055" s="16"/>
      <c r="L1055" s="16"/>
      <c r="M1055" s="16"/>
      <c r="N1055" s="16"/>
      <c r="O1055" s="17" t="s">
        <v>38</v>
      </c>
      <c r="P1055" s="5" t="str">
        <f t="shared" si="30"/>
        <v>Truncate table FBC777;</v>
      </c>
      <c r="Q1055" s="5"/>
      <c r="R1055" s="5"/>
    </row>
    <row r="1056" spans="2:18" ht="40.5" x14ac:dyDescent="0.25">
      <c r="B1056" s="19" t="s">
        <v>1456</v>
      </c>
      <c r="C1056" s="16" t="s">
        <v>1457</v>
      </c>
      <c r="D1056" s="16" t="s">
        <v>29</v>
      </c>
      <c r="E1056" s="16" t="s">
        <v>34</v>
      </c>
      <c r="F1056" s="5" t="s">
        <v>33</v>
      </c>
      <c r="G1056" s="16" t="s">
        <v>35</v>
      </c>
      <c r="H1056" s="16" t="s">
        <v>36</v>
      </c>
      <c r="I1056" s="16"/>
      <c r="J1056" s="16"/>
      <c r="K1056" s="16"/>
      <c r="L1056" s="16" t="s">
        <v>1458</v>
      </c>
      <c r="M1056" s="16"/>
      <c r="N1056" s="16" t="s">
        <v>1453</v>
      </c>
      <c r="O1056" s="17" t="s">
        <v>38</v>
      </c>
      <c r="P1056" s="5" t="str">
        <f t="shared" si="30"/>
        <v>Truncate table FBC778;</v>
      </c>
      <c r="Q1056" s="5"/>
      <c r="R1056" s="5"/>
    </row>
    <row r="1057" spans="2:18" ht="27" x14ac:dyDescent="0.25">
      <c r="B1057" s="19" t="s">
        <v>1459</v>
      </c>
      <c r="C1057" s="16" t="s">
        <v>1460</v>
      </c>
      <c r="D1057" s="16" t="s">
        <v>29</v>
      </c>
      <c r="E1057" s="16" t="s">
        <v>34</v>
      </c>
      <c r="F1057" s="5" t="s">
        <v>33</v>
      </c>
      <c r="G1057" s="16" t="s">
        <v>35</v>
      </c>
      <c r="H1057" s="16" t="s">
        <v>36</v>
      </c>
      <c r="I1057" s="16"/>
      <c r="J1057" s="16"/>
      <c r="K1057" s="16"/>
      <c r="L1057" s="16" t="s">
        <v>1461</v>
      </c>
      <c r="M1057" s="16"/>
      <c r="N1057" s="16" t="s">
        <v>1453</v>
      </c>
      <c r="O1057" s="17" t="s">
        <v>38</v>
      </c>
      <c r="P1057" s="5" t="str">
        <f t="shared" si="30"/>
        <v>Truncate table FBC779;</v>
      </c>
      <c r="Q1057" s="5"/>
      <c r="R1057" s="5"/>
    </row>
    <row r="1058" spans="2:18" x14ac:dyDescent="0.25">
      <c r="B1058" s="19" t="s">
        <v>1462</v>
      </c>
      <c r="C1058" s="16" t="s">
        <v>1455</v>
      </c>
      <c r="D1058" s="16" t="s">
        <v>29</v>
      </c>
      <c r="E1058" s="16" t="s">
        <v>34</v>
      </c>
      <c r="F1058" s="5" t="s">
        <v>33</v>
      </c>
      <c r="G1058" s="16" t="s">
        <v>35</v>
      </c>
      <c r="H1058" s="16" t="s">
        <v>36</v>
      </c>
      <c r="I1058" s="16"/>
      <c r="J1058" s="16"/>
      <c r="K1058" s="16"/>
      <c r="L1058" s="16" t="s">
        <v>1463</v>
      </c>
      <c r="M1058" s="16"/>
      <c r="N1058" s="16" t="s">
        <v>1453</v>
      </c>
      <c r="O1058" s="17" t="s">
        <v>38</v>
      </c>
      <c r="P1058" s="5" t="str">
        <f t="shared" si="30"/>
        <v>Truncate table FBC780;</v>
      </c>
      <c r="Q1058" s="5"/>
      <c r="R1058" s="5"/>
    </row>
    <row r="1059" spans="2:18" x14ac:dyDescent="0.25">
      <c r="B1059" s="19" t="s">
        <v>1464</v>
      </c>
      <c r="C1059" s="16" t="s">
        <v>1455</v>
      </c>
      <c r="D1059" s="16" t="s">
        <v>29</v>
      </c>
      <c r="E1059" s="16" t="s">
        <v>34</v>
      </c>
      <c r="F1059" s="5" t="s">
        <v>33</v>
      </c>
      <c r="G1059" s="16" t="s">
        <v>35</v>
      </c>
      <c r="H1059" s="16" t="s">
        <v>36</v>
      </c>
      <c r="I1059" s="16"/>
      <c r="J1059" s="16"/>
      <c r="K1059" s="16"/>
      <c r="L1059" s="16" t="s">
        <v>1465</v>
      </c>
      <c r="M1059" s="16"/>
      <c r="N1059" s="16" t="s">
        <v>1453</v>
      </c>
      <c r="O1059" s="17" t="s">
        <v>38</v>
      </c>
      <c r="P1059" s="5" t="str">
        <f t="shared" si="30"/>
        <v>Truncate table FBC781;</v>
      </c>
      <c r="Q1059" s="5"/>
      <c r="R1059" s="5"/>
    </row>
    <row r="1060" spans="2:18" ht="54" x14ac:dyDescent="0.25">
      <c r="B1060" s="19" t="s">
        <v>1466</v>
      </c>
      <c r="C1060" s="16" t="s">
        <v>1467</v>
      </c>
      <c r="D1060" s="16" t="s">
        <v>29</v>
      </c>
      <c r="E1060" s="16" t="s">
        <v>34</v>
      </c>
      <c r="F1060" s="5" t="s">
        <v>33</v>
      </c>
      <c r="G1060" s="16" t="s">
        <v>35</v>
      </c>
      <c r="H1060" s="16" t="s">
        <v>36</v>
      </c>
      <c r="I1060" s="16"/>
      <c r="J1060" s="16"/>
      <c r="K1060" s="16"/>
      <c r="L1060" s="16" t="s">
        <v>1468</v>
      </c>
      <c r="M1060" s="16"/>
      <c r="N1060" s="16"/>
      <c r="O1060" s="17" t="s">
        <v>38</v>
      </c>
      <c r="P1060" s="5" t="str">
        <f t="shared" si="30"/>
        <v>Truncate table FBC782;</v>
      </c>
      <c r="Q1060" s="5"/>
      <c r="R1060" s="5"/>
    </row>
    <row r="1061" spans="2:18" ht="54" x14ac:dyDescent="0.25">
      <c r="B1061" s="19" t="s">
        <v>1469</v>
      </c>
      <c r="C1061" s="16" t="s">
        <v>1470</v>
      </c>
      <c r="D1061" s="16" t="s">
        <v>29</v>
      </c>
      <c r="E1061" s="16" t="s">
        <v>34</v>
      </c>
      <c r="F1061" s="5" t="s">
        <v>33</v>
      </c>
      <c r="G1061" s="16" t="s">
        <v>35</v>
      </c>
      <c r="H1061" s="16" t="s">
        <v>36</v>
      </c>
      <c r="I1061" s="16"/>
      <c r="J1061" s="16"/>
      <c r="K1061" s="16"/>
      <c r="L1061" s="16" t="s">
        <v>1468</v>
      </c>
      <c r="M1061" s="16"/>
      <c r="N1061" s="16"/>
      <c r="O1061" s="17" t="s">
        <v>38</v>
      </c>
      <c r="P1061" s="5" t="str">
        <f t="shared" si="30"/>
        <v>Truncate table FBC783;</v>
      </c>
      <c r="Q1061" s="5"/>
      <c r="R1061" s="5"/>
    </row>
    <row r="1062" spans="2:18" ht="54" x14ac:dyDescent="0.25">
      <c r="B1062" s="19" t="s">
        <v>1471</v>
      </c>
      <c r="C1062" s="16" t="s">
        <v>1472</v>
      </c>
      <c r="D1062" s="16" t="s">
        <v>29</v>
      </c>
      <c r="E1062" s="16" t="s">
        <v>34</v>
      </c>
      <c r="F1062" s="5" t="s">
        <v>33</v>
      </c>
      <c r="G1062" s="16" t="s">
        <v>35</v>
      </c>
      <c r="H1062" s="16" t="s">
        <v>36</v>
      </c>
      <c r="I1062" s="16"/>
      <c r="J1062" s="16"/>
      <c r="K1062" s="16"/>
      <c r="L1062" s="16" t="s">
        <v>1468</v>
      </c>
      <c r="M1062" s="16"/>
      <c r="N1062" s="16"/>
      <c r="O1062" s="17" t="s">
        <v>38</v>
      </c>
      <c r="P1062" s="5" t="str">
        <f t="shared" si="30"/>
        <v>Truncate table FBC784;</v>
      </c>
      <c r="Q1062" s="5"/>
      <c r="R1062" s="5"/>
    </row>
    <row r="1063" spans="2:18" ht="54" x14ac:dyDescent="0.25">
      <c r="B1063" s="19" t="s">
        <v>1473</v>
      </c>
      <c r="C1063" s="16" t="s">
        <v>1474</v>
      </c>
      <c r="D1063" s="16" t="s">
        <v>29</v>
      </c>
      <c r="E1063" s="16" t="s">
        <v>34</v>
      </c>
      <c r="F1063" s="5" t="s">
        <v>33</v>
      </c>
      <c r="G1063" s="16" t="s">
        <v>35</v>
      </c>
      <c r="H1063" s="16" t="s">
        <v>36</v>
      </c>
      <c r="I1063" s="16"/>
      <c r="J1063" s="16"/>
      <c r="K1063" s="16"/>
      <c r="L1063" s="16" t="s">
        <v>1468</v>
      </c>
      <c r="M1063" s="16"/>
      <c r="N1063" s="16"/>
      <c r="O1063" s="17" t="s">
        <v>38</v>
      </c>
      <c r="P1063" s="5" t="str">
        <f t="shared" si="30"/>
        <v>Truncate table FBC785;</v>
      </c>
      <c r="Q1063" s="5"/>
      <c r="R1063" s="5"/>
    </row>
    <row r="1064" spans="2:18" ht="54" x14ac:dyDescent="0.25">
      <c r="B1064" s="19" t="s">
        <v>1475</v>
      </c>
      <c r="C1064" s="16" t="s">
        <v>1476</v>
      </c>
      <c r="D1064" s="16" t="s">
        <v>29</v>
      </c>
      <c r="E1064" s="16" t="s">
        <v>34</v>
      </c>
      <c r="F1064" s="5" t="s">
        <v>33</v>
      </c>
      <c r="G1064" s="16" t="s">
        <v>35</v>
      </c>
      <c r="H1064" s="16" t="s">
        <v>36</v>
      </c>
      <c r="I1064" s="16"/>
      <c r="J1064" s="16"/>
      <c r="K1064" s="16"/>
      <c r="L1064" s="16" t="s">
        <v>1468</v>
      </c>
      <c r="M1064" s="16"/>
      <c r="N1064" s="16"/>
      <c r="O1064" s="17" t="s">
        <v>38</v>
      </c>
      <c r="P1064" s="5" t="str">
        <f t="shared" si="30"/>
        <v>Truncate table FBC786;</v>
      </c>
      <c r="Q1064" s="5"/>
      <c r="R1064" s="5"/>
    </row>
    <row r="1065" spans="2:18" ht="54" x14ac:dyDescent="0.25">
      <c r="B1065" s="19" t="s">
        <v>1477</v>
      </c>
      <c r="C1065" s="16" t="s">
        <v>1478</v>
      </c>
      <c r="D1065" s="16" t="s">
        <v>29</v>
      </c>
      <c r="E1065" s="16" t="s">
        <v>34</v>
      </c>
      <c r="F1065" s="5" t="s">
        <v>33</v>
      </c>
      <c r="G1065" s="16" t="s">
        <v>35</v>
      </c>
      <c r="H1065" s="16" t="s">
        <v>12</v>
      </c>
      <c r="I1065" s="16"/>
      <c r="J1065" s="16"/>
      <c r="K1065" s="16"/>
      <c r="L1065" s="16" t="s">
        <v>1468</v>
      </c>
      <c r="M1065" s="16"/>
      <c r="N1065" s="16"/>
      <c r="O1065" s="17" t="s">
        <v>38</v>
      </c>
      <c r="P1065" s="5" t="str">
        <f t="shared" si="30"/>
        <v>Truncate table FBC787;</v>
      </c>
      <c r="Q1065" s="5"/>
      <c r="R1065" s="5"/>
    </row>
    <row r="1066" spans="2:18" ht="54" x14ac:dyDescent="0.25">
      <c r="B1066" s="19" t="s">
        <v>1479</v>
      </c>
      <c r="C1066" s="18" t="s">
        <v>1480</v>
      </c>
      <c r="D1066" s="16" t="s">
        <v>29</v>
      </c>
      <c r="E1066" s="16" t="s">
        <v>34</v>
      </c>
      <c r="F1066" s="5" t="s">
        <v>33</v>
      </c>
      <c r="G1066" s="16" t="s">
        <v>35</v>
      </c>
      <c r="H1066" s="16" t="s">
        <v>12</v>
      </c>
      <c r="I1066" s="16"/>
      <c r="J1066" s="16"/>
      <c r="K1066" s="16"/>
      <c r="L1066" s="16" t="s">
        <v>1468</v>
      </c>
      <c r="M1066" s="16"/>
      <c r="N1066" s="16"/>
      <c r="O1066" s="17" t="s">
        <v>38</v>
      </c>
      <c r="P1066" s="5" t="str">
        <f t="shared" si="30"/>
        <v>Truncate table FBC788;</v>
      </c>
      <c r="Q1066" s="5"/>
      <c r="R1066" s="5"/>
    </row>
    <row r="1067" spans="2:18" ht="54" x14ac:dyDescent="0.25">
      <c r="B1067" s="19" t="s">
        <v>1481</v>
      </c>
      <c r="C1067" s="16" t="s">
        <v>1482</v>
      </c>
      <c r="D1067" s="16" t="s">
        <v>29</v>
      </c>
      <c r="E1067" s="16" t="s">
        <v>34</v>
      </c>
      <c r="F1067" s="5" t="s">
        <v>33</v>
      </c>
      <c r="G1067" s="16" t="s">
        <v>35</v>
      </c>
      <c r="H1067" s="16" t="s">
        <v>12</v>
      </c>
      <c r="I1067" s="16"/>
      <c r="J1067" s="16"/>
      <c r="K1067" s="16"/>
      <c r="L1067" s="16" t="s">
        <v>1468</v>
      </c>
      <c r="M1067" s="16"/>
      <c r="N1067" s="16"/>
      <c r="O1067" s="17" t="s">
        <v>38</v>
      </c>
      <c r="P1067" s="5" t="str">
        <f t="shared" si="30"/>
        <v>Truncate table FBC789;</v>
      </c>
      <c r="Q1067" s="5"/>
      <c r="R1067" s="5"/>
    </row>
    <row r="1068" spans="2:18" ht="81" x14ac:dyDescent="0.25">
      <c r="B1068" s="19" t="s">
        <v>1483</v>
      </c>
      <c r="C1068" s="16" t="s">
        <v>1484</v>
      </c>
      <c r="D1068" s="16" t="s">
        <v>29</v>
      </c>
      <c r="E1068" s="16" t="s">
        <v>34</v>
      </c>
      <c r="F1068" s="5" t="s">
        <v>33</v>
      </c>
      <c r="G1068" s="16" t="s">
        <v>35</v>
      </c>
      <c r="H1068" s="16" t="s">
        <v>12</v>
      </c>
      <c r="I1068" s="16"/>
      <c r="J1068" s="16"/>
      <c r="K1068" s="16"/>
      <c r="L1068" s="16" t="s">
        <v>1485</v>
      </c>
      <c r="M1068" s="16"/>
      <c r="N1068" s="16" t="s">
        <v>1486</v>
      </c>
      <c r="O1068" s="17" t="s">
        <v>38</v>
      </c>
      <c r="P1068" s="5" t="str">
        <f t="shared" si="30"/>
        <v>Truncate table FBC790;</v>
      </c>
      <c r="Q1068" s="5"/>
      <c r="R1068" s="5"/>
    </row>
    <row r="1069" spans="2:18" ht="108" x14ac:dyDescent="0.25">
      <c r="B1069" s="19" t="s">
        <v>1487</v>
      </c>
      <c r="C1069" s="16" t="s">
        <v>1488</v>
      </c>
      <c r="D1069" s="16" t="s">
        <v>29</v>
      </c>
      <c r="E1069" s="16" t="s">
        <v>34</v>
      </c>
      <c r="F1069" s="5" t="s">
        <v>33</v>
      </c>
      <c r="G1069" s="16" t="s">
        <v>35</v>
      </c>
      <c r="H1069" s="16" t="s">
        <v>12</v>
      </c>
      <c r="I1069" s="16"/>
      <c r="J1069" s="16"/>
      <c r="K1069" s="16"/>
      <c r="L1069" s="16" t="s">
        <v>1489</v>
      </c>
      <c r="M1069" s="16"/>
      <c r="N1069" s="16" t="s">
        <v>1486</v>
      </c>
      <c r="O1069" s="17" t="s">
        <v>38</v>
      </c>
      <c r="P1069" s="5" t="str">
        <f t="shared" si="30"/>
        <v>Truncate table FBC791;</v>
      </c>
      <c r="Q1069" s="5"/>
      <c r="R1069" s="5"/>
    </row>
    <row r="1070" spans="2:18" ht="94.5" x14ac:dyDescent="0.25">
      <c r="B1070" s="19" t="s">
        <v>1490</v>
      </c>
      <c r="C1070" s="16" t="s">
        <v>1491</v>
      </c>
      <c r="D1070" s="16" t="s">
        <v>29</v>
      </c>
      <c r="E1070" s="16" t="s">
        <v>34</v>
      </c>
      <c r="F1070" s="5" t="s">
        <v>33</v>
      </c>
      <c r="G1070" s="16" t="s">
        <v>35</v>
      </c>
      <c r="H1070" s="16" t="s">
        <v>12</v>
      </c>
      <c r="I1070" s="16"/>
      <c r="J1070" s="16"/>
      <c r="K1070" s="16"/>
      <c r="L1070" s="16" t="s">
        <v>1492</v>
      </c>
      <c r="M1070" s="16"/>
      <c r="N1070" s="16" t="s">
        <v>1486</v>
      </c>
      <c r="O1070" s="17" t="s">
        <v>38</v>
      </c>
      <c r="P1070" s="5" t="str">
        <f t="shared" si="30"/>
        <v>Truncate table FBC792;</v>
      </c>
      <c r="Q1070" s="5"/>
      <c r="R1070" s="5"/>
    </row>
    <row r="1071" spans="2:18" ht="67.5" x14ac:dyDescent="0.25">
      <c r="B1071" s="19" t="s">
        <v>1493</v>
      </c>
      <c r="C1071" s="16" t="s">
        <v>1494</v>
      </c>
      <c r="D1071" s="16" t="s">
        <v>29</v>
      </c>
      <c r="E1071" s="16" t="s">
        <v>34</v>
      </c>
      <c r="F1071" s="5" t="s">
        <v>33</v>
      </c>
      <c r="G1071" s="16" t="s">
        <v>35</v>
      </c>
      <c r="H1071" s="16" t="s">
        <v>12</v>
      </c>
      <c r="I1071" s="16"/>
      <c r="J1071" s="16"/>
      <c r="K1071" s="16"/>
      <c r="L1071" s="16" t="s">
        <v>1495</v>
      </c>
      <c r="M1071" s="16"/>
      <c r="N1071" s="16" t="s">
        <v>1486</v>
      </c>
      <c r="O1071" s="17" t="s">
        <v>38</v>
      </c>
      <c r="P1071" s="5" t="str">
        <f t="shared" si="30"/>
        <v>Truncate table FBC793;</v>
      </c>
      <c r="Q1071" s="5"/>
      <c r="R1071" s="5"/>
    </row>
    <row r="1072" spans="2:18" ht="67.5" x14ac:dyDescent="0.25">
      <c r="B1072" s="19" t="s">
        <v>1496</v>
      </c>
      <c r="C1072" s="16" t="s">
        <v>1497</v>
      </c>
      <c r="D1072" s="16" t="s">
        <v>29</v>
      </c>
      <c r="E1072" s="16" t="s">
        <v>34</v>
      </c>
      <c r="F1072" s="5" t="s">
        <v>33</v>
      </c>
      <c r="G1072" s="16" t="s">
        <v>35</v>
      </c>
      <c r="H1072" s="16" t="s">
        <v>12</v>
      </c>
      <c r="I1072" s="16"/>
      <c r="J1072" s="16"/>
      <c r="K1072" s="16"/>
      <c r="L1072" s="16" t="s">
        <v>1495</v>
      </c>
      <c r="M1072" s="16"/>
      <c r="N1072" s="16" t="s">
        <v>1486</v>
      </c>
      <c r="O1072" s="17" t="s">
        <v>38</v>
      </c>
      <c r="P1072" s="5" t="str">
        <f t="shared" si="30"/>
        <v>Truncate table FBC794;</v>
      </c>
      <c r="Q1072" s="5"/>
      <c r="R1072" s="5"/>
    </row>
    <row r="1073" spans="2:18" ht="67.5" x14ac:dyDescent="0.25">
      <c r="B1073" s="19" t="s">
        <v>1498</v>
      </c>
      <c r="C1073" s="16" t="s">
        <v>1499</v>
      </c>
      <c r="D1073" s="16" t="s">
        <v>29</v>
      </c>
      <c r="E1073" s="16" t="s">
        <v>34</v>
      </c>
      <c r="F1073" s="5" t="s">
        <v>33</v>
      </c>
      <c r="G1073" s="16" t="s">
        <v>35</v>
      </c>
      <c r="H1073" s="16" t="s">
        <v>12</v>
      </c>
      <c r="I1073" s="16"/>
      <c r="J1073" s="16"/>
      <c r="K1073" s="16"/>
      <c r="L1073" s="16" t="s">
        <v>1495</v>
      </c>
      <c r="M1073" s="16"/>
      <c r="N1073" s="16" t="s">
        <v>1486</v>
      </c>
      <c r="O1073" s="17" t="s">
        <v>38</v>
      </c>
      <c r="P1073" s="5" t="str">
        <f t="shared" si="30"/>
        <v>Truncate table FBC795;</v>
      </c>
      <c r="Q1073" s="5"/>
      <c r="R1073" s="5"/>
    </row>
    <row r="1074" spans="2:18" ht="67.5" x14ac:dyDescent="0.25">
      <c r="B1074" s="19" t="s">
        <v>1500</v>
      </c>
      <c r="C1074" s="16" t="s">
        <v>1501</v>
      </c>
      <c r="D1074" s="16" t="s">
        <v>29</v>
      </c>
      <c r="E1074" s="16" t="s">
        <v>34</v>
      </c>
      <c r="F1074" s="5" t="s">
        <v>33</v>
      </c>
      <c r="G1074" s="16" t="s">
        <v>35</v>
      </c>
      <c r="H1074" s="16" t="s">
        <v>12</v>
      </c>
      <c r="I1074" s="16"/>
      <c r="J1074" s="16"/>
      <c r="K1074" s="16"/>
      <c r="L1074" s="16" t="s">
        <v>1495</v>
      </c>
      <c r="M1074" s="16"/>
      <c r="N1074" s="16" t="s">
        <v>1486</v>
      </c>
      <c r="O1074" s="17" t="s">
        <v>38</v>
      </c>
      <c r="P1074" s="5" t="str">
        <f t="shared" si="30"/>
        <v>Truncate table FBC796;</v>
      </c>
      <c r="Q1074" s="5"/>
      <c r="R1074" s="5"/>
    </row>
    <row r="1075" spans="2:18" ht="67.5" x14ac:dyDescent="0.25">
      <c r="B1075" s="19" t="s">
        <v>1502</v>
      </c>
      <c r="C1075" s="16" t="s">
        <v>1503</v>
      </c>
      <c r="D1075" s="16" t="s">
        <v>29</v>
      </c>
      <c r="E1075" s="16" t="s">
        <v>34</v>
      </c>
      <c r="F1075" s="5" t="s">
        <v>33</v>
      </c>
      <c r="G1075" s="16" t="s">
        <v>35</v>
      </c>
      <c r="H1075" s="16" t="s">
        <v>12</v>
      </c>
      <c r="I1075" s="16"/>
      <c r="J1075" s="16"/>
      <c r="K1075" s="16"/>
      <c r="L1075" s="16" t="s">
        <v>1495</v>
      </c>
      <c r="M1075" s="16"/>
      <c r="N1075" s="16" t="s">
        <v>1486</v>
      </c>
      <c r="O1075" s="17" t="s">
        <v>38</v>
      </c>
      <c r="P1075" s="5" t="str">
        <f t="shared" si="30"/>
        <v>Truncate table FBC797;</v>
      </c>
      <c r="Q1075" s="5"/>
      <c r="R1075" s="5"/>
    </row>
    <row r="1076" spans="2:18" ht="54" x14ac:dyDescent="0.25">
      <c r="B1076" s="19" t="s">
        <v>1504</v>
      </c>
      <c r="C1076" s="16" t="s">
        <v>1505</v>
      </c>
      <c r="D1076" s="16" t="s">
        <v>29</v>
      </c>
      <c r="E1076" s="16" t="s">
        <v>34</v>
      </c>
      <c r="F1076" s="5" t="s">
        <v>33</v>
      </c>
      <c r="G1076" s="16" t="s">
        <v>35</v>
      </c>
      <c r="H1076" s="16" t="s">
        <v>12</v>
      </c>
      <c r="I1076" s="16"/>
      <c r="J1076" s="16"/>
      <c r="K1076" s="16"/>
      <c r="L1076" s="16" t="s">
        <v>1468</v>
      </c>
      <c r="M1076" s="16"/>
      <c r="N1076" s="16"/>
      <c r="O1076" s="17" t="s">
        <v>38</v>
      </c>
      <c r="P1076" s="5" t="str">
        <f t="shared" si="30"/>
        <v>Truncate table FBC798;</v>
      </c>
      <c r="Q1076" s="5"/>
      <c r="R1076" s="5"/>
    </row>
    <row r="1077" spans="2:18" ht="54" x14ac:dyDescent="0.25">
      <c r="B1077" s="19" t="s">
        <v>1506</v>
      </c>
      <c r="C1077" s="16" t="s">
        <v>1507</v>
      </c>
      <c r="D1077" s="16" t="s">
        <v>29</v>
      </c>
      <c r="E1077" s="16" t="s">
        <v>34</v>
      </c>
      <c r="F1077" s="5" t="s">
        <v>33</v>
      </c>
      <c r="G1077" s="16" t="s">
        <v>35</v>
      </c>
      <c r="H1077" s="16" t="s">
        <v>12</v>
      </c>
      <c r="I1077" s="16"/>
      <c r="J1077" s="16"/>
      <c r="K1077" s="16"/>
      <c r="L1077" s="16" t="s">
        <v>1468</v>
      </c>
      <c r="M1077" s="16"/>
      <c r="N1077" s="16"/>
      <c r="O1077" s="17"/>
      <c r="P1077" s="5" t="str">
        <f t="shared" si="30"/>
        <v>Truncate table FBC799;</v>
      </c>
      <c r="Q1077" s="5"/>
      <c r="R1077" s="5"/>
    </row>
    <row r="1078" spans="2:18" ht="81" x14ac:dyDescent="0.25">
      <c r="B1078" s="19" t="s">
        <v>1508</v>
      </c>
      <c r="C1078" s="16" t="s">
        <v>1509</v>
      </c>
      <c r="D1078" s="16" t="s">
        <v>29</v>
      </c>
      <c r="E1078" s="16" t="s">
        <v>34</v>
      </c>
      <c r="F1078" s="5" t="s">
        <v>33</v>
      </c>
      <c r="G1078" s="16" t="s">
        <v>35</v>
      </c>
      <c r="H1078" s="16" t="s">
        <v>12</v>
      </c>
      <c r="I1078" s="16"/>
      <c r="J1078" s="16"/>
      <c r="K1078" s="16"/>
      <c r="L1078" s="16" t="s">
        <v>1510</v>
      </c>
      <c r="M1078" s="16"/>
      <c r="N1078" s="16" t="s">
        <v>1511</v>
      </c>
      <c r="O1078" s="17" t="s">
        <v>38</v>
      </c>
      <c r="P1078" s="5" t="str">
        <f t="shared" si="30"/>
        <v>Truncate table FBC7A1;</v>
      </c>
      <c r="Q1078" s="5"/>
      <c r="R1078" s="5"/>
    </row>
    <row r="1079" spans="2:18" ht="67.5" x14ac:dyDescent="0.25">
      <c r="B1079" s="19" t="s">
        <v>1512</v>
      </c>
      <c r="C1079" s="16" t="s">
        <v>1513</v>
      </c>
      <c r="D1079" s="16" t="s">
        <v>29</v>
      </c>
      <c r="E1079" s="16" t="s">
        <v>34</v>
      </c>
      <c r="F1079" s="5" t="s">
        <v>33</v>
      </c>
      <c r="G1079" s="16" t="s">
        <v>35</v>
      </c>
      <c r="H1079" s="16" t="s">
        <v>12</v>
      </c>
      <c r="I1079" s="16"/>
      <c r="J1079" s="16"/>
      <c r="K1079" s="16"/>
      <c r="L1079" s="16" t="s">
        <v>1514</v>
      </c>
      <c r="M1079" s="16"/>
      <c r="N1079" s="16" t="s">
        <v>1511</v>
      </c>
      <c r="O1079" s="17" t="s">
        <v>38</v>
      </c>
      <c r="P1079" s="5" t="str">
        <f t="shared" ref="P1079:P1099" si="31">IF(D1079="Datos","Truncate table "&amp; B1079&amp; ";","")</f>
        <v>Truncate table FBC7A2;</v>
      </c>
      <c r="Q1079" s="5"/>
      <c r="R1079" s="5"/>
    </row>
    <row r="1080" spans="2:18" ht="67.5" x14ac:dyDescent="0.25">
      <c r="B1080" s="19" t="s">
        <v>1515</v>
      </c>
      <c r="C1080" s="16" t="s">
        <v>1516</v>
      </c>
      <c r="D1080" s="16" t="s">
        <v>29</v>
      </c>
      <c r="E1080" s="16" t="s">
        <v>34</v>
      </c>
      <c r="F1080" s="5" t="s">
        <v>33</v>
      </c>
      <c r="G1080" s="16" t="s">
        <v>35</v>
      </c>
      <c r="H1080" s="16" t="s">
        <v>12</v>
      </c>
      <c r="I1080" s="16"/>
      <c r="J1080" s="16"/>
      <c r="K1080" s="16"/>
      <c r="L1080" s="16" t="s">
        <v>1517</v>
      </c>
      <c r="M1080" s="16"/>
      <c r="N1080" s="16" t="s">
        <v>1511</v>
      </c>
      <c r="O1080" s="17" t="s">
        <v>38</v>
      </c>
      <c r="P1080" s="5" t="str">
        <f t="shared" si="31"/>
        <v>Truncate table FBC7A3;</v>
      </c>
      <c r="Q1080" s="5"/>
      <c r="R1080" s="5"/>
    </row>
    <row r="1081" spans="2:18" ht="108" x14ac:dyDescent="0.25">
      <c r="B1081" s="19" t="s">
        <v>1518</v>
      </c>
      <c r="C1081" s="16" t="s">
        <v>1519</v>
      </c>
      <c r="D1081" s="16" t="s">
        <v>29</v>
      </c>
      <c r="E1081" s="16" t="s">
        <v>34</v>
      </c>
      <c r="F1081" s="5" t="s">
        <v>33</v>
      </c>
      <c r="G1081" s="16" t="s">
        <v>35</v>
      </c>
      <c r="H1081" s="16" t="s">
        <v>12</v>
      </c>
      <c r="I1081" s="16"/>
      <c r="J1081" s="16"/>
      <c r="K1081" s="16"/>
      <c r="L1081" s="16" t="s">
        <v>1520</v>
      </c>
      <c r="M1081" s="16"/>
      <c r="N1081" s="16" t="s">
        <v>1511</v>
      </c>
      <c r="O1081" s="17" t="s">
        <v>38</v>
      </c>
      <c r="P1081" s="5" t="str">
        <f t="shared" si="31"/>
        <v>Truncate table FBC7A4;</v>
      </c>
      <c r="Q1081" s="5"/>
      <c r="R1081" s="5"/>
    </row>
    <row r="1082" spans="2:18" ht="67.5" x14ac:dyDescent="0.25">
      <c r="B1082" s="19" t="s">
        <v>1521</v>
      </c>
      <c r="C1082" s="16" t="s">
        <v>1522</v>
      </c>
      <c r="D1082" s="16" t="s">
        <v>29</v>
      </c>
      <c r="E1082" s="16" t="s">
        <v>34</v>
      </c>
      <c r="F1082" s="5" t="s">
        <v>33</v>
      </c>
      <c r="G1082" s="16" t="s">
        <v>35</v>
      </c>
      <c r="H1082" s="16" t="s">
        <v>12</v>
      </c>
      <c r="I1082" s="16"/>
      <c r="J1082" s="16"/>
      <c r="K1082" s="16"/>
      <c r="L1082" s="16" t="s">
        <v>1523</v>
      </c>
      <c r="M1082" s="16"/>
      <c r="N1082" s="16" t="s">
        <v>1511</v>
      </c>
      <c r="O1082" s="17" t="s">
        <v>38</v>
      </c>
      <c r="P1082" s="5" t="str">
        <f t="shared" si="31"/>
        <v>Truncate table FBC7A6;</v>
      </c>
      <c r="Q1082" s="5"/>
      <c r="R1082" s="5"/>
    </row>
    <row r="1083" spans="2:18" ht="67.5" x14ac:dyDescent="0.25">
      <c r="B1083" s="19" t="s">
        <v>1524</v>
      </c>
      <c r="C1083" s="16" t="s">
        <v>1525</v>
      </c>
      <c r="D1083" s="16" t="s">
        <v>29</v>
      </c>
      <c r="E1083" s="16" t="s">
        <v>34</v>
      </c>
      <c r="F1083" s="5" t="s">
        <v>33</v>
      </c>
      <c r="G1083" s="16" t="s">
        <v>35</v>
      </c>
      <c r="H1083" s="16" t="s">
        <v>12</v>
      </c>
      <c r="I1083" s="16"/>
      <c r="J1083" s="16"/>
      <c r="K1083" s="16"/>
      <c r="L1083" s="16" t="s">
        <v>1526</v>
      </c>
      <c r="M1083" s="16"/>
      <c r="N1083" s="16" t="s">
        <v>1511</v>
      </c>
      <c r="O1083" s="17" t="s">
        <v>38</v>
      </c>
      <c r="P1083" s="5" t="str">
        <f t="shared" si="31"/>
        <v>Truncate table FBC7A7;</v>
      </c>
      <c r="Q1083" s="5"/>
      <c r="R1083" s="5"/>
    </row>
    <row r="1084" spans="2:18" ht="81" x14ac:dyDescent="0.25">
      <c r="B1084" s="19" t="s">
        <v>1527</v>
      </c>
      <c r="C1084" s="16" t="s">
        <v>1528</v>
      </c>
      <c r="D1084" s="16" t="s">
        <v>29</v>
      </c>
      <c r="E1084" s="16" t="s">
        <v>34</v>
      </c>
      <c r="F1084" s="5" t="s">
        <v>33</v>
      </c>
      <c r="G1084" s="16" t="s">
        <v>35</v>
      </c>
      <c r="H1084" s="16" t="s">
        <v>12</v>
      </c>
      <c r="I1084" s="16"/>
      <c r="J1084" s="16"/>
      <c r="K1084" s="16"/>
      <c r="L1084" s="16" t="s">
        <v>1529</v>
      </c>
      <c r="M1084" s="16"/>
      <c r="N1084" s="16" t="s">
        <v>1511</v>
      </c>
      <c r="O1084" s="17" t="s">
        <v>38</v>
      </c>
      <c r="P1084" s="5" t="str">
        <f t="shared" si="31"/>
        <v>Truncate table FBC7A8;</v>
      </c>
      <c r="Q1084" s="5"/>
      <c r="R1084" s="5"/>
    </row>
    <row r="1085" spans="2:18" ht="81" x14ac:dyDescent="0.25">
      <c r="B1085" s="19" t="s">
        <v>1530</v>
      </c>
      <c r="C1085" s="16" t="s">
        <v>1531</v>
      </c>
      <c r="D1085" s="16" t="s">
        <v>29</v>
      </c>
      <c r="E1085" s="16" t="s">
        <v>34</v>
      </c>
      <c r="F1085" s="5" t="s">
        <v>33</v>
      </c>
      <c r="G1085" s="16" t="s">
        <v>35</v>
      </c>
      <c r="H1085" s="16" t="s">
        <v>12</v>
      </c>
      <c r="I1085" s="16"/>
      <c r="J1085" s="16"/>
      <c r="K1085" s="16"/>
      <c r="L1085" s="16" t="s">
        <v>1529</v>
      </c>
      <c r="M1085" s="16"/>
      <c r="N1085" s="16" t="s">
        <v>1511</v>
      </c>
      <c r="O1085" s="17" t="s">
        <v>38</v>
      </c>
      <c r="P1085" s="5" t="str">
        <f t="shared" si="31"/>
        <v>Truncate table FBC7A9;</v>
      </c>
      <c r="Q1085" s="5"/>
      <c r="R1085" s="5"/>
    </row>
    <row r="1086" spans="2:18" ht="54" x14ac:dyDescent="0.25">
      <c r="B1086" s="19" t="s">
        <v>1532</v>
      </c>
      <c r="C1086" s="18" t="s">
        <v>1533</v>
      </c>
      <c r="D1086" s="16" t="s">
        <v>29</v>
      </c>
      <c r="E1086" s="16" t="s">
        <v>34</v>
      </c>
      <c r="F1086" s="5" t="s">
        <v>33</v>
      </c>
      <c r="G1086" s="16" t="s">
        <v>35</v>
      </c>
      <c r="H1086" s="16" t="s">
        <v>12</v>
      </c>
      <c r="I1086" s="16"/>
      <c r="J1086" s="16"/>
      <c r="K1086" s="16"/>
      <c r="L1086" s="16" t="s">
        <v>1468</v>
      </c>
      <c r="M1086" s="16"/>
      <c r="N1086" s="16" t="s">
        <v>1534</v>
      </c>
      <c r="O1086" s="17" t="s">
        <v>38</v>
      </c>
      <c r="P1086" s="5" t="str">
        <f t="shared" si="31"/>
        <v>Truncate table FBC7A9A;</v>
      </c>
      <c r="Q1086" s="5"/>
      <c r="R1086" s="5"/>
    </row>
    <row r="1087" spans="2:18" ht="67.5" x14ac:dyDescent="0.25">
      <c r="B1087" s="19" t="s">
        <v>1535</v>
      </c>
      <c r="C1087" s="16" t="s">
        <v>1536</v>
      </c>
      <c r="D1087" s="16" t="s">
        <v>29</v>
      </c>
      <c r="E1087" s="16" t="s">
        <v>34</v>
      </c>
      <c r="F1087" s="5" t="s">
        <v>33</v>
      </c>
      <c r="G1087" s="16" t="s">
        <v>35</v>
      </c>
      <c r="H1087" s="16" t="s">
        <v>12</v>
      </c>
      <c r="I1087" s="16"/>
      <c r="J1087" s="16"/>
      <c r="K1087" s="16"/>
      <c r="L1087" s="16" t="s">
        <v>1526</v>
      </c>
      <c r="M1087" s="16"/>
      <c r="N1087" s="16" t="s">
        <v>1534</v>
      </c>
      <c r="O1087" s="17" t="s">
        <v>38</v>
      </c>
      <c r="P1087" s="5" t="str">
        <f t="shared" si="31"/>
        <v>Truncate table FBC7AA;</v>
      </c>
      <c r="Q1087" s="5"/>
      <c r="R1087" s="5"/>
    </row>
    <row r="1088" spans="2:18" x14ac:dyDescent="0.25">
      <c r="B1088" s="19" t="s">
        <v>1537</v>
      </c>
      <c r="C1088" s="16" t="s">
        <v>1538</v>
      </c>
      <c r="D1088" s="16" t="s">
        <v>29</v>
      </c>
      <c r="E1088" s="16" t="s">
        <v>34</v>
      </c>
      <c r="F1088" s="5" t="s">
        <v>33</v>
      </c>
      <c r="G1088" s="16" t="s">
        <v>35</v>
      </c>
      <c r="H1088" s="16" t="s">
        <v>12</v>
      </c>
      <c r="I1088" s="16"/>
      <c r="J1088" s="16"/>
      <c r="K1088" s="16"/>
      <c r="L1088" t="s">
        <v>1539</v>
      </c>
      <c r="M1088"/>
      <c r="N1088" s="16" t="s">
        <v>1534</v>
      </c>
      <c r="O1088" s="17" t="s">
        <v>38</v>
      </c>
      <c r="P1088" s="5" t="str">
        <f t="shared" si="31"/>
        <v>Truncate table FBC7AB;</v>
      </c>
      <c r="Q1088" s="5"/>
      <c r="R1088" s="5"/>
    </row>
    <row r="1089" spans="1:18" ht="40.5" x14ac:dyDescent="0.25">
      <c r="B1089" s="19" t="s">
        <v>1540</v>
      </c>
      <c r="C1089" s="16" t="s">
        <v>1541</v>
      </c>
      <c r="D1089" s="16" t="s">
        <v>29</v>
      </c>
      <c r="E1089" s="16" t="s">
        <v>34</v>
      </c>
      <c r="F1089" s="5" t="s">
        <v>33</v>
      </c>
      <c r="G1089" s="16" t="s">
        <v>35</v>
      </c>
      <c r="H1089" s="16" t="s">
        <v>12</v>
      </c>
      <c r="I1089" s="16"/>
      <c r="J1089" s="16"/>
      <c r="K1089" s="16"/>
      <c r="L1089" s="16" t="s">
        <v>1542</v>
      </c>
      <c r="M1089" s="16"/>
      <c r="N1089" s="16" t="s">
        <v>1534</v>
      </c>
      <c r="O1089" s="17" t="s">
        <v>38</v>
      </c>
      <c r="P1089" s="5" t="str">
        <f t="shared" si="31"/>
        <v>Truncate table FBC7AF;</v>
      </c>
      <c r="Q1089" s="5"/>
      <c r="R1089" s="5"/>
    </row>
    <row r="1090" spans="1:18" x14ac:dyDescent="0.25">
      <c r="B1090" s="19" t="s">
        <v>1543</v>
      </c>
      <c r="C1090" s="16" t="s">
        <v>8962</v>
      </c>
      <c r="D1090" s="16" t="s">
        <v>29</v>
      </c>
      <c r="E1090" s="16" t="s">
        <v>34</v>
      </c>
      <c r="F1090" s="5" t="s">
        <v>33</v>
      </c>
      <c r="G1090" s="16" t="s">
        <v>35</v>
      </c>
      <c r="H1090" s="16" t="s">
        <v>12</v>
      </c>
      <c r="I1090" s="16"/>
      <c r="J1090" s="16"/>
      <c r="K1090" s="16"/>
      <c r="L1090" s="16"/>
      <c r="M1090" s="16"/>
      <c r="N1090" s="16"/>
      <c r="O1090" s="17"/>
      <c r="P1090" s="5" t="str">
        <f t="shared" si="31"/>
        <v>Truncate table FBC7AI;</v>
      </c>
      <c r="Q1090" s="5"/>
      <c r="R1090" s="5"/>
    </row>
    <row r="1091" spans="1:18" x14ac:dyDescent="0.25">
      <c r="B1091" s="19" t="s">
        <v>1544</v>
      </c>
      <c r="C1091" s="16" t="s">
        <v>8963</v>
      </c>
      <c r="D1091" s="16" t="s">
        <v>29</v>
      </c>
      <c r="E1091" s="16" t="s">
        <v>34</v>
      </c>
      <c r="F1091" s="5" t="s">
        <v>33</v>
      </c>
      <c r="G1091" s="16" t="s">
        <v>35</v>
      </c>
      <c r="H1091" s="16" t="s">
        <v>12</v>
      </c>
      <c r="I1091" s="16"/>
      <c r="J1091" s="16"/>
      <c r="K1091" s="16"/>
      <c r="L1091" s="16"/>
      <c r="M1091" s="16"/>
      <c r="N1091" s="16"/>
      <c r="O1091" s="17"/>
      <c r="P1091" s="5" t="str">
        <f t="shared" si="31"/>
        <v>Truncate table FBC7B2;</v>
      </c>
      <c r="Q1091" s="5"/>
      <c r="R1091" s="5"/>
    </row>
    <row r="1092" spans="1:18" x14ac:dyDescent="0.25">
      <c r="B1092" s="19" t="s">
        <v>1545</v>
      </c>
      <c r="C1092" s="16" t="s">
        <v>8964</v>
      </c>
      <c r="D1092" s="16" t="s">
        <v>29</v>
      </c>
      <c r="E1092" s="16" t="s">
        <v>34</v>
      </c>
      <c r="F1092" s="5" t="s">
        <v>33</v>
      </c>
      <c r="G1092" s="16" t="s">
        <v>35</v>
      </c>
      <c r="H1092" s="16" t="s">
        <v>12</v>
      </c>
      <c r="I1092" s="16"/>
      <c r="J1092" s="16"/>
      <c r="K1092" s="16"/>
      <c r="L1092" s="16"/>
      <c r="M1092" s="16"/>
      <c r="N1092" s="16"/>
      <c r="O1092" s="17"/>
      <c r="P1092" s="5" t="str">
        <f t="shared" si="31"/>
        <v>Truncate table FBC7B3;</v>
      </c>
      <c r="Q1092" s="5"/>
      <c r="R1092" s="5"/>
    </row>
    <row r="1093" spans="1:18" x14ac:dyDescent="0.25">
      <c r="B1093" s="19" t="s">
        <v>1546</v>
      </c>
      <c r="C1093" s="16" t="s">
        <v>8965</v>
      </c>
      <c r="D1093" s="16" t="s">
        <v>29</v>
      </c>
      <c r="E1093" s="16" t="s">
        <v>34</v>
      </c>
      <c r="F1093" s="5" t="s">
        <v>33</v>
      </c>
      <c r="G1093" s="16" t="s">
        <v>35</v>
      </c>
      <c r="H1093" s="16" t="s">
        <v>12</v>
      </c>
      <c r="I1093" s="16"/>
      <c r="J1093" s="16"/>
      <c r="K1093" s="16"/>
      <c r="L1093" s="16"/>
      <c r="M1093" s="16"/>
      <c r="N1093" s="16"/>
      <c r="O1093" s="17"/>
      <c r="P1093" s="5" t="str">
        <f t="shared" si="31"/>
        <v>Truncate table FBC7B6;</v>
      </c>
      <c r="Q1093" s="5"/>
      <c r="R1093" s="5"/>
    </row>
    <row r="1094" spans="1:18" x14ac:dyDescent="0.25">
      <c r="B1094" s="19" t="s">
        <v>1547</v>
      </c>
      <c r="C1094" s="16" t="s">
        <v>8966</v>
      </c>
      <c r="D1094" s="16" t="s">
        <v>29</v>
      </c>
      <c r="E1094" s="16" t="s">
        <v>34</v>
      </c>
      <c r="F1094" s="5" t="s">
        <v>33</v>
      </c>
      <c r="G1094" s="16" t="s">
        <v>35</v>
      </c>
      <c r="H1094" s="16" t="s">
        <v>12</v>
      </c>
      <c r="I1094" s="16"/>
      <c r="J1094" s="16"/>
      <c r="K1094" s="16"/>
      <c r="L1094" s="16"/>
      <c r="M1094" s="16"/>
      <c r="N1094" s="16"/>
      <c r="O1094" s="17"/>
      <c r="P1094" s="5" t="str">
        <f t="shared" si="31"/>
        <v>Truncate table FBC7C1;</v>
      </c>
      <c r="Q1094" s="5"/>
      <c r="R1094" s="5"/>
    </row>
    <row r="1095" spans="1:18" x14ac:dyDescent="0.25">
      <c r="B1095" s="19" t="s">
        <v>1548</v>
      </c>
      <c r="C1095" s="16" t="s">
        <v>8967</v>
      </c>
      <c r="D1095" s="16" t="s">
        <v>29</v>
      </c>
      <c r="E1095" s="16" t="s">
        <v>34</v>
      </c>
      <c r="F1095" s="5" t="s">
        <v>33</v>
      </c>
      <c r="G1095" s="16" t="s">
        <v>35</v>
      </c>
      <c r="H1095" s="16" t="s">
        <v>12</v>
      </c>
      <c r="I1095" s="16"/>
      <c r="J1095" s="16"/>
      <c r="K1095" s="16"/>
      <c r="L1095" s="16"/>
      <c r="M1095" s="16"/>
      <c r="N1095" s="16"/>
      <c r="O1095" s="17"/>
      <c r="P1095" s="5" t="str">
        <f t="shared" si="31"/>
        <v>Truncate table FBC7C2;</v>
      </c>
      <c r="Q1095" s="5"/>
      <c r="R1095" s="5"/>
    </row>
    <row r="1096" spans="1:18" x14ac:dyDescent="0.25">
      <c r="B1096" s="19" t="s">
        <v>1549</v>
      </c>
      <c r="C1096" s="16" t="s">
        <v>8968</v>
      </c>
      <c r="D1096" s="16" t="s">
        <v>29</v>
      </c>
      <c r="E1096" s="16" t="s">
        <v>34</v>
      </c>
      <c r="F1096" s="5" t="s">
        <v>33</v>
      </c>
      <c r="G1096" s="16" t="s">
        <v>35</v>
      </c>
      <c r="H1096" s="16" t="s">
        <v>12</v>
      </c>
      <c r="I1096" s="16"/>
      <c r="J1096" s="16"/>
      <c r="K1096" s="16"/>
      <c r="L1096" s="16"/>
      <c r="M1096" s="16"/>
      <c r="N1096" s="16"/>
      <c r="O1096" s="17"/>
      <c r="P1096" s="5" t="str">
        <f t="shared" si="31"/>
        <v>Truncate table FBC7M2;</v>
      </c>
      <c r="Q1096" s="5"/>
      <c r="R1096" s="5"/>
    </row>
    <row r="1097" spans="1:18" x14ac:dyDescent="0.25">
      <c r="B1097" s="19" t="s">
        <v>1550</v>
      </c>
      <c r="C1097" s="16" t="s">
        <v>8969</v>
      </c>
      <c r="D1097" s="16" t="s">
        <v>29</v>
      </c>
      <c r="E1097" s="16" t="s">
        <v>34</v>
      </c>
      <c r="F1097" s="5" t="s">
        <v>33</v>
      </c>
      <c r="G1097" s="16" t="s">
        <v>35</v>
      </c>
      <c r="H1097" s="16" t="s">
        <v>12</v>
      </c>
      <c r="I1097" s="16"/>
      <c r="J1097" s="16"/>
      <c r="K1097" s="16"/>
      <c r="L1097" s="16"/>
      <c r="M1097" s="16"/>
      <c r="N1097" s="16"/>
      <c r="O1097" s="17"/>
      <c r="P1097" s="5" t="str">
        <f t="shared" si="31"/>
        <v>Truncate table FBC800;</v>
      </c>
      <c r="Q1097" s="5"/>
      <c r="R1097" s="5"/>
    </row>
    <row r="1098" spans="1:18" x14ac:dyDescent="0.25">
      <c r="B1098" s="19" t="s">
        <v>1551</v>
      </c>
      <c r="C1098" s="16" t="s">
        <v>8970</v>
      </c>
      <c r="D1098" s="16" t="s">
        <v>29</v>
      </c>
      <c r="E1098" s="16" t="s">
        <v>34</v>
      </c>
      <c r="F1098" s="5" t="s">
        <v>33</v>
      </c>
      <c r="G1098" s="16" t="s">
        <v>35</v>
      </c>
      <c r="H1098" s="16" t="s">
        <v>12</v>
      </c>
      <c r="I1098" s="16"/>
      <c r="J1098" s="16"/>
      <c r="K1098" s="16"/>
      <c r="L1098" s="16"/>
      <c r="M1098" s="16"/>
      <c r="N1098" s="16"/>
      <c r="O1098" s="17"/>
      <c r="P1098" s="5" t="str">
        <f t="shared" si="31"/>
        <v>Truncate table FBC801;</v>
      </c>
      <c r="Q1098" s="5"/>
      <c r="R1098" s="5"/>
    </row>
    <row r="1099" spans="1:18" x14ac:dyDescent="0.25">
      <c r="B1099" s="19" t="s">
        <v>1552</v>
      </c>
      <c r="C1099" s="16" t="s">
        <v>8971</v>
      </c>
      <c r="D1099" s="16" t="s">
        <v>29</v>
      </c>
      <c r="E1099" s="16" t="s">
        <v>34</v>
      </c>
      <c r="F1099" s="5" t="s">
        <v>33</v>
      </c>
      <c r="G1099" s="16" t="s">
        <v>35</v>
      </c>
      <c r="H1099" s="16" t="s">
        <v>12</v>
      </c>
      <c r="I1099" s="16"/>
      <c r="J1099" s="16"/>
      <c r="K1099" s="16"/>
      <c r="L1099" s="16"/>
      <c r="M1099" s="16"/>
      <c r="N1099" s="16"/>
      <c r="O1099" s="17"/>
      <c r="P1099" s="5" t="str">
        <f t="shared" si="31"/>
        <v>Truncate table FBC802;</v>
      </c>
      <c r="Q1099" s="5"/>
      <c r="R1099" s="5"/>
    </row>
    <row r="1100" spans="1:18" x14ac:dyDescent="0.25">
      <c r="A1100" s="240"/>
      <c r="B1100" s="19" t="s">
        <v>9477</v>
      </c>
      <c r="C1100" s="305" t="s">
        <v>9978</v>
      </c>
      <c r="D1100" s="16" t="s">
        <v>29</v>
      </c>
      <c r="E1100" s="16"/>
      <c r="F1100" s="5"/>
      <c r="G1100" s="16"/>
      <c r="H1100" s="16"/>
      <c r="I1100" s="16"/>
      <c r="J1100" s="16"/>
      <c r="K1100" s="16"/>
      <c r="L1100" s="16"/>
      <c r="M1100" s="16"/>
      <c r="N1100" s="16"/>
      <c r="O1100" s="17"/>
      <c r="P1100" s="5"/>
      <c r="Q1100" s="5"/>
      <c r="R1100" s="5"/>
    </row>
    <row r="1101" spans="1:18" x14ac:dyDescent="0.25">
      <c r="A1101" s="240"/>
      <c r="B1101" s="19" t="s">
        <v>9478</v>
      </c>
      <c r="C1101" s="305" t="s">
        <v>9979</v>
      </c>
      <c r="D1101" s="16" t="s">
        <v>29</v>
      </c>
      <c r="E1101" s="16"/>
      <c r="F1101" s="5"/>
      <c r="G1101" s="16"/>
      <c r="H1101" s="16"/>
      <c r="I1101" s="16"/>
      <c r="J1101" s="16"/>
      <c r="K1101" s="16"/>
      <c r="L1101" s="16"/>
      <c r="M1101" s="16"/>
      <c r="N1101" s="16"/>
      <c r="O1101" s="17"/>
      <c r="P1101" s="5"/>
      <c r="Q1101" s="5"/>
      <c r="R1101" s="5"/>
    </row>
    <row r="1102" spans="1:18" x14ac:dyDescent="0.25">
      <c r="A1102" s="240"/>
      <c r="B1102" s="19" t="s">
        <v>1553</v>
      </c>
      <c r="C1102" s="16" t="s">
        <v>1037</v>
      </c>
      <c r="D1102" s="16" t="s">
        <v>29</v>
      </c>
      <c r="E1102" s="16" t="s">
        <v>34</v>
      </c>
      <c r="F1102" s="5" t="s">
        <v>33</v>
      </c>
      <c r="G1102" s="16" t="s">
        <v>35</v>
      </c>
      <c r="H1102" s="16" t="s">
        <v>12</v>
      </c>
      <c r="I1102" s="16"/>
      <c r="J1102" s="16"/>
      <c r="K1102" s="16"/>
      <c r="L1102" s="16"/>
      <c r="M1102" s="16"/>
      <c r="N1102" s="16"/>
      <c r="O1102" s="17" t="s">
        <v>38</v>
      </c>
      <c r="P1102" s="5" t="str">
        <f t="shared" ref="P1102:P1110" si="32">IF(D1102="Datos","Truncate table "&amp; B1102&amp; ";","")</f>
        <v>Truncate table FBC815;</v>
      </c>
      <c r="Q1102" s="5"/>
      <c r="R1102" s="5"/>
    </row>
    <row r="1103" spans="1:18" x14ac:dyDescent="0.25">
      <c r="A1103" s="240"/>
      <c r="B1103" s="19" t="s">
        <v>1554</v>
      </c>
      <c r="C1103" s="16" t="s">
        <v>1037</v>
      </c>
      <c r="D1103" s="16" t="s">
        <v>29</v>
      </c>
      <c r="E1103" s="16" t="s">
        <v>34</v>
      </c>
      <c r="F1103" s="5" t="s">
        <v>33</v>
      </c>
      <c r="G1103" s="16" t="s">
        <v>35</v>
      </c>
      <c r="H1103" s="16" t="s">
        <v>12</v>
      </c>
      <c r="I1103" s="16"/>
      <c r="J1103" s="16"/>
      <c r="K1103" s="16"/>
      <c r="L1103" s="16"/>
      <c r="M1103" s="16"/>
      <c r="N1103" s="16"/>
      <c r="O1103" s="17" t="s">
        <v>38</v>
      </c>
      <c r="P1103" s="5" t="str">
        <f t="shared" si="32"/>
        <v>Truncate table FBC816;</v>
      </c>
      <c r="Q1103" s="5"/>
      <c r="R1103" s="5"/>
    </row>
    <row r="1104" spans="1:18" x14ac:dyDescent="0.25">
      <c r="A1104" s="240"/>
      <c r="B1104" s="19" t="s">
        <v>1555</v>
      </c>
      <c r="C1104" s="16" t="s">
        <v>1037</v>
      </c>
      <c r="D1104" s="16" t="s">
        <v>29</v>
      </c>
      <c r="E1104" s="16" t="s">
        <v>34</v>
      </c>
      <c r="F1104" s="5" t="s">
        <v>33</v>
      </c>
      <c r="G1104" s="16" t="s">
        <v>35</v>
      </c>
      <c r="H1104" s="16" t="s">
        <v>12</v>
      </c>
      <c r="I1104" s="16"/>
      <c r="J1104" s="16"/>
      <c r="K1104" s="16"/>
      <c r="L1104" s="16"/>
      <c r="M1104" s="16"/>
      <c r="N1104" s="16"/>
      <c r="O1104" s="17" t="s">
        <v>38</v>
      </c>
      <c r="P1104" s="5" t="str">
        <f t="shared" si="32"/>
        <v>Truncate table FBC817;</v>
      </c>
      <c r="Q1104" s="5"/>
      <c r="R1104" s="5"/>
    </row>
    <row r="1105" spans="1:18" x14ac:dyDescent="0.25">
      <c r="A1105" s="240"/>
      <c r="B1105" s="19" t="s">
        <v>1556</v>
      </c>
      <c r="C1105" s="16" t="s">
        <v>1037</v>
      </c>
      <c r="D1105" s="16" t="s">
        <v>29</v>
      </c>
      <c r="E1105" s="16" t="s">
        <v>34</v>
      </c>
      <c r="F1105" s="5" t="s">
        <v>33</v>
      </c>
      <c r="G1105" s="16" t="s">
        <v>35</v>
      </c>
      <c r="H1105" s="16" t="s">
        <v>12</v>
      </c>
      <c r="I1105" s="16"/>
      <c r="J1105" s="16"/>
      <c r="K1105" s="16"/>
      <c r="L1105" s="16"/>
      <c r="M1105" s="16"/>
      <c r="N1105" s="16"/>
      <c r="O1105" s="17" t="s">
        <v>38</v>
      </c>
      <c r="P1105" s="5" t="str">
        <f t="shared" si="32"/>
        <v>Truncate table FBC818;</v>
      </c>
      <c r="Q1105" s="5"/>
      <c r="R1105" s="5"/>
    </row>
    <row r="1106" spans="1:18" x14ac:dyDescent="0.25">
      <c r="A1106" s="240"/>
      <c r="B1106" s="19" t="s">
        <v>1557</v>
      </c>
      <c r="C1106" s="16" t="s">
        <v>8972</v>
      </c>
      <c r="D1106" s="16" t="s">
        <v>29</v>
      </c>
      <c r="E1106" s="16" t="s">
        <v>34</v>
      </c>
      <c r="F1106" s="5" t="s">
        <v>33</v>
      </c>
      <c r="G1106" s="16" t="s">
        <v>35</v>
      </c>
      <c r="H1106" s="16" t="s">
        <v>12</v>
      </c>
      <c r="I1106" s="16"/>
      <c r="J1106" s="16"/>
      <c r="K1106" s="16"/>
      <c r="L1106" s="16"/>
      <c r="M1106" s="16"/>
      <c r="N1106" s="16"/>
      <c r="O1106" s="17"/>
      <c r="P1106" s="5" t="str">
        <f t="shared" si="32"/>
        <v>Truncate table FBC819;</v>
      </c>
      <c r="Q1106" s="5"/>
      <c r="R1106" s="5"/>
    </row>
    <row r="1107" spans="1:18" x14ac:dyDescent="0.25">
      <c r="A1107" s="240"/>
      <c r="B1107" s="19" t="s">
        <v>1558</v>
      </c>
      <c r="C1107" s="16" t="s">
        <v>1037</v>
      </c>
      <c r="D1107" s="16" t="s">
        <v>29</v>
      </c>
      <c r="E1107" s="16" t="s">
        <v>34</v>
      </c>
      <c r="F1107" s="5" t="s">
        <v>33</v>
      </c>
      <c r="G1107" s="16" t="s">
        <v>35</v>
      </c>
      <c r="H1107" s="16" t="s">
        <v>12</v>
      </c>
      <c r="I1107" s="16"/>
      <c r="J1107" s="16"/>
      <c r="K1107" s="16"/>
      <c r="L1107" s="16"/>
      <c r="M1107" s="16"/>
      <c r="N1107" s="16"/>
      <c r="O1107" s="17" t="s">
        <v>38</v>
      </c>
      <c r="P1107" s="5" t="str">
        <f t="shared" si="32"/>
        <v>Truncate table FBC820;</v>
      </c>
      <c r="Q1107" s="5"/>
      <c r="R1107" s="5"/>
    </row>
    <row r="1108" spans="1:18" x14ac:dyDescent="0.25">
      <c r="A1108" s="240"/>
      <c r="B1108" s="19" t="s">
        <v>1559</v>
      </c>
      <c r="C1108" s="16" t="s">
        <v>1037</v>
      </c>
      <c r="D1108" s="16" t="s">
        <v>29</v>
      </c>
      <c r="E1108" s="16" t="s">
        <v>34</v>
      </c>
      <c r="F1108" s="5" t="s">
        <v>33</v>
      </c>
      <c r="G1108" s="16" t="s">
        <v>35</v>
      </c>
      <c r="H1108" s="16" t="s">
        <v>12</v>
      </c>
      <c r="I1108" s="16"/>
      <c r="J1108" s="16"/>
      <c r="K1108" s="16"/>
      <c r="L1108" s="16"/>
      <c r="M1108" s="16"/>
      <c r="N1108" s="16"/>
      <c r="O1108" s="17" t="s">
        <v>38</v>
      </c>
      <c r="P1108" s="5" t="str">
        <f t="shared" si="32"/>
        <v>Truncate table FBC822;</v>
      </c>
      <c r="Q1108" s="5"/>
      <c r="R1108" s="5"/>
    </row>
    <row r="1109" spans="1:18" x14ac:dyDescent="0.25">
      <c r="A1109" s="240"/>
      <c r="B1109" s="19" t="s">
        <v>1560</v>
      </c>
      <c r="C1109" s="305" t="s">
        <v>9980</v>
      </c>
      <c r="D1109" s="16" t="s">
        <v>29</v>
      </c>
      <c r="E1109" s="16" t="s">
        <v>34</v>
      </c>
      <c r="F1109" s="5" t="s">
        <v>33</v>
      </c>
      <c r="G1109" s="16" t="s">
        <v>35</v>
      </c>
      <c r="H1109" s="16" t="s">
        <v>12</v>
      </c>
      <c r="I1109" s="16"/>
      <c r="J1109" s="16"/>
      <c r="K1109" s="16"/>
      <c r="L1109" s="16"/>
      <c r="M1109" s="16"/>
      <c r="N1109" s="16"/>
      <c r="O1109" s="17"/>
      <c r="P1109" s="5" t="str">
        <f t="shared" si="32"/>
        <v>Truncate table FBC823;</v>
      </c>
      <c r="Q1109" s="5"/>
      <c r="R1109" s="5"/>
    </row>
    <row r="1110" spans="1:18" x14ac:dyDescent="0.25">
      <c r="A1110" s="240"/>
      <c r="B1110" s="19" t="s">
        <v>1561</v>
      </c>
      <c r="C1110" s="16" t="s">
        <v>8973</v>
      </c>
      <c r="D1110" s="16" t="s">
        <v>29</v>
      </c>
      <c r="E1110" s="16" t="s">
        <v>34</v>
      </c>
      <c r="F1110" s="5" t="s">
        <v>33</v>
      </c>
      <c r="G1110" s="16" t="s">
        <v>35</v>
      </c>
      <c r="H1110" s="16" t="s">
        <v>12</v>
      </c>
      <c r="I1110" s="16"/>
      <c r="J1110" s="16"/>
      <c r="K1110" s="16"/>
      <c r="L1110" s="16"/>
      <c r="M1110" s="16"/>
      <c r="N1110" s="16"/>
      <c r="O1110" s="17"/>
      <c r="P1110" s="5" t="str">
        <f t="shared" si="32"/>
        <v>Truncate table FBC825;</v>
      </c>
      <c r="Q1110" s="5"/>
      <c r="R1110" s="5"/>
    </row>
    <row r="1111" spans="1:18" x14ac:dyDescent="0.25">
      <c r="A1111" s="240"/>
      <c r="B1111" s="19" t="s">
        <v>9479</v>
      </c>
      <c r="C1111" s="305" t="s">
        <v>9981</v>
      </c>
      <c r="D1111" s="16" t="s">
        <v>29</v>
      </c>
      <c r="E1111" s="16"/>
      <c r="F1111" s="5"/>
      <c r="G1111" s="16"/>
      <c r="H1111" s="16"/>
      <c r="I1111" s="16"/>
      <c r="J1111" s="16"/>
      <c r="K1111" s="16"/>
      <c r="L1111" s="16"/>
      <c r="M1111" s="16"/>
      <c r="N1111" s="16"/>
      <c r="O1111" s="17"/>
      <c r="P1111" s="5"/>
      <c r="Q1111" s="5"/>
      <c r="R1111" s="5"/>
    </row>
    <row r="1112" spans="1:18" x14ac:dyDescent="0.25">
      <c r="B1112" s="19" t="s">
        <v>1562</v>
      </c>
      <c r="C1112" s="305" t="s">
        <v>9982</v>
      </c>
      <c r="D1112" s="16" t="s">
        <v>29</v>
      </c>
      <c r="E1112" s="16" t="s">
        <v>34</v>
      </c>
      <c r="F1112" s="5" t="s">
        <v>33</v>
      </c>
      <c r="G1112" s="16" t="s">
        <v>35</v>
      </c>
      <c r="H1112" s="16" t="s">
        <v>12</v>
      </c>
      <c r="I1112" s="16"/>
      <c r="J1112" s="16"/>
      <c r="K1112" s="16"/>
      <c r="L1112" s="16"/>
      <c r="M1112" s="16"/>
      <c r="N1112" s="16"/>
      <c r="O1112" s="17"/>
      <c r="P1112" s="5" t="str">
        <f>IF(D1112="Datos","Truncate table "&amp; B1112&amp; ";","")</f>
        <v>Truncate table FBC830;</v>
      </c>
      <c r="Q1112" s="5"/>
      <c r="R1112" s="5"/>
    </row>
    <row r="1113" spans="1:18" x14ac:dyDescent="0.25">
      <c r="B1113" s="19" t="s">
        <v>1563</v>
      </c>
      <c r="C1113" s="305" t="s">
        <v>9982</v>
      </c>
      <c r="D1113" s="16" t="s">
        <v>29</v>
      </c>
      <c r="E1113" s="16" t="s">
        <v>34</v>
      </c>
      <c r="F1113" s="5" t="s">
        <v>33</v>
      </c>
      <c r="G1113" s="16" t="s">
        <v>35</v>
      </c>
      <c r="H1113" s="16" t="s">
        <v>12</v>
      </c>
      <c r="I1113" s="16"/>
      <c r="J1113" s="16"/>
      <c r="K1113" s="16"/>
      <c r="L1113" s="16"/>
      <c r="M1113" s="16"/>
      <c r="N1113" s="16"/>
      <c r="O1113" s="17"/>
      <c r="P1113" s="5" t="str">
        <f>IF(D1113="Datos","Truncate table "&amp; B1113&amp; ";","")</f>
        <v>Truncate table FBC831;</v>
      </c>
      <c r="Q1113" s="5"/>
      <c r="R1113" s="5"/>
    </row>
    <row r="1114" spans="1:18" s="306" customFormat="1" x14ac:dyDescent="0.25">
      <c r="A1114" s="71"/>
      <c r="B1114" s="307" t="s">
        <v>1564</v>
      </c>
      <c r="C1114" s="308"/>
      <c r="D1114" s="308" t="s">
        <v>29</v>
      </c>
      <c r="E1114" s="308" t="s">
        <v>34</v>
      </c>
      <c r="F1114" s="308" t="s">
        <v>33</v>
      </c>
      <c r="G1114" s="308" t="s">
        <v>35</v>
      </c>
      <c r="H1114" s="308" t="s">
        <v>12</v>
      </c>
      <c r="I1114" s="308"/>
      <c r="J1114" s="308"/>
      <c r="K1114" s="308"/>
      <c r="L1114" s="308"/>
      <c r="M1114" s="308"/>
      <c r="N1114" s="308"/>
      <c r="O1114" s="309"/>
      <c r="P1114" s="308" t="str">
        <f>IF(D1114="Datos","Truncate table "&amp; B1114&amp; ";","")</f>
        <v>Truncate table FBC832;</v>
      </c>
      <c r="Q1114" s="308"/>
      <c r="R1114" s="308"/>
    </row>
    <row r="1115" spans="1:18" s="306" customFormat="1" x14ac:dyDescent="0.25">
      <c r="A1115" s="71"/>
      <c r="B1115" s="307" t="s">
        <v>1565</v>
      </c>
      <c r="C1115" s="308"/>
      <c r="D1115" s="308" t="s">
        <v>29</v>
      </c>
      <c r="E1115" s="308" t="s">
        <v>34</v>
      </c>
      <c r="F1115" s="308" t="s">
        <v>33</v>
      </c>
      <c r="G1115" s="308" t="s">
        <v>35</v>
      </c>
      <c r="H1115" s="308" t="s">
        <v>12</v>
      </c>
      <c r="I1115" s="308"/>
      <c r="J1115" s="308"/>
      <c r="K1115" s="308"/>
      <c r="L1115" s="308"/>
      <c r="M1115" s="308"/>
      <c r="N1115" s="308"/>
      <c r="O1115" s="309"/>
      <c r="P1115" s="308" t="str">
        <f>IF(D1115="Datos","Truncate table "&amp; B1115&amp; ";","")</f>
        <v>Truncate table FBC833;</v>
      </c>
      <c r="Q1115" s="308"/>
      <c r="R1115" s="308"/>
    </row>
    <row r="1116" spans="1:18" x14ac:dyDescent="0.25">
      <c r="B1116" s="19" t="s">
        <v>1566</v>
      </c>
      <c r="C1116" s="16" t="s">
        <v>8974</v>
      </c>
      <c r="D1116" s="16" t="s">
        <v>29</v>
      </c>
      <c r="E1116" s="16" t="s">
        <v>34</v>
      </c>
      <c r="F1116" s="5" t="s">
        <v>33</v>
      </c>
      <c r="G1116" s="16" t="s">
        <v>35</v>
      </c>
      <c r="H1116" s="16" t="s">
        <v>12</v>
      </c>
      <c r="I1116" s="16"/>
      <c r="J1116" s="16"/>
      <c r="K1116" s="16"/>
      <c r="L1116" s="16"/>
      <c r="M1116" s="16"/>
      <c r="N1116" s="16"/>
      <c r="O1116" s="17"/>
      <c r="P1116" s="5" t="str">
        <f>IF(D1116="Datos","Truncate table "&amp; B1116&amp; ";","")</f>
        <v>Truncate table FBC834;</v>
      </c>
      <c r="Q1116" s="5"/>
      <c r="R1116" s="5"/>
    </row>
    <row r="1117" spans="1:18" x14ac:dyDescent="0.25">
      <c r="A1117" s="240"/>
      <c r="B1117" s="19" t="s">
        <v>9480</v>
      </c>
      <c r="C1117" s="305" t="s">
        <v>9983</v>
      </c>
      <c r="D1117" s="16" t="s">
        <v>29</v>
      </c>
      <c r="E1117" s="16"/>
      <c r="F1117" s="5"/>
      <c r="G1117" s="16"/>
      <c r="H1117" s="16"/>
      <c r="I1117" s="16"/>
      <c r="J1117" s="16"/>
      <c r="K1117" s="16"/>
      <c r="L1117" s="16"/>
      <c r="M1117" s="16"/>
      <c r="N1117" s="16"/>
      <c r="O1117" s="17"/>
      <c r="P1117" s="5"/>
      <c r="Q1117" s="5"/>
      <c r="R1117" s="5"/>
    </row>
    <row r="1118" spans="1:18" ht="22.5" customHeight="1" x14ac:dyDescent="0.25">
      <c r="A1118" s="240"/>
      <c r="B1118" s="19" t="s">
        <v>9481</v>
      </c>
      <c r="C1118" s="305" t="s">
        <v>9984</v>
      </c>
      <c r="D1118" s="16" t="s">
        <v>29</v>
      </c>
      <c r="E1118" s="16"/>
      <c r="F1118" s="5"/>
      <c r="G1118" s="16"/>
      <c r="H1118" s="16"/>
      <c r="I1118" s="16"/>
      <c r="J1118" s="16"/>
      <c r="K1118" s="16"/>
      <c r="L1118" s="16"/>
      <c r="M1118" s="16"/>
      <c r="N1118" s="16"/>
      <c r="O1118" s="17"/>
      <c r="P1118" s="5"/>
      <c r="Q1118" s="5"/>
      <c r="R1118" s="5"/>
    </row>
    <row r="1119" spans="1:18" ht="22.5" customHeight="1" x14ac:dyDescent="0.25">
      <c r="A1119" s="240"/>
      <c r="B1119" s="19" t="s">
        <v>9482</v>
      </c>
      <c r="C1119" s="305" t="s">
        <v>9985</v>
      </c>
      <c r="D1119" s="16" t="s">
        <v>29</v>
      </c>
      <c r="E1119" s="16"/>
      <c r="F1119" s="5"/>
      <c r="G1119" s="16"/>
      <c r="H1119" s="16"/>
      <c r="I1119" s="16"/>
      <c r="J1119" s="16"/>
      <c r="K1119" s="16"/>
      <c r="L1119" s="16"/>
      <c r="M1119" s="16"/>
      <c r="N1119" s="16"/>
      <c r="O1119" s="17"/>
      <c r="P1119" s="5"/>
      <c r="Q1119" s="5"/>
      <c r="R1119" s="5"/>
    </row>
    <row r="1120" spans="1:18" ht="22.5" customHeight="1" x14ac:dyDescent="0.25">
      <c r="A1120" s="240"/>
      <c r="B1120" s="19" t="s">
        <v>9483</v>
      </c>
      <c r="C1120" s="305" t="s">
        <v>9986</v>
      </c>
      <c r="D1120" s="16" t="s">
        <v>29</v>
      </c>
      <c r="E1120" s="16"/>
      <c r="F1120" s="5"/>
      <c r="G1120" s="16"/>
      <c r="H1120" s="16"/>
      <c r="I1120" s="16"/>
      <c r="J1120" s="16"/>
      <c r="K1120" s="16"/>
      <c r="L1120" s="16"/>
      <c r="M1120" s="16"/>
      <c r="N1120" s="16"/>
      <c r="O1120" s="17"/>
      <c r="P1120" s="5"/>
      <c r="Q1120" s="5"/>
      <c r="R1120" s="5"/>
    </row>
    <row r="1121" spans="1:18" ht="22.5" customHeight="1" x14ac:dyDescent="0.25">
      <c r="A1121" s="240"/>
      <c r="B1121" s="19" t="s">
        <v>9484</v>
      </c>
      <c r="C1121" s="305" t="s">
        <v>9987</v>
      </c>
      <c r="D1121" s="16" t="s">
        <v>29</v>
      </c>
      <c r="E1121" s="16"/>
      <c r="F1121" s="5"/>
      <c r="G1121" s="16"/>
      <c r="H1121" s="16"/>
      <c r="I1121" s="16"/>
      <c r="J1121" s="16"/>
      <c r="K1121" s="16"/>
      <c r="L1121" s="16"/>
      <c r="M1121" s="16"/>
      <c r="N1121" s="16"/>
      <c r="O1121" s="17"/>
      <c r="P1121" s="5"/>
      <c r="Q1121" s="5"/>
      <c r="R1121" s="5"/>
    </row>
    <row r="1122" spans="1:18" ht="22.5" customHeight="1" x14ac:dyDescent="0.25">
      <c r="A1122" s="240"/>
      <c r="B1122" s="19" t="s">
        <v>9485</v>
      </c>
      <c r="C1122" s="305" t="s">
        <v>9988</v>
      </c>
      <c r="D1122" s="16" t="s">
        <v>29</v>
      </c>
      <c r="E1122" s="16"/>
      <c r="F1122" s="5"/>
      <c r="G1122" s="16"/>
      <c r="H1122" s="16"/>
      <c r="I1122" s="16"/>
      <c r="J1122" s="16"/>
      <c r="K1122" s="16"/>
      <c r="L1122" s="16"/>
      <c r="M1122" s="16"/>
      <c r="N1122" s="16"/>
      <c r="O1122" s="17"/>
      <c r="P1122" s="5"/>
      <c r="Q1122" s="5"/>
      <c r="R1122" s="5"/>
    </row>
    <row r="1123" spans="1:18" x14ac:dyDescent="0.25">
      <c r="B1123" s="19" t="s">
        <v>1567</v>
      </c>
      <c r="C1123" s="305" t="s">
        <v>9989</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FBC842;</v>
      </c>
      <c r="Q1123" s="5"/>
      <c r="R1123" s="5"/>
    </row>
    <row r="1124" spans="1:18" x14ac:dyDescent="0.25">
      <c r="B1124" s="19" t="s">
        <v>1568</v>
      </c>
      <c r="C1124" s="16" t="s">
        <v>8975</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FBC843;</v>
      </c>
      <c r="Q1124" s="5"/>
      <c r="R1124" s="5"/>
    </row>
    <row r="1125" spans="1:18" x14ac:dyDescent="0.25">
      <c r="A1125" s="240"/>
      <c r="B1125" s="19" t="s">
        <v>9486</v>
      </c>
      <c r="C1125" s="305" t="s">
        <v>9990</v>
      </c>
      <c r="D1125" s="16" t="s">
        <v>29</v>
      </c>
      <c r="E1125" s="16" t="s">
        <v>34</v>
      </c>
      <c r="F1125" s="5" t="s">
        <v>33</v>
      </c>
      <c r="G1125" s="16" t="s">
        <v>35</v>
      </c>
      <c r="H1125" s="16"/>
      <c r="I1125" s="16"/>
      <c r="J1125" s="16"/>
      <c r="K1125" s="16"/>
      <c r="L1125" s="16"/>
      <c r="M1125" s="16"/>
      <c r="N1125" s="16"/>
      <c r="O1125" s="17"/>
      <c r="P1125" s="5"/>
      <c r="Q1125" s="5"/>
      <c r="R1125" s="5"/>
    </row>
    <row r="1126" spans="1:18" x14ac:dyDescent="0.25">
      <c r="A1126" s="240"/>
      <c r="B1126" s="19" t="s">
        <v>9487</v>
      </c>
      <c r="C1126" s="305" t="s">
        <v>9991</v>
      </c>
      <c r="D1126" s="16" t="s">
        <v>29</v>
      </c>
      <c r="E1126" s="16" t="s">
        <v>34</v>
      </c>
      <c r="F1126" s="5" t="s">
        <v>33</v>
      </c>
      <c r="G1126" s="16" t="s">
        <v>35</v>
      </c>
      <c r="H1126" s="16"/>
      <c r="I1126" s="16"/>
      <c r="J1126" s="16"/>
      <c r="K1126" s="16"/>
      <c r="L1126" s="16"/>
      <c r="M1126" s="16"/>
      <c r="N1126" s="16"/>
      <c r="O1126" s="17"/>
      <c r="P1126" s="5"/>
      <c r="Q1126" s="5"/>
      <c r="R1126" s="5"/>
    </row>
    <row r="1127" spans="1:18" x14ac:dyDescent="0.25">
      <c r="A1127" s="240"/>
      <c r="B1127" s="19" t="s">
        <v>9488</v>
      </c>
      <c r="C1127" s="305" t="s">
        <v>9992</v>
      </c>
      <c r="D1127" s="16" t="s">
        <v>29</v>
      </c>
      <c r="E1127" s="16" t="s">
        <v>34</v>
      </c>
      <c r="F1127" s="5" t="s">
        <v>33</v>
      </c>
      <c r="G1127" s="16" t="s">
        <v>35</v>
      </c>
      <c r="H1127" s="16"/>
      <c r="I1127" s="16"/>
      <c r="J1127" s="16"/>
      <c r="K1127" s="16"/>
      <c r="L1127" s="16"/>
      <c r="M1127" s="16"/>
      <c r="N1127" s="16"/>
      <c r="O1127" s="17"/>
      <c r="P1127" s="5"/>
      <c r="Q1127" s="5"/>
      <c r="R1127" s="5"/>
    </row>
    <row r="1128" spans="1:18" x14ac:dyDescent="0.25">
      <c r="A1128" s="240"/>
      <c r="B1128" s="19" t="s">
        <v>9489</v>
      </c>
      <c r="C1128" s="305" t="s">
        <v>9993</v>
      </c>
      <c r="D1128" s="16" t="s">
        <v>29</v>
      </c>
      <c r="E1128" s="16" t="s">
        <v>34</v>
      </c>
      <c r="F1128" s="5" t="s">
        <v>33</v>
      </c>
      <c r="G1128" s="16" t="s">
        <v>35</v>
      </c>
      <c r="H1128" s="16"/>
      <c r="I1128" s="16"/>
      <c r="J1128" s="16"/>
      <c r="K1128" s="16"/>
      <c r="L1128" s="16"/>
      <c r="M1128" s="16"/>
      <c r="N1128" s="16"/>
      <c r="O1128" s="17"/>
      <c r="P1128" s="5"/>
      <c r="Q1128" s="5"/>
      <c r="R1128" s="5"/>
    </row>
    <row r="1129" spans="1:18" x14ac:dyDescent="0.25">
      <c r="B1129" s="19" t="s">
        <v>1569</v>
      </c>
      <c r="C1129" s="16" t="s">
        <v>8976</v>
      </c>
      <c r="D1129" s="16" t="s">
        <v>29</v>
      </c>
      <c r="E1129" s="16" t="s">
        <v>34</v>
      </c>
      <c r="F1129" s="5" t="s">
        <v>33</v>
      </c>
      <c r="G1129" s="16" t="s">
        <v>35</v>
      </c>
      <c r="H1129" s="16" t="s">
        <v>12</v>
      </c>
      <c r="I1129" s="16"/>
      <c r="J1129" s="16"/>
      <c r="K1129" s="16"/>
      <c r="L1129" s="16"/>
      <c r="M1129" s="16"/>
      <c r="N1129" s="16"/>
      <c r="O1129" s="17"/>
      <c r="P1129" s="5" t="str">
        <f>IF(D1129="Datos","Truncate table "&amp; B1129&amp; ";","")</f>
        <v>Truncate table FBC850;</v>
      </c>
      <c r="Q1129" s="5"/>
      <c r="R1129" s="5"/>
    </row>
    <row r="1130" spans="1:18" x14ac:dyDescent="0.25">
      <c r="B1130" s="19" t="s">
        <v>1570</v>
      </c>
      <c r="C1130" s="16" t="s">
        <v>8977</v>
      </c>
      <c r="D1130" s="16" t="s">
        <v>29</v>
      </c>
      <c r="E1130" s="16" t="s">
        <v>34</v>
      </c>
      <c r="F1130" s="5" t="s">
        <v>33</v>
      </c>
      <c r="G1130" s="16" t="s">
        <v>35</v>
      </c>
      <c r="H1130" s="16" t="s">
        <v>12</v>
      </c>
      <c r="I1130" s="16"/>
      <c r="J1130" s="16"/>
      <c r="K1130" s="16"/>
      <c r="L1130" s="16"/>
      <c r="M1130" s="16"/>
      <c r="N1130" s="16"/>
      <c r="O1130" s="17"/>
      <c r="P1130" s="5" t="str">
        <f>IF(D1130="Datos","Truncate table "&amp; B1130&amp; ";","")</f>
        <v>Truncate table FBC851;</v>
      </c>
      <c r="Q1130" s="5"/>
      <c r="R1130" s="5"/>
    </row>
    <row r="1131" spans="1:18" x14ac:dyDescent="0.25">
      <c r="B1131" s="19" t="s">
        <v>1571</v>
      </c>
      <c r="C1131" s="16" t="s">
        <v>8978</v>
      </c>
      <c r="D1131" s="16" t="s">
        <v>29</v>
      </c>
      <c r="E1131" s="16" t="s">
        <v>34</v>
      </c>
      <c r="F1131" s="5" t="s">
        <v>33</v>
      </c>
      <c r="G1131" s="16" t="s">
        <v>35</v>
      </c>
      <c r="H1131" s="16" t="s">
        <v>12</v>
      </c>
      <c r="I1131" s="16"/>
      <c r="J1131" s="16"/>
      <c r="K1131" s="16"/>
      <c r="L1131" s="16"/>
      <c r="M1131" s="16"/>
      <c r="N1131" s="16"/>
      <c r="O1131" s="17"/>
      <c r="P1131" s="5" t="str">
        <f>IF(D1131="Datos","Truncate table "&amp; B1131&amp; ";","")</f>
        <v>Truncate table FBC852;</v>
      </c>
      <c r="Q1131" s="5"/>
      <c r="R1131" s="5"/>
    </row>
    <row r="1132" spans="1:18" x14ac:dyDescent="0.25">
      <c r="A1132" s="240"/>
      <c r="B1132" s="19" t="s">
        <v>9490</v>
      </c>
      <c r="C1132" s="305" t="s">
        <v>9994</v>
      </c>
      <c r="D1132" s="16" t="s">
        <v>29</v>
      </c>
      <c r="E1132" s="16" t="s">
        <v>34</v>
      </c>
      <c r="F1132" s="5" t="s">
        <v>33</v>
      </c>
      <c r="G1132" s="16" t="s">
        <v>35</v>
      </c>
      <c r="H1132" s="16"/>
      <c r="I1132" s="16"/>
      <c r="J1132" s="16"/>
      <c r="K1132" s="16"/>
      <c r="L1132" s="16"/>
      <c r="M1132" s="16"/>
      <c r="N1132" s="16"/>
      <c r="O1132" s="17"/>
      <c r="P1132" s="5"/>
      <c r="Q1132" s="5"/>
      <c r="R1132" s="5"/>
    </row>
    <row r="1133" spans="1:18" x14ac:dyDescent="0.25">
      <c r="A1133" s="240"/>
      <c r="B1133" s="19" t="s">
        <v>9491</v>
      </c>
      <c r="C1133" s="305" t="s">
        <v>9995</v>
      </c>
      <c r="D1133" s="16" t="s">
        <v>29</v>
      </c>
      <c r="E1133" s="16" t="s">
        <v>34</v>
      </c>
      <c r="F1133" s="5" t="s">
        <v>33</v>
      </c>
      <c r="G1133" s="16" t="s">
        <v>35</v>
      </c>
      <c r="H1133" s="16"/>
      <c r="I1133" s="16"/>
      <c r="J1133" s="16"/>
      <c r="K1133" s="16"/>
      <c r="L1133" s="16"/>
      <c r="M1133" s="16"/>
      <c r="N1133" s="16"/>
      <c r="O1133" s="17"/>
      <c r="P1133" s="5"/>
      <c r="Q1133" s="5"/>
      <c r="R1133" s="5"/>
    </row>
    <row r="1134" spans="1:18" x14ac:dyDescent="0.25">
      <c r="A1134" s="240"/>
      <c r="B1134" s="19" t="s">
        <v>9492</v>
      </c>
      <c r="C1134" s="305" t="s">
        <v>9996</v>
      </c>
      <c r="D1134" s="16" t="s">
        <v>29</v>
      </c>
      <c r="E1134" s="16" t="s">
        <v>34</v>
      </c>
      <c r="F1134" s="5" t="s">
        <v>33</v>
      </c>
      <c r="G1134" s="16" t="s">
        <v>35</v>
      </c>
      <c r="H1134" s="16"/>
      <c r="I1134" s="16"/>
      <c r="J1134" s="16"/>
      <c r="K1134" s="16"/>
      <c r="L1134" s="16"/>
      <c r="M1134" s="16"/>
      <c r="N1134" s="16"/>
      <c r="O1134" s="17"/>
      <c r="P1134" s="5"/>
      <c r="Q1134" s="5"/>
      <c r="R1134" s="5"/>
    </row>
    <row r="1135" spans="1:18" x14ac:dyDescent="0.25">
      <c r="A1135" s="240"/>
      <c r="B1135" s="19" t="s">
        <v>9493</v>
      </c>
      <c r="C1135" s="305" t="s">
        <v>9997</v>
      </c>
      <c r="D1135" s="16" t="s">
        <v>29</v>
      </c>
      <c r="E1135" s="16" t="s">
        <v>34</v>
      </c>
      <c r="F1135" s="5" t="s">
        <v>33</v>
      </c>
      <c r="G1135" s="16" t="s">
        <v>35</v>
      </c>
      <c r="H1135" s="16"/>
      <c r="I1135" s="16"/>
      <c r="J1135" s="16"/>
      <c r="K1135" s="16"/>
      <c r="L1135" s="16"/>
      <c r="M1135" s="16"/>
      <c r="N1135" s="16"/>
      <c r="O1135" s="17"/>
      <c r="P1135" s="5"/>
      <c r="Q1135" s="5"/>
      <c r="R1135" s="5"/>
    </row>
    <row r="1136" spans="1:18" x14ac:dyDescent="0.25">
      <c r="A1136" s="240"/>
      <c r="B1136" s="19" t="s">
        <v>9494</v>
      </c>
      <c r="C1136" s="305" t="s">
        <v>9998</v>
      </c>
      <c r="D1136" s="16" t="s">
        <v>29</v>
      </c>
      <c r="E1136" s="16" t="s">
        <v>34</v>
      </c>
      <c r="F1136" s="5" t="s">
        <v>33</v>
      </c>
      <c r="G1136" s="16" t="s">
        <v>35</v>
      </c>
      <c r="H1136" s="16"/>
      <c r="I1136" s="16"/>
      <c r="J1136" s="16"/>
      <c r="K1136" s="16"/>
      <c r="L1136" s="16"/>
      <c r="M1136" s="16"/>
      <c r="N1136" s="16"/>
      <c r="O1136" s="17"/>
      <c r="P1136" s="5"/>
      <c r="Q1136" s="5"/>
      <c r="R1136" s="5"/>
    </row>
    <row r="1137" spans="1:18" x14ac:dyDescent="0.25">
      <c r="A1137" s="240"/>
      <c r="B1137" s="19" t="s">
        <v>9495</v>
      </c>
      <c r="C1137" s="305" t="s">
        <v>9999</v>
      </c>
      <c r="D1137" s="16" t="s">
        <v>29</v>
      </c>
      <c r="E1137" s="16" t="s">
        <v>34</v>
      </c>
      <c r="F1137" s="5" t="s">
        <v>33</v>
      </c>
      <c r="G1137" s="16" t="s">
        <v>35</v>
      </c>
      <c r="H1137" s="16"/>
      <c r="I1137" s="16"/>
      <c r="J1137" s="16"/>
      <c r="K1137" s="16"/>
      <c r="L1137" s="16"/>
      <c r="M1137" s="16"/>
      <c r="N1137" s="16"/>
      <c r="O1137" s="17"/>
      <c r="P1137" s="5"/>
      <c r="Q1137" s="5"/>
      <c r="R1137" s="5"/>
    </row>
    <row r="1138" spans="1:18" x14ac:dyDescent="0.25">
      <c r="A1138" s="240"/>
      <c r="B1138" s="19" t="s">
        <v>9496</v>
      </c>
      <c r="C1138" s="305" t="s">
        <v>10000</v>
      </c>
      <c r="D1138" s="16" t="s">
        <v>29</v>
      </c>
      <c r="E1138" s="16" t="s">
        <v>34</v>
      </c>
      <c r="F1138" s="5" t="s">
        <v>33</v>
      </c>
      <c r="G1138" s="16" t="s">
        <v>35</v>
      </c>
      <c r="H1138" s="16"/>
      <c r="I1138" s="16"/>
      <c r="J1138" s="16"/>
      <c r="K1138" s="16"/>
      <c r="L1138" s="16"/>
      <c r="M1138" s="16"/>
      <c r="N1138" s="16"/>
      <c r="O1138" s="17"/>
      <c r="P1138" s="5"/>
      <c r="Q1138" s="5"/>
      <c r="R1138" s="5"/>
    </row>
    <row r="1139" spans="1:18" x14ac:dyDescent="0.25">
      <c r="B1139" s="19" t="s">
        <v>1572</v>
      </c>
      <c r="C1139" s="16" t="s">
        <v>8979</v>
      </c>
      <c r="D1139" s="16" t="s">
        <v>29</v>
      </c>
      <c r="E1139" s="16" t="s">
        <v>34</v>
      </c>
      <c r="F1139" s="5" t="s">
        <v>33</v>
      </c>
      <c r="G1139" s="16" t="s">
        <v>35</v>
      </c>
      <c r="H1139" s="16" t="s">
        <v>12</v>
      </c>
      <c r="I1139" s="16"/>
      <c r="J1139" s="16"/>
      <c r="K1139" s="16"/>
      <c r="L1139" s="16"/>
      <c r="M1139" s="16"/>
      <c r="N1139" s="16"/>
      <c r="O1139" s="17"/>
      <c r="P1139" s="5" t="str">
        <f>IF(D1139="Datos","Truncate table "&amp; B1139&amp; ";","")</f>
        <v>Truncate table FBC860;</v>
      </c>
      <c r="Q1139" s="5"/>
      <c r="R1139" s="5"/>
    </row>
    <row r="1140" spans="1:18" x14ac:dyDescent="0.25">
      <c r="A1140" s="240"/>
      <c r="B1140" s="19" t="s">
        <v>9497</v>
      </c>
      <c r="C1140" s="16" t="s">
        <v>9577</v>
      </c>
      <c r="D1140" s="16" t="s">
        <v>29</v>
      </c>
      <c r="E1140" s="16" t="s">
        <v>34</v>
      </c>
      <c r="F1140" s="5" t="s">
        <v>33</v>
      </c>
      <c r="G1140" s="16" t="s">
        <v>35</v>
      </c>
      <c r="H1140" s="16"/>
      <c r="I1140" s="16"/>
      <c r="J1140" s="16"/>
      <c r="K1140" s="16" t="s">
        <v>9578</v>
      </c>
      <c r="L1140" s="16"/>
      <c r="M1140" s="16"/>
      <c r="N1140" s="16"/>
      <c r="O1140" s="17"/>
      <c r="P1140" s="5" t="str">
        <f>IF(D1140="Datos","Truncate table "&amp; B1140&amp; ";","")</f>
        <v>Truncate table FBC861;</v>
      </c>
      <c r="Q1140" s="5"/>
      <c r="R1140" s="5"/>
    </row>
    <row r="1141" spans="1:18" x14ac:dyDescent="0.25">
      <c r="A1141" s="240"/>
      <c r="B1141" s="19" t="s">
        <v>9498</v>
      </c>
      <c r="C1141" s="378" t="s">
        <v>10001</v>
      </c>
      <c r="D1141" s="16" t="s">
        <v>29</v>
      </c>
      <c r="E1141" s="16" t="s">
        <v>34</v>
      </c>
      <c r="F1141" s="5" t="s">
        <v>33</v>
      </c>
      <c r="G1141" s="16" t="s">
        <v>35</v>
      </c>
      <c r="H1141" s="16"/>
      <c r="I1141" s="16"/>
      <c r="J1141" s="16"/>
      <c r="K1141" s="16"/>
      <c r="L1141" s="16"/>
      <c r="M1141" s="16"/>
      <c r="N1141" s="16"/>
      <c r="O1141" s="17"/>
      <c r="P1141" s="5"/>
      <c r="Q1141" s="5"/>
      <c r="R1141" s="5"/>
    </row>
    <row r="1142" spans="1:18" x14ac:dyDescent="0.25">
      <c r="B1142" s="19" t="s">
        <v>1573</v>
      </c>
      <c r="C1142" s="21" t="s">
        <v>1574</v>
      </c>
      <c r="D1142" s="16" t="s">
        <v>29</v>
      </c>
      <c r="E1142" s="16" t="s">
        <v>34</v>
      </c>
      <c r="F1142" s="5" t="s">
        <v>33</v>
      </c>
      <c r="G1142" s="16" t="s">
        <v>35</v>
      </c>
      <c r="H1142" s="16" t="s">
        <v>12</v>
      </c>
      <c r="I1142" s="16"/>
      <c r="J1142" s="16"/>
      <c r="K1142" s="16"/>
      <c r="L1142" s="16"/>
      <c r="M1142" s="16"/>
      <c r="N1142" s="16"/>
      <c r="O1142" s="17" t="s">
        <v>38</v>
      </c>
      <c r="P1142" s="5" t="str">
        <f t="shared" ref="P1142:P1148" si="33">IF(D1142="Datos","Truncate table "&amp; B1142&amp; ";","")</f>
        <v>Truncate table FBC864;</v>
      </c>
      <c r="Q1142" s="5"/>
      <c r="R1142" s="5"/>
    </row>
    <row r="1143" spans="1:18" x14ac:dyDescent="0.25">
      <c r="B1143" s="19" t="s">
        <v>1575</v>
      </c>
      <c r="C1143" s="21" t="s">
        <v>1576</v>
      </c>
      <c r="D1143" s="16" t="s">
        <v>29</v>
      </c>
      <c r="E1143" s="16" t="s">
        <v>34</v>
      </c>
      <c r="F1143" s="5" t="s">
        <v>33</v>
      </c>
      <c r="G1143" s="16" t="s">
        <v>35</v>
      </c>
      <c r="H1143" s="16" t="s">
        <v>12</v>
      </c>
      <c r="I1143" s="16"/>
      <c r="J1143" s="16"/>
      <c r="K1143" s="16"/>
      <c r="L1143" s="16"/>
      <c r="M1143" s="16"/>
      <c r="N1143" s="16"/>
      <c r="O1143" s="17" t="s">
        <v>38</v>
      </c>
      <c r="P1143" s="5" t="str">
        <f t="shared" si="33"/>
        <v>Truncate table FBC865;</v>
      </c>
      <c r="Q1143" s="5"/>
      <c r="R1143" s="5"/>
    </row>
    <row r="1144" spans="1:18" ht="40.5" x14ac:dyDescent="0.25">
      <c r="B1144" s="4" t="s">
        <v>1577</v>
      </c>
      <c r="C1144" s="21" t="s">
        <v>1578</v>
      </c>
      <c r="D1144" s="16" t="s">
        <v>29</v>
      </c>
      <c r="E1144" s="16" t="s">
        <v>34</v>
      </c>
      <c r="F1144" s="5" t="s">
        <v>33</v>
      </c>
      <c r="G1144" s="16" t="s">
        <v>35</v>
      </c>
      <c r="H1144" s="16" t="s">
        <v>12</v>
      </c>
      <c r="I1144" s="5" t="s">
        <v>1579</v>
      </c>
      <c r="J1144" s="5" t="s">
        <v>1580</v>
      </c>
      <c r="K1144" s="5" t="s">
        <v>1581</v>
      </c>
      <c r="L1144" s="23" t="s">
        <v>1582</v>
      </c>
      <c r="M1144" s="23"/>
      <c r="N1144" s="5"/>
      <c r="O1144" s="17" t="s">
        <v>38</v>
      </c>
      <c r="P1144" s="5" t="str">
        <f t="shared" si="33"/>
        <v>Truncate table FBC866;</v>
      </c>
      <c r="Q1144" s="5"/>
      <c r="R1144" s="5"/>
    </row>
    <row r="1145" spans="1:18" x14ac:dyDescent="0.25">
      <c r="B1145" s="19" t="s">
        <v>1583</v>
      </c>
      <c r="C1145" s="16" t="s">
        <v>8980</v>
      </c>
      <c r="D1145" s="16" t="s">
        <v>29</v>
      </c>
      <c r="E1145" s="16" t="s">
        <v>34</v>
      </c>
      <c r="F1145" s="5" t="s">
        <v>33</v>
      </c>
      <c r="G1145" s="16" t="s">
        <v>35</v>
      </c>
      <c r="H1145" s="16" t="s">
        <v>12</v>
      </c>
      <c r="I1145" s="16"/>
      <c r="J1145" s="16"/>
      <c r="K1145" s="16"/>
      <c r="L1145" s="16"/>
      <c r="M1145" s="16"/>
      <c r="N1145" s="16"/>
      <c r="O1145" s="17"/>
      <c r="P1145" s="5" t="str">
        <f t="shared" si="33"/>
        <v>Truncate table FBC870;</v>
      </c>
      <c r="Q1145" s="5"/>
      <c r="R1145" s="5"/>
    </row>
    <row r="1146" spans="1:18" ht="54" x14ac:dyDescent="0.25">
      <c r="B1146" s="4" t="s">
        <v>1584</v>
      </c>
      <c r="C1146" s="5" t="s">
        <v>1585</v>
      </c>
      <c r="D1146" s="25" t="s">
        <v>29</v>
      </c>
      <c r="E1146" s="16" t="s">
        <v>34</v>
      </c>
      <c r="F1146" s="5" t="s">
        <v>33</v>
      </c>
      <c r="G1146" s="16" t="s">
        <v>35</v>
      </c>
      <c r="H1146" s="16" t="s">
        <v>12</v>
      </c>
      <c r="I1146" s="5" t="s">
        <v>1586</v>
      </c>
      <c r="J1146" s="5" t="s">
        <v>1587</v>
      </c>
      <c r="K1146" s="5" t="s">
        <v>1588</v>
      </c>
      <c r="L1146" s="5" t="s">
        <v>1589</v>
      </c>
      <c r="M1146" s="5"/>
      <c r="N1146" s="5"/>
      <c r="O1146" s="17"/>
      <c r="P1146" s="5" t="str">
        <f t="shared" si="33"/>
        <v>Truncate table FBC871;</v>
      </c>
      <c r="Q1146" s="5"/>
      <c r="R1146" s="5"/>
    </row>
    <row r="1147" spans="1:18" ht="54" x14ac:dyDescent="0.25">
      <c r="B1147" s="4" t="s">
        <v>1590</v>
      </c>
      <c r="C1147" s="5" t="s">
        <v>1591</v>
      </c>
      <c r="D1147" s="25" t="s">
        <v>29</v>
      </c>
      <c r="E1147" s="16" t="s">
        <v>34</v>
      </c>
      <c r="F1147" s="5" t="s">
        <v>33</v>
      </c>
      <c r="G1147" s="16" t="s">
        <v>35</v>
      </c>
      <c r="H1147" s="16" t="s">
        <v>12</v>
      </c>
      <c r="I1147" s="5" t="s">
        <v>1592</v>
      </c>
      <c r="J1147" s="5" t="s">
        <v>1593</v>
      </c>
      <c r="K1147" s="5" t="s">
        <v>1588</v>
      </c>
      <c r="L1147" s="5" t="s">
        <v>1589</v>
      </c>
      <c r="M1147" s="5"/>
      <c r="N1147" s="5"/>
      <c r="O1147" s="17"/>
      <c r="P1147" s="5" t="str">
        <f t="shared" si="33"/>
        <v>Truncate table FBC872;</v>
      </c>
      <c r="Q1147" s="5"/>
      <c r="R1147" s="5"/>
    </row>
    <row r="1148" spans="1:18" ht="54" x14ac:dyDescent="0.25">
      <c r="B1148" s="4" t="s">
        <v>1594</v>
      </c>
      <c r="C1148" s="5" t="s">
        <v>1595</v>
      </c>
      <c r="D1148" s="25" t="s">
        <v>29</v>
      </c>
      <c r="E1148" s="16" t="s">
        <v>34</v>
      </c>
      <c r="F1148" s="5" t="s">
        <v>33</v>
      </c>
      <c r="G1148" s="16" t="s">
        <v>35</v>
      </c>
      <c r="H1148" s="16" t="s">
        <v>12</v>
      </c>
      <c r="I1148" s="5" t="s">
        <v>1596</v>
      </c>
      <c r="J1148" s="5" t="s">
        <v>1597</v>
      </c>
      <c r="K1148" s="5" t="s">
        <v>1588</v>
      </c>
      <c r="L1148" s="5" t="s">
        <v>1589</v>
      </c>
      <c r="M1148" s="5"/>
      <c r="N1148" s="5"/>
      <c r="O1148" s="17"/>
      <c r="P1148" s="5" t="str">
        <f t="shared" si="33"/>
        <v>Truncate table FBC873;</v>
      </c>
      <c r="Q1148" s="5"/>
      <c r="R1148" s="5"/>
    </row>
    <row r="1149" spans="1:18" x14ac:dyDescent="0.25">
      <c r="A1149" s="240"/>
      <c r="B1149" s="4" t="s">
        <v>9499</v>
      </c>
      <c r="C1149" s="305" t="s">
        <v>10002</v>
      </c>
      <c r="D1149" s="25" t="s">
        <v>29</v>
      </c>
      <c r="E1149" s="16" t="s">
        <v>34</v>
      </c>
      <c r="F1149" s="5" t="s">
        <v>33</v>
      </c>
      <c r="G1149" s="16" t="s">
        <v>35</v>
      </c>
      <c r="H1149" s="16"/>
      <c r="I1149" s="5"/>
      <c r="J1149" s="5"/>
      <c r="K1149" s="5"/>
      <c r="L1149" s="5"/>
      <c r="M1149" s="5"/>
      <c r="N1149" s="5"/>
      <c r="O1149" s="17"/>
      <c r="P1149" s="5"/>
      <c r="Q1149" s="5"/>
      <c r="R1149" s="5"/>
    </row>
    <row r="1150" spans="1:18" s="306" customFormat="1" x14ac:dyDescent="0.25">
      <c r="A1150" s="240"/>
      <c r="B1150" s="307" t="s">
        <v>1598</v>
      </c>
      <c r="C1150" s="308"/>
      <c r="D1150" s="308" t="s">
        <v>29</v>
      </c>
      <c r="E1150" s="308" t="s">
        <v>34</v>
      </c>
      <c r="F1150" s="308" t="s">
        <v>33</v>
      </c>
      <c r="G1150" s="308" t="s">
        <v>35</v>
      </c>
      <c r="H1150" s="308" t="s">
        <v>12</v>
      </c>
      <c r="I1150" s="308"/>
      <c r="J1150" s="308"/>
      <c r="K1150" s="308"/>
      <c r="L1150" s="308"/>
      <c r="M1150" s="308"/>
      <c r="N1150" s="308"/>
      <c r="O1150" s="309"/>
      <c r="P1150" s="308" t="str">
        <f>IF(D1150="Datos","Truncate table "&amp; B1150&amp; ";","")</f>
        <v>Truncate table FBC901;</v>
      </c>
      <c r="Q1150" s="308"/>
      <c r="R1150" s="308"/>
    </row>
    <row r="1151" spans="1:18" x14ac:dyDescent="0.25">
      <c r="A1151" s="240"/>
      <c r="B1151" s="19" t="s">
        <v>1599</v>
      </c>
      <c r="C1151" s="16" t="s">
        <v>8982</v>
      </c>
      <c r="D1151" s="16" t="s">
        <v>29</v>
      </c>
      <c r="E1151" s="16" t="s">
        <v>34</v>
      </c>
      <c r="F1151" s="5" t="s">
        <v>33</v>
      </c>
      <c r="G1151" s="16" t="s">
        <v>35</v>
      </c>
      <c r="H1151" s="16" t="s">
        <v>12</v>
      </c>
      <c r="I1151" s="16"/>
      <c r="J1151" s="16"/>
      <c r="K1151" s="16"/>
      <c r="L1151" s="16"/>
      <c r="M1151" s="16"/>
      <c r="N1151" s="16"/>
      <c r="O1151" s="17"/>
      <c r="P1151" s="5" t="str">
        <f>IF(D1151="Datos","Truncate table "&amp; B1151&amp; ";","")</f>
        <v>Truncate table FBC902;</v>
      </c>
      <c r="Q1151" s="5"/>
      <c r="R1151" s="5"/>
    </row>
    <row r="1152" spans="1:18" x14ac:dyDescent="0.25">
      <c r="A1152" s="240"/>
      <c r="B1152" s="19" t="s">
        <v>1600</v>
      </c>
      <c r="C1152" s="16" t="s">
        <v>8981</v>
      </c>
      <c r="D1152" s="16" t="s">
        <v>29</v>
      </c>
      <c r="E1152" s="16" t="s">
        <v>34</v>
      </c>
      <c r="F1152" s="5" t="s">
        <v>33</v>
      </c>
      <c r="G1152" s="16" t="s">
        <v>35</v>
      </c>
      <c r="H1152" s="16" t="s">
        <v>12</v>
      </c>
      <c r="I1152" s="16"/>
      <c r="J1152" s="16"/>
      <c r="K1152" s="16"/>
      <c r="L1152" s="16"/>
      <c r="M1152" s="16"/>
      <c r="N1152" s="16"/>
      <c r="O1152" s="17"/>
      <c r="P1152" s="5" t="str">
        <f>IF(D1152="Datos","Truncate table "&amp; B1152&amp; ";","")</f>
        <v>Truncate table FBC912;</v>
      </c>
      <c r="Q1152" s="5"/>
      <c r="R1152" s="5"/>
    </row>
    <row r="1153" spans="1:18" x14ac:dyDescent="0.25">
      <c r="A1153" s="240"/>
      <c r="B1153" s="19" t="s">
        <v>9500</v>
      </c>
      <c r="C1153" s="305" t="s">
        <v>10003</v>
      </c>
      <c r="D1153" s="16" t="s">
        <v>29</v>
      </c>
      <c r="E1153" s="16" t="s">
        <v>34</v>
      </c>
      <c r="F1153" s="5" t="s">
        <v>33</v>
      </c>
      <c r="G1153" s="16" t="s">
        <v>35</v>
      </c>
      <c r="H1153" s="16"/>
      <c r="I1153" s="16"/>
      <c r="J1153" s="16"/>
      <c r="K1153" s="16"/>
      <c r="L1153" s="16"/>
      <c r="M1153" s="16"/>
      <c r="N1153" s="16"/>
      <c r="O1153" s="17"/>
      <c r="P1153" s="5"/>
      <c r="Q1153" s="5"/>
      <c r="R1153" s="5"/>
    </row>
    <row r="1154" spans="1:18" ht="67.5" x14ac:dyDescent="0.25">
      <c r="A1154" s="240"/>
      <c r="B1154" s="23" t="s">
        <v>1601</v>
      </c>
      <c r="C1154" s="88" t="s">
        <v>1602</v>
      </c>
      <c r="D1154" s="19" t="s">
        <v>29</v>
      </c>
      <c r="E1154" s="19" t="s">
        <v>34</v>
      </c>
      <c r="F1154" s="23" t="s">
        <v>33</v>
      </c>
      <c r="G1154" s="19" t="s">
        <v>35</v>
      </c>
      <c r="H1154" s="19" t="s">
        <v>12</v>
      </c>
      <c r="I1154" s="23" t="s">
        <v>1603</v>
      </c>
      <c r="J1154" s="23" t="s">
        <v>1604</v>
      </c>
      <c r="K1154" s="23" t="s">
        <v>1605</v>
      </c>
      <c r="L1154" s="90" t="s">
        <v>1606</v>
      </c>
      <c r="M1154" s="90"/>
      <c r="N1154" s="23" t="s">
        <v>1607</v>
      </c>
      <c r="O1154" s="24" t="s">
        <v>38</v>
      </c>
      <c r="P1154" s="5" t="str">
        <f t="shared" ref="P1154:P1171" si="34">IF(D1154="Datos","Truncate table "&amp; B1154&amp; ";","")</f>
        <v>Truncate table FBC950;</v>
      </c>
      <c r="Q1154" s="5"/>
      <c r="R1154" s="5"/>
    </row>
    <row r="1155" spans="1:18" x14ac:dyDescent="0.25">
      <c r="B1155" s="19" t="s">
        <v>1608</v>
      </c>
      <c r="C1155" s="16" t="s">
        <v>8983</v>
      </c>
      <c r="D1155" s="16" t="s">
        <v>29</v>
      </c>
      <c r="E1155" s="16" t="s">
        <v>34</v>
      </c>
      <c r="F1155" s="5" t="s">
        <v>33</v>
      </c>
      <c r="G1155" s="16" t="s">
        <v>35</v>
      </c>
      <c r="H1155" s="16" t="s">
        <v>12</v>
      </c>
      <c r="I1155" s="16"/>
      <c r="J1155" s="16"/>
      <c r="K1155" s="16"/>
      <c r="L1155" s="16"/>
      <c r="M1155" s="16"/>
      <c r="N1155" s="16"/>
      <c r="O1155" s="17"/>
      <c r="P1155" s="5" t="str">
        <f t="shared" si="34"/>
        <v>Truncate table FBC999;</v>
      </c>
      <c r="Q1155" s="5"/>
      <c r="R1155" s="5"/>
    </row>
    <row r="1156" spans="1:18" x14ac:dyDescent="0.25">
      <c r="B1156" s="19" t="s">
        <v>1609</v>
      </c>
      <c r="C1156" s="16" t="s">
        <v>8984</v>
      </c>
      <c r="D1156" s="16" t="s">
        <v>29</v>
      </c>
      <c r="E1156" s="16" t="s">
        <v>34</v>
      </c>
      <c r="F1156" s="5" t="s">
        <v>33</v>
      </c>
      <c r="G1156" s="16" t="s">
        <v>35</v>
      </c>
      <c r="H1156" s="16" t="s">
        <v>12</v>
      </c>
      <c r="I1156" s="16"/>
      <c r="J1156" s="16"/>
      <c r="K1156" s="16"/>
      <c r="L1156" s="16"/>
      <c r="M1156" s="16"/>
      <c r="N1156" s="16"/>
      <c r="O1156" s="17"/>
      <c r="P1156" s="5" t="str">
        <f t="shared" si="34"/>
        <v>Truncate table FBCCRA;</v>
      </c>
      <c r="Q1156" s="5"/>
      <c r="R1156" s="5"/>
    </row>
    <row r="1157" spans="1:18" x14ac:dyDescent="0.25">
      <c r="B1157" s="19" t="s">
        <v>1610</v>
      </c>
      <c r="C1157" s="16" t="s">
        <v>8985</v>
      </c>
      <c r="D1157" s="16" t="s">
        <v>29</v>
      </c>
      <c r="E1157" s="16" t="s">
        <v>34</v>
      </c>
      <c r="F1157" s="5" t="s">
        <v>33</v>
      </c>
      <c r="G1157" s="16" t="s">
        <v>35</v>
      </c>
      <c r="H1157" s="16" t="s">
        <v>12</v>
      </c>
      <c r="I1157" s="16"/>
      <c r="J1157" s="16"/>
      <c r="K1157" s="16"/>
      <c r="L1157" s="16"/>
      <c r="M1157" s="16"/>
      <c r="N1157" s="16"/>
      <c r="O1157" s="17"/>
      <c r="P1157" s="5" t="str">
        <f t="shared" si="34"/>
        <v>Truncate table FBCCRB;</v>
      </c>
      <c r="Q1157" s="5"/>
      <c r="R1157" s="5"/>
    </row>
    <row r="1158" spans="1:18" x14ac:dyDescent="0.25">
      <c r="B1158" s="19" t="s">
        <v>1611</v>
      </c>
      <c r="C1158" s="16" t="s">
        <v>8986</v>
      </c>
      <c r="D1158" s="16" t="s">
        <v>29</v>
      </c>
      <c r="E1158" s="16" t="s">
        <v>34</v>
      </c>
      <c r="F1158" s="5" t="s">
        <v>33</v>
      </c>
      <c r="G1158" s="16" t="s">
        <v>35</v>
      </c>
      <c r="H1158" s="16" t="s">
        <v>12</v>
      </c>
      <c r="I1158" s="16"/>
      <c r="J1158" s="16"/>
      <c r="K1158" s="16"/>
      <c r="L1158" s="16"/>
      <c r="M1158" s="16"/>
      <c r="N1158" s="16"/>
      <c r="O1158" s="17"/>
      <c r="P1158" s="5" t="str">
        <f t="shared" si="34"/>
        <v>Truncate table FBCCRC;</v>
      </c>
      <c r="Q1158" s="5"/>
      <c r="R1158" s="5"/>
    </row>
    <row r="1159" spans="1:18" x14ac:dyDescent="0.25">
      <c r="B1159" s="19" t="s">
        <v>1612</v>
      </c>
      <c r="C1159" s="16" t="s">
        <v>8987</v>
      </c>
      <c r="D1159" s="16" t="s">
        <v>29</v>
      </c>
      <c r="E1159" s="16" t="s">
        <v>34</v>
      </c>
      <c r="F1159" s="5" t="s">
        <v>33</v>
      </c>
      <c r="G1159" s="16" t="s">
        <v>35</v>
      </c>
      <c r="H1159" s="16" t="s">
        <v>12</v>
      </c>
      <c r="I1159" s="16"/>
      <c r="J1159" s="16"/>
      <c r="K1159" s="16"/>
      <c r="L1159" s="16"/>
      <c r="M1159" s="16"/>
      <c r="N1159" s="16"/>
      <c r="O1159" s="17"/>
      <c r="P1159" s="5" t="str">
        <f t="shared" si="34"/>
        <v>Truncate table FBCCRD;</v>
      </c>
      <c r="Q1159" s="5"/>
      <c r="R1159" s="5"/>
    </row>
    <row r="1160" spans="1:18" x14ac:dyDescent="0.25">
      <c r="B1160" s="19" t="s">
        <v>1613</v>
      </c>
      <c r="C1160" s="16" t="s">
        <v>8988</v>
      </c>
      <c r="D1160" s="16" t="s">
        <v>29</v>
      </c>
      <c r="E1160" s="16" t="s">
        <v>34</v>
      </c>
      <c r="F1160" s="5" t="s">
        <v>33</v>
      </c>
      <c r="G1160" s="16" t="s">
        <v>35</v>
      </c>
      <c r="H1160" s="16" t="s">
        <v>12</v>
      </c>
      <c r="I1160" s="16"/>
      <c r="J1160" s="16"/>
      <c r="K1160" s="16"/>
      <c r="L1160" s="16"/>
      <c r="M1160" s="16"/>
      <c r="N1160" s="16"/>
      <c r="O1160" s="17"/>
      <c r="P1160" s="5" t="str">
        <f t="shared" si="34"/>
        <v>Truncate table FBCCRE;</v>
      </c>
      <c r="Q1160" s="5"/>
      <c r="R1160" s="5"/>
    </row>
    <row r="1161" spans="1:18" x14ac:dyDescent="0.25">
      <c r="B1161" s="19" t="s">
        <v>1614</v>
      </c>
      <c r="C1161" s="16" t="s">
        <v>8989</v>
      </c>
      <c r="D1161" s="16" t="s">
        <v>29</v>
      </c>
      <c r="E1161" s="16" t="s">
        <v>34</v>
      </c>
      <c r="F1161" s="5" t="s">
        <v>33</v>
      </c>
      <c r="G1161" s="16" t="s">
        <v>35</v>
      </c>
      <c r="H1161" s="16" t="s">
        <v>12</v>
      </c>
      <c r="I1161" s="16"/>
      <c r="J1161" s="16"/>
      <c r="K1161" s="16"/>
      <c r="L1161" s="16"/>
      <c r="M1161" s="16"/>
      <c r="N1161" s="16"/>
      <c r="O1161" s="17"/>
      <c r="P1161" s="5" t="str">
        <f t="shared" si="34"/>
        <v>Truncate table FBCCRF;</v>
      </c>
      <c r="Q1161" s="5"/>
      <c r="R1161" s="5"/>
    </row>
    <row r="1162" spans="1:18" x14ac:dyDescent="0.25">
      <c r="B1162" s="19" t="s">
        <v>1615</v>
      </c>
      <c r="C1162" s="16" t="s">
        <v>8990</v>
      </c>
      <c r="D1162" s="16" t="s">
        <v>29</v>
      </c>
      <c r="E1162" s="16" t="s">
        <v>34</v>
      </c>
      <c r="F1162" s="5" t="s">
        <v>33</v>
      </c>
      <c r="G1162" s="16" t="s">
        <v>35</v>
      </c>
      <c r="H1162" s="16" t="s">
        <v>12</v>
      </c>
      <c r="I1162" s="16"/>
      <c r="J1162" s="16"/>
      <c r="K1162" s="16"/>
      <c r="L1162" s="16"/>
      <c r="M1162" s="16"/>
      <c r="N1162" s="16"/>
      <c r="O1162" s="17"/>
      <c r="P1162" s="5" t="str">
        <f t="shared" si="34"/>
        <v>Truncate table FBCCRG;</v>
      </c>
      <c r="Q1162" s="5"/>
      <c r="R1162" s="5"/>
    </row>
    <row r="1163" spans="1:18" x14ac:dyDescent="0.25">
      <c r="B1163" s="19" t="s">
        <v>1616</v>
      </c>
      <c r="C1163" s="16" t="s">
        <v>8991</v>
      </c>
      <c r="D1163" s="16" t="s">
        <v>29</v>
      </c>
      <c r="E1163" s="16" t="s">
        <v>34</v>
      </c>
      <c r="F1163" s="5" t="s">
        <v>33</v>
      </c>
      <c r="G1163" s="16" t="s">
        <v>35</v>
      </c>
      <c r="H1163" s="16" t="s">
        <v>12</v>
      </c>
      <c r="I1163" s="16"/>
      <c r="J1163" s="16"/>
      <c r="K1163" s="16"/>
      <c r="L1163" s="16"/>
      <c r="M1163" s="16"/>
      <c r="N1163" s="16"/>
      <c r="O1163" s="17"/>
      <c r="P1163" s="5" t="str">
        <f t="shared" si="34"/>
        <v>Truncate table FBCCRV;</v>
      </c>
      <c r="Q1163" s="5"/>
      <c r="R1163" s="5"/>
    </row>
    <row r="1164" spans="1:18" x14ac:dyDescent="0.25">
      <c r="B1164" s="19" t="s">
        <v>1617</v>
      </c>
      <c r="C1164" s="16" t="s">
        <v>8992</v>
      </c>
      <c r="D1164" s="16" t="s">
        <v>29</v>
      </c>
      <c r="E1164" s="16" t="s">
        <v>34</v>
      </c>
      <c r="F1164" s="5" t="s">
        <v>33</v>
      </c>
      <c r="G1164" s="16" t="s">
        <v>35</v>
      </c>
      <c r="H1164" s="16" t="s">
        <v>12</v>
      </c>
      <c r="I1164" s="16"/>
      <c r="J1164" s="16"/>
      <c r="K1164" s="16"/>
      <c r="L1164" s="16"/>
      <c r="M1164" s="16"/>
      <c r="N1164" s="16"/>
      <c r="O1164" s="17"/>
      <c r="P1164" s="5" t="str">
        <f t="shared" si="34"/>
        <v>Truncate table FBCEVA;</v>
      </c>
      <c r="Q1164" s="5"/>
      <c r="R1164" s="5"/>
    </row>
    <row r="1165" spans="1:18" x14ac:dyDescent="0.25">
      <c r="B1165" s="19" t="s">
        <v>1618</v>
      </c>
      <c r="C1165" s="16" t="s">
        <v>8993</v>
      </c>
      <c r="D1165" s="16" t="s">
        <v>29</v>
      </c>
      <c r="E1165" s="16" t="s">
        <v>34</v>
      </c>
      <c r="F1165" s="5" t="s">
        <v>33</v>
      </c>
      <c r="G1165" s="16" t="s">
        <v>35</v>
      </c>
      <c r="H1165" s="16" t="s">
        <v>12</v>
      </c>
      <c r="I1165" s="16"/>
      <c r="J1165" s="16"/>
      <c r="K1165" s="16"/>
      <c r="L1165" s="16"/>
      <c r="M1165" s="16"/>
      <c r="N1165" s="16"/>
      <c r="O1165" s="17"/>
      <c r="P1165" s="5" t="str">
        <f t="shared" si="34"/>
        <v>Truncate table FBCI20;</v>
      </c>
      <c r="Q1165" s="5"/>
      <c r="R1165" s="5"/>
    </row>
    <row r="1166" spans="1:18" x14ac:dyDescent="0.25">
      <c r="B1166" s="19" t="s">
        <v>1619</v>
      </c>
      <c r="C1166" s="16" t="s">
        <v>8994</v>
      </c>
      <c r="D1166" s="16" t="s">
        <v>29</v>
      </c>
      <c r="E1166" s="16" t="s">
        <v>34</v>
      </c>
      <c r="F1166" s="5" t="s">
        <v>33</v>
      </c>
      <c r="G1166" s="16" t="s">
        <v>35</v>
      </c>
      <c r="H1166" s="16" t="s">
        <v>12</v>
      </c>
      <c r="I1166" s="16"/>
      <c r="J1166" s="16"/>
      <c r="K1166" s="16"/>
      <c r="L1166" s="16"/>
      <c r="M1166" s="16"/>
      <c r="N1166" s="16"/>
      <c r="O1166" s="17"/>
      <c r="P1166" s="5" t="str">
        <f t="shared" si="34"/>
        <v>Truncate table FBCMX2;</v>
      </c>
      <c r="Q1166" s="5"/>
      <c r="R1166" s="5"/>
    </row>
    <row r="1167" spans="1:18" x14ac:dyDescent="0.25">
      <c r="B1167" s="19" t="s">
        <v>1620</v>
      </c>
      <c r="C1167" s="16" t="s">
        <v>8995</v>
      </c>
      <c r="D1167" s="16" t="s">
        <v>29</v>
      </c>
      <c r="E1167" s="16" t="s">
        <v>34</v>
      </c>
      <c r="F1167" s="5" t="s">
        <v>33</v>
      </c>
      <c r="G1167" s="16" t="s">
        <v>35</v>
      </c>
      <c r="H1167" s="16" t="s">
        <v>12</v>
      </c>
      <c r="I1167" s="16"/>
      <c r="J1167" s="16"/>
      <c r="K1167" s="16"/>
      <c r="L1167" s="16"/>
      <c r="M1167" s="16"/>
      <c r="N1167" s="16"/>
      <c r="O1167" s="17"/>
      <c r="P1167" s="5" t="str">
        <f t="shared" si="34"/>
        <v>Truncate table FBCMX3;</v>
      </c>
      <c r="Q1167" s="5"/>
      <c r="R1167" s="5"/>
    </row>
    <row r="1168" spans="1:18" x14ac:dyDescent="0.25">
      <c r="B1168" s="19" t="s">
        <v>1621</v>
      </c>
      <c r="C1168" s="16" t="s">
        <v>8542</v>
      </c>
      <c r="D1168" s="16" t="s">
        <v>8152</v>
      </c>
      <c r="E1168" s="16" t="s">
        <v>34</v>
      </c>
      <c r="F1168" s="5" t="s">
        <v>33</v>
      </c>
      <c r="G1168" s="16" t="s">
        <v>35</v>
      </c>
      <c r="H1168" s="16" t="s">
        <v>12</v>
      </c>
      <c r="I1168" s="16"/>
      <c r="J1168" s="16"/>
      <c r="K1168" s="16"/>
      <c r="L1168" s="16"/>
      <c r="M1168" s="16"/>
      <c r="N1168" s="16"/>
      <c r="O1168" s="17" t="s">
        <v>38</v>
      </c>
      <c r="P1168" s="5" t="str">
        <f t="shared" si="34"/>
        <v/>
      </c>
      <c r="Q1168" s="5"/>
      <c r="R1168" s="5"/>
    </row>
    <row r="1169" spans="1:18" x14ac:dyDescent="0.25">
      <c r="B1169" s="19" t="s">
        <v>1622</v>
      </c>
      <c r="C1169" s="16" t="s">
        <v>8543</v>
      </c>
      <c r="D1169" s="16" t="s">
        <v>8152</v>
      </c>
      <c r="E1169" s="16" t="s">
        <v>34</v>
      </c>
      <c r="F1169" s="5" t="s">
        <v>33</v>
      </c>
      <c r="G1169" s="16" t="s">
        <v>35</v>
      </c>
      <c r="H1169" s="16" t="s">
        <v>12</v>
      </c>
      <c r="I1169" s="16"/>
      <c r="J1169" s="16"/>
      <c r="K1169" s="16"/>
      <c r="L1169" s="16"/>
      <c r="M1169" s="16"/>
      <c r="N1169" s="16"/>
      <c r="O1169" s="17" t="s">
        <v>38</v>
      </c>
      <c r="P1169" s="5" t="str">
        <f t="shared" si="34"/>
        <v/>
      </c>
      <c r="Q1169" s="5"/>
      <c r="R1169" s="5"/>
    </row>
    <row r="1170" spans="1:18" x14ac:dyDescent="0.25">
      <c r="B1170" s="19" t="s">
        <v>1623</v>
      </c>
      <c r="C1170" s="16" t="s">
        <v>8544</v>
      </c>
      <c r="D1170" s="16" t="s">
        <v>8152</v>
      </c>
      <c r="E1170" s="16" t="s">
        <v>34</v>
      </c>
      <c r="F1170" s="5" t="s">
        <v>33</v>
      </c>
      <c r="G1170" s="16" t="s">
        <v>35</v>
      </c>
      <c r="H1170" s="16" t="s">
        <v>12</v>
      </c>
      <c r="I1170" s="16"/>
      <c r="J1170" s="16"/>
      <c r="K1170" s="16"/>
      <c r="L1170" s="16"/>
      <c r="M1170" s="16"/>
      <c r="N1170" s="16"/>
      <c r="O1170" s="17" t="s">
        <v>38</v>
      </c>
      <c r="P1170" s="5" t="str">
        <f t="shared" si="34"/>
        <v/>
      </c>
      <c r="Q1170" s="5"/>
      <c r="R1170" s="5"/>
    </row>
    <row r="1171" spans="1:18" x14ac:dyDescent="0.25">
      <c r="B1171" s="19" t="s">
        <v>1624</v>
      </c>
      <c r="C1171" s="16" t="s">
        <v>8545</v>
      </c>
      <c r="D1171" s="16" t="s">
        <v>8152</v>
      </c>
      <c r="E1171" s="16" t="s">
        <v>34</v>
      </c>
      <c r="F1171" s="5" t="s">
        <v>33</v>
      </c>
      <c r="G1171" s="16" t="s">
        <v>35</v>
      </c>
      <c r="H1171" s="16" t="s">
        <v>12</v>
      </c>
      <c r="I1171" s="16"/>
      <c r="J1171" s="16"/>
      <c r="K1171" s="16"/>
      <c r="L1171" s="16"/>
      <c r="M1171" s="16"/>
      <c r="N1171" s="16"/>
      <c r="O1171" s="17" t="s">
        <v>38</v>
      </c>
      <c r="P1171" s="5" t="str">
        <f t="shared" si="34"/>
        <v/>
      </c>
      <c r="Q1171" s="5"/>
      <c r="R1171" s="5"/>
    </row>
    <row r="1172" spans="1:18" x14ac:dyDescent="0.25">
      <c r="A1172" s="240"/>
      <c r="B1172" s="19" t="s">
        <v>9501</v>
      </c>
      <c r="C1172" s="378" t="s">
        <v>10004</v>
      </c>
      <c r="D1172" s="16" t="s">
        <v>8152</v>
      </c>
      <c r="E1172" s="16" t="s">
        <v>34</v>
      </c>
      <c r="F1172" s="5" t="s">
        <v>33</v>
      </c>
      <c r="G1172" s="16" t="s">
        <v>35</v>
      </c>
      <c r="H1172" s="16"/>
      <c r="I1172" s="16"/>
      <c r="J1172" s="16"/>
      <c r="K1172" s="16"/>
      <c r="L1172" s="16"/>
      <c r="M1172" s="16"/>
      <c r="N1172" s="16"/>
      <c r="O1172" s="17"/>
      <c r="P1172" s="5"/>
      <c r="Q1172" s="5"/>
      <c r="R1172" s="5"/>
    </row>
    <row r="1173" spans="1:18" x14ac:dyDescent="0.25">
      <c r="B1173" s="19" t="s">
        <v>1625</v>
      </c>
      <c r="C1173" s="16" t="s">
        <v>8996</v>
      </c>
      <c r="D1173" s="16" t="s">
        <v>29</v>
      </c>
      <c r="E1173" s="16"/>
      <c r="F1173" s="5"/>
      <c r="G1173" s="16" t="s">
        <v>35</v>
      </c>
      <c r="H1173" s="16"/>
      <c r="I1173" s="16"/>
      <c r="J1173" s="16"/>
      <c r="K1173" s="16"/>
      <c r="L1173" s="16"/>
      <c r="M1173" s="16"/>
      <c r="N1173" s="16"/>
      <c r="O1173" s="17"/>
      <c r="P1173" s="5" t="str">
        <f>IF(D1173="Datos","Truncate table "&amp; B1173&amp; ";","")</f>
        <v>Truncate table FBCPYI;</v>
      </c>
      <c r="Q1173" s="5"/>
      <c r="R1173" s="5"/>
    </row>
    <row r="1174" spans="1:18" x14ac:dyDescent="0.25">
      <c r="A1174" s="241"/>
      <c r="B1174" s="19" t="s">
        <v>9502</v>
      </c>
      <c r="C1174" s="16" t="s">
        <v>9503</v>
      </c>
      <c r="D1174" s="16" t="s">
        <v>8152</v>
      </c>
      <c r="E1174" s="16" t="s">
        <v>34</v>
      </c>
      <c r="F1174" s="5" t="s">
        <v>33</v>
      </c>
      <c r="G1174" s="16" t="s">
        <v>35</v>
      </c>
      <c r="H1174" s="16" t="s">
        <v>12</v>
      </c>
      <c r="I1174" s="16"/>
      <c r="J1174" s="16"/>
      <c r="K1174" s="16"/>
      <c r="L1174" s="16"/>
      <c r="M1174" s="16"/>
      <c r="N1174" s="16"/>
      <c r="O1174" s="17"/>
      <c r="P1174" s="5"/>
      <c r="Q1174" s="5"/>
      <c r="R1174" s="5"/>
    </row>
    <row r="1175" spans="1:18" x14ac:dyDescent="0.25">
      <c r="B1175" s="19" t="s">
        <v>1626</v>
      </c>
      <c r="C1175" s="16" t="s">
        <v>8997</v>
      </c>
      <c r="D1175" s="16" t="s">
        <v>29</v>
      </c>
      <c r="E1175" s="16"/>
      <c r="F1175" s="5"/>
      <c r="G1175" s="16" t="s">
        <v>35</v>
      </c>
      <c r="H1175" s="16"/>
      <c r="I1175" s="16"/>
      <c r="J1175" s="16"/>
      <c r="K1175" s="16"/>
      <c r="L1175" s="16"/>
      <c r="M1175" s="16"/>
      <c r="N1175" s="16"/>
      <c r="O1175" s="17"/>
      <c r="P1175" s="5" t="str">
        <f t="shared" ref="P1175:P1238" si="35">IF(D1175="Datos","Truncate table "&amp; B1175&amp; ";","")</f>
        <v>Truncate table FBO0001;</v>
      </c>
      <c r="Q1175" s="5"/>
      <c r="R1175" s="5"/>
    </row>
    <row r="1176" spans="1:18" x14ac:dyDescent="0.25">
      <c r="B1176" s="19" t="s">
        <v>1627</v>
      </c>
      <c r="C1176" s="16" t="s">
        <v>8998</v>
      </c>
      <c r="D1176" s="16" t="s">
        <v>29</v>
      </c>
      <c r="E1176" s="16"/>
      <c r="F1176" s="5"/>
      <c r="G1176" s="16" t="s">
        <v>35</v>
      </c>
      <c r="H1176" s="16"/>
      <c r="I1176" s="16"/>
      <c r="J1176" s="16"/>
      <c r="K1176" s="16"/>
      <c r="L1176" s="16"/>
      <c r="M1176" s="16"/>
      <c r="N1176" s="16"/>
      <c r="O1176" s="17"/>
      <c r="P1176" s="5" t="str">
        <f t="shared" si="35"/>
        <v>Truncate table FBO0002;</v>
      </c>
      <c r="Q1176" s="5"/>
      <c r="R1176" s="5"/>
    </row>
    <row r="1177" spans="1:18" x14ac:dyDescent="0.25">
      <c r="B1177" s="19" t="s">
        <v>1628</v>
      </c>
      <c r="C1177" s="16" t="s">
        <v>8999</v>
      </c>
      <c r="D1177" s="16" t="s">
        <v>29</v>
      </c>
      <c r="E1177" s="16"/>
      <c r="F1177" s="5"/>
      <c r="G1177" s="16" t="s">
        <v>35</v>
      </c>
      <c r="H1177" s="16"/>
      <c r="I1177" s="16"/>
      <c r="J1177" s="16"/>
      <c r="K1177" s="16"/>
      <c r="L1177" s="16"/>
      <c r="M1177" s="16"/>
      <c r="N1177" s="16"/>
      <c r="O1177" s="17"/>
      <c r="P1177" s="5" t="str">
        <f t="shared" si="35"/>
        <v>Truncate table FBO0003;</v>
      </c>
      <c r="Q1177" s="5"/>
      <c r="R1177" s="5"/>
    </row>
    <row r="1178" spans="1:18" s="306" customFormat="1" x14ac:dyDescent="0.25">
      <c r="A1178" s="71"/>
      <c r="B1178" s="307" t="s">
        <v>1629</v>
      </c>
      <c r="C1178" s="308"/>
      <c r="D1178" s="308" t="s">
        <v>29</v>
      </c>
      <c r="E1178" s="308"/>
      <c r="F1178" s="308"/>
      <c r="G1178" s="308" t="s">
        <v>35</v>
      </c>
      <c r="H1178" s="308"/>
      <c r="I1178" s="308"/>
      <c r="J1178" s="308"/>
      <c r="K1178" s="308"/>
      <c r="L1178" s="308"/>
      <c r="M1178" s="308"/>
      <c r="N1178" s="308"/>
      <c r="O1178" s="309"/>
      <c r="P1178" s="308" t="str">
        <f t="shared" si="35"/>
        <v>Truncate table FBRA01;</v>
      </c>
      <c r="Q1178" s="308"/>
      <c r="R1178" s="308"/>
    </row>
    <row r="1179" spans="1:18" x14ac:dyDescent="0.25">
      <c r="B1179" s="19" t="s">
        <v>1630</v>
      </c>
      <c r="C1179" s="16" t="s">
        <v>9000</v>
      </c>
      <c r="D1179" s="16" t="s">
        <v>29</v>
      </c>
      <c r="E1179" s="16"/>
      <c r="F1179" s="5"/>
      <c r="G1179" s="16" t="s">
        <v>35</v>
      </c>
      <c r="H1179" s="16"/>
      <c r="I1179" s="16"/>
      <c r="J1179" s="16"/>
      <c r="K1179" s="16"/>
      <c r="L1179" s="16"/>
      <c r="M1179" s="16"/>
      <c r="N1179" s="16"/>
      <c r="O1179" s="17"/>
      <c r="P1179" s="5" t="str">
        <f t="shared" si="35"/>
        <v>Truncate table FBRA02;</v>
      </c>
      <c r="Q1179" s="5"/>
      <c r="R1179" s="5"/>
    </row>
    <row r="1180" spans="1:18" x14ac:dyDescent="0.25">
      <c r="B1180" s="19" t="s">
        <v>1631</v>
      </c>
      <c r="C1180" s="16" t="s">
        <v>9001</v>
      </c>
      <c r="D1180" s="16" t="s">
        <v>29</v>
      </c>
      <c r="E1180" s="16"/>
      <c r="F1180" s="5"/>
      <c r="G1180" s="16" t="s">
        <v>35</v>
      </c>
      <c r="H1180" s="16"/>
      <c r="I1180" s="16"/>
      <c r="J1180" s="16"/>
      <c r="K1180" s="16"/>
      <c r="L1180" s="16"/>
      <c r="M1180" s="16"/>
      <c r="N1180" s="16"/>
      <c r="O1180" s="17"/>
      <c r="P1180" s="5" t="str">
        <f t="shared" si="35"/>
        <v>Truncate table FBRB01;</v>
      </c>
      <c r="Q1180" s="5"/>
      <c r="R1180" s="5"/>
    </row>
    <row r="1181" spans="1:18" x14ac:dyDescent="0.25">
      <c r="B1181" s="19" t="s">
        <v>1632</v>
      </c>
      <c r="C1181" s="16" t="s">
        <v>9002</v>
      </c>
      <c r="D1181" s="16" t="s">
        <v>29</v>
      </c>
      <c r="E1181" s="16"/>
      <c r="F1181" s="5"/>
      <c r="G1181" s="16" t="s">
        <v>35</v>
      </c>
      <c r="H1181" s="16"/>
      <c r="I1181" s="16"/>
      <c r="J1181" s="16"/>
      <c r="K1181" s="16"/>
      <c r="L1181" s="16"/>
      <c r="M1181" s="16"/>
      <c r="N1181" s="16"/>
      <c r="O1181" s="17"/>
      <c r="P1181" s="5" t="str">
        <f t="shared" si="35"/>
        <v>Truncate table FBRB02;</v>
      </c>
      <c r="Q1181" s="5"/>
      <c r="R1181" s="5"/>
    </row>
    <row r="1182" spans="1:18" x14ac:dyDescent="0.25">
      <c r="B1182" s="19" t="s">
        <v>1633</v>
      </c>
      <c r="C1182" s="16" t="s">
        <v>9003</v>
      </c>
      <c r="D1182" s="16" t="s">
        <v>29</v>
      </c>
      <c r="E1182" s="16"/>
      <c r="F1182" s="5"/>
      <c r="G1182" s="16" t="s">
        <v>35</v>
      </c>
      <c r="H1182" s="16"/>
      <c r="I1182" s="16"/>
      <c r="J1182" s="16"/>
      <c r="K1182" s="16"/>
      <c r="L1182" s="16"/>
      <c r="M1182" s="16"/>
      <c r="N1182" s="16"/>
      <c r="O1182" s="17"/>
      <c r="P1182" s="5" t="str">
        <f t="shared" si="35"/>
        <v>Truncate table FBRB03;</v>
      </c>
      <c r="Q1182" s="5"/>
      <c r="R1182" s="5"/>
    </row>
    <row r="1183" spans="1:18" x14ac:dyDescent="0.25">
      <c r="B1183" s="19" t="s">
        <v>1634</v>
      </c>
      <c r="C1183" s="16" t="s">
        <v>9004</v>
      </c>
      <c r="D1183" s="16" t="s">
        <v>29</v>
      </c>
      <c r="E1183" s="16"/>
      <c r="F1183" s="5"/>
      <c r="G1183" s="16" t="s">
        <v>35</v>
      </c>
      <c r="H1183" s="16"/>
      <c r="I1183" s="16"/>
      <c r="J1183" s="16"/>
      <c r="K1183" s="16"/>
      <c r="L1183" s="16"/>
      <c r="M1183" s="16"/>
      <c r="N1183" s="16"/>
      <c r="O1183" s="17"/>
      <c r="P1183" s="5" t="str">
        <f t="shared" si="35"/>
        <v>Truncate table FBRB04;</v>
      </c>
      <c r="Q1183" s="5"/>
      <c r="R1183" s="5"/>
    </row>
    <row r="1184" spans="1:18" x14ac:dyDescent="0.25">
      <c r="B1184" s="19" t="s">
        <v>1635</v>
      </c>
      <c r="C1184" s="16" t="s">
        <v>4165</v>
      </c>
      <c r="D1184" s="16" t="s">
        <v>8152</v>
      </c>
      <c r="E1184" s="16" t="s">
        <v>54</v>
      </c>
      <c r="F1184" s="5" t="s">
        <v>8193</v>
      </c>
      <c r="G1184" s="16" t="s">
        <v>35</v>
      </c>
      <c r="H1184" s="16" t="s">
        <v>36</v>
      </c>
      <c r="I1184" s="16"/>
      <c r="J1184" s="16"/>
      <c r="K1184" s="16" t="s">
        <v>8598</v>
      </c>
      <c r="L1184" s="16"/>
      <c r="M1184" s="16"/>
      <c r="N1184" s="16"/>
      <c r="O1184" s="17"/>
      <c r="P1184" s="5" t="str">
        <f t="shared" si="35"/>
        <v/>
      </c>
      <c r="Q1184" s="5"/>
      <c r="R1184" s="5"/>
    </row>
    <row r="1185" spans="2:18" x14ac:dyDescent="0.25">
      <c r="B1185" s="19" t="s">
        <v>1636</v>
      </c>
      <c r="C1185" s="16" t="s">
        <v>8605</v>
      </c>
      <c r="D1185" s="16" t="s">
        <v>8152</v>
      </c>
      <c r="E1185" s="16" t="s">
        <v>54</v>
      </c>
      <c r="F1185" s="5" t="s">
        <v>8193</v>
      </c>
      <c r="G1185" s="16" t="s">
        <v>35</v>
      </c>
      <c r="H1185" s="16" t="s">
        <v>36</v>
      </c>
      <c r="I1185" s="16"/>
      <c r="J1185" s="16"/>
      <c r="K1185" s="16" t="s">
        <v>8598</v>
      </c>
      <c r="L1185" s="16"/>
      <c r="M1185" s="16"/>
      <c r="N1185" s="16"/>
      <c r="O1185" s="17"/>
      <c r="P1185" s="5" t="str">
        <f t="shared" si="35"/>
        <v/>
      </c>
      <c r="Q1185" s="5"/>
      <c r="R1185" s="5"/>
    </row>
    <row r="1186" spans="2:18" x14ac:dyDescent="0.25">
      <c r="B1186" s="19" t="s">
        <v>1637</v>
      </c>
      <c r="C1186" s="16" t="s">
        <v>6051</v>
      </c>
      <c r="D1186" s="16" t="s">
        <v>8152</v>
      </c>
      <c r="E1186" s="16" t="s">
        <v>54</v>
      </c>
      <c r="F1186" s="5" t="s">
        <v>8193</v>
      </c>
      <c r="G1186" s="16" t="s">
        <v>35</v>
      </c>
      <c r="H1186" s="16" t="s">
        <v>36</v>
      </c>
      <c r="I1186" s="16"/>
      <c r="J1186" s="16"/>
      <c r="K1186" s="16" t="s">
        <v>8598</v>
      </c>
      <c r="L1186" s="16"/>
      <c r="M1186" s="16"/>
      <c r="N1186" s="16"/>
      <c r="O1186" s="17"/>
      <c r="P1186" s="5" t="str">
        <f t="shared" si="35"/>
        <v/>
      </c>
      <c r="Q1186" s="5"/>
      <c r="R1186" s="5"/>
    </row>
    <row r="1187" spans="2:18" x14ac:dyDescent="0.25">
      <c r="B1187" s="19" t="s">
        <v>1638</v>
      </c>
      <c r="C1187" s="16" t="s">
        <v>9005</v>
      </c>
      <c r="D1187" s="16" t="s">
        <v>29</v>
      </c>
      <c r="E1187" s="16"/>
      <c r="F1187" s="5"/>
      <c r="G1187" s="16" t="s">
        <v>35</v>
      </c>
      <c r="H1187" s="16"/>
      <c r="I1187" s="16"/>
      <c r="J1187" s="16"/>
      <c r="K1187" s="16"/>
      <c r="L1187" s="16"/>
      <c r="M1187" s="16"/>
      <c r="N1187" s="16"/>
      <c r="O1187" s="17"/>
      <c r="P1187" s="5" t="str">
        <f t="shared" si="35"/>
        <v>Truncate table FBRD05;</v>
      </c>
      <c r="Q1187" s="5"/>
      <c r="R1187" s="5"/>
    </row>
    <row r="1188" spans="2:18" x14ac:dyDescent="0.25">
      <c r="B1188" s="19" t="s">
        <v>1639</v>
      </c>
      <c r="C1188" s="16" t="s">
        <v>8604</v>
      </c>
      <c r="D1188" s="16" t="s">
        <v>8152</v>
      </c>
      <c r="E1188" s="16" t="s">
        <v>54</v>
      </c>
      <c r="F1188" s="5" t="s">
        <v>8193</v>
      </c>
      <c r="G1188" s="16" t="s">
        <v>35</v>
      </c>
      <c r="H1188" s="16" t="s">
        <v>36</v>
      </c>
      <c r="I1188" s="16"/>
      <c r="J1188" s="16"/>
      <c r="K1188" s="16" t="s">
        <v>8598</v>
      </c>
      <c r="L1188" s="16"/>
      <c r="M1188" s="16"/>
      <c r="N1188" s="16"/>
      <c r="O1188" s="17"/>
      <c r="P1188" s="5" t="str">
        <f t="shared" si="35"/>
        <v/>
      </c>
      <c r="Q1188" s="5"/>
      <c r="R1188" s="5"/>
    </row>
    <row r="1189" spans="2:18" x14ac:dyDescent="0.25">
      <c r="B1189" s="19" t="s">
        <v>1640</v>
      </c>
      <c r="C1189" s="16" t="s">
        <v>8606</v>
      </c>
      <c r="D1189" s="16" t="s">
        <v>8152</v>
      </c>
      <c r="E1189" s="16" t="s">
        <v>54</v>
      </c>
      <c r="F1189" s="5" t="s">
        <v>8193</v>
      </c>
      <c r="G1189" s="16" t="s">
        <v>35</v>
      </c>
      <c r="H1189" s="16"/>
      <c r="I1189" s="16"/>
      <c r="J1189" s="16"/>
      <c r="K1189" s="16" t="s">
        <v>8598</v>
      </c>
      <c r="L1189" s="16"/>
      <c r="M1189" s="16"/>
      <c r="N1189" s="16"/>
      <c r="O1189" s="17"/>
      <c r="P1189" s="5" t="str">
        <f t="shared" si="35"/>
        <v/>
      </c>
      <c r="Q1189" s="5"/>
      <c r="R1189" s="5"/>
    </row>
    <row r="1190" spans="2:18" x14ac:dyDescent="0.25">
      <c r="B1190" s="19" t="s">
        <v>1641</v>
      </c>
      <c r="C1190" s="16" t="s">
        <v>8607</v>
      </c>
      <c r="D1190" s="16" t="s">
        <v>29</v>
      </c>
      <c r="E1190" s="16" t="s">
        <v>54</v>
      </c>
      <c r="F1190" s="5" t="s">
        <v>8193</v>
      </c>
      <c r="G1190" s="16" t="s">
        <v>35</v>
      </c>
      <c r="H1190" s="16" t="s">
        <v>36</v>
      </c>
      <c r="I1190" s="16"/>
      <c r="J1190" s="16"/>
      <c r="K1190" s="16" t="s">
        <v>8598</v>
      </c>
      <c r="L1190" s="16"/>
      <c r="M1190" s="16"/>
      <c r="N1190" s="16"/>
      <c r="O1190" s="17"/>
      <c r="P1190" s="5" t="str">
        <f t="shared" si="35"/>
        <v>Truncate table FBRD08;</v>
      </c>
      <c r="Q1190" s="5"/>
      <c r="R1190" s="5"/>
    </row>
    <row r="1191" spans="2:18" x14ac:dyDescent="0.25">
      <c r="B1191" s="19" t="s">
        <v>1642</v>
      </c>
      <c r="C1191" s="16" t="s">
        <v>9006</v>
      </c>
      <c r="D1191" s="16" t="s">
        <v>29</v>
      </c>
      <c r="E1191" s="16"/>
      <c r="F1191" s="5"/>
      <c r="G1191" s="16" t="s">
        <v>35</v>
      </c>
      <c r="H1191" s="16"/>
      <c r="I1191" s="16"/>
      <c r="J1191" s="16"/>
      <c r="K1191" s="16"/>
      <c r="L1191" s="16"/>
      <c r="M1191" s="16"/>
      <c r="N1191" s="16"/>
      <c r="O1191" s="17"/>
      <c r="P1191" s="5" t="str">
        <f t="shared" si="35"/>
        <v>Truncate table FBRD09;</v>
      </c>
      <c r="Q1191" s="5"/>
      <c r="R1191" s="5"/>
    </row>
    <row r="1192" spans="2:18" x14ac:dyDescent="0.25">
      <c r="B1192" s="19" t="s">
        <v>1643</v>
      </c>
      <c r="C1192" s="16" t="s">
        <v>9007</v>
      </c>
      <c r="D1192" s="16" t="s">
        <v>29</v>
      </c>
      <c r="E1192" s="16"/>
      <c r="F1192" s="5"/>
      <c r="G1192" s="16" t="s">
        <v>35</v>
      </c>
      <c r="H1192" s="16"/>
      <c r="I1192" s="16"/>
      <c r="J1192" s="16"/>
      <c r="K1192" s="16"/>
      <c r="L1192" s="16"/>
      <c r="M1192" s="16"/>
      <c r="N1192" s="16"/>
      <c r="O1192" s="17"/>
      <c r="P1192" s="5" t="str">
        <f t="shared" si="35"/>
        <v>Truncate table FBRD10;</v>
      </c>
      <c r="Q1192" s="5"/>
      <c r="R1192" s="5"/>
    </row>
    <row r="1193" spans="2:18" x14ac:dyDescent="0.25">
      <c r="B1193" s="19" t="s">
        <v>1644</v>
      </c>
      <c r="C1193" s="16" t="s">
        <v>9008</v>
      </c>
      <c r="D1193" s="16" t="s">
        <v>29</v>
      </c>
      <c r="E1193" s="16"/>
      <c r="F1193" s="5"/>
      <c r="G1193" s="16" t="s">
        <v>35</v>
      </c>
      <c r="H1193" s="16"/>
      <c r="I1193" s="16"/>
      <c r="J1193" s="16"/>
      <c r="K1193" s="16"/>
      <c r="L1193" s="16"/>
      <c r="M1193" s="16"/>
      <c r="N1193" s="16"/>
      <c r="O1193" s="17"/>
      <c r="P1193" s="5" t="str">
        <f t="shared" si="35"/>
        <v>Truncate table FBRD11;</v>
      </c>
      <c r="Q1193" s="5"/>
      <c r="R1193" s="5"/>
    </row>
    <row r="1194" spans="2:18" x14ac:dyDescent="0.25">
      <c r="B1194" s="19" t="s">
        <v>1645</v>
      </c>
      <c r="C1194" s="16" t="s">
        <v>9009</v>
      </c>
      <c r="D1194" s="16" t="s">
        <v>29</v>
      </c>
      <c r="E1194" s="16"/>
      <c r="F1194" s="5"/>
      <c r="G1194" s="16" t="s">
        <v>35</v>
      </c>
      <c r="H1194" s="16"/>
      <c r="I1194" s="16"/>
      <c r="J1194" s="16"/>
      <c r="K1194" s="16"/>
      <c r="L1194" s="16"/>
      <c r="M1194" s="16"/>
      <c r="N1194" s="16"/>
      <c r="O1194" s="17"/>
      <c r="P1194" s="5" t="str">
        <f t="shared" si="35"/>
        <v>Truncate table FBRD12;</v>
      </c>
      <c r="Q1194" s="5"/>
      <c r="R1194" s="5"/>
    </row>
    <row r="1195" spans="2:18" x14ac:dyDescent="0.25">
      <c r="B1195" s="19" t="s">
        <v>1646</v>
      </c>
      <c r="C1195" s="16" t="s">
        <v>9010</v>
      </c>
      <c r="D1195" s="16" t="s">
        <v>29</v>
      </c>
      <c r="E1195" s="16"/>
      <c r="F1195" s="5"/>
      <c r="G1195" s="16" t="s">
        <v>35</v>
      </c>
      <c r="H1195" s="16"/>
      <c r="I1195" s="16"/>
      <c r="J1195" s="16"/>
      <c r="K1195" s="16"/>
      <c r="L1195" s="16"/>
      <c r="M1195" s="16"/>
      <c r="N1195" s="16"/>
      <c r="O1195" s="17"/>
      <c r="P1195" s="5" t="str">
        <f t="shared" si="35"/>
        <v>Truncate table FBRD13;</v>
      </c>
      <c r="Q1195" s="5"/>
      <c r="R1195" s="5"/>
    </row>
    <row r="1196" spans="2:18" x14ac:dyDescent="0.25">
      <c r="B1196" s="19" t="s">
        <v>1647</v>
      </c>
      <c r="C1196" s="305" t="s">
        <v>10005</v>
      </c>
      <c r="D1196" s="16" t="s">
        <v>29</v>
      </c>
      <c r="E1196" s="16"/>
      <c r="F1196" s="5"/>
      <c r="G1196" s="16" t="s">
        <v>35</v>
      </c>
      <c r="H1196" s="16"/>
      <c r="I1196" s="16"/>
      <c r="J1196" s="16"/>
      <c r="K1196" s="16"/>
      <c r="L1196" s="16"/>
      <c r="M1196" s="16"/>
      <c r="N1196" s="16"/>
      <c r="O1196" s="17"/>
      <c r="P1196" s="5" t="str">
        <f t="shared" si="35"/>
        <v>Truncate table FBRD14;</v>
      </c>
      <c r="Q1196" s="5"/>
      <c r="R1196" s="5"/>
    </row>
    <row r="1197" spans="2:18" x14ac:dyDescent="0.25">
      <c r="B1197" s="19" t="s">
        <v>1648</v>
      </c>
      <c r="C1197" s="16" t="s">
        <v>9011</v>
      </c>
      <c r="D1197" s="16" t="s">
        <v>29</v>
      </c>
      <c r="E1197" s="16"/>
      <c r="F1197" s="5"/>
      <c r="G1197" s="16" t="s">
        <v>35</v>
      </c>
      <c r="H1197" s="16"/>
      <c r="I1197" s="16"/>
      <c r="J1197" s="16"/>
      <c r="K1197" s="16"/>
      <c r="L1197" s="16"/>
      <c r="M1197" s="16"/>
      <c r="N1197" s="16"/>
      <c r="O1197" s="17"/>
      <c r="P1197" s="5" t="str">
        <f t="shared" si="35"/>
        <v>Truncate table FBRD15;</v>
      </c>
      <c r="Q1197" s="5"/>
      <c r="R1197" s="5"/>
    </row>
    <row r="1198" spans="2:18" x14ac:dyDescent="0.25">
      <c r="B1198" s="19" t="s">
        <v>1649</v>
      </c>
      <c r="C1198" s="16" t="s">
        <v>9012</v>
      </c>
      <c r="D1198" s="16" t="s">
        <v>29</v>
      </c>
      <c r="E1198" s="16"/>
      <c r="F1198" s="5"/>
      <c r="G1198" s="16" t="s">
        <v>35</v>
      </c>
      <c r="H1198" s="16"/>
      <c r="I1198" s="16"/>
      <c r="J1198" s="16"/>
      <c r="K1198" s="16"/>
      <c r="L1198" s="16"/>
      <c r="M1198" s="16"/>
      <c r="N1198" s="16"/>
      <c r="O1198" s="17"/>
      <c r="P1198" s="5" t="str">
        <f t="shared" si="35"/>
        <v>Truncate table FBRD17;</v>
      </c>
      <c r="Q1198" s="5"/>
      <c r="R1198" s="5"/>
    </row>
    <row r="1199" spans="2:18" x14ac:dyDescent="0.25">
      <c r="B1199" s="19" t="s">
        <v>1650</v>
      </c>
      <c r="C1199" s="16" t="s">
        <v>9013</v>
      </c>
      <c r="D1199" s="16" t="s">
        <v>29</v>
      </c>
      <c r="E1199" s="16"/>
      <c r="F1199" s="5"/>
      <c r="G1199" s="16" t="s">
        <v>35</v>
      </c>
      <c r="H1199" s="16"/>
      <c r="I1199" s="16"/>
      <c r="J1199" s="16"/>
      <c r="K1199" s="16"/>
      <c r="L1199" s="16"/>
      <c r="M1199" s="16"/>
      <c r="N1199" s="16"/>
      <c r="O1199" s="17"/>
      <c r="P1199" s="5" t="str">
        <f t="shared" si="35"/>
        <v>Truncate table FBRD18;</v>
      </c>
      <c r="Q1199" s="5"/>
      <c r="R1199" s="5"/>
    </row>
    <row r="1200" spans="2:18" x14ac:dyDescent="0.25">
      <c r="B1200" s="19" t="s">
        <v>1651</v>
      </c>
      <c r="C1200" s="16" t="s">
        <v>9014</v>
      </c>
      <c r="D1200" s="16" t="s">
        <v>29</v>
      </c>
      <c r="E1200" s="16"/>
      <c r="F1200" s="5"/>
      <c r="G1200" s="16" t="s">
        <v>35</v>
      </c>
      <c r="H1200" s="16"/>
      <c r="I1200" s="16"/>
      <c r="J1200" s="16"/>
      <c r="K1200" s="16"/>
      <c r="L1200" s="16"/>
      <c r="M1200" s="16"/>
      <c r="N1200" s="16"/>
      <c r="O1200" s="17"/>
      <c r="P1200" s="5" t="str">
        <f t="shared" si="35"/>
        <v>Truncate table FBRD20;</v>
      </c>
      <c r="Q1200" s="5"/>
      <c r="R1200" s="5"/>
    </row>
    <row r="1201" spans="2:18" x14ac:dyDescent="0.25">
      <c r="B1201" s="19" t="s">
        <v>1652</v>
      </c>
      <c r="C1201" s="305" t="s">
        <v>10006</v>
      </c>
      <c r="D1201" s="16" t="s">
        <v>29</v>
      </c>
      <c r="E1201" s="16"/>
      <c r="F1201" s="5"/>
      <c r="G1201" s="16" t="s">
        <v>35</v>
      </c>
      <c r="H1201" s="16"/>
      <c r="I1201" s="16"/>
      <c r="J1201" s="16"/>
      <c r="K1201" s="16"/>
      <c r="L1201" s="16"/>
      <c r="M1201" s="16"/>
      <c r="N1201" s="16"/>
      <c r="O1201" s="17"/>
      <c r="P1201" s="5" t="str">
        <f t="shared" si="35"/>
        <v>Truncate table FBRD25;</v>
      </c>
      <c r="Q1201" s="5"/>
      <c r="R1201" s="5"/>
    </row>
    <row r="1202" spans="2:18" x14ac:dyDescent="0.25">
      <c r="B1202" s="19" t="s">
        <v>1653</v>
      </c>
      <c r="C1202" s="16" t="s">
        <v>9015</v>
      </c>
      <c r="D1202" s="16" t="s">
        <v>29</v>
      </c>
      <c r="E1202" s="16"/>
      <c r="F1202" s="5"/>
      <c r="G1202" s="16" t="s">
        <v>35</v>
      </c>
      <c r="H1202" s="16"/>
      <c r="I1202" s="16"/>
      <c r="J1202" s="16"/>
      <c r="K1202" s="16"/>
      <c r="L1202" s="16"/>
      <c r="M1202" s="16"/>
      <c r="N1202" s="16"/>
      <c r="O1202" s="17"/>
      <c r="P1202" s="5" t="str">
        <f t="shared" si="35"/>
        <v>Truncate table FBRD26;</v>
      </c>
      <c r="Q1202" s="5"/>
      <c r="R1202" s="5"/>
    </row>
    <row r="1203" spans="2:18" x14ac:dyDescent="0.25">
      <c r="B1203" s="19" t="s">
        <v>1654</v>
      </c>
      <c r="C1203" s="16" t="s">
        <v>9016</v>
      </c>
      <c r="D1203" s="16" t="s">
        <v>29</v>
      </c>
      <c r="E1203" s="16"/>
      <c r="F1203" s="5"/>
      <c r="G1203" s="16" t="s">
        <v>35</v>
      </c>
      <c r="H1203" s="16"/>
      <c r="I1203" s="16"/>
      <c r="J1203" s="16"/>
      <c r="K1203" s="16"/>
      <c r="L1203" s="16"/>
      <c r="M1203" s="16"/>
      <c r="N1203" s="16"/>
      <c r="O1203" s="17"/>
      <c r="P1203" s="5" t="str">
        <f t="shared" si="35"/>
        <v>Truncate table FBRD27;</v>
      </c>
      <c r="Q1203" s="5"/>
      <c r="R1203" s="5"/>
    </row>
    <row r="1204" spans="2:18" x14ac:dyDescent="0.25">
      <c r="B1204" s="19" t="s">
        <v>1655</v>
      </c>
      <c r="C1204" s="16" t="s">
        <v>9017</v>
      </c>
      <c r="D1204" s="16" t="s">
        <v>29</v>
      </c>
      <c r="E1204" s="16"/>
      <c r="F1204" s="5"/>
      <c r="G1204" s="16" t="s">
        <v>35</v>
      </c>
      <c r="H1204" s="16"/>
      <c r="I1204" s="16"/>
      <c r="J1204" s="16"/>
      <c r="K1204" s="16"/>
      <c r="L1204" s="16"/>
      <c r="M1204" s="16"/>
      <c r="N1204" s="16"/>
      <c r="O1204" s="17"/>
      <c r="P1204" s="5" t="str">
        <f t="shared" si="35"/>
        <v>Truncate table FBRD28;</v>
      </c>
      <c r="Q1204" s="5"/>
      <c r="R1204" s="5"/>
    </row>
    <row r="1205" spans="2:18" x14ac:dyDescent="0.25">
      <c r="B1205" s="19" t="s">
        <v>1656</v>
      </c>
      <c r="C1205" s="16" t="s">
        <v>9018</v>
      </c>
      <c r="D1205" s="16" t="s">
        <v>29</v>
      </c>
      <c r="E1205" s="16"/>
      <c r="F1205" s="5"/>
      <c r="G1205" s="16" t="s">
        <v>35</v>
      </c>
      <c r="H1205" s="16"/>
      <c r="I1205" s="16"/>
      <c r="J1205" s="16"/>
      <c r="K1205" s="16"/>
      <c r="L1205" s="16"/>
      <c r="M1205" s="16"/>
      <c r="N1205" s="16"/>
      <c r="O1205" s="17"/>
      <c r="P1205" s="5" t="str">
        <f t="shared" si="35"/>
        <v>Truncate table FBRD30;</v>
      </c>
      <c r="Q1205" s="5"/>
      <c r="R1205" s="5"/>
    </row>
    <row r="1206" spans="2:18" x14ac:dyDescent="0.25">
      <c r="B1206" s="19" t="s">
        <v>1657</v>
      </c>
      <c r="C1206" s="16" t="s">
        <v>9019</v>
      </c>
      <c r="D1206" s="16" t="s">
        <v>29</v>
      </c>
      <c r="E1206" s="16"/>
      <c r="F1206" s="5"/>
      <c r="G1206" s="16" t="s">
        <v>35</v>
      </c>
      <c r="H1206" s="16"/>
      <c r="I1206" s="16"/>
      <c r="J1206" s="16"/>
      <c r="K1206" s="16"/>
      <c r="L1206" s="16"/>
      <c r="M1206" s="16"/>
      <c r="N1206" s="16"/>
      <c r="O1206" s="17"/>
      <c r="P1206" s="5" t="str">
        <f t="shared" si="35"/>
        <v>Truncate table FBRD31;</v>
      </c>
      <c r="Q1206" s="5"/>
      <c r="R1206" s="5"/>
    </row>
    <row r="1207" spans="2:18" x14ac:dyDescent="0.25">
      <c r="B1207" s="19" t="s">
        <v>1658</v>
      </c>
      <c r="C1207" s="16" t="s">
        <v>9020</v>
      </c>
      <c r="D1207" s="16" t="s">
        <v>29</v>
      </c>
      <c r="E1207" s="16"/>
      <c r="F1207" s="5"/>
      <c r="G1207" s="16" t="s">
        <v>35</v>
      </c>
      <c r="H1207" s="16"/>
      <c r="I1207" s="16"/>
      <c r="J1207" s="16"/>
      <c r="K1207" s="16"/>
      <c r="L1207" s="16"/>
      <c r="M1207" s="16"/>
      <c r="N1207" s="16"/>
      <c r="O1207" s="17"/>
      <c r="P1207" s="5" t="str">
        <f t="shared" si="35"/>
        <v>Truncate table FBRD32;</v>
      </c>
      <c r="Q1207" s="5"/>
      <c r="R1207" s="5"/>
    </row>
    <row r="1208" spans="2:18" x14ac:dyDescent="0.25">
      <c r="B1208" s="19" t="s">
        <v>1659</v>
      </c>
      <c r="C1208" s="16" t="s">
        <v>9021</v>
      </c>
      <c r="D1208" s="16" t="s">
        <v>29</v>
      </c>
      <c r="E1208" s="16"/>
      <c r="F1208" s="5"/>
      <c r="G1208" s="16" t="s">
        <v>35</v>
      </c>
      <c r="H1208" s="16"/>
      <c r="I1208" s="16"/>
      <c r="J1208" s="16"/>
      <c r="K1208" s="16"/>
      <c r="L1208" s="16"/>
      <c r="M1208" s="16"/>
      <c r="N1208" s="16"/>
      <c r="O1208" s="17"/>
      <c r="P1208" s="5" t="str">
        <f t="shared" si="35"/>
        <v>Truncate table FBRD33;</v>
      </c>
      <c r="Q1208" s="5"/>
      <c r="R1208" s="5"/>
    </row>
    <row r="1209" spans="2:18" x14ac:dyDescent="0.25">
      <c r="B1209" s="19" t="s">
        <v>1660</v>
      </c>
      <c r="C1209" s="16" t="s">
        <v>9022</v>
      </c>
      <c r="D1209" s="16" t="s">
        <v>29</v>
      </c>
      <c r="E1209" s="16"/>
      <c r="F1209" s="5"/>
      <c r="G1209" s="16" t="s">
        <v>35</v>
      </c>
      <c r="H1209" s="16"/>
      <c r="I1209" s="16"/>
      <c r="J1209" s="16"/>
      <c r="K1209" s="16"/>
      <c r="L1209" s="16"/>
      <c r="M1209" s="16"/>
      <c r="N1209" s="16"/>
      <c r="O1209" s="17"/>
      <c r="P1209" s="5" t="str">
        <f t="shared" si="35"/>
        <v>Truncate table FBRD34;</v>
      </c>
      <c r="Q1209" s="5"/>
      <c r="R1209" s="5"/>
    </row>
    <row r="1210" spans="2:18" x14ac:dyDescent="0.25">
      <c r="B1210" s="19" t="s">
        <v>1661</v>
      </c>
      <c r="C1210" s="16" t="s">
        <v>9023</v>
      </c>
      <c r="D1210" s="16" t="s">
        <v>29</v>
      </c>
      <c r="E1210" s="16"/>
      <c r="F1210" s="5"/>
      <c r="G1210" s="16" t="s">
        <v>35</v>
      </c>
      <c r="H1210" s="16"/>
      <c r="I1210" s="16"/>
      <c r="J1210" s="16"/>
      <c r="K1210" s="16"/>
      <c r="L1210" s="16"/>
      <c r="M1210" s="16"/>
      <c r="N1210" s="16"/>
      <c r="O1210" s="17"/>
      <c r="P1210" s="5" t="str">
        <f t="shared" si="35"/>
        <v>Truncate table FBRD35;</v>
      </c>
      <c r="Q1210" s="5"/>
      <c r="R1210" s="5"/>
    </row>
    <row r="1211" spans="2:18" x14ac:dyDescent="0.25">
      <c r="B1211" s="19" t="s">
        <v>1662</v>
      </c>
      <c r="C1211" s="16" t="s">
        <v>9024</v>
      </c>
      <c r="D1211" s="16" t="s">
        <v>29</v>
      </c>
      <c r="E1211" s="16"/>
      <c r="F1211" s="5"/>
      <c r="G1211" s="16" t="s">
        <v>35</v>
      </c>
      <c r="H1211" s="16"/>
      <c r="I1211" s="16"/>
      <c r="J1211" s="16"/>
      <c r="K1211" s="16"/>
      <c r="L1211" s="16"/>
      <c r="M1211" s="16"/>
      <c r="N1211" s="16"/>
      <c r="O1211" s="17"/>
      <c r="P1211" s="5" t="str">
        <f t="shared" si="35"/>
        <v>Truncate table FBRD36;</v>
      </c>
      <c r="Q1211" s="5"/>
      <c r="R1211" s="5"/>
    </row>
    <row r="1212" spans="2:18" x14ac:dyDescent="0.25">
      <c r="B1212" s="19" t="s">
        <v>1663</v>
      </c>
      <c r="C1212" s="16" t="s">
        <v>9025</v>
      </c>
      <c r="D1212" s="16" t="s">
        <v>29</v>
      </c>
      <c r="E1212" s="16"/>
      <c r="F1212" s="5"/>
      <c r="G1212" s="16" t="s">
        <v>35</v>
      </c>
      <c r="H1212" s="16"/>
      <c r="I1212" s="16"/>
      <c r="J1212" s="16"/>
      <c r="K1212" s="16"/>
      <c r="L1212" s="16"/>
      <c r="M1212" s="16"/>
      <c r="N1212" s="16"/>
      <c r="O1212" s="17"/>
      <c r="P1212" s="5" t="str">
        <f t="shared" si="35"/>
        <v>Truncate table FBRD37;</v>
      </c>
      <c r="Q1212" s="5"/>
      <c r="R1212" s="5"/>
    </row>
    <row r="1213" spans="2:18" x14ac:dyDescent="0.25">
      <c r="B1213" s="19" t="s">
        <v>1664</v>
      </c>
      <c r="C1213" s="16" t="s">
        <v>9026</v>
      </c>
      <c r="D1213" s="16" t="s">
        <v>29</v>
      </c>
      <c r="E1213" s="16"/>
      <c r="F1213" s="5"/>
      <c r="G1213" s="16" t="s">
        <v>35</v>
      </c>
      <c r="H1213" s="16"/>
      <c r="I1213" s="16"/>
      <c r="J1213" s="16"/>
      <c r="K1213" s="16"/>
      <c r="L1213" s="16"/>
      <c r="M1213" s="16"/>
      <c r="N1213" s="16"/>
      <c r="O1213" s="17"/>
      <c r="P1213" s="5" t="str">
        <f t="shared" si="35"/>
        <v>Truncate table FBRD38;</v>
      </c>
      <c r="Q1213" s="5"/>
      <c r="R1213" s="5"/>
    </row>
    <row r="1214" spans="2:18" x14ac:dyDescent="0.25">
      <c r="B1214" s="19" t="s">
        <v>1665</v>
      </c>
      <c r="C1214" s="16" t="s">
        <v>9027</v>
      </c>
      <c r="D1214" s="16" t="s">
        <v>29</v>
      </c>
      <c r="E1214" s="16"/>
      <c r="F1214" s="5"/>
      <c r="G1214" s="16" t="s">
        <v>35</v>
      </c>
      <c r="H1214" s="16"/>
      <c r="I1214" s="16"/>
      <c r="J1214" s="16"/>
      <c r="K1214" s="16"/>
      <c r="L1214" s="16"/>
      <c r="M1214" s="16"/>
      <c r="N1214" s="16"/>
      <c r="O1214" s="17"/>
      <c r="P1214" s="5" t="str">
        <f t="shared" si="35"/>
        <v>Truncate table FBRD39;</v>
      </c>
      <c r="Q1214" s="5"/>
      <c r="R1214" s="5"/>
    </row>
    <row r="1215" spans="2:18" x14ac:dyDescent="0.25">
      <c r="B1215" s="19" t="s">
        <v>1666</v>
      </c>
      <c r="C1215" s="16" t="s">
        <v>9028</v>
      </c>
      <c r="D1215" s="16" t="s">
        <v>29</v>
      </c>
      <c r="E1215" s="16"/>
      <c r="F1215" s="5"/>
      <c r="G1215" s="16" t="s">
        <v>35</v>
      </c>
      <c r="H1215" s="16"/>
      <c r="I1215" s="16"/>
      <c r="J1215" s="16"/>
      <c r="K1215" s="16"/>
      <c r="L1215" s="16"/>
      <c r="M1215" s="16"/>
      <c r="N1215" s="16"/>
      <c r="O1215" s="17"/>
      <c r="P1215" s="5" t="str">
        <f t="shared" si="35"/>
        <v>Truncate table FBRD42;</v>
      </c>
      <c r="Q1215" s="5"/>
      <c r="R1215" s="5"/>
    </row>
    <row r="1216" spans="2:18" x14ac:dyDescent="0.25">
      <c r="B1216" s="19" t="s">
        <v>1667</v>
      </c>
      <c r="C1216" s="16" t="s">
        <v>9029</v>
      </c>
      <c r="D1216" s="16" t="s">
        <v>29</v>
      </c>
      <c r="E1216" s="16"/>
      <c r="F1216" s="5"/>
      <c r="G1216" s="16" t="s">
        <v>35</v>
      </c>
      <c r="H1216" s="16"/>
      <c r="I1216" s="16"/>
      <c r="J1216" s="16"/>
      <c r="K1216" s="16"/>
      <c r="L1216" s="16"/>
      <c r="M1216" s="16"/>
      <c r="N1216" s="16"/>
      <c r="O1216" s="17"/>
      <c r="P1216" s="5" t="str">
        <f t="shared" si="35"/>
        <v>Truncate table FBRD54;</v>
      </c>
      <c r="Q1216" s="5"/>
      <c r="R1216" s="5"/>
    </row>
    <row r="1217" spans="1:18" x14ac:dyDescent="0.25">
      <c r="B1217" s="19" t="s">
        <v>1668</v>
      </c>
      <c r="C1217" s="16" t="s">
        <v>9030</v>
      </c>
      <c r="D1217" s="16" t="s">
        <v>29</v>
      </c>
      <c r="E1217" s="16"/>
      <c r="F1217" s="5"/>
      <c r="G1217" s="16" t="s">
        <v>35</v>
      </c>
      <c r="H1217" s="16"/>
      <c r="I1217" s="16"/>
      <c r="J1217" s="16"/>
      <c r="K1217" s="16"/>
      <c r="L1217" s="16"/>
      <c r="M1217" s="16"/>
      <c r="N1217" s="16"/>
      <c r="O1217" s="17"/>
      <c r="P1217" s="5" t="str">
        <f t="shared" si="35"/>
        <v>Truncate table FBRD58;</v>
      </c>
      <c r="Q1217" s="5"/>
      <c r="R1217" s="5"/>
    </row>
    <row r="1218" spans="1:18" x14ac:dyDescent="0.25">
      <c r="B1218" s="19" t="s">
        <v>1669</v>
      </c>
      <c r="C1218" s="16" t="s">
        <v>9031</v>
      </c>
      <c r="D1218" s="16" t="s">
        <v>29</v>
      </c>
      <c r="E1218" s="16"/>
      <c r="F1218" s="5"/>
      <c r="G1218" s="16" t="s">
        <v>35</v>
      </c>
      <c r="H1218" s="16"/>
      <c r="I1218" s="16"/>
      <c r="J1218" s="16"/>
      <c r="K1218" s="16"/>
      <c r="L1218" s="16"/>
      <c r="M1218" s="16"/>
      <c r="N1218" s="16"/>
      <c r="O1218" s="17"/>
      <c r="P1218" s="5" t="str">
        <f t="shared" si="35"/>
        <v>Truncate table FBRD60;</v>
      </c>
      <c r="Q1218" s="5"/>
      <c r="R1218" s="5"/>
    </row>
    <row r="1219" spans="1:18" x14ac:dyDescent="0.25">
      <c r="A1219" s="240"/>
      <c r="B1219" s="19" t="s">
        <v>9531</v>
      </c>
      <c r="C1219" s="305" t="s">
        <v>10007</v>
      </c>
      <c r="D1219" s="16" t="s">
        <v>8152</v>
      </c>
      <c r="E1219" s="16"/>
      <c r="F1219" s="5"/>
      <c r="G1219" s="16"/>
      <c r="H1219" s="16"/>
      <c r="I1219" s="16"/>
      <c r="J1219" s="16"/>
      <c r="K1219" s="16"/>
      <c r="L1219" s="16"/>
      <c r="M1219" s="16"/>
      <c r="N1219" s="16"/>
      <c r="O1219" s="17"/>
      <c r="P1219" s="5" t="str">
        <f t="shared" si="35"/>
        <v/>
      </c>
      <c r="Q1219" s="5"/>
      <c r="R1219" s="5"/>
    </row>
    <row r="1220" spans="1:18" x14ac:dyDescent="0.25">
      <c r="B1220" s="19" t="s">
        <v>1670</v>
      </c>
      <c r="C1220" s="16" t="s">
        <v>8603</v>
      </c>
      <c r="D1220" s="16" t="s">
        <v>8152</v>
      </c>
      <c r="E1220" s="16" t="s">
        <v>54</v>
      </c>
      <c r="F1220" s="5" t="s">
        <v>8193</v>
      </c>
      <c r="G1220" s="16" t="s">
        <v>35</v>
      </c>
      <c r="H1220" s="16" t="s">
        <v>36</v>
      </c>
      <c r="I1220" s="16"/>
      <c r="J1220" s="16"/>
      <c r="K1220" s="16" t="s">
        <v>8598</v>
      </c>
      <c r="L1220" s="16"/>
      <c r="M1220" s="16"/>
      <c r="N1220" s="16"/>
      <c r="O1220" s="17"/>
      <c r="P1220" s="5" t="str">
        <f t="shared" si="35"/>
        <v/>
      </c>
      <c r="Q1220" s="5"/>
      <c r="R1220" s="5"/>
    </row>
    <row r="1221" spans="1:18" x14ac:dyDescent="0.25">
      <c r="B1221" s="19" t="s">
        <v>1671</v>
      </c>
      <c r="C1221" s="16" t="s">
        <v>9032</v>
      </c>
      <c r="D1221" s="16" t="s">
        <v>29</v>
      </c>
      <c r="E1221" s="16"/>
      <c r="F1221" s="5"/>
      <c r="G1221" s="16" t="s">
        <v>35</v>
      </c>
      <c r="H1221" s="16"/>
      <c r="I1221" s="16"/>
      <c r="J1221" s="16"/>
      <c r="K1221" s="16"/>
      <c r="L1221" s="16"/>
      <c r="M1221" s="16"/>
      <c r="N1221" s="16"/>
      <c r="O1221" s="17"/>
      <c r="P1221" s="5" t="str">
        <f t="shared" si="35"/>
        <v>Truncate table FBRE02;</v>
      </c>
      <c r="Q1221" s="5"/>
      <c r="R1221" s="5"/>
    </row>
    <row r="1222" spans="1:18" x14ac:dyDescent="0.25">
      <c r="B1222" s="19" t="s">
        <v>1672</v>
      </c>
      <c r="C1222" s="16" t="s">
        <v>8602</v>
      </c>
      <c r="D1222" s="16" t="s">
        <v>8152</v>
      </c>
      <c r="E1222" s="16" t="s">
        <v>54</v>
      </c>
      <c r="F1222" s="5" t="s">
        <v>8193</v>
      </c>
      <c r="G1222" s="16" t="s">
        <v>35</v>
      </c>
      <c r="H1222" s="16" t="s">
        <v>36</v>
      </c>
      <c r="I1222" s="16"/>
      <c r="J1222" s="16"/>
      <c r="K1222" s="16" t="s">
        <v>8598</v>
      </c>
      <c r="L1222" s="16"/>
      <c r="M1222" s="16"/>
      <c r="N1222" s="16"/>
      <c r="O1222" s="17"/>
      <c r="P1222" s="5" t="str">
        <f t="shared" si="35"/>
        <v/>
      </c>
      <c r="Q1222" s="5"/>
      <c r="R1222" s="5"/>
    </row>
    <row r="1223" spans="1:18" x14ac:dyDescent="0.25">
      <c r="B1223" s="19" t="s">
        <v>1673</v>
      </c>
      <c r="C1223" s="16" t="s">
        <v>9033</v>
      </c>
      <c r="D1223" s="16" t="s">
        <v>29</v>
      </c>
      <c r="E1223" s="16"/>
      <c r="F1223" s="5"/>
      <c r="G1223" s="16" t="s">
        <v>35</v>
      </c>
      <c r="H1223" s="16"/>
      <c r="I1223" s="16"/>
      <c r="J1223" s="16"/>
      <c r="K1223" s="16"/>
      <c r="L1223" s="16"/>
      <c r="M1223" s="16"/>
      <c r="N1223" s="16"/>
      <c r="O1223" s="17"/>
      <c r="P1223" s="5" t="str">
        <f t="shared" si="35"/>
        <v>Truncate table FBRE05;</v>
      </c>
      <c r="Q1223" s="5"/>
      <c r="R1223" s="5"/>
    </row>
    <row r="1224" spans="1:18" x14ac:dyDescent="0.25">
      <c r="B1224" s="19" t="s">
        <v>1674</v>
      </c>
      <c r="C1224" s="16" t="s">
        <v>9034</v>
      </c>
      <c r="D1224" s="16" t="s">
        <v>29</v>
      </c>
      <c r="E1224" s="16"/>
      <c r="F1224" s="5"/>
      <c r="G1224" s="16" t="s">
        <v>35</v>
      </c>
      <c r="H1224" s="16"/>
      <c r="I1224" s="16"/>
      <c r="J1224" s="16"/>
      <c r="K1224" s="16"/>
      <c r="L1224" s="16"/>
      <c r="M1224" s="16"/>
      <c r="N1224" s="16"/>
      <c r="O1224" s="17"/>
      <c r="P1224" s="5" t="str">
        <f t="shared" si="35"/>
        <v>Truncate table FBRE06;</v>
      </c>
      <c r="Q1224" s="5"/>
      <c r="R1224" s="5"/>
    </row>
    <row r="1225" spans="1:18" x14ac:dyDescent="0.25">
      <c r="B1225" s="19" t="s">
        <v>1675</v>
      </c>
      <c r="C1225" s="16" t="s">
        <v>9035</v>
      </c>
      <c r="D1225" s="16" t="s">
        <v>29</v>
      </c>
      <c r="E1225" s="16"/>
      <c r="F1225" s="5"/>
      <c r="G1225" s="16" t="s">
        <v>35</v>
      </c>
      <c r="H1225" s="16"/>
      <c r="I1225" s="16"/>
      <c r="J1225" s="16"/>
      <c r="K1225" s="16"/>
      <c r="L1225" s="16"/>
      <c r="M1225" s="16"/>
      <c r="N1225" s="16"/>
      <c r="O1225" s="17"/>
      <c r="P1225" s="5" t="str">
        <f t="shared" si="35"/>
        <v>Truncate table FBRE07;</v>
      </c>
      <c r="Q1225" s="5"/>
      <c r="R1225" s="5"/>
    </row>
    <row r="1226" spans="1:18" x14ac:dyDescent="0.25">
      <c r="B1226" s="19" t="s">
        <v>1676</v>
      </c>
      <c r="C1226" s="16" t="s">
        <v>9036</v>
      </c>
      <c r="D1226" s="16" t="s">
        <v>29</v>
      </c>
      <c r="E1226" s="16"/>
      <c r="F1226" s="5"/>
      <c r="G1226" s="16" t="s">
        <v>35</v>
      </c>
      <c r="H1226" s="16"/>
      <c r="I1226" s="16"/>
      <c r="J1226" s="16"/>
      <c r="K1226" s="16"/>
      <c r="L1226" s="16"/>
      <c r="M1226" s="16"/>
      <c r="N1226" s="16"/>
      <c r="O1226" s="17"/>
      <c r="P1226" s="5" t="str">
        <f t="shared" si="35"/>
        <v>Truncate table FBRH01;</v>
      </c>
      <c r="Q1226" s="5"/>
      <c r="R1226" s="5"/>
    </row>
    <row r="1227" spans="1:18" x14ac:dyDescent="0.25">
      <c r="B1227" s="19" t="s">
        <v>1677</v>
      </c>
      <c r="C1227" s="16" t="s">
        <v>9037</v>
      </c>
      <c r="D1227" s="16" t="s">
        <v>29</v>
      </c>
      <c r="E1227" s="16"/>
      <c r="F1227" s="5"/>
      <c r="G1227" s="16" t="s">
        <v>35</v>
      </c>
      <c r="H1227" s="16"/>
      <c r="I1227" s="16"/>
      <c r="J1227" s="16"/>
      <c r="K1227" s="16"/>
      <c r="L1227" s="16"/>
      <c r="M1227" s="16"/>
      <c r="N1227" s="16"/>
      <c r="O1227" s="17"/>
      <c r="P1227" s="5" t="str">
        <f t="shared" si="35"/>
        <v>Truncate table FBRH02;</v>
      </c>
      <c r="Q1227" s="5"/>
      <c r="R1227" s="5"/>
    </row>
    <row r="1228" spans="1:18" x14ac:dyDescent="0.25">
      <c r="B1228" s="19" t="s">
        <v>1678</v>
      </c>
      <c r="C1228" s="16" t="s">
        <v>9038</v>
      </c>
      <c r="D1228" s="16" t="s">
        <v>29</v>
      </c>
      <c r="E1228" s="16"/>
      <c r="F1228" s="5"/>
      <c r="G1228" s="16" t="s">
        <v>35</v>
      </c>
      <c r="H1228" s="16"/>
      <c r="I1228" s="16"/>
      <c r="J1228" s="16"/>
      <c r="K1228" s="16"/>
      <c r="L1228" s="16"/>
      <c r="M1228" s="16"/>
      <c r="N1228" s="16"/>
      <c r="O1228" s="17"/>
      <c r="P1228" s="5" t="str">
        <f t="shared" si="35"/>
        <v>Truncate table FBRH03;</v>
      </c>
      <c r="Q1228" s="5"/>
      <c r="R1228" s="5"/>
    </row>
    <row r="1229" spans="1:18" x14ac:dyDescent="0.25">
      <c r="B1229" s="19" t="s">
        <v>1679</v>
      </c>
      <c r="C1229" s="16" t="s">
        <v>9039</v>
      </c>
      <c r="D1229" s="16" t="s">
        <v>29</v>
      </c>
      <c r="E1229" s="16"/>
      <c r="F1229" s="5"/>
      <c r="G1229" s="16" t="s">
        <v>35</v>
      </c>
      <c r="H1229" s="16"/>
      <c r="I1229" s="16"/>
      <c r="J1229" s="16"/>
      <c r="K1229" s="16"/>
      <c r="L1229" s="16"/>
      <c r="M1229" s="16"/>
      <c r="N1229" s="16"/>
      <c r="O1229" s="17"/>
      <c r="P1229" s="5" t="str">
        <f t="shared" si="35"/>
        <v>Truncate table FBRH04;</v>
      </c>
      <c r="Q1229" s="5"/>
      <c r="R1229" s="5"/>
    </row>
    <row r="1230" spans="1:18" x14ac:dyDescent="0.25">
      <c r="B1230" s="19" t="s">
        <v>1680</v>
      </c>
      <c r="C1230" s="16" t="s">
        <v>9040</v>
      </c>
      <c r="D1230" s="16" t="s">
        <v>29</v>
      </c>
      <c r="E1230" s="16"/>
      <c r="F1230" s="5"/>
      <c r="G1230" s="16" t="s">
        <v>35</v>
      </c>
      <c r="H1230" s="16"/>
      <c r="I1230" s="16"/>
      <c r="J1230" s="16"/>
      <c r="K1230" s="16"/>
      <c r="L1230" s="16"/>
      <c r="M1230" s="16"/>
      <c r="N1230" s="16"/>
      <c r="O1230" s="17"/>
      <c r="P1230" s="5" t="str">
        <f t="shared" si="35"/>
        <v>Truncate table FBRH05;</v>
      </c>
      <c r="Q1230" s="5"/>
      <c r="R1230" s="5"/>
    </row>
    <row r="1231" spans="1:18" x14ac:dyDescent="0.25">
      <c r="B1231" s="19" t="s">
        <v>1681</v>
      </c>
      <c r="C1231" s="16" t="s">
        <v>9041</v>
      </c>
      <c r="D1231" s="16" t="s">
        <v>29</v>
      </c>
      <c r="E1231" s="16"/>
      <c r="F1231" s="5"/>
      <c r="G1231" s="16" t="s">
        <v>35</v>
      </c>
      <c r="H1231" s="16"/>
      <c r="I1231" s="16"/>
      <c r="J1231" s="16"/>
      <c r="K1231" s="16"/>
      <c r="L1231" s="16"/>
      <c r="M1231" s="16"/>
      <c r="N1231" s="16"/>
      <c r="O1231" s="17"/>
      <c r="P1231" s="5" t="str">
        <f t="shared" si="35"/>
        <v>Truncate table FBRH06;</v>
      </c>
      <c r="Q1231" s="5"/>
      <c r="R1231" s="5"/>
    </row>
    <row r="1232" spans="1:18" x14ac:dyDescent="0.25">
      <c r="B1232" s="19" t="s">
        <v>1682</v>
      </c>
      <c r="C1232" s="16" t="s">
        <v>9043</v>
      </c>
      <c r="D1232" s="16" t="s">
        <v>29</v>
      </c>
      <c r="E1232" s="16"/>
      <c r="F1232" s="5"/>
      <c r="G1232" s="16" t="s">
        <v>35</v>
      </c>
      <c r="H1232" s="16"/>
      <c r="I1232" s="16"/>
      <c r="J1232" s="16"/>
      <c r="K1232" s="16"/>
      <c r="L1232" s="16"/>
      <c r="M1232" s="16"/>
      <c r="N1232" s="16"/>
      <c r="O1232" s="17"/>
      <c r="P1232" s="5" t="str">
        <f t="shared" si="35"/>
        <v>Truncate table FBRH07;</v>
      </c>
      <c r="Q1232" s="5"/>
      <c r="R1232" s="5"/>
    </row>
    <row r="1233" spans="2:18" x14ac:dyDescent="0.25">
      <c r="B1233" s="19" t="s">
        <v>1683</v>
      </c>
      <c r="C1233" s="16" t="s">
        <v>8608</v>
      </c>
      <c r="D1233" s="16" t="s">
        <v>29</v>
      </c>
      <c r="E1233" s="16" t="s">
        <v>54</v>
      </c>
      <c r="F1233" s="5" t="s">
        <v>8193</v>
      </c>
      <c r="G1233" s="16" t="s">
        <v>35</v>
      </c>
      <c r="H1233" s="16" t="s">
        <v>36</v>
      </c>
      <c r="I1233" s="16"/>
      <c r="J1233" s="16"/>
      <c r="K1233" s="16" t="s">
        <v>8598</v>
      </c>
      <c r="L1233" s="16"/>
      <c r="M1233" s="16"/>
      <c r="N1233" s="16"/>
      <c r="O1233" s="17"/>
      <c r="P1233" s="5" t="str">
        <f t="shared" si="35"/>
        <v>Truncate table FBRH10;</v>
      </c>
      <c r="Q1233" s="5"/>
      <c r="R1233" s="5"/>
    </row>
    <row r="1234" spans="2:18" x14ac:dyDescent="0.25">
      <c r="B1234" s="19" t="s">
        <v>1684</v>
      </c>
      <c r="C1234" s="16" t="s">
        <v>8609</v>
      </c>
      <c r="D1234" s="16" t="s">
        <v>29</v>
      </c>
      <c r="E1234" s="16" t="s">
        <v>54</v>
      </c>
      <c r="F1234" s="5" t="s">
        <v>8193</v>
      </c>
      <c r="G1234" s="16" t="s">
        <v>35</v>
      </c>
      <c r="H1234" s="16" t="s">
        <v>36</v>
      </c>
      <c r="I1234" s="16"/>
      <c r="J1234" s="16"/>
      <c r="K1234" s="16" t="s">
        <v>8598</v>
      </c>
      <c r="L1234" s="16"/>
      <c r="M1234" s="16"/>
      <c r="N1234" s="16"/>
      <c r="O1234" s="17"/>
      <c r="P1234" s="5" t="str">
        <f t="shared" si="35"/>
        <v>Truncate table FBRH11;</v>
      </c>
      <c r="Q1234" s="5"/>
      <c r="R1234" s="5"/>
    </row>
    <row r="1235" spans="2:18" x14ac:dyDescent="0.25">
      <c r="B1235" s="19" t="s">
        <v>1685</v>
      </c>
      <c r="C1235" s="16" t="s">
        <v>9044</v>
      </c>
      <c r="D1235" s="16" t="s">
        <v>29</v>
      </c>
      <c r="E1235" s="16"/>
      <c r="F1235" s="5"/>
      <c r="G1235" s="16" t="s">
        <v>35</v>
      </c>
      <c r="H1235" s="16"/>
      <c r="I1235" s="16"/>
      <c r="J1235" s="16"/>
      <c r="K1235" s="16"/>
      <c r="L1235" s="16"/>
      <c r="M1235" s="16"/>
      <c r="N1235" s="16"/>
      <c r="O1235" s="17"/>
      <c r="P1235" s="5" t="str">
        <f t="shared" si="35"/>
        <v>Truncate table FBRH16;</v>
      </c>
      <c r="Q1235" s="5"/>
      <c r="R1235" s="5"/>
    </row>
    <row r="1236" spans="2:18" x14ac:dyDescent="0.25">
      <c r="B1236" s="19" t="s">
        <v>1686</v>
      </c>
      <c r="C1236" s="305" t="s">
        <v>10008</v>
      </c>
      <c r="D1236" s="16" t="s">
        <v>29</v>
      </c>
      <c r="E1236" s="16"/>
      <c r="F1236" s="5"/>
      <c r="G1236" s="16" t="s">
        <v>35</v>
      </c>
      <c r="H1236" s="16"/>
      <c r="I1236" s="16"/>
      <c r="J1236" s="16"/>
      <c r="K1236" s="16"/>
      <c r="L1236" s="16"/>
      <c r="M1236" s="16"/>
      <c r="N1236" s="16"/>
      <c r="O1236" s="17"/>
      <c r="P1236" s="5" t="str">
        <f t="shared" si="35"/>
        <v>Truncate table FBRH20;</v>
      </c>
      <c r="Q1236" s="5"/>
      <c r="R1236" s="5"/>
    </row>
    <row r="1237" spans="2:18" x14ac:dyDescent="0.25">
      <c r="B1237" s="19" t="s">
        <v>1687</v>
      </c>
      <c r="C1237" s="16" t="s">
        <v>9045</v>
      </c>
      <c r="D1237" s="16" t="s">
        <v>29</v>
      </c>
      <c r="E1237" s="16"/>
      <c r="F1237" s="5"/>
      <c r="G1237" s="16" t="s">
        <v>35</v>
      </c>
      <c r="H1237" s="16"/>
      <c r="I1237" s="16"/>
      <c r="J1237" s="16"/>
      <c r="K1237" s="16"/>
      <c r="L1237" s="16"/>
      <c r="M1237" s="16"/>
      <c r="N1237" s="16"/>
      <c r="O1237" s="17"/>
      <c r="P1237" s="5" t="str">
        <f t="shared" si="35"/>
        <v>Truncate table FBRH21;</v>
      </c>
      <c r="Q1237" s="5"/>
      <c r="R1237" s="5"/>
    </row>
    <row r="1238" spans="2:18" x14ac:dyDescent="0.25">
      <c r="B1238" s="19" t="s">
        <v>1688</v>
      </c>
      <c r="C1238" s="16" t="s">
        <v>9046</v>
      </c>
      <c r="D1238" s="16" t="s">
        <v>29</v>
      </c>
      <c r="E1238" s="16"/>
      <c r="F1238" s="5"/>
      <c r="G1238" s="16" t="s">
        <v>35</v>
      </c>
      <c r="H1238" s="16"/>
      <c r="I1238" s="16"/>
      <c r="J1238" s="16"/>
      <c r="K1238" s="16"/>
      <c r="L1238" s="16"/>
      <c r="M1238" s="16"/>
      <c r="N1238" s="16"/>
      <c r="O1238" s="17"/>
      <c r="P1238" s="5" t="str">
        <f t="shared" si="35"/>
        <v>Truncate table FBRH22;</v>
      </c>
      <c r="Q1238" s="5"/>
      <c r="R1238" s="5"/>
    </row>
    <row r="1239" spans="2:18" x14ac:dyDescent="0.25">
      <c r="B1239" s="19" t="s">
        <v>1689</v>
      </c>
      <c r="C1239" s="16" t="s">
        <v>9047</v>
      </c>
      <c r="D1239" s="16" t="s">
        <v>29</v>
      </c>
      <c r="E1239" s="16"/>
      <c r="F1239" s="5"/>
      <c r="G1239" s="16" t="s">
        <v>35</v>
      </c>
      <c r="H1239" s="16"/>
      <c r="I1239" s="16"/>
      <c r="J1239" s="16"/>
      <c r="K1239" s="16"/>
      <c r="L1239" s="16"/>
      <c r="M1239" s="16"/>
      <c r="N1239" s="16"/>
      <c r="O1239" s="17"/>
      <c r="P1239" s="5" t="str">
        <f t="shared" ref="P1239:P1302" si="36">IF(D1239="Datos","Truncate table "&amp; B1239&amp; ";","")</f>
        <v>Truncate table FBRH23;</v>
      </c>
      <c r="Q1239" s="5"/>
      <c r="R1239" s="5"/>
    </row>
    <row r="1240" spans="2:18" x14ac:dyDescent="0.25">
      <c r="B1240" s="19" t="s">
        <v>1690</v>
      </c>
      <c r="C1240" s="16" t="s">
        <v>9048</v>
      </c>
      <c r="D1240" s="16" t="s">
        <v>29</v>
      </c>
      <c r="E1240" s="16"/>
      <c r="F1240" s="5"/>
      <c r="G1240" s="16" t="s">
        <v>35</v>
      </c>
      <c r="H1240" s="16"/>
      <c r="I1240" s="16"/>
      <c r="J1240" s="16"/>
      <c r="K1240" s="16"/>
      <c r="L1240" s="16"/>
      <c r="M1240" s="16"/>
      <c r="N1240" s="16"/>
      <c r="O1240" s="17"/>
      <c r="P1240" s="5" t="str">
        <f t="shared" si="36"/>
        <v>Truncate table FBRH24;</v>
      </c>
      <c r="Q1240" s="5"/>
      <c r="R1240" s="5"/>
    </row>
    <row r="1241" spans="2:18" x14ac:dyDescent="0.25">
      <c r="B1241" s="19" t="s">
        <v>1691</v>
      </c>
      <c r="C1241" s="16" t="s">
        <v>9049</v>
      </c>
      <c r="D1241" s="16" t="s">
        <v>29</v>
      </c>
      <c r="E1241" s="16"/>
      <c r="F1241" s="5"/>
      <c r="G1241" s="16" t="s">
        <v>35</v>
      </c>
      <c r="H1241" s="16"/>
      <c r="I1241" s="16"/>
      <c r="J1241" s="16"/>
      <c r="K1241" s="16"/>
      <c r="L1241" s="16"/>
      <c r="M1241" s="16"/>
      <c r="N1241" s="16"/>
      <c r="O1241" s="17"/>
      <c r="P1241" s="5" t="str">
        <f t="shared" si="36"/>
        <v>Truncate table FBRH31;</v>
      </c>
      <c r="Q1241" s="5"/>
      <c r="R1241" s="5"/>
    </row>
    <row r="1242" spans="2:18" x14ac:dyDescent="0.25">
      <c r="B1242" s="19" t="s">
        <v>1692</v>
      </c>
      <c r="C1242" s="16" t="s">
        <v>9050</v>
      </c>
      <c r="D1242" s="16" t="s">
        <v>29</v>
      </c>
      <c r="E1242" s="16"/>
      <c r="F1242" s="5"/>
      <c r="G1242" s="16" t="s">
        <v>35</v>
      </c>
      <c r="H1242" s="16"/>
      <c r="I1242" s="16"/>
      <c r="J1242" s="16"/>
      <c r="K1242" s="16"/>
      <c r="L1242" s="16"/>
      <c r="M1242" s="16"/>
      <c r="N1242" s="16"/>
      <c r="O1242" s="17"/>
      <c r="P1242" s="5" t="str">
        <f t="shared" si="36"/>
        <v>Truncate table FBRH32;</v>
      </c>
      <c r="Q1242" s="5"/>
      <c r="R1242" s="5"/>
    </row>
    <row r="1243" spans="2:18" x14ac:dyDescent="0.25">
      <c r="B1243" s="19" t="s">
        <v>1693</v>
      </c>
      <c r="C1243" s="16" t="s">
        <v>9051</v>
      </c>
      <c r="D1243" s="16" t="s">
        <v>29</v>
      </c>
      <c r="E1243" s="16"/>
      <c r="F1243" s="5"/>
      <c r="G1243" s="16" t="s">
        <v>35</v>
      </c>
      <c r="H1243" s="16"/>
      <c r="I1243" s="16"/>
      <c r="J1243" s="16"/>
      <c r="K1243" s="16"/>
      <c r="L1243" s="16"/>
      <c r="M1243" s="16"/>
      <c r="N1243" s="16"/>
      <c r="O1243" s="17"/>
      <c r="P1243" s="5" t="str">
        <f t="shared" si="36"/>
        <v>Truncate table FBRH33;</v>
      </c>
      <c r="Q1243" s="5"/>
      <c r="R1243" s="5"/>
    </row>
    <row r="1244" spans="2:18" x14ac:dyDescent="0.25">
      <c r="B1244" s="19" t="s">
        <v>1694</v>
      </c>
      <c r="C1244" s="16" t="s">
        <v>9052</v>
      </c>
      <c r="D1244" s="16" t="s">
        <v>29</v>
      </c>
      <c r="E1244" s="16"/>
      <c r="F1244" s="5"/>
      <c r="G1244" s="16" t="s">
        <v>35</v>
      </c>
      <c r="H1244" s="16"/>
      <c r="I1244" s="16"/>
      <c r="J1244" s="16"/>
      <c r="K1244" s="16"/>
      <c r="L1244" s="16"/>
      <c r="M1244" s="16"/>
      <c r="N1244" s="16"/>
      <c r="O1244" s="17"/>
      <c r="P1244" s="5" t="str">
        <f t="shared" si="36"/>
        <v>Truncate table FBRH34;</v>
      </c>
      <c r="Q1244" s="5"/>
      <c r="R1244" s="5"/>
    </row>
    <row r="1245" spans="2:18" x14ac:dyDescent="0.25">
      <c r="B1245" s="19" t="s">
        <v>1695</v>
      </c>
      <c r="C1245" s="16" t="s">
        <v>9053</v>
      </c>
      <c r="D1245" s="16" t="s">
        <v>29</v>
      </c>
      <c r="E1245" s="16"/>
      <c r="F1245" s="5"/>
      <c r="G1245" s="16" t="s">
        <v>35</v>
      </c>
      <c r="H1245" s="16"/>
      <c r="I1245" s="16"/>
      <c r="J1245" s="16"/>
      <c r="K1245" s="16"/>
      <c r="L1245" s="16"/>
      <c r="M1245" s="16"/>
      <c r="N1245" s="16"/>
      <c r="O1245" s="17"/>
      <c r="P1245" s="5" t="str">
        <f t="shared" si="36"/>
        <v>Truncate table FBRH40;</v>
      </c>
      <c r="Q1245" s="5"/>
      <c r="R1245" s="5"/>
    </row>
    <row r="1246" spans="2:18" x14ac:dyDescent="0.25">
      <c r="B1246" s="19" t="s">
        <v>1696</v>
      </c>
      <c r="C1246" s="16" t="s">
        <v>9054</v>
      </c>
      <c r="D1246" s="16" t="s">
        <v>29</v>
      </c>
      <c r="E1246" s="16"/>
      <c r="F1246" s="5"/>
      <c r="G1246" s="16" t="s">
        <v>35</v>
      </c>
      <c r="H1246" s="16"/>
      <c r="I1246" s="16"/>
      <c r="J1246" s="16"/>
      <c r="K1246" s="16"/>
      <c r="L1246" s="16"/>
      <c r="M1246" s="16"/>
      <c r="N1246" s="16"/>
      <c r="O1246" s="17"/>
      <c r="P1246" s="5" t="str">
        <f t="shared" si="36"/>
        <v>Truncate table FBRH41;</v>
      </c>
      <c r="Q1246" s="5"/>
      <c r="R1246" s="5"/>
    </row>
    <row r="1247" spans="2:18" x14ac:dyDescent="0.25">
      <c r="B1247" s="19" t="s">
        <v>1697</v>
      </c>
      <c r="C1247" s="16" t="s">
        <v>9055</v>
      </c>
      <c r="D1247" s="16" t="s">
        <v>29</v>
      </c>
      <c r="E1247" s="16"/>
      <c r="F1247" s="5"/>
      <c r="G1247" s="16" t="s">
        <v>35</v>
      </c>
      <c r="H1247" s="16"/>
      <c r="I1247" s="16"/>
      <c r="J1247" s="16"/>
      <c r="K1247" s="16"/>
      <c r="L1247" s="16"/>
      <c r="M1247" s="16"/>
      <c r="N1247" s="16"/>
      <c r="O1247" s="17"/>
      <c r="P1247" s="5" t="str">
        <f t="shared" si="36"/>
        <v>Truncate table FBRH51;</v>
      </c>
      <c r="Q1247" s="5"/>
      <c r="R1247" s="5"/>
    </row>
    <row r="1248" spans="2:18" x14ac:dyDescent="0.25">
      <c r="B1248" s="19" t="s">
        <v>1698</v>
      </c>
      <c r="C1248" s="16" t="s">
        <v>9042</v>
      </c>
      <c r="D1248" s="16" t="s">
        <v>29</v>
      </c>
      <c r="E1248" s="16"/>
      <c r="F1248" s="5"/>
      <c r="G1248" s="16" t="s">
        <v>35</v>
      </c>
      <c r="H1248" s="16"/>
      <c r="I1248" s="16"/>
      <c r="J1248" s="16"/>
      <c r="K1248" s="16"/>
      <c r="L1248" s="16"/>
      <c r="M1248" s="16"/>
      <c r="N1248" s="16"/>
      <c r="O1248" s="17"/>
      <c r="P1248" s="5" t="str">
        <f t="shared" si="36"/>
        <v>Truncate table FBRH56;</v>
      </c>
      <c r="Q1248" s="5"/>
      <c r="R1248" s="5"/>
    </row>
    <row r="1249" spans="1:18" s="306" customFormat="1" x14ac:dyDescent="0.25">
      <c r="A1249" s="71"/>
      <c r="B1249" s="307" t="s">
        <v>1699</v>
      </c>
      <c r="C1249" s="308"/>
      <c r="D1249" s="308" t="s">
        <v>29</v>
      </c>
      <c r="E1249" s="308"/>
      <c r="F1249" s="308"/>
      <c r="G1249" s="308" t="s">
        <v>35</v>
      </c>
      <c r="H1249" s="308"/>
      <c r="I1249" s="308"/>
      <c r="J1249" s="308"/>
      <c r="K1249" s="308"/>
      <c r="L1249" s="308"/>
      <c r="M1249" s="308"/>
      <c r="N1249" s="308"/>
      <c r="O1249" s="309"/>
      <c r="P1249" s="308" t="str">
        <f t="shared" si="36"/>
        <v>Truncate table FBRJ01;</v>
      </c>
      <c r="Q1249" s="308"/>
      <c r="R1249" s="308"/>
    </row>
    <row r="1250" spans="1:18" x14ac:dyDescent="0.25">
      <c r="B1250" s="19" t="s">
        <v>1700</v>
      </c>
      <c r="C1250" s="16" t="s">
        <v>8599</v>
      </c>
      <c r="D1250" s="16" t="s">
        <v>8152</v>
      </c>
      <c r="E1250" s="16" t="s">
        <v>54</v>
      </c>
      <c r="F1250" s="5" t="s">
        <v>8193</v>
      </c>
      <c r="G1250" s="16" t="s">
        <v>35</v>
      </c>
      <c r="H1250" s="16" t="s">
        <v>36</v>
      </c>
      <c r="I1250" s="16"/>
      <c r="J1250" s="16"/>
      <c r="K1250" s="16" t="s">
        <v>8598</v>
      </c>
      <c r="L1250" s="16"/>
      <c r="M1250" s="16"/>
      <c r="N1250" s="16"/>
      <c r="O1250" s="17"/>
      <c r="P1250" s="5" t="str">
        <f t="shared" si="36"/>
        <v/>
      </c>
      <c r="Q1250" s="5"/>
      <c r="R1250" s="5"/>
    </row>
    <row r="1251" spans="1:18" x14ac:dyDescent="0.25">
      <c r="B1251" s="19" t="s">
        <v>1701</v>
      </c>
      <c r="C1251" s="16" t="s">
        <v>8600</v>
      </c>
      <c r="D1251" s="16" t="s">
        <v>8152</v>
      </c>
      <c r="E1251" s="16" t="s">
        <v>54</v>
      </c>
      <c r="F1251" s="5" t="s">
        <v>8193</v>
      </c>
      <c r="G1251" s="16" t="s">
        <v>35</v>
      </c>
      <c r="H1251" s="16" t="s">
        <v>36</v>
      </c>
      <c r="I1251" s="16"/>
      <c r="J1251" s="16"/>
      <c r="K1251" s="16" t="s">
        <v>8598</v>
      </c>
      <c r="L1251" s="16"/>
      <c r="M1251" s="16"/>
      <c r="N1251" s="16"/>
      <c r="O1251" s="17"/>
      <c r="P1251" s="5" t="str">
        <f t="shared" si="36"/>
        <v/>
      </c>
      <c r="Q1251" s="5"/>
      <c r="R1251" s="5"/>
    </row>
    <row r="1252" spans="1:18" x14ac:dyDescent="0.25">
      <c r="B1252" s="19" t="s">
        <v>1702</v>
      </c>
      <c r="C1252" s="16" t="s">
        <v>8152</v>
      </c>
      <c r="D1252" s="16" t="s">
        <v>8152</v>
      </c>
      <c r="E1252" s="16" t="s">
        <v>54</v>
      </c>
      <c r="F1252" s="5" t="s">
        <v>8193</v>
      </c>
      <c r="G1252" s="16" t="s">
        <v>35</v>
      </c>
      <c r="H1252" s="16" t="s">
        <v>36</v>
      </c>
      <c r="I1252" s="16"/>
      <c r="J1252" s="16"/>
      <c r="K1252" s="16" t="s">
        <v>8598</v>
      </c>
      <c r="L1252" s="16"/>
      <c r="M1252" s="16"/>
      <c r="N1252" s="16"/>
      <c r="O1252" s="17"/>
      <c r="P1252" s="5" t="str">
        <f t="shared" si="36"/>
        <v/>
      </c>
      <c r="Q1252" s="5"/>
      <c r="R1252" s="5"/>
    </row>
    <row r="1253" spans="1:18" x14ac:dyDescent="0.25">
      <c r="B1253" s="19" t="s">
        <v>1703</v>
      </c>
      <c r="C1253" s="16" t="s">
        <v>8601</v>
      </c>
      <c r="D1253" s="16" t="s">
        <v>8152</v>
      </c>
      <c r="E1253" s="16" t="s">
        <v>54</v>
      </c>
      <c r="F1253" s="5" t="s">
        <v>8193</v>
      </c>
      <c r="G1253" s="16" t="s">
        <v>35</v>
      </c>
      <c r="H1253" s="16" t="s">
        <v>36</v>
      </c>
      <c r="I1253" s="16"/>
      <c r="J1253" s="16"/>
      <c r="K1253" s="16" t="s">
        <v>8598</v>
      </c>
      <c r="L1253" s="16"/>
      <c r="M1253" s="16"/>
      <c r="N1253" s="16"/>
      <c r="O1253" s="17"/>
      <c r="P1253" s="5" t="str">
        <f t="shared" si="36"/>
        <v/>
      </c>
      <c r="Q1253" s="5"/>
      <c r="R1253" s="5"/>
    </row>
    <row r="1254" spans="1:18" x14ac:dyDescent="0.25">
      <c r="B1254" s="19" t="s">
        <v>1704</v>
      </c>
      <c r="C1254" s="305" t="s">
        <v>10009</v>
      </c>
      <c r="D1254" s="16" t="s">
        <v>29</v>
      </c>
      <c r="E1254" s="16"/>
      <c r="F1254" s="5"/>
      <c r="G1254" s="16" t="s">
        <v>35</v>
      </c>
      <c r="H1254" s="16"/>
      <c r="I1254" s="16"/>
      <c r="J1254" s="16"/>
      <c r="K1254" s="16"/>
      <c r="L1254" s="16"/>
      <c r="M1254" s="16"/>
      <c r="N1254" s="16"/>
      <c r="O1254" s="17"/>
      <c r="P1254" s="5" t="str">
        <f t="shared" si="36"/>
        <v>Truncate table FCA020;</v>
      </c>
      <c r="Q1254" s="5"/>
      <c r="R1254" s="5"/>
    </row>
    <row r="1255" spans="1:18" x14ac:dyDescent="0.25">
      <c r="B1255" s="19" t="s">
        <v>1705</v>
      </c>
      <c r="C1255" s="16" t="s">
        <v>9056</v>
      </c>
      <c r="D1255" s="16" t="s">
        <v>29</v>
      </c>
      <c r="E1255" s="16"/>
      <c r="F1255" s="5"/>
      <c r="G1255" s="16" t="s">
        <v>35</v>
      </c>
      <c r="H1255" s="16"/>
      <c r="I1255" s="16"/>
      <c r="J1255" s="16"/>
      <c r="K1255" s="16"/>
      <c r="L1255" s="16"/>
      <c r="M1255" s="16"/>
      <c r="N1255" s="16"/>
      <c r="O1255" s="17"/>
      <c r="P1255" s="5" t="str">
        <f t="shared" si="36"/>
        <v>Truncate table FCA021;</v>
      </c>
      <c r="Q1255" s="5"/>
      <c r="R1255" s="5"/>
    </row>
    <row r="1256" spans="1:18" x14ac:dyDescent="0.25">
      <c r="B1256" s="19" t="s">
        <v>1706</v>
      </c>
      <c r="C1256" s="16" t="s">
        <v>9057</v>
      </c>
      <c r="D1256" s="16" t="s">
        <v>29</v>
      </c>
      <c r="E1256" s="16"/>
      <c r="F1256" s="5"/>
      <c r="G1256" s="16" t="s">
        <v>35</v>
      </c>
      <c r="H1256" s="16"/>
      <c r="I1256" s="16"/>
      <c r="J1256" s="16"/>
      <c r="K1256" s="16"/>
      <c r="L1256" s="16"/>
      <c r="M1256" s="16"/>
      <c r="N1256" s="16"/>
      <c r="O1256" s="17"/>
      <c r="P1256" s="5" t="str">
        <f t="shared" si="36"/>
        <v>Truncate table FCA030;</v>
      </c>
      <c r="Q1256" s="5"/>
      <c r="R1256" s="5"/>
    </row>
    <row r="1257" spans="1:18" x14ac:dyDescent="0.25">
      <c r="B1257" s="19" t="s">
        <v>1707</v>
      </c>
      <c r="C1257" s="305" t="s">
        <v>10010</v>
      </c>
      <c r="D1257" s="16" t="s">
        <v>29</v>
      </c>
      <c r="E1257" s="16"/>
      <c r="F1257" s="5"/>
      <c r="G1257" s="16" t="s">
        <v>35</v>
      </c>
      <c r="H1257" s="16"/>
      <c r="I1257" s="16"/>
      <c r="J1257" s="16"/>
      <c r="K1257" s="16"/>
      <c r="L1257" s="16"/>
      <c r="M1257" s="16"/>
      <c r="N1257" s="16"/>
      <c r="O1257" s="17"/>
      <c r="P1257" s="5" t="str">
        <f t="shared" si="36"/>
        <v>Truncate table FCA120;</v>
      </c>
      <c r="Q1257" s="5"/>
      <c r="R1257" s="5"/>
    </row>
    <row r="1258" spans="1:18" x14ac:dyDescent="0.25">
      <c r="B1258" s="19" t="s">
        <v>1708</v>
      </c>
      <c r="C1258" s="16" t="s">
        <v>9058</v>
      </c>
      <c r="D1258" s="16" t="s">
        <v>29</v>
      </c>
      <c r="E1258" s="16"/>
      <c r="F1258" s="5"/>
      <c r="G1258" s="16" t="s">
        <v>35</v>
      </c>
      <c r="H1258" s="16"/>
      <c r="I1258" s="16"/>
      <c r="J1258" s="16"/>
      <c r="K1258" s="16"/>
      <c r="L1258" s="16"/>
      <c r="M1258" s="16"/>
      <c r="N1258" s="16"/>
      <c r="O1258" s="17"/>
      <c r="P1258" s="5" t="str">
        <f t="shared" si="36"/>
        <v>Truncate table FCA121;</v>
      </c>
      <c r="Q1258" s="5"/>
      <c r="R1258" s="5"/>
    </row>
    <row r="1259" spans="1:18" x14ac:dyDescent="0.25">
      <c r="B1259" s="19" t="s">
        <v>1709</v>
      </c>
      <c r="C1259" s="16" t="s">
        <v>9059</v>
      </c>
      <c r="D1259" s="16" t="s">
        <v>29</v>
      </c>
      <c r="E1259" s="16"/>
      <c r="F1259" s="5"/>
      <c r="G1259" s="16" t="s">
        <v>35</v>
      </c>
      <c r="H1259" s="16"/>
      <c r="I1259" s="16"/>
      <c r="J1259" s="16"/>
      <c r="K1259" s="16"/>
      <c r="L1259" s="16"/>
      <c r="M1259" s="16"/>
      <c r="N1259" s="16"/>
      <c r="O1259" s="17"/>
      <c r="P1259" s="5" t="str">
        <f t="shared" si="36"/>
        <v>Truncate table FCA130;</v>
      </c>
      <c r="Q1259" s="5"/>
      <c r="R1259" s="5"/>
    </row>
    <row r="1260" spans="1:18" x14ac:dyDescent="0.25">
      <c r="B1260" s="19" t="s">
        <v>1710</v>
      </c>
      <c r="C1260" s="16" t="s">
        <v>9060</v>
      </c>
      <c r="D1260" s="16" t="s">
        <v>29</v>
      </c>
      <c r="E1260" s="16" t="s">
        <v>1712</v>
      </c>
      <c r="F1260" s="16" t="s">
        <v>1711</v>
      </c>
      <c r="G1260" s="16" t="s">
        <v>35</v>
      </c>
      <c r="H1260" s="16"/>
      <c r="I1260" s="16"/>
      <c r="J1260" s="16"/>
      <c r="K1260" s="16"/>
      <c r="L1260" s="16"/>
      <c r="M1260" s="16"/>
      <c r="N1260" s="16"/>
      <c r="O1260" s="17" t="s">
        <v>38</v>
      </c>
      <c r="P1260" s="5" t="str">
        <f t="shared" si="36"/>
        <v>Truncate table FCA999;</v>
      </c>
      <c r="Q1260" s="5"/>
      <c r="R1260" s="5"/>
    </row>
    <row r="1261" spans="1:18" x14ac:dyDescent="0.25">
      <c r="B1261" s="19" t="s">
        <v>1713</v>
      </c>
      <c r="C1261" s="16" t="s">
        <v>1714</v>
      </c>
      <c r="D1261" s="16" t="s">
        <v>8152</v>
      </c>
      <c r="E1261" s="16" t="s">
        <v>34</v>
      </c>
      <c r="F1261" s="16" t="s">
        <v>1711</v>
      </c>
      <c r="G1261" s="16" t="s">
        <v>35</v>
      </c>
      <c r="H1261" s="16" t="s">
        <v>12</v>
      </c>
      <c r="I1261" s="16"/>
      <c r="J1261" s="16"/>
      <c r="K1261" s="16"/>
      <c r="L1261" s="16"/>
      <c r="M1261" s="16"/>
      <c r="N1261" s="16"/>
      <c r="O1261" s="17" t="s">
        <v>38</v>
      </c>
      <c r="P1261" s="5" t="str">
        <f t="shared" si="36"/>
        <v/>
      </c>
      <c r="Q1261" s="5"/>
      <c r="R1261" s="5"/>
    </row>
    <row r="1262" spans="1:18" x14ac:dyDescent="0.25">
      <c r="B1262" s="19" t="s">
        <v>1715</v>
      </c>
      <c r="C1262" s="16" t="s">
        <v>1716</v>
      </c>
      <c r="D1262" s="16" t="s">
        <v>29</v>
      </c>
      <c r="E1262" s="16" t="s">
        <v>34</v>
      </c>
      <c r="F1262" s="16" t="s">
        <v>1711</v>
      </c>
      <c r="G1262" s="16" t="s">
        <v>35</v>
      </c>
      <c r="H1262" s="16"/>
      <c r="I1262" s="16"/>
      <c r="J1262" s="16"/>
      <c r="K1262" s="16"/>
      <c r="L1262" s="16"/>
      <c r="M1262" s="16"/>
      <c r="N1262" s="16"/>
      <c r="O1262" s="17" t="s">
        <v>38</v>
      </c>
      <c r="P1262" s="5" t="str">
        <f t="shared" si="36"/>
        <v>Truncate table FCB002;</v>
      </c>
      <c r="Q1262" s="5"/>
      <c r="R1262" s="5"/>
    </row>
    <row r="1263" spans="1:18" x14ac:dyDescent="0.25">
      <c r="B1263" s="19" t="s">
        <v>1717</v>
      </c>
      <c r="C1263" s="16" t="s">
        <v>9061</v>
      </c>
      <c r="D1263" s="16" t="s">
        <v>29</v>
      </c>
      <c r="E1263" s="16" t="s">
        <v>1712</v>
      </c>
      <c r="F1263" s="16" t="s">
        <v>1711</v>
      </c>
      <c r="G1263" s="16" t="s">
        <v>35</v>
      </c>
      <c r="H1263" s="16"/>
      <c r="I1263" s="16"/>
      <c r="J1263" s="16"/>
      <c r="K1263" s="16"/>
      <c r="L1263" s="16"/>
      <c r="M1263" s="16"/>
      <c r="N1263" s="16"/>
      <c r="O1263" s="17"/>
      <c r="P1263" s="5" t="str">
        <f t="shared" si="36"/>
        <v>Truncate table FCB992;</v>
      </c>
      <c r="Q1263" s="5"/>
      <c r="R1263" s="5"/>
    </row>
    <row r="1264" spans="1:18" x14ac:dyDescent="0.25">
      <c r="B1264" s="19" t="s">
        <v>1718</v>
      </c>
      <c r="C1264" s="305" t="s">
        <v>10011</v>
      </c>
      <c r="D1264" s="16" t="s">
        <v>8152</v>
      </c>
      <c r="E1264" s="16" t="s">
        <v>1712</v>
      </c>
      <c r="F1264" s="16" t="s">
        <v>1711</v>
      </c>
      <c r="G1264" s="16" t="s">
        <v>35</v>
      </c>
      <c r="H1264" s="16"/>
      <c r="I1264" s="16"/>
      <c r="J1264" s="16"/>
      <c r="K1264" s="16"/>
      <c r="L1264" s="16"/>
      <c r="M1264" s="16"/>
      <c r="N1264" s="16"/>
      <c r="O1264" s="17" t="s">
        <v>38</v>
      </c>
      <c r="P1264" s="5" t="str">
        <f t="shared" si="36"/>
        <v/>
      </c>
      <c r="Q1264" s="5"/>
      <c r="R1264" s="5"/>
    </row>
    <row r="1265" spans="1:18" s="306" customFormat="1" x14ac:dyDescent="0.25">
      <c r="A1265" s="71"/>
      <c r="B1265" s="307" t="s">
        <v>1719</v>
      </c>
      <c r="C1265" s="308"/>
      <c r="D1265" s="308" t="s">
        <v>29</v>
      </c>
      <c r="E1265" s="308" t="s">
        <v>1712</v>
      </c>
      <c r="F1265" s="308" t="s">
        <v>1711</v>
      </c>
      <c r="G1265" s="308" t="s">
        <v>35</v>
      </c>
      <c r="H1265" s="308"/>
      <c r="I1265" s="308"/>
      <c r="J1265" s="308"/>
      <c r="K1265" s="308"/>
      <c r="L1265" s="308"/>
      <c r="M1265" s="308"/>
      <c r="N1265" s="308"/>
      <c r="O1265" s="309"/>
      <c r="P1265" s="308" t="str">
        <f t="shared" si="36"/>
        <v>Truncate table FCBU01;</v>
      </c>
      <c r="Q1265" s="308"/>
      <c r="R1265" s="308"/>
    </row>
    <row r="1266" spans="1:18" x14ac:dyDescent="0.25">
      <c r="B1266" s="19" t="s">
        <v>1720</v>
      </c>
      <c r="C1266" s="16" t="s">
        <v>9062</v>
      </c>
      <c r="D1266" s="16" t="s">
        <v>29</v>
      </c>
      <c r="E1266" s="16" t="s">
        <v>1712</v>
      </c>
      <c r="F1266" s="16" t="s">
        <v>1711</v>
      </c>
      <c r="G1266" s="16" t="s">
        <v>35</v>
      </c>
      <c r="H1266" s="16"/>
      <c r="I1266" s="16"/>
      <c r="J1266" s="16"/>
      <c r="K1266" s="16"/>
      <c r="L1266" s="16"/>
      <c r="M1266" s="16"/>
      <c r="N1266" s="16"/>
      <c r="O1266" s="17"/>
      <c r="P1266" s="5" t="str">
        <f t="shared" si="36"/>
        <v>Truncate table FCC001;</v>
      </c>
      <c r="Q1266" s="5"/>
      <c r="R1266" s="5"/>
    </row>
    <row r="1267" spans="1:18" x14ac:dyDescent="0.25">
      <c r="B1267" s="19" t="s">
        <v>1721</v>
      </c>
      <c r="C1267" s="16" t="s">
        <v>9065</v>
      </c>
      <c r="D1267" s="16" t="s">
        <v>29</v>
      </c>
      <c r="E1267" s="16" t="s">
        <v>1712</v>
      </c>
      <c r="F1267" s="16" t="s">
        <v>1711</v>
      </c>
      <c r="G1267" s="16" t="s">
        <v>35</v>
      </c>
      <c r="H1267" s="16"/>
      <c r="I1267" s="16"/>
      <c r="J1267" s="16"/>
      <c r="K1267" s="16"/>
      <c r="L1267" s="16"/>
      <c r="M1267" s="16"/>
      <c r="N1267" s="16"/>
      <c r="O1267" s="17"/>
      <c r="P1267" s="5" t="str">
        <f t="shared" si="36"/>
        <v>Truncate table FCC999;</v>
      </c>
      <c r="Q1267" s="5"/>
      <c r="R1267" s="5"/>
    </row>
    <row r="1268" spans="1:18" x14ac:dyDescent="0.25">
      <c r="B1268" s="19" t="s">
        <v>1722</v>
      </c>
      <c r="C1268" s="305" t="s">
        <v>10012</v>
      </c>
      <c r="D1268" s="16" t="s">
        <v>29</v>
      </c>
      <c r="E1268" s="16" t="s">
        <v>1712</v>
      </c>
      <c r="F1268" s="16" t="s">
        <v>1711</v>
      </c>
      <c r="G1268" s="16" t="s">
        <v>35</v>
      </c>
      <c r="H1268" s="16"/>
      <c r="I1268" s="16"/>
      <c r="J1268" s="16"/>
      <c r="K1268" s="16"/>
      <c r="L1268" s="16"/>
      <c r="M1268" s="16"/>
      <c r="N1268" s="16"/>
      <c r="O1268" s="17"/>
      <c r="P1268" s="5" t="str">
        <f t="shared" si="36"/>
        <v>Truncate table FCCW01;</v>
      </c>
      <c r="Q1268" s="5"/>
      <c r="R1268" s="5"/>
    </row>
    <row r="1269" spans="1:18" x14ac:dyDescent="0.25">
      <c r="B1269" s="19" t="s">
        <v>1723</v>
      </c>
      <c r="C1269" s="16" t="s">
        <v>9063</v>
      </c>
      <c r="D1269" s="16" t="s">
        <v>29</v>
      </c>
      <c r="E1269" s="16" t="s">
        <v>1712</v>
      </c>
      <c r="F1269" s="16" t="s">
        <v>1711</v>
      </c>
      <c r="G1269" s="16" t="s">
        <v>35</v>
      </c>
      <c r="H1269" s="16"/>
      <c r="I1269" s="16"/>
      <c r="J1269" s="16"/>
      <c r="K1269" s="16"/>
      <c r="L1269" s="16"/>
      <c r="M1269" s="16"/>
      <c r="N1269" s="16"/>
      <c r="O1269" s="17" t="s">
        <v>38</v>
      </c>
      <c r="P1269" s="5" t="str">
        <f t="shared" si="36"/>
        <v>Truncate table FCD020;</v>
      </c>
      <c r="Q1269" s="5"/>
      <c r="R1269" s="5"/>
    </row>
    <row r="1270" spans="1:18" x14ac:dyDescent="0.25">
      <c r="B1270" s="19" t="s">
        <v>1724</v>
      </c>
      <c r="C1270" s="16" t="s">
        <v>9064</v>
      </c>
      <c r="D1270" s="16" t="s">
        <v>29</v>
      </c>
      <c r="E1270" s="16" t="s">
        <v>1712</v>
      </c>
      <c r="F1270" s="16" t="s">
        <v>1711</v>
      </c>
      <c r="G1270" s="16" t="s">
        <v>35</v>
      </c>
      <c r="H1270" s="16"/>
      <c r="I1270" s="16"/>
      <c r="J1270" s="16"/>
      <c r="K1270" s="16"/>
      <c r="L1270" s="16"/>
      <c r="M1270" s="16"/>
      <c r="N1270" s="16"/>
      <c r="O1270" s="17" t="s">
        <v>38</v>
      </c>
      <c r="P1270" s="5" t="str">
        <f t="shared" si="36"/>
        <v>Truncate table FCD021;</v>
      </c>
      <c r="Q1270" s="5"/>
      <c r="R1270" s="5"/>
    </row>
    <row r="1271" spans="1:18" x14ac:dyDescent="0.25">
      <c r="B1271" s="19" t="s">
        <v>1725</v>
      </c>
      <c r="C1271" s="16" t="s">
        <v>9066</v>
      </c>
      <c r="D1271" s="16" t="s">
        <v>29</v>
      </c>
      <c r="E1271" s="16" t="s">
        <v>1712</v>
      </c>
      <c r="F1271" s="16" t="s">
        <v>1711</v>
      </c>
      <c r="G1271" s="16" t="s">
        <v>35</v>
      </c>
      <c r="H1271" s="16"/>
      <c r="I1271" s="16"/>
      <c r="J1271" s="16"/>
      <c r="K1271" s="16"/>
      <c r="L1271" s="16"/>
      <c r="M1271" s="16"/>
      <c r="N1271" s="16"/>
      <c r="O1271" s="17" t="s">
        <v>38</v>
      </c>
      <c r="P1271" s="5" t="str">
        <f t="shared" si="36"/>
        <v>Truncate table FCD030;</v>
      </c>
      <c r="Q1271" s="5"/>
      <c r="R1271" s="5"/>
    </row>
    <row r="1272" spans="1:18" x14ac:dyDescent="0.25">
      <c r="B1272" s="19" t="s">
        <v>1726</v>
      </c>
      <c r="C1272" s="305" t="s">
        <v>10013</v>
      </c>
      <c r="D1272" s="16" t="s">
        <v>29</v>
      </c>
      <c r="E1272" s="16" t="s">
        <v>1712</v>
      </c>
      <c r="F1272" s="16" t="s">
        <v>1711</v>
      </c>
      <c r="G1272" s="16" t="s">
        <v>35</v>
      </c>
      <c r="H1272" s="16"/>
      <c r="I1272" s="16"/>
      <c r="J1272" s="16"/>
      <c r="K1272" s="16"/>
      <c r="L1272" s="16"/>
      <c r="M1272" s="16"/>
      <c r="N1272" s="16"/>
      <c r="O1272" s="17"/>
      <c r="P1272" s="5" t="str">
        <f t="shared" si="36"/>
        <v>Truncate table FCD100;</v>
      </c>
      <c r="Q1272" s="5"/>
      <c r="R1272" s="5"/>
    </row>
    <row r="1273" spans="1:18" x14ac:dyDescent="0.25">
      <c r="B1273" s="19" t="s">
        <v>1727</v>
      </c>
      <c r="C1273" s="16" t="s">
        <v>9067</v>
      </c>
      <c r="D1273" s="16" t="s">
        <v>29</v>
      </c>
      <c r="E1273" s="16" t="s">
        <v>1712</v>
      </c>
      <c r="F1273" s="16" t="s">
        <v>1711</v>
      </c>
      <c r="G1273" s="16" t="s">
        <v>35</v>
      </c>
      <c r="H1273" s="16"/>
      <c r="I1273" s="16"/>
      <c r="J1273" s="16"/>
      <c r="K1273" s="16"/>
      <c r="L1273" s="16"/>
      <c r="M1273" s="16"/>
      <c r="N1273" s="16"/>
      <c r="O1273" s="17"/>
      <c r="P1273" s="5" t="str">
        <f t="shared" si="36"/>
        <v>Truncate table FCD110;</v>
      </c>
      <c r="Q1273" s="5"/>
      <c r="R1273" s="5"/>
    </row>
    <row r="1274" spans="1:18" x14ac:dyDescent="0.25">
      <c r="B1274" s="19" t="s">
        <v>1728</v>
      </c>
      <c r="C1274" s="16" t="s">
        <v>9068</v>
      </c>
      <c r="D1274" s="16" t="s">
        <v>29</v>
      </c>
      <c r="E1274" s="16" t="s">
        <v>1712</v>
      </c>
      <c r="F1274" s="16" t="s">
        <v>1711</v>
      </c>
      <c r="G1274" s="16" t="s">
        <v>35</v>
      </c>
      <c r="H1274" s="16"/>
      <c r="I1274" s="16"/>
      <c r="J1274" s="16"/>
      <c r="K1274" s="16"/>
      <c r="L1274" s="16"/>
      <c r="M1274" s="16"/>
      <c r="N1274" s="16"/>
      <c r="O1274" s="17" t="s">
        <v>38</v>
      </c>
      <c r="P1274" s="5" t="str">
        <f t="shared" si="36"/>
        <v>Truncate table FCD120;</v>
      </c>
      <c r="Q1274" s="5"/>
      <c r="R1274" s="5"/>
    </row>
    <row r="1275" spans="1:18" x14ac:dyDescent="0.25">
      <c r="B1275" s="19" t="s">
        <v>1729</v>
      </c>
      <c r="C1275" s="16" t="s">
        <v>9069</v>
      </c>
      <c r="D1275" s="16" t="s">
        <v>29</v>
      </c>
      <c r="E1275" s="16" t="s">
        <v>1712</v>
      </c>
      <c r="F1275" s="16" t="s">
        <v>1711</v>
      </c>
      <c r="G1275" s="16" t="s">
        <v>35</v>
      </c>
      <c r="H1275" s="16"/>
      <c r="I1275" s="16"/>
      <c r="J1275" s="16"/>
      <c r="K1275" s="16"/>
      <c r="L1275" s="16"/>
      <c r="M1275" s="16"/>
      <c r="N1275" s="16"/>
      <c r="O1275" s="17" t="s">
        <v>38</v>
      </c>
      <c r="P1275" s="5" t="str">
        <f t="shared" si="36"/>
        <v>Truncate table FCD121;</v>
      </c>
      <c r="Q1275" s="5"/>
      <c r="R1275" s="5"/>
    </row>
    <row r="1276" spans="1:18" x14ac:dyDescent="0.25">
      <c r="B1276" s="19" t="s">
        <v>1730</v>
      </c>
      <c r="C1276" s="16" t="s">
        <v>9070</v>
      </c>
      <c r="D1276" s="16" t="s">
        <v>29</v>
      </c>
      <c r="E1276" s="16" t="s">
        <v>1712</v>
      </c>
      <c r="F1276" s="16" t="s">
        <v>1711</v>
      </c>
      <c r="G1276" s="16" t="s">
        <v>35</v>
      </c>
      <c r="H1276" s="16"/>
      <c r="I1276" s="16"/>
      <c r="J1276" s="16"/>
      <c r="K1276" s="16"/>
      <c r="L1276" s="16"/>
      <c r="M1276" s="16"/>
      <c r="N1276" s="16"/>
      <c r="O1276" s="17" t="s">
        <v>38</v>
      </c>
      <c r="P1276" s="5" t="str">
        <f t="shared" si="36"/>
        <v>Truncate table FCD130;</v>
      </c>
      <c r="Q1276" s="5"/>
      <c r="R1276" s="5"/>
    </row>
    <row r="1277" spans="1:18" x14ac:dyDescent="0.25">
      <c r="B1277" s="19" t="s">
        <v>1731</v>
      </c>
      <c r="C1277" s="16" t="s">
        <v>9071</v>
      </c>
      <c r="D1277" s="16" t="s">
        <v>29</v>
      </c>
      <c r="E1277" s="16" t="s">
        <v>1712</v>
      </c>
      <c r="F1277" s="16" t="s">
        <v>1711</v>
      </c>
      <c r="G1277" s="16" t="s">
        <v>35</v>
      </c>
      <c r="H1277" s="16"/>
      <c r="I1277" s="16"/>
      <c r="J1277" s="16"/>
      <c r="K1277" s="16"/>
      <c r="L1277" s="16"/>
      <c r="M1277" s="16"/>
      <c r="N1277" s="16"/>
      <c r="O1277" s="17"/>
      <c r="P1277" s="5" t="str">
        <f t="shared" si="36"/>
        <v>Truncate table FCD140;</v>
      </c>
      <c r="Q1277" s="5"/>
      <c r="R1277" s="5"/>
    </row>
    <row r="1278" spans="1:18" x14ac:dyDescent="0.25">
      <c r="B1278" s="19" t="s">
        <v>1732</v>
      </c>
      <c r="C1278" s="305" t="s">
        <v>10014</v>
      </c>
      <c r="D1278" s="16" t="s">
        <v>29</v>
      </c>
      <c r="E1278" s="16" t="s">
        <v>1712</v>
      </c>
      <c r="F1278" s="16" t="s">
        <v>1711</v>
      </c>
      <c r="G1278" s="16" t="s">
        <v>35</v>
      </c>
      <c r="H1278" s="16"/>
      <c r="I1278" s="16"/>
      <c r="J1278" s="16"/>
      <c r="K1278" s="16"/>
      <c r="L1278" s="16"/>
      <c r="M1278" s="16"/>
      <c r="N1278" s="16"/>
      <c r="O1278" s="17"/>
      <c r="P1278" s="5" t="str">
        <f t="shared" si="36"/>
        <v>Truncate table FCD700;</v>
      </c>
      <c r="Q1278" s="5"/>
      <c r="R1278" s="5"/>
    </row>
    <row r="1279" spans="1:18" x14ac:dyDescent="0.25">
      <c r="B1279" s="19" t="s">
        <v>1733</v>
      </c>
      <c r="C1279" s="305" t="s">
        <v>10015</v>
      </c>
      <c r="D1279" s="16" t="s">
        <v>29</v>
      </c>
      <c r="E1279" s="16" t="s">
        <v>1712</v>
      </c>
      <c r="F1279" s="16" t="s">
        <v>1711</v>
      </c>
      <c r="G1279" s="16" t="s">
        <v>35</v>
      </c>
      <c r="H1279" s="16"/>
      <c r="I1279" s="16"/>
      <c r="J1279" s="16"/>
      <c r="K1279" s="16"/>
      <c r="L1279" s="16"/>
      <c r="M1279" s="16"/>
      <c r="N1279" s="16"/>
      <c r="O1279" s="17"/>
      <c r="P1279" s="5" t="str">
        <f t="shared" si="36"/>
        <v>Truncate table FCD701;</v>
      </c>
      <c r="Q1279" s="5"/>
      <c r="R1279" s="5"/>
    </row>
    <row r="1280" spans="1:18" x14ac:dyDescent="0.25">
      <c r="B1280" s="19" t="s">
        <v>1734</v>
      </c>
      <c r="C1280" s="305" t="s">
        <v>10015</v>
      </c>
      <c r="D1280" s="16" t="s">
        <v>29</v>
      </c>
      <c r="E1280" s="16" t="s">
        <v>1712</v>
      </c>
      <c r="F1280" s="16" t="s">
        <v>1711</v>
      </c>
      <c r="G1280" s="16" t="s">
        <v>35</v>
      </c>
      <c r="H1280" s="16"/>
      <c r="I1280" s="16"/>
      <c r="J1280" s="16"/>
      <c r="K1280" s="16"/>
      <c r="L1280" s="16"/>
      <c r="M1280" s="16"/>
      <c r="N1280" s="16"/>
      <c r="O1280" s="17"/>
      <c r="P1280" s="5" t="str">
        <f t="shared" si="36"/>
        <v>Truncate table FCD702;</v>
      </c>
      <c r="Q1280" s="5"/>
      <c r="R1280" s="5"/>
    </row>
    <row r="1281" spans="2:18" x14ac:dyDescent="0.25">
      <c r="B1281" s="19" t="s">
        <v>1735</v>
      </c>
      <c r="C1281" s="305" t="s">
        <v>10016</v>
      </c>
      <c r="D1281" s="16" t="s">
        <v>29</v>
      </c>
      <c r="E1281" s="16" t="s">
        <v>1712</v>
      </c>
      <c r="F1281" s="16" t="s">
        <v>1711</v>
      </c>
      <c r="G1281" s="16" t="s">
        <v>35</v>
      </c>
      <c r="H1281" s="16"/>
      <c r="I1281" s="16"/>
      <c r="J1281" s="16"/>
      <c r="K1281" s="16"/>
      <c r="L1281" s="16"/>
      <c r="M1281" s="16"/>
      <c r="N1281" s="16"/>
      <c r="O1281" s="17"/>
      <c r="P1281" s="5" t="str">
        <f t="shared" si="36"/>
        <v>Truncate table FCD704;</v>
      </c>
      <c r="Q1281" s="5"/>
      <c r="R1281" s="5"/>
    </row>
    <row r="1282" spans="2:18" x14ac:dyDescent="0.25">
      <c r="B1282" s="19" t="s">
        <v>1736</v>
      </c>
      <c r="C1282" s="305" t="s">
        <v>10017</v>
      </c>
      <c r="D1282" s="16" t="s">
        <v>29</v>
      </c>
      <c r="E1282" s="16" t="s">
        <v>1712</v>
      </c>
      <c r="F1282" s="16" t="s">
        <v>1711</v>
      </c>
      <c r="G1282" s="16" t="s">
        <v>35</v>
      </c>
      <c r="H1282" s="16"/>
      <c r="I1282" s="16"/>
      <c r="J1282" s="16"/>
      <c r="K1282" s="16"/>
      <c r="L1282" s="16"/>
      <c r="M1282" s="16"/>
      <c r="N1282" s="16"/>
      <c r="O1282" s="17"/>
      <c r="P1282" s="5" t="str">
        <f t="shared" si="36"/>
        <v>Truncate table FCD710;</v>
      </c>
      <c r="Q1282" s="5"/>
      <c r="R1282" s="5"/>
    </row>
    <row r="1283" spans="2:18" x14ac:dyDescent="0.25">
      <c r="B1283" s="19" t="s">
        <v>1737</v>
      </c>
      <c r="C1283" s="305" t="s">
        <v>10018</v>
      </c>
      <c r="D1283" s="16" t="s">
        <v>29</v>
      </c>
      <c r="E1283" s="16" t="s">
        <v>1712</v>
      </c>
      <c r="F1283" s="16" t="s">
        <v>1711</v>
      </c>
      <c r="G1283" s="16" t="s">
        <v>35</v>
      </c>
      <c r="H1283" s="16"/>
      <c r="I1283" s="16"/>
      <c r="J1283" s="16"/>
      <c r="K1283" s="16"/>
      <c r="L1283" s="16"/>
      <c r="M1283" s="16"/>
      <c r="N1283" s="16"/>
      <c r="O1283" s="17"/>
      <c r="P1283" s="5" t="str">
        <f t="shared" si="36"/>
        <v>Truncate table FCD711;</v>
      </c>
      <c r="Q1283" s="5"/>
      <c r="R1283" s="5"/>
    </row>
    <row r="1284" spans="2:18" x14ac:dyDescent="0.25">
      <c r="B1284" s="19" t="s">
        <v>1738</v>
      </c>
      <c r="C1284" s="305" t="s">
        <v>10019</v>
      </c>
      <c r="D1284" s="16" t="s">
        <v>29</v>
      </c>
      <c r="E1284" s="16" t="s">
        <v>1712</v>
      </c>
      <c r="F1284" s="16" t="s">
        <v>1711</v>
      </c>
      <c r="G1284" s="16" t="s">
        <v>35</v>
      </c>
      <c r="H1284" s="16"/>
      <c r="I1284" s="16"/>
      <c r="J1284" s="16"/>
      <c r="K1284" s="16"/>
      <c r="L1284" s="16"/>
      <c r="M1284" s="16"/>
      <c r="N1284" s="16"/>
      <c r="O1284" s="17" t="s">
        <v>38</v>
      </c>
      <c r="P1284" s="5" t="str">
        <f t="shared" si="36"/>
        <v>Truncate table FCD800;</v>
      </c>
      <c r="Q1284" s="5"/>
      <c r="R1284" s="5"/>
    </row>
    <row r="1285" spans="2:18" x14ac:dyDescent="0.25">
      <c r="B1285" s="19" t="s">
        <v>1739</v>
      </c>
      <c r="C1285" s="305" t="s">
        <v>10019</v>
      </c>
      <c r="D1285" s="16" t="s">
        <v>29</v>
      </c>
      <c r="E1285" s="16" t="s">
        <v>1712</v>
      </c>
      <c r="F1285" s="16" t="s">
        <v>1711</v>
      </c>
      <c r="G1285" s="16" t="s">
        <v>35</v>
      </c>
      <c r="H1285" s="16"/>
      <c r="I1285" s="16"/>
      <c r="J1285" s="16"/>
      <c r="K1285" s="16"/>
      <c r="L1285" s="16"/>
      <c r="M1285" s="16"/>
      <c r="N1285" s="16"/>
      <c r="O1285" s="17"/>
      <c r="P1285" s="5" t="str">
        <f t="shared" si="36"/>
        <v>Truncate table FCD801;</v>
      </c>
      <c r="Q1285" s="5"/>
      <c r="R1285" s="5"/>
    </row>
    <row r="1286" spans="2:18" x14ac:dyDescent="0.25">
      <c r="B1286" s="19" t="s">
        <v>1740</v>
      </c>
      <c r="C1286" s="16" t="s">
        <v>9072</v>
      </c>
      <c r="D1286" s="16" t="s">
        <v>29</v>
      </c>
      <c r="E1286" s="16" t="s">
        <v>1712</v>
      </c>
      <c r="F1286" s="16" t="s">
        <v>1711</v>
      </c>
      <c r="G1286" s="16" t="s">
        <v>35</v>
      </c>
      <c r="H1286" s="16"/>
      <c r="I1286" s="16"/>
      <c r="J1286" s="16"/>
      <c r="K1286" s="16"/>
      <c r="L1286" s="16"/>
      <c r="M1286" s="16"/>
      <c r="N1286" s="16"/>
      <c r="O1286" s="17" t="s">
        <v>38</v>
      </c>
      <c r="P1286" s="5" t="str">
        <f t="shared" si="36"/>
        <v>Truncate table FCD900;</v>
      </c>
      <c r="Q1286" s="5"/>
      <c r="R1286" s="5"/>
    </row>
    <row r="1287" spans="2:18" x14ac:dyDescent="0.25">
      <c r="B1287" s="19" t="s">
        <v>1741</v>
      </c>
      <c r="C1287" s="16" t="s">
        <v>9073</v>
      </c>
      <c r="D1287" s="16" t="s">
        <v>29</v>
      </c>
      <c r="E1287" s="16" t="s">
        <v>1712</v>
      </c>
      <c r="F1287" s="16" t="s">
        <v>1711</v>
      </c>
      <c r="G1287" s="16" t="s">
        <v>35</v>
      </c>
      <c r="H1287" s="16"/>
      <c r="I1287" s="16"/>
      <c r="J1287" s="16"/>
      <c r="K1287" s="16"/>
      <c r="L1287" s="16"/>
      <c r="M1287" s="16"/>
      <c r="N1287" s="16"/>
      <c r="O1287" s="17" t="s">
        <v>38</v>
      </c>
      <c r="P1287" s="5" t="str">
        <f t="shared" si="36"/>
        <v>Truncate table FCD999;</v>
      </c>
      <c r="Q1287" s="5"/>
      <c r="R1287" s="5"/>
    </row>
    <row r="1288" spans="2:18" x14ac:dyDescent="0.25">
      <c r="B1288" s="19" t="s">
        <v>1742</v>
      </c>
      <c r="C1288" s="16" t="s">
        <v>9074</v>
      </c>
      <c r="D1288" s="16" t="s">
        <v>8152</v>
      </c>
      <c r="E1288" s="16" t="s">
        <v>1712</v>
      </c>
      <c r="F1288" s="16" t="s">
        <v>1711</v>
      </c>
      <c r="G1288" s="16" t="s">
        <v>35</v>
      </c>
      <c r="H1288" s="16"/>
      <c r="I1288" s="16"/>
      <c r="J1288" s="16"/>
      <c r="K1288" s="16"/>
      <c r="L1288" s="16"/>
      <c r="M1288" s="16"/>
      <c r="N1288" s="16"/>
      <c r="O1288" s="17" t="s">
        <v>38</v>
      </c>
      <c r="P1288" s="5" t="str">
        <f t="shared" si="36"/>
        <v/>
      </c>
      <c r="Q1288" s="5"/>
      <c r="R1288" s="5"/>
    </row>
    <row r="1289" spans="2:18" x14ac:dyDescent="0.25">
      <c r="B1289" s="19" t="s">
        <v>1743</v>
      </c>
      <c r="C1289" s="16" t="s">
        <v>9075</v>
      </c>
      <c r="D1289" s="16" t="s">
        <v>29</v>
      </c>
      <c r="E1289" s="16" t="s">
        <v>1712</v>
      </c>
      <c r="F1289" s="16" t="s">
        <v>1711</v>
      </c>
      <c r="G1289" s="16" t="s">
        <v>35</v>
      </c>
      <c r="H1289" s="16"/>
      <c r="I1289" s="16"/>
      <c r="J1289" s="16"/>
      <c r="K1289" s="16"/>
      <c r="L1289" s="16"/>
      <c r="M1289" s="16"/>
      <c r="N1289" s="16"/>
      <c r="O1289" s="17" t="s">
        <v>38</v>
      </c>
      <c r="P1289" s="5" t="str">
        <f t="shared" si="36"/>
        <v>Truncate table FCE020;</v>
      </c>
      <c r="Q1289" s="5"/>
      <c r="R1289" s="5"/>
    </row>
    <row r="1290" spans="2:18" x14ac:dyDescent="0.25">
      <c r="B1290" s="19" t="s">
        <v>1744</v>
      </c>
      <c r="C1290" s="305" t="s">
        <v>10020</v>
      </c>
      <c r="D1290" s="16" t="s">
        <v>29</v>
      </c>
      <c r="E1290" s="16" t="s">
        <v>1712</v>
      </c>
      <c r="F1290" s="16" t="s">
        <v>1711</v>
      </c>
      <c r="G1290" s="16" t="s">
        <v>35</v>
      </c>
      <c r="H1290" s="16"/>
      <c r="I1290" s="16"/>
      <c r="J1290" s="16"/>
      <c r="K1290" s="16"/>
      <c r="L1290" s="16"/>
      <c r="M1290" s="16"/>
      <c r="N1290" s="16"/>
      <c r="O1290" s="17" t="s">
        <v>38</v>
      </c>
      <c r="P1290" s="5" t="str">
        <f t="shared" si="36"/>
        <v>Truncate table FCE999;</v>
      </c>
      <c r="Q1290" s="5"/>
      <c r="R1290" s="5"/>
    </row>
    <row r="1291" spans="2:18" x14ac:dyDescent="0.25">
      <c r="B1291" s="19" t="s">
        <v>1745</v>
      </c>
      <c r="C1291" s="16" t="s">
        <v>9076</v>
      </c>
      <c r="D1291" s="16" t="s">
        <v>29</v>
      </c>
      <c r="E1291" s="16" t="s">
        <v>1712</v>
      </c>
      <c r="F1291" s="16" t="s">
        <v>1711</v>
      </c>
      <c r="G1291" s="16" t="s">
        <v>35</v>
      </c>
      <c r="H1291" s="16"/>
      <c r="I1291" s="16"/>
      <c r="J1291" s="16"/>
      <c r="K1291" s="16"/>
      <c r="L1291" s="16"/>
      <c r="M1291" s="16"/>
      <c r="N1291" s="16"/>
      <c r="O1291" s="17" t="s">
        <v>38</v>
      </c>
      <c r="P1291" s="5" t="str">
        <f t="shared" si="36"/>
        <v>Truncate table FCF020;</v>
      </c>
      <c r="Q1291" s="5"/>
      <c r="R1291" s="5"/>
    </row>
    <row r="1292" spans="2:18" x14ac:dyDescent="0.25">
      <c r="B1292" s="19" t="s">
        <v>1746</v>
      </c>
      <c r="C1292" s="16" t="s">
        <v>9077</v>
      </c>
      <c r="D1292" s="16" t="s">
        <v>29</v>
      </c>
      <c r="E1292" s="16" t="s">
        <v>1712</v>
      </c>
      <c r="F1292" s="16" t="s">
        <v>1711</v>
      </c>
      <c r="G1292" s="16" t="s">
        <v>35</v>
      </c>
      <c r="H1292" s="16"/>
      <c r="I1292" s="16"/>
      <c r="J1292" s="16"/>
      <c r="K1292" s="16"/>
      <c r="L1292" s="16"/>
      <c r="M1292" s="16"/>
      <c r="N1292" s="16"/>
      <c r="O1292" s="17" t="s">
        <v>38</v>
      </c>
      <c r="P1292" s="5" t="str">
        <f t="shared" si="36"/>
        <v>Truncate table FCF121;</v>
      </c>
      <c r="Q1292" s="5"/>
      <c r="R1292" s="5"/>
    </row>
    <row r="1293" spans="2:18" x14ac:dyDescent="0.25">
      <c r="B1293" s="19" t="s">
        <v>1747</v>
      </c>
      <c r="C1293" s="16" t="s">
        <v>9078</v>
      </c>
      <c r="D1293" s="16" t="s">
        <v>29</v>
      </c>
      <c r="E1293" s="16" t="s">
        <v>1712</v>
      </c>
      <c r="F1293" s="16" t="s">
        <v>1711</v>
      </c>
      <c r="G1293" s="16" t="s">
        <v>35</v>
      </c>
      <c r="H1293" s="16"/>
      <c r="I1293" s="16"/>
      <c r="J1293" s="16"/>
      <c r="K1293" s="16"/>
      <c r="L1293" s="16"/>
      <c r="M1293" s="16"/>
      <c r="N1293" s="16"/>
      <c r="O1293" s="17" t="s">
        <v>38</v>
      </c>
      <c r="P1293" s="5" t="str">
        <f t="shared" si="36"/>
        <v>Truncate table FCF130;</v>
      </c>
      <c r="Q1293" s="5"/>
      <c r="R1293" s="5"/>
    </row>
    <row r="1294" spans="2:18" x14ac:dyDescent="0.25">
      <c r="B1294" s="19" t="s">
        <v>1748</v>
      </c>
      <c r="C1294" s="16" t="s">
        <v>9079</v>
      </c>
      <c r="D1294" s="16" t="s">
        <v>29</v>
      </c>
      <c r="E1294" s="16" t="s">
        <v>1712</v>
      </c>
      <c r="F1294" s="16" t="s">
        <v>1711</v>
      </c>
      <c r="G1294" s="16" t="s">
        <v>35</v>
      </c>
      <c r="H1294" s="16"/>
      <c r="I1294" s="16"/>
      <c r="J1294" s="16"/>
      <c r="K1294" s="16"/>
      <c r="L1294" s="16"/>
      <c r="M1294" s="16"/>
      <c r="N1294" s="16"/>
      <c r="O1294" s="17"/>
      <c r="P1294" s="5" t="str">
        <f t="shared" si="36"/>
        <v>Truncate table FCF220;</v>
      </c>
      <c r="Q1294" s="5"/>
      <c r="R1294" s="5"/>
    </row>
    <row r="1295" spans="2:18" x14ac:dyDescent="0.25">
      <c r="B1295" s="19" t="s">
        <v>1749</v>
      </c>
      <c r="C1295" s="16" t="s">
        <v>9080</v>
      </c>
      <c r="D1295" s="16" t="s">
        <v>29</v>
      </c>
      <c r="E1295" s="16" t="s">
        <v>1712</v>
      </c>
      <c r="F1295" s="16" t="s">
        <v>1711</v>
      </c>
      <c r="G1295" s="16" t="s">
        <v>35</v>
      </c>
      <c r="H1295" s="16"/>
      <c r="I1295" s="16"/>
      <c r="J1295" s="16"/>
      <c r="K1295" s="16"/>
      <c r="L1295" s="16"/>
      <c r="M1295" s="16"/>
      <c r="N1295" s="16"/>
      <c r="O1295" s="17" t="s">
        <v>38</v>
      </c>
      <c r="P1295" s="5" t="str">
        <f t="shared" si="36"/>
        <v>Truncate table FCF999;</v>
      </c>
      <c r="Q1295" s="5"/>
      <c r="R1295" s="5"/>
    </row>
    <row r="1296" spans="2:18" x14ac:dyDescent="0.25">
      <c r="B1296" s="19" t="s">
        <v>1750</v>
      </c>
      <c r="C1296" s="16" t="s">
        <v>9081</v>
      </c>
      <c r="D1296" s="16" t="s">
        <v>29</v>
      </c>
      <c r="E1296" s="16" t="s">
        <v>1712</v>
      </c>
      <c r="F1296" s="16" t="s">
        <v>1711</v>
      </c>
      <c r="G1296" s="16" t="s">
        <v>35</v>
      </c>
      <c r="H1296" s="16"/>
      <c r="I1296" s="16"/>
      <c r="J1296" s="16"/>
      <c r="K1296" s="16"/>
      <c r="L1296" s="16"/>
      <c r="M1296" s="16"/>
      <c r="N1296" s="16"/>
      <c r="O1296" s="17"/>
      <c r="P1296" s="5" t="str">
        <f t="shared" si="36"/>
        <v>Truncate table FCG001;</v>
      </c>
      <c r="Q1296" s="5"/>
      <c r="R1296" s="5"/>
    </row>
    <row r="1297" spans="2:18" x14ac:dyDescent="0.25">
      <c r="B1297" s="19" t="s">
        <v>1751</v>
      </c>
      <c r="C1297" s="16" t="s">
        <v>9082</v>
      </c>
      <c r="D1297" s="16" t="s">
        <v>29</v>
      </c>
      <c r="E1297" s="16" t="s">
        <v>1712</v>
      </c>
      <c r="F1297" s="16" t="s">
        <v>1711</v>
      </c>
      <c r="G1297" s="16" t="s">
        <v>35</v>
      </c>
      <c r="H1297" s="16"/>
      <c r="I1297" s="16"/>
      <c r="J1297" s="16"/>
      <c r="K1297" s="16"/>
      <c r="L1297" s="16"/>
      <c r="M1297" s="16"/>
      <c r="N1297" s="16"/>
      <c r="O1297" s="17"/>
      <c r="P1297" s="5" t="str">
        <f t="shared" si="36"/>
        <v>Truncate table FCG002;</v>
      </c>
      <c r="Q1297" s="5"/>
      <c r="R1297" s="5"/>
    </row>
    <row r="1298" spans="2:18" ht="40.5" x14ac:dyDescent="0.25">
      <c r="B1298" s="4" t="s">
        <v>1752</v>
      </c>
      <c r="C1298" s="5" t="s">
        <v>1753</v>
      </c>
      <c r="D1298" s="25" t="s">
        <v>29</v>
      </c>
      <c r="E1298" s="16" t="s">
        <v>1712</v>
      </c>
      <c r="F1298" s="16" t="s">
        <v>1711</v>
      </c>
      <c r="G1298" s="16" t="s">
        <v>35</v>
      </c>
      <c r="H1298" s="16" t="s">
        <v>36</v>
      </c>
      <c r="I1298" s="5" t="s">
        <v>1754</v>
      </c>
      <c r="J1298" s="5" t="s">
        <v>1755</v>
      </c>
      <c r="K1298" s="5" t="s">
        <v>1756</v>
      </c>
      <c r="L1298" s="5"/>
      <c r="M1298" s="5"/>
      <c r="N1298" s="5" t="s">
        <v>1757</v>
      </c>
      <c r="O1298" s="17"/>
      <c r="P1298" s="5" t="str">
        <f t="shared" si="36"/>
        <v>Truncate table FCGD50;</v>
      </c>
      <c r="Q1298" s="5"/>
      <c r="R1298" s="5"/>
    </row>
    <row r="1299" spans="2:18" ht="40.5" x14ac:dyDescent="0.25">
      <c r="B1299" s="4" t="s">
        <v>1758</v>
      </c>
      <c r="C1299" s="5" t="s">
        <v>1759</v>
      </c>
      <c r="D1299" s="25" t="s">
        <v>29</v>
      </c>
      <c r="E1299" s="16" t="s">
        <v>1712</v>
      </c>
      <c r="F1299" s="16" t="s">
        <v>1711</v>
      </c>
      <c r="G1299" s="16" t="s">
        <v>35</v>
      </c>
      <c r="H1299" s="16" t="s">
        <v>36</v>
      </c>
      <c r="I1299" s="5" t="s">
        <v>1760</v>
      </c>
      <c r="J1299" s="5" t="s">
        <v>1761</v>
      </c>
      <c r="K1299" s="5" t="s">
        <v>1756</v>
      </c>
      <c r="L1299" s="5"/>
      <c r="M1299" s="5"/>
      <c r="N1299" s="5" t="s">
        <v>1762</v>
      </c>
      <c r="O1299" s="17"/>
      <c r="P1299" s="5" t="str">
        <f t="shared" si="36"/>
        <v>Truncate table FCGD51;</v>
      </c>
      <c r="Q1299" s="5"/>
      <c r="R1299" s="5"/>
    </row>
    <row r="1300" spans="2:18" ht="40.5" x14ac:dyDescent="0.25">
      <c r="B1300" s="4" t="s">
        <v>1763</v>
      </c>
      <c r="C1300" s="5" t="s">
        <v>1764</v>
      </c>
      <c r="D1300" s="25" t="s">
        <v>29</v>
      </c>
      <c r="E1300" s="16" t="s">
        <v>1712</v>
      </c>
      <c r="F1300" s="16" t="s">
        <v>1711</v>
      </c>
      <c r="G1300" s="16" t="s">
        <v>35</v>
      </c>
      <c r="H1300" s="16" t="s">
        <v>36</v>
      </c>
      <c r="I1300" s="5" t="s">
        <v>1765</v>
      </c>
      <c r="J1300" s="5" t="s">
        <v>1766</v>
      </c>
      <c r="K1300" s="5" t="s">
        <v>889</v>
      </c>
      <c r="L1300" s="5"/>
      <c r="M1300" s="5"/>
      <c r="N1300" s="5" t="s">
        <v>1767</v>
      </c>
      <c r="O1300" s="17"/>
      <c r="P1300" s="5" t="str">
        <f t="shared" si="36"/>
        <v>Truncate table FCGH50;</v>
      </c>
      <c r="Q1300" s="5"/>
      <c r="R1300" s="5"/>
    </row>
    <row r="1301" spans="2:18" ht="40.5" x14ac:dyDescent="0.25">
      <c r="B1301" s="4" t="s">
        <v>1768</v>
      </c>
      <c r="C1301" s="5" t="s">
        <v>1769</v>
      </c>
      <c r="D1301" s="25" t="s">
        <v>29</v>
      </c>
      <c r="E1301" s="16" t="s">
        <v>1712</v>
      </c>
      <c r="F1301" s="16" t="s">
        <v>1711</v>
      </c>
      <c r="G1301" s="16" t="s">
        <v>35</v>
      </c>
      <c r="H1301" s="16" t="s">
        <v>36</v>
      </c>
      <c r="I1301" s="5" t="s">
        <v>1770</v>
      </c>
      <c r="J1301" s="5" t="s">
        <v>1771</v>
      </c>
      <c r="K1301" s="5" t="s">
        <v>889</v>
      </c>
      <c r="L1301" s="5"/>
      <c r="M1301" s="5"/>
      <c r="N1301" s="5" t="s">
        <v>1772</v>
      </c>
      <c r="O1301" s="17"/>
      <c r="P1301" s="5" t="str">
        <f t="shared" si="36"/>
        <v>Truncate table FCGM50;</v>
      </c>
      <c r="Q1301" s="5"/>
      <c r="R1301" s="5"/>
    </row>
    <row r="1302" spans="2:18" x14ac:dyDescent="0.25">
      <c r="B1302" s="19" t="s">
        <v>1773</v>
      </c>
      <c r="C1302" s="305" t="s">
        <v>10021</v>
      </c>
      <c r="D1302" s="16" t="s">
        <v>29</v>
      </c>
      <c r="E1302" s="16" t="s">
        <v>1712</v>
      </c>
      <c r="F1302" s="16" t="s">
        <v>1711</v>
      </c>
      <c r="G1302" s="16" t="s">
        <v>35</v>
      </c>
      <c r="H1302" s="16"/>
      <c r="I1302" s="16"/>
      <c r="J1302" s="16"/>
      <c r="K1302" s="16"/>
      <c r="L1302" s="16"/>
      <c r="M1302" s="16"/>
      <c r="N1302" s="16"/>
      <c r="O1302" s="17"/>
      <c r="P1302" s="5" t="str">
        <f t="shared" si="36"/>
        <v>Truncate table FCHR01;</v>
      </c>
      <c r="Q1302" s="5"/>
      <c r="R1302" s="5"/>
    </row>
    <row r="1303" spans="2:18" x14ac:dyDescent="0.25">
      <c r="B1303" s="19" t="s">
        <v>1774</v>
      </c>
      <c r="C1303" s="16" t="s">
        <v>1775</v>
      </c>
      <c r="D1303" s="16" t="s">
        <v>29</v>
      </c>
      <c r="E1303" s="16" t="s">
        <v>151</v>
      </c>
      <c r="F1303" s="16" t="s">
        <v>1711</v>
      </c>
      <c r="G1303" s="16" t="s">
        <v>35</v>
      </c>
      <c r="H1303" s="16" t="s">
        <v>36</v>
      </c>
      <c r="I1303" s="16"/>
      <c r="J1303" s="16"/>
      <c r="K1303" s="16"/>
      <c r="L1303" s="16"/>
      <c r="M1303" s="16"/>
      <c r="N1303" s="16"/>
      <c r="O1303" s="17" t="s">
        <v>38</v>
      </c>
      <c r="P1303" s="5" t="str">
        <f t="shared" ref="P1303:P1366" si="37">IF(D1303="Datos","Truncate table "&amp; B1303&amp; ";","")</f>
        <v>Truncate table FCHR02;</v>
      </c>
      <c r="Q1303" s="5"/>
      <c r="R1303" s="5"/>
    </row>
    <row r="1304" spans="2:18" x14ac:dyDescent="0.25">
      <c r="B1304" s="19" t="s">
        <v>1776</v>
      </c>
      <c r="C1304" s="16" t="s">
        <v>1777</v>
      </c>
      <c r="D1304" s="16" t="s">
        <v>29</v>
      </c>
      <c r="E1304" s="16" t="s">
        <v>151</v>
      </c>
      <c r="F1304" s="16" t="s">
        <v>1711</v>
      </c>
      <c r="G1304" s="16" t="s">
        <v>35</v>
      </c>
      <c r="H1304" s="16" t="s">
        <v>36</v>
      </c>
      <c r="I1304" s="16"/>
      <c r="J1304" s="16"/>
      <c r="K1304" s="16"/>
      <c r="L1304" s="16"/>
      <c r="M1304" s="16"/>
      <c r="N1304" s="16"/>
      <c r="O1304" s="17" t="s">
        <v>38</v>
      </c>
      <c r="P1304" s="5" t="str">
        <f t="shared" si="37"/>
        <v>Truncate table FCHR03;</v>
      </c>
      <c r="Q1304" s="5"/>
      <c r="R1304" s="5"/>
    </row>
    <row r="1305" spans="2:18" x14ac:dyDescent="0.25">
      <c r="B1305" s="19" t="s">
        <v>1778</v>
      </c>
      <c r="C1305" s="16" t="s">
        <v>9083</v>
      </c>
      <c r="D1305" s="16" t="s">
        <v>29</v>
      </c>
      <c r="E1305" s="16" t="s">
        <v>1712</v>
      </c>
      <c r="F1305" s="16" t="s">
        <v>1711</v>
      </c>
      <c r="G1305" s="16" t="s">
        <v>35</v>
      </c>
      <c r="H1305" s="16"/>
      <c r="I1305" s="16"/>
      <c r="J1305" s="16"/>
      <c r="K1305" s="16"/>
      <c r="L1305" s="16"/>
      <c r="M1305" s="16"/>
      <c r="N1305" s="16"/>
      <c r="O1305" s="17"/>
      <c r="P1305" s="5" t="str">
        <f t="shared" si="37"/>
        <v>Truncate table FCHR04;</v>
      </c>
      <c r="Q1305" s="5"/>
      <c r="R1305" s="5"/>
    </row>
    <row r="1306" spans="2:18" x14ac:dyDescent="0.25">
      <c r="B1306" s="19" t="s">
        <v>1779</v>
      </c>
      <c r="C1306" s="16" t="s">
        <v>9084</v>
      </c>
      <c r="D1306" s="16" t="s">
        <v>29</v>
      </c>
      <c r="E1306" s="16" t="s">
        <v>1712</v>
      </c>
      <c r="F1306" s="16" t="s">
        <v>1711</v>
      </c>
      <c r="G1306" s="16" t="s">
        <v>35</v>
      </c>
      <c r="H1306" s="16"/>
      <c r="I1306" s="16"/>
      <c r="J1306" s="16"/>
      <c r="K1306" s="16"/>
      <c r="L1306" s="16"/>
      <c r="M1306" s="16"/>
      <c r="N1306" s="16"/>
      <c r="O1306" s="17"/>
      <c r="P1306" s="5" t="str">
        <f t="shared" si="37"/>
        <v>Truncate table FCHR10;</v>
      </c>
      <c r="Q1306" s="5"/>
      <c r="R1306" s="5"/>
    </row>
    <row r="1307" spans="2:18" x14ac:dyDescent="0.25">
      <c r="B1307" s="19" t="s">
        <v>1780</v>
      </c>
      <c r="C1307" s="16" t="s">
        <v>9085</v>
      </c>
      <c r="D1307" s="16" t="s">
        <v>29</v>
      </c>
      <c r="E1307" s="16" t="s">
        <v>1712</v>
      </c>
      <c r="F1307" s="16" t="s">
        <v>1711</v>
      </c>
      <c r="G1307" s="16" t="s">
        <v>35</v>
      </c>
      <c r="H1307" s="16"/>
      <c r="I1307" s="16"/>
      <c r="J1307" s="16"/>
      <c r="K1307" s="16"/>
      <c r="L1307" s="16"/>
      <c r="M1307" s="16"/>
      <c r="N1307" s="16"/>
      <c r="O1307" s="17"/>
      <c r="P1307" s="5" t="str">
        <f t="shared" si="37"/>
        <v>Truncate table FCHR11;</v>
      </c>
      <c r="Q1307" s="5"/>
      <c r="R1307" s="5"/>
    </row>
    <row r="1308" spans="2:18" x14ac:dyDescent="0.25">
      <c r="B1308" s="19" t="s">
        <v>1781</v>
      </c>
      <c r="C1308" s="16" t="s">
        <v>1782</v>
      </c>
      <c r="D1308" s="16" t="s">
        <v>8152</v>
      </c>
      <c r="E1308" s="16" t="s">
        <v>54</v>
      </c>
      <c r="F1308" s="16" t="s">
        <v>1711</v>
      </c>
      <c r="G1308" s="16" t="s">
        <v>35</v>
      </c>
      <c r="H1308" s="16"/>
      <c r="I1308" s="16"/>
      <c r="J1308" s="16"/>
      <c r="K1308" s="16"/>
      <c r="L1308" s="16"/>
      <c r="M1308" s="16"/>
      <c r="N1308" s="16"/>
      <c r="O1308" s="17" t="s">
        <v>38</v>
      </c>
      <c r="P1308" s="5" t="str">
        <f t="shared" si="37"/>
        <v/>
      </c>
      <c r="Q1308" s="5"/>
      <c r="R1308" s="5"/>
    </row>
    <row r="1309" spans="2:18" x14ac:dyDescent="0.25">
      <c r="B1309" s="19" t="s">
        <v>1783</v>
      </c>
      <c r="C1309" s="16" t="s">
        <v>1782</v>
      </c>
      <c r="D1309" s="16" t="s">
        <v>8152</v>
      </c>
      <c r="E1309" s="16" t="s">
        <v>54</v>
      </c>
      <c r="F1309" s="16" t="s">
        <v>1711</v>
      </c>
      <c r="G1309" s="16" t="s">
        <v>35</v>
      </c>
      <c r="H1309" s="16"/>
      <c r="I1309" s="16"/>
      <c r="J1309" s="16"/>
      <c r="K1309" s="16"/>
      <c r="L1309" s="16"/>
      <c r="M1309" s="16"/>
      <c r="N1309" s="16"/>
      <c r="O1309" s="17" t="s">
        <v>38</v>
      </c>
      <c r="P1309" s="5" t="str">
        <f t="shared" si="37"/>
        <v/>
      </c>
      <c r="Q1309" s="5"/>
      <c r="R1309" s="5"/>
    </row>
    <row r="1310" spans="2:18" x14ac:dyDescent="0.25">
      <c r="B1310" s="19" t="s">
        <v>1784</v>
      </c>
      <c r="C1310" s="16" t="s">
        <v>9087</v>
      </c>
      <c r="D1310" s="16" t="s">
        <v>29</v>
      </c>
      <c r="E1310" s="16" t="s">
        <v>1712</v>
      </c>
      <c r="F1310" s="16" t="s">
        <v>1711</v>
      </c>
      <c r="G1310" s="16" t="s">
        <v>35</v>
      </c>
      <c r="H1310" s="16"/>
      <c r="I1310" s="16"/>
      <c r="J1310" s="16"/>
      <c r="K1310" s="16"/>
      <c r="L1310" s="16"/>
      <c r="M1310" s="16"/>
      <c r="N1310" s="16"/>
      <c r="O1310" s="17"/>
      <c r="P1310" s="5" t="str">
        <f t="shared" si="37"/>
        <v>Truncate table FCJ001;</v>
      </c>
      <c r="Q1310" s="5"/>
      <c r="R1310" s="5"/>
    </row>
    <row r="1311" spans="2:18" x14ac:dyDescent="0.25">
      <c r="B1311" s="19" t="s">
        <v>1785</v>
      </c>
      <c r="C1311" s="16" t="s">
        <v>9086</v>
      </c>
      <c r="D1311" s="16" t="s">
        <v>29</v>
      </c>
      <c r="E1311" s="16" t="s">
        <v>1712</v>
      </c>
      <c r="F1311" s="16" t="s">
        <v>1711</v>
      </c>
      <c r="G1311" s="16" t="s">
        <v>35</v>
      </c>
      <c r="H1311" s="16"/>
      <c r="I1311" s="16"/>
      <c r="J1311" s="16"/>
      <c r="K1311" s="16"/>
      <c r="L1311" s="16"/>
      <c r="M1311" s="16"/>
      <c r="N1311" s="16"/>
      <c r="O1311" s="17"/>
      <c r="P1311" s="5" t="str">
        <f t="shared" si="37"/>
        <v>Truncate table FCJ999;</v>
      </c>
      <c r="Q1311" s="5"/>
      <c r="R1311" s="5"/>
    </row>
    <row r="1312" spans="2:18" ht="40.5" x14ac:dyDescent="0.25">
      <c r="B1312" s="4" t="s">
        <v>1786</v>
      </c>
      <c r="C1312" s="16" t="s">
        <v>1787</v>
      </c>
      <c r="D1312" s="16" t="s">
        <v>29</v>
      </c>
      <c r="E1312" s="16" t="s">
        <v>1712</v>
      </c>
      <c r="F1312" s="16" t="s">
        <v>1711</v>
      </c>
      <c r="G1312" s="16" t="s">
        <v>35</v>
      </c>
      <c r="H1312" s="16" t="s">
        <v>36</v>
      </c>
      <c r="I1312" s="5" t="s">
        <v>1788</v>
      </c>
      <c r="J1312" s="5" t="s">
        <v>1789</v>
      </c>
      <c r="K1312" s="5" t="s">
        <v>1756</v>
      </c>
      <c r="L1312" s="5"/>
      <c r="M1312" s="5"/>
      <c r="N1312" s="5" t="s">
        <v>1790</v>
      </c>
      <c r="O1312" s="17"/>
      <c r="P1312" s="5" t="str">
        <f t="shared" si="37"/>
        <v>Truncate table FCK001;</v>
      </c>
      <c r="Q1312" s="5"/>
      <c r="R1312" s="5"/>
    </row>
    <row r="1313" spans="2:18" ht="40.5" x14ac:dyDescent="0.25">
      <c r="B1313" s="4" t="s">
        <v>1791</v>
      </c>
      <c r="C1313" s="16" t="s">
        <v>1792</v>
      </c>
      <c r="D1313" s="16" t="s">
        <v>29</v>
      </c>
      <c r="E1313" s="16" t="s">
        <v>1712</v>
      </c>
      <c r="F1313" s="16" t="s">
        <v>1711</v>
      </c>
      <c r="G1313" s="16" t="s">
        <v>35</v>
      </c>
      <c r="H1313" s="16" t="s">
        <v>36</v>
      </c>
      <c r="I1313" s="5" t="s">
        <v>1793</v>
      </c>
      <c r="J1313" s="5" t="s">
        <v>1794</v>
      </c>
      <c r="K1313" s="5" t="s">
        <v>1756</v>
      </c>
      <c r="L1313" s="5"/>
      <c r="M1313" s="5"/>
      <c r="N1313" s="5" t="s">
        <v>1795</v>
      </c>
      <c r="O1313" s="17"/>
      <c r="P1313" s="5" t="str">
        <f t="shared" si="37"/>
        <v>Truncate table FCK999;</v>
      </c>
      <c r="Q1313" s="5"/>
      <c r="R1313" s="5"/>
    </row>
    <row r="1314" spans="2:18" x14ac:dyDescent="0.25">
      <c r="B1314" s="19" t="s">
        <v>1796</v>
      </c>
      <c r="C1314" s="305" t="s">
        <v>10022</v>
      </c>
      <c r="D1314" s="16" t="s">
        <v>29</v>
      </c>
      <c r="E1314" s="16" t="s">
        <v>1712</v>
      </c>
      <c r="F1314" s="16" t="s">
        <v>1711</v>
      </c>
      <c r="G1314" s="16" t="s">
        <v>35</v>
      </c>
      <c r="H1314" s="16"/>
      <c r="I1314" s="16"/>
      <c r="J1314" s="16"/>
      <c r="K1314" s="16"/>
      <c r="L1314" s="16"/>
      <c r="M1314" s="16"/>
      <c r="N1314" s="16"/>
      <c r="O1314" s="17"/>
      <c r="P1314" s="5" t="str">
        <f t="shared" si="37"/>
        <v>Truncate table FCN121;</v>
      </c>
      <c r="Q1314" s="5"/>
      <c r="R1314" s="5"/>
    </row>
    <row r="1315" spans="2:18" x14ac:dyDescent="0.25">
      <c r="B1315" s="19" t="s">
        <v>1797</v>
      </c>
      <c r="C1315" s="305" t="s">
        <v>10023</v>
      </c>
      <c r="D1315" s="16" t="s">
        <v>29</v>
      </c>
      <c r="E1315" s="16" t="s">
        <v>1712</v>
      </c>
      <c r="F1315" s="16" t="s">
        <v>1711</v>
      </c>
      <c r="G1315" s="16" t="s">
        <v>35</v>
      </c>
      <c r="H1315" s="16"/>
      <c r="I1315" s="16"/>
      <c r="J1315" s="16"/>
      <c r="K1315" s="16"/>
      <c r="L1315" s="16"/>
      <c r="M1315" s="16"/>
      <c r="N1315" s="16"/>
      <c r="O1315" s="17"/>
      <c r="P1315" s="5" t="str">
        <f t="shared" si="37"/>
        <v>Truncate table FCN130;</v>
      </c>
      <c r="Q1315" s="5"/>
      <c r="R1315" s="5"/>
    </row>
    <row r="1316" spans="2:18" x14ac:dyDescent="0.25">
      <c r="B1316" s="19" t="s">
        <v>1798</v>
      </c>
      <c r="C1316" s="305" t="s">
        <v>10024</v>
      </c>
      <c r="D1316" s="16" t="s">
        <v>29</v>
      </c>
      <c r="E1316" s="16" t="s">
        <v>1712</v>
      </c>
      <c r="F1316" s="16" t="s">
        <v>1711</v>
      </c>
      <c r="G1316" s="16" t="s">
        <v>35</v>
      </c>
      <c r="H1316" s="16"/>
      <c r="I1316" s="16"/>
      <c r="J1316" s="16"/>
      <c r="K1316" s="16"/>
      <c r="L1316" s="16"/>
      <c r="M1316" s="16"/>
      <c r="N1316" s="16"/>
      <c r="O1316" s="17"/>
      <c r="P1316" s="5" t="str">
        <f t="shared" si="37"/>
        <v>Truncate table FCN140;</v>
      </c>
      <c r="Q1316" s="5"/>
      <c r="R1316" s="5"/>
    </row>
    <row r="1317" spans="2:18" x14ac:dyDescent="0.25">
      <c r="B1317" s="19" t="s">
        <v>1799</v>
      </c>
      <c r="C1317" s="16" t="s">
        <v>1800</v>
      </c>
      <c r="D1317" s="16" t="s">
        <v>29</v>
      </c>
      <c r="E1317" s="16" t="s">
        <v>1712</v>
      </c>
      <c r="F1317" s="16" t="s">
        <v>1711</v>
      </c>
      <c r="G1317" s="16" t="s">
        <v>35</v>
      </c>
      <c r="H1317" s="16"/>
      <c r="I1317" s="16"/>
      <c r="J1317" s="16"/>
      <c r="K1317" s="16"/>
      <c r="L1317" s="16"/>
      <c r="M1317" s="16"/>
      <c r="N1317" s="16"/>
      <c r="O1317" s="17" t="s">
        <v>38</v>
      </c>
      <c r="P1317" s="5" t="str">
        <f t="shared" si="37"/>
        <v>Truncate table FCNV00;</v>
      </c>
      <c r="Q1317" s="5"/>
      <c r="R1317" s="5"/>
    </row>
    <row r="1318" spans="2:18" x14ac:dyDescent="0.25">
      <c r="B1318" s="19" t="s">
        <v>1801</v>
      </c>
      <c r="C1318" s="16" t="s">
        <v>1800</v>
      </c>
      <c r="D1318" s="16" t="s">
        <v>29</v>
      </c>
      <c r="E1318" s="16" t="s">
        <v>1712</v>
      </c>
      <c r="F1318" s="16" t="s">
        <v>1711</v>
      </c>
      <c r="G1318" s="16" t="s">
        <v>35</v>
      </c>
      <c r="H1318" s="16"/>
      <c r="I1318" s="16"/>
      <c r="J1318" s="16"/>
      <c r="K1318" s="16"/>
      <c r="L1318" s="16"/>
      <c r="M1318" s="16"/>
      <c r="N1318" s="16"/>
      <c r="O1318" s="17" t="s">
        <v>38</v>
      </c>
      <c r="P1318" s="5" t="str">
        <f t="shared" si="37"/>
        <v>Truncate table FCNV01;</v>
      </c>
      <c r="Q1318" s="5"/>
      <c r="R1318" s="5"/>
    </row>
    <row r="1319" spans="2:18" x14ac:dyDescent="0.25">
      <c r="B1319" s="19" t="s">
        <v>1802</v>
      </c>
      <c r="C1319" s="16" t="s">
        <v>1800</v>
      </c>
      <c r="D1319" s="16" t="s">
        <v>29</v>
      </c>
      <c r="E1319" s="16" t="s">
        <v>1712</v>
      </c>
      <c r="F1319" s="16" t="s">
        <v>1711</v>
      </c>
      <c r="G1319" s="16" t="s">
        <v>35</v>
      </c>
      <c r="H1319" s="16"/>
      <c r="I1319" s="16"/>
      <c r="J1319" s="16"/>
      <c r="K1319" s="16"/>
      <c r="L1319" s="16"/>
      <c r="M1319" s="16"/>
      <c r="N1319" s="16"/>
      <c r="O1319" s="17" t="s">
        <v>38</v>
      </c>
      <c r="P1319" s="5" t="str">
        <f t="shared" si="37"/>
        <v>Truncate table FCNV02;</v>
      </c>
      <c r="Q1319" s="5"/>
      <c r="R1319" s="5"/>
    </row>
    <row r="1320" spans="2:18" x14ac:dyDescent="0.25">
      <c r="B1320" s="19" t="s">
        <v>1803</v>
      </c>
      <c r="C1320" s="16" t="s">
        <v>9088</v>
      </c>
      <c r="D1320" s="16" t="s">
        <v>29</v>
      </c>
      <c r="E1320" s="16" t="s">
        <v>1712</v>
      </c>
      <c r="F1320" s="16" t="s">
        <v>1711</v>
      </c>
      <c r="G1320" s="16" t="s">
        <v>35</v>
      </c>
      <c r="H1320" s="16"/>
      <c r="I1320" s="16"/>
      <c r="J1320" s="16"/>
      <c r="K1320" s="16"/>
      <c r="L1320" s="16"/>
      <c r="M1320" s="16"/>
      <c r="N1320" s="16"/>
      <c r="O1320" s="17"/>
      <c r="P1320" s="5" t="str">
        <f t="shared" si="37"/>
        <v>Truncate table FCNV03;</v>
      </c>
      <c r="Q1320" s="5"/>
      <c r="R1320" s="5"/>
    </row>
    <row r="1321" spans="2:18" x14ac:dyDescent="0.25">
      <c r="B1321" s="19" t="s">
        <v>1804</v>
      </c>
      <c r="C1321" s="16" t="s">
        <v>9089</v>
      </c>
      <c r="D1321" s="16" t="s">
        <v>29</v>
      </c>
      <c r="E1321" s="16" t="s">
        <v>1712</v>
      </c>
      <c r="F1321" s="16" t="s">
        <v>1711</v>
      </c>
      <c r="G1321" s="16" t="s">
        <v>35</v>
      </c>
      <c r="H1321" s="16"/>
      <c r="I1321" s="16"/>
      <c r="J1321" s="16"/>
      <c r="K1321" s="16"/>
      <c r="L1321" s="16"/>
      <c r="M1321" s="16"/>
      <c r="N1321" s="16"/>
      <c r="O1321" s="17"/>
      <c r="P1321" s="5" t="str">
        <f t="shared" si="37"/>
        <v>Truncate table FCNV04;</v>
      </c>
      <c r="Q1321" s="60"/>
      <c r="R1321" s="60"/>
    </row>
    <row r="1322" spans="2:18" x14ac:dyDescent="0.25">
      <c r="B1322" s="19" t="s">
        <v>1805</v>
      </c>
      <c r="C1322" s="16" t="s">
        <v>9090</v>
      </c>
      <c r="D1322" s="16" t="s">
        <v>29</v>
      </c>
      <c r="E1322" s="16" t="s">
        <v>1712</v>
      </c>
      <c r="F1322" s="16" t="s">
        <v>1711</v>
      </c>
      <c r="G1322" s="16" t="s">
        <v>35</v>
      </c>
      <c r="H1322" s="16"/>
      <c r="I1322" s="16"/>
      <c r="J1322" s="16"/>
      <c r="K1322" s="16"/>
      <c r="L1322" s="16"/>
      <c r="M1322" s="16"/>
      <c r="N1322" s="16"/>
      <c r="O1322" s="17"/>
      <c r="P1322" s="5" t="str">
        <f t="shared" si="37"/>
        <v>Truncate table FCNV05;</v>
      </c>
      <c r="Q1322" s="5"/>
      <c r="R1322" s="5"/>
    </row>
    <row r="1323" spans="2:18" x14ac:dyDescent="0.25">
      <c r="B1323" s="19" t="s">
        <v>1806</v>
      </c>
      <c r="C1323" s="16" t="s">
        <v>9091</v>
      </c>
      <c r="D1323" s="16" t="s">
        <v>29</v>
      </c>
      <c r="E1323" s="16" t="s">
        <v>1712</v>
      </c>
      <c r="F1323" s="16" t="s">
        <v>1711</v>
      </c>
      <c r="G1323" s="16" t="s">
        <v>35</v>
      </c>
      <c r="H1323" s="16"/>
      <c r="I1323" s="16"/>
      <c r="J1323" s="16"/>
      <c r="K1323" s="16"/>
      <c r="L1323" s="16"/>
      <c r="M1323" s="16"/>
      <c r="N1323" s="16"/>
      <c r="O1323" s="17"/>
      <c r="P1323" s="5" t="str">
        <f t="shared" si="37"/>
        <v>Truncate table FCNV06;</v>
      </c>
      <c r="Q1323" s="5"/>
      <c r="R1323" s="5"/>
    </row>
    <row r="1324" spans="2:18" x14ac:dyDescent="0.25">
      <c r="B1324" s="19" t="s">
        <v>1807</v>
      </c>
      <c r="C1324" s="16" t="s">
        <v>9092</v>
      </c>
      <c r="D1324" s="16" t="s">
        <v>29</v>
      </c>
      <c r="E1324" s="16" t="s">
        <v>1712</v>
      </c>
      <c r="F1324" s="16" t="s">
        <v>1711</v>
      </c>
      <c r="G1324" s="16" t="s">
        <v>35</v>
      </c>
      <c r="H1324" s="16"/>
      <c r="I1324" s="16"/>
      <c r="J1324" s="16"/>
      <c r="K1324" s="16"/>
      <c r="L1324" s="16"/>
      <c r="M1324" s="16"/>
      <c r="N1324" s="16"/>
      <c r="O1324" s="17"/>
      <c r="P1324" s="5" t="str">
        <f t="shared" si="37"/>
        <v>Truncate table FCNV07;</v>
      </c>
      <c r="Q1324" s="5"/>
      <c r="R1324" s="5"/>
    </row>
    <row r="1325" spans="2:18" x14ac:dyDescent="0.25">
      <c r="B1325" s="19" t="s">
        <v>1808</v>
      </c>
      <c r="C1325" s="16" t="s">
        <v>9093</v>
      </c>
      <c r="D1325" s="16" t="s">
        <v>29</v>
      </c>
      <c r="E1325" s="16" t="s">
        <v>1712</v>
      </c>
      <c r="F1325" s="16" t="s">
        <v>1711</v>
      </c>
      <c r="G1325" s="16" t="s">
        <v>35</v>
      </c>
      <c r="H1325" s="16"/>
      <c r="I1325" s="16"/>
      <c r="J1325" s="16"/>
      <c r="K1325" s="16"/>
      <c r="L1325" s="16"/>
      <c r="M1325" s="16"/>
      <c r="N1325" s="16"/>
      <c r="O1325" s="17"/>
      <c r="P1325" s="5" t="str">
        <f t="shared" si="37"/>
        <v>Truncate table FCNV10;</v>
      </c>
      <c r="Q1325" s="5"/>
      <c r="R1325" s="5"/>
    </row>
    <row r="1326" spans="2:18" x14ac:dyDescent="0.25">
      <c r="B1326" s="19" t="s">
        <v>1809</v>
      </c>
      <c r="C1326" s="16" t="s">
        <v>9094</v>
      </c>
      <c r="D1326" s="16" t="s">
        <v>29</v>
      </c>
      <c r="E1326" s="16" t="s">
        <v>1712</v>
      </c>
      <c r="F1326" s="16" t="s">
        <v>1711</v>
      </c>
      <c r="G1326" s="16" t="s">
        <v>35</v>
      </c>
      <c r="H1326" s="16"/>
      <c r="I1326" s="16"/>
      <c r="J1326" s="16"/>
      <c r="K1326" s="16"/>
      <c r="L1326" s="16"/>
      <c r="M1326" s="16"/>
      <c r="N1326" s="16"/>
      <c r="O1326" s="17"/>
      <c r="P1326" s="5" t="str">
        <f t="shared" si="37"/>
        <v>Truncate table FCNV11;</v>
      </c>
      <c r="Q1326" s="5"/>
      <c r="R1326" s="5"/>
    </row>
    <row r="1327" spans="2:18" x14ac:dyDescent="0.25">
      <c r="B1327" s="19" t="s">
        <v>1810</v>
      </c>
      <c r="C1327" s="16" t="s">
        <v>9095</v>
      </c>
      <c r="D1327" s="16" t="s">
        <v>29</v>
      </c>
      <c r="E1327" s="16" t="s">
        <v>1712</v>
      </c>
      <c r="F1327" s="16" t="s">
        <v>1711</v>
      </c>
      <c r="G1327" s="16" t="s">
        <v>35</v>
      </c>
      <c r="H1327" s="16"/>
      <c r="I1327" s="16"/>
      <c r="J1327" s="16"/>
      <c r="K1327" s="16"/>
      <c r="L1327" s="16"/>
      <c r="M1327" s="16"/>
      <c r="N1327" s="16"/>
      <c r="O1327" s="17"/>
      <c r="P1327" s="5" t="str">
        <f t="shared" si="37"/>
        <v>Truncate table FCNV12;</v>
      </c>
      <c r="Q1327" s="5"/>
      <c r="R1327" s="5"/>
    </row>
    <row r="1328" spans="2:18" x14ac:dyDescent="0.25">
      <c r="B1328" s="19" t="s">
        <v>1811</v>
      </c>
      <c r="C1328" s="16" t="s">
        <v>9096</v>
      </c>
      <c r="D1328" s="16" t="s">
        <v>29</v>
      </c>
      <c r="E1328" s="16" t="s">
        <v>1712</v>
      </c>
      <c r="F1328" s="16" t="s">
        <v>1711</v>
      </c>
      <c r="G1328" s="16" t="s">
        <v>35</v>
      </c>
      <c r="H1328" s="16"/>
      <c r="I1328" s="16"/>
      <c r="J1328" s="16"/>
      <c r="K1328" s="16"/>
      <c r="L1328" s="16"/>
      <c r="M1328" s="16"/>
      <c r="N1328" s="16"/>
      <c r="O1328" s="17"/>
      <c r="P1328" s="5" t="str">
        <f t="shared" si="37"/>
        <v>Truncate table FCNV15;</v>
      </c>
      <c r="Q1328" s="5"/>
      <c r="R1328" s="5"/>
    </row>
    <row r="1329" spans="2:18" x14ac:dyDescent="0.25">
      <c r="B1329" s="19" t="s">
        <v>1812</v>
      </c>
      <c r="C1329" s="16" t="s">
        <v>9097</v>
      </c>
      <c r="D1329" s="16" t="s">
        <v>29</v>
      </c>
      <c r="E1329" s="16" t="s">
        <v>1712</v>
      </c>
      <c r="F1329" s="16" t="s">
        <v>1711</v>
      </c>
      <c r="G1329" s="16" t="s">
        <v>35</v>
      </c>
      <c r="H1329" s="16"/>
      <c r="I1329" s="16"/>
      <c r="J1329" s="16"/>
      <c r="K1329" s="16"/>
      <c r="L1329" s="16"/>
      <c r="M1329" s="16"/>
      <c r="N1329" s="16"/>
      <c r="O1329" s="17"/>
      <c r="P1329" s="5" t="str">
        <f t="shared" si="37"/>
        <v>Truncate table FCNV20;</v>
      </c>
      <c r="Q1329" s="5"/>
      <c r="R1329" s="5"/>
    </row>
    <row r="1330" spans="2:18" x14ac:dyDescent="0.25">
      <c r="B1330" s="19" t="s">
        <v>1813</v>
      </c>
      <c r="C1330" s="16" t="s">
        <v>9098</v>
      </c>
      <c r="D1330" s="16" t="s">
        <v>29</v>
      </c>
      <c r="E1330" s="16" t="s">
        <v>1712</v>
      </c>
      <c r="F1330" s="16" t="s">
        <v>1711</v>
      </c>
      <c r="G1330" s="16" t="s">
        <v>35</v>
      </c>
      <c r="H1330" s="16"/>
      <c r="I1330" s="16"/>
      <c r="J1330" s="16"/>
      <c r="K1330" s="16"/>
      <c r="L1330" s="16"/>
      <c r="M1330" s="16"/>
      <c r="N1330" s="16"/>
      <c r="O1330" s="17"/>
      <c r="P1330" s="5" t="str">
        <f t="shared" si="37"/>
        <v>Truncate table FCNV21;</v>
      </c>
      <c r="Q1330" s="5"/>
      <c r="R1330" s="5"/>
    </row>
    <row r="1331" spans="2:18" x14ac:dyDescent="0.25">
      <c r="B1331" s="19" t="s">
        <v>1814</v>
      </c>
      <c r="C1331" s="16" t="s">
        <v>9099</v>
      </c>
      <c r="D1331" s="16" t="s">
        <v>29</v>
      </c>
      <c r="E1331" s="16" t="s">
        <v>1712</v>
      </c>
      <c r="F1331" s="16" t="s">
        <v>1711</v>
      </c>
      <c r="G1331" s="16" t="s">
        <v>35</v>
      </c>
      <c r="H1331" s="16"/>
      <c r="I1331" s="16"/>
      <c r="J1331" s="16"/>
      <c r="K1331" s="16"/>
      <c r="L1331" s="16"/>
      <c r="M1331" s="16"/>
      <c r="N1331" s="16"/>
      <c r="O1331" s="17"/>
      <c r="P1331" s="5" t="str">
        <f t="shared" si="37"/>
        <v>Truncate table FCNV22;</v>
      </c>
      <c r="Q1331" s="5"/>
      <c r="R1331" s="5"/>
    </row>
    <row r="1332" spans="2:18" x14ac:dyDescent="0.25">
      <c r="B1332" s="19" t="s">
        <v>1815</v>
      </c>
      <c r="C1332" s="16" t="s">
        <v>9100</v>
      </c>
      <c r="D1332" s="16" t="s">
        <v>29</v>
      </c>
      <c r="E1332" s="16" t="s">
        <v>1712</v>
      </c>
      <c r="F1332" s="16" t="s">
        <v>1711</v>
      </c>
      <c r="G1332" s="16" t="s">
        <v>35</v>
      </c>
      <c r="H1332" s="16"/>
      <c r="I1332" s="16"/>
      <c r="J1332" s="16"/>
      <c r="K1332" s="16"/>
      <c r="L1332" s="16"/>
      <c r="M1332" s="16"/>
      <c r="N1332" s="16"/>
      <c r="O1332" s="17"/>
      <c r="P1332" s="5" t="str">
        <f t="shared" si="37"/>
        <v>Truncate table FCNV30;</v>
      </c>
      <c r="Q1332" s="5"/>
      <c r="R1332" s="5"/>
    </row>
    <row r="1333" spans="2:18" x14ac:dyDescent="0.25">
      <c r="B1333" s="19" t="s">
        <v>1816</v>
      </c>
      <c r="C1333" s="16" t="s">
        <v>9101</v>
      </c>
      <c r="D1333" s="16" t="s">
        <v>29</v>
      </c>
      <c r="E1333" s="16" t="s">
        <v>1712</v>
      </c>
      <c r="F1333" s="16" t="s">
        <v>1711</v>
      </c>
      <c r="G1333" s="16" t="s">
        <v>35</v>
      </c>
      <c r="H1333" s="16"/>
      <c r="I1333" s="16"/>
      <c r="J1333" s="16"/>
      <c r="K1333" s="16"/>
      <c r="L1333" s="16"/>
      <c r="M1333" s="16"/>
      <c r="N1333" s="16"/>
      <c r="O1333" s="17"/>
      <c r="P1333" s="5" t="str">
        <f t="shared" si="37"/>
        <v>Truncate table FCNV31;</v>
      </c>
      <c r="Q1333" s="5"/>
      <c r="R1333" s="5"/>
    </row>
    <row r="1334" spans="2:18" x14ac:dyDescent="0.25">
      <c r="B1334" s="19" t="s">
        <v>1817</v>
      </c>
      <c r="C1334" s="16" t="s">
        <v>9102</v>
      </c>
      <c r="D1334" s="16" t="s">
        <v>29</v>
      </c>
      <c r="E1334" s="16" t="s">
        <v>1712</v>
      </c>
      <c r="F1334" s="16" t="s">
        <v>1711</v>
      </c>
      <c r="G1334" s="16" t="s">
        <v>35</v>
      </c>
      <c r="H1334" s="16"/>
      <c r="I1334" s="16"/>
      <c r="J1334" s="16"/>
      <c r="K1334" s="16"/>
      <c r="L1334" s="16"/>
      <c r="M1334" s="16"/>
      <c r="N1334" s="16"/>
      <c r="O1334" s="17"/>
      <c r="P1334" s="5" t="str">
        <f t="shared" si="37"/>
        <v>Truncate table FCNV32;</v>
      </c>
      <c r="Q1334" s="5"/>
      <c r="R1334" s="5"/>
    </row>
    <row r="1335" spans="2:18" x14ac:dyDescent="0.25">
      <c r="B1335" s="19" t="s">
        <v>1818</v>
      </c>
      <c r="C1335" s="16" t="s">
        <v>9103</v>
      </c>
      <c r="D1335" s="16" t="s">
        <v>29</v>
      </c>
      <c r="E1335" s="16" t="s">
        <v>1712</v>
      </c>
      <c r="F1335" s="16" t="s">
        <v>1711</v>
      </c>
      <c r="G1335" s="16" t="s">
        <v>35</v>
      </c>
      <c r="H1335" s="16"/>
      <c r="I1335" s="16"/>
      <c r="J1335" s="16"/>
      <c r="K1335" s="16"/>
      <c r="L1335" s="16"/>
      <c r="M1335" s="16"/>
      <c r="N1335" s="16"/>
      <c r="O1335" s="17"/>
      <c r="P1335" s="5" t="str">
        <f t="shared" si="37"/>
        <v>Truncate table FCNV33;</v>
      </c>
      <c r="Q1335" s="5"/>
      <c r="R1335" s="5"/>
    </row>
    <row r="1336" spans="2:18" x14ac:dyDescent="0.25">
      <c r="B1336" s="19" t="s">
        <v>1819</v>
      </c>
      <c r="C1336" s="16" t="s">
        <v>9104</v>
      </c>
      <c r="D1336" s="16" t="s">
        <v>29</v>
      </c>
      <c r="E1336" s="16" t="s">
        <v>1712</v>
      </c>
      <c r="F1336" s="16" t="s">
        <v>1711</v>
      </c>
      <c r="G1336" s="16" t="s">
        <v>35</v>
      </c>
      <c r="H1336" s="16"/>
      <c r="I1336" s="16"/>
      <c r="J1336" s="16"/>
      <c r="K1336" s="16"/>
      <c r="L1336" s="16"/>
      <c r="M1336" s="16"/>
      <c r="N1336" s="16"/>
      <c r="O1336" s="17"/>
      <c r="P1336" s="5" t="str">
        <f t="shared" si="37"/>
        <v>Truncate table FCNV34;</v>
      </c>
      <c r="Q1336" s="5"/>
      <c r="R1336" s="5"/>
    </row>
    <row r="1337" spans="2:18" x14ac:dyDescent="0.25">
      <c r="B1337" s="19" t="s">
        <v>1820</v>
      </c>
      <c r="C1337" s="16" t="s">
        <v>9105</v>
      </c>
      <c r="D1337" s="16" t="s">
        <v>29</v>
      </c>
      <c r="E1337" s="16" t="s">
        <v>1712</v>
      </c>
      <c r="F1337" s="16" t="s">
        <v>1711</v>
      </c>
      <c r="G1337" s="16" t="s">
        <v>35</v>
      </c>
      <c r="H1337" s="16"/>
      <c r="I1337" s="16"/>
      <c r="J1337" s="16"/>
      <c r="K1337" s="16"/>
      <c r="L1337" s="16"/>
      <c r="M1337" s="16"/>
      <c r="N1337" s="16"/>
      <c r="O1337" s="17"/>
      <c r="P1337" s="5" t="str">
        <f t="shared" si="37"/>
        <v>Truncate table FCNV35;</v>
      </c>
      <c r="Q1337" s="5"/>
      <c r="R1337" s="5"/>
    </row>
    <row r="1338" spans="2:18" x14ac:dyDescent="0.25">
      <c r="B1338" s="19" t="s">
        <v>1821</v>
      </c>
      <c r="C1338" s="16" t="s">
        <v>9106</v>
      </c>
      <c r="D1338" s="16" t="s">
        <v>29</v>
      </c>
      <c r="E1338" s="16" t="s">
        <v>1712</v>
      </c>
      <c r="F1338" s="16" t="s">
        <v>1711</v>
      </c>
      <c r="G1338" s="16" t="s">
        <v>35</v>
      </c>
      <c r="H1338" s="16"/>
      <c r="I1338" s="16"/>
      <c r="J1338" s="16"/>
      <c r="K1338" s="16"/>
      <c r="L1338" s="16"/>
      <c r="M1338" s="16"/>
      <c r="N1338" s="16"/>
      <c r="O1338" s="17"/>
      <c r="P1338" s="5" t="str">
        <f t="shared" si="37"/>
        <v>Truncate table FCNV36;</v>
      </c>
      <c r="Q1338" s="5"/>
      <c r="R1338" s="5"/>
    </row>
    <row r="1339" spans="2:18" x14ac:dyDescent="0.25">
      <c r="B1339" s="19" t="s">
        <v>1822</v>
      </c>
      <c r="C1339" s="16" t="s">
        <v>9107</v>
      </c>
      <c r="D1339" s="16" t="s">
        <v>29</v>
      </c>
      <c r="E1339" s="16" t="s">
        <v>1712</v>
      </c>
      <c r="F1339" s="16" t="s">
        <v>1711</v>
      </c>
      <c r="G1339" s="16" t="s">
        <v>35</v>
      </c>
      <c r="H1339" s="16"/>
      <c r="I1339" s="16"/>
      <c r="J1339" s="16"/>
      <c r="K1339" s="16"/>
      <c r="L1339" s="16"/>
      <c r="M1339" s="16"/>
      <c r="N1339" s="16"/>
      <c r="O1339" s="17"/>
      <c r="P1339" s="5" t="str">
        <f t="shared" si="37"/>
        <v>Truncate table FCNV37;</v>
      </c>
      <c r="Q1339" s="5"/>
      <c r="R1339" s="5"/>
    </row>
    <row r="1340" spans="2:18" x14ac:dyDescent="0.25">
      <c r="B1340" s="19" t="s">
        <v>1823</v>
      </c>
      <c r="C1340" s="16" t="s">
        <v>9108</v>
      </c>
      <c r="D1340" s="16" t="s">
        <v>29</v>
      </c>
      <c r="E1340" s="16" t="s">
        <v>1712</v>
      </c>
      <c r="F1340" s="16" t="s">
        <v>1711</v>
      </c>
      <c r="G1340" s="16" t="s">
        <v>35</v>
      </c>
      <c r="H1340" s="16"/>
      <c r="I1340" s="16"/>
      <c r="J1340" s="16"/>
      <c r="K1340" s="16"/>
      <c r="L1340" s="16"/>
      <c r="M1340" s="16"/>
      <c r="N1340" s="16"/>
      <c r="O1340" s="17"/>
      <c r="P1340" s="5" t="str">
        <f t="shared" si="37"/>
        <v>Truncate table FCNV38;</v>
      </c>
      <c r="Q1340" s="5"/>
      <c r="R1340" s="5"/>
    </row>
    <row r="1341" spans="2:18" x14ac:dyDescent="0.25">
      <c r="B1341" s="19" t="s">
        <v>1824</v>
      </c>
      <c r="C1341" s="16" t="s">
        <v>9110</v>
      </c>
      <c r="D1341" s="16" t="s">
        <v>29</v>
      </c>
      <c r="E1341" s="16" t="s">
        <v>1712</v>
      </c>
      <c r="F1341" s="16" t="s">
        <v>1711</v>
      </c>
      <c r="G1341" s="16" t="s">
        <v>35</v>
      </c>
      <c r="H1341" s="16"/>
      <c r="I1341" s="16"/>
      <c r="J1341" s="16"/>
      <c r="K1341" s="16"/>
      <c r="L1341" s="16"/>
      <c r="M1341" s="16"/>
      <c r="N1341" s="16"/>
      <c r="O1341" s="17"/>
      <c r="P1341" s="5" t="str">
        <f t="shared" si="37"/>
        <v>Truncate table FCNV40;</v>
      </c>
      <c r="Q1341" s="5"/>
      <c r="R1341" s="5"/>
    </row>
    <row r="1342" spans="2:18" x14ac:dyDescent="0.25">
      <c r="B1342" s="19" t="s">
        <v>1825</v>
      </c>
      <c r="C1342" s="16" t="s">
        <v>9111</v>
      </c>
      <c r="D1342" s="16" t="s">
        <v>29</v>
      </c>
      <c r="E1342" s="16" t="s">
        <v>1712</v>
      </c>
      <c r="F1342" s="16" t="s">
        <v>1711</v>
      </c>
      <c r="G1342" s="16" t="s">
        <v>35</v>
      </c>
      <c r="H1342" s="16"/>
      <c r="I1342" s="16"/>
      <c r="J1342" s="16"/>
      <c r="K1342" s="16"/>
      <c r="L1342" s="16"/>
      <c r="M1342" s="16"/>
      <c r="N1342" s="16"/>
      <c r="O1342" s="17"/>
      <c r="P1342" s="5" t="str">
        <f t="shared" si="37"/>
        <v>Truncate table FCNV41;</v>
      </c>
      <c r="Q1342" s="5"/>
      <c r="R1342" s="5"/>
    </row>
    <row r="1343" spans="2:18" x14ac:dyDescent="0.25">
      <c r="B1343" s="19" t="s">
        <v>1826</v>
      </c>
      <c r="C1343" s="16" t="s">
        <v>9109</v>
      </c>
      <c r="D1343" s="16" t="s">
        <v>29</v>
      </c>
      <c r="E1343" s="16" t="s">
        <v>1712</v>
      </c>
      <c r="F1343" s="16" t="s">
        <v>1711</v>
      </c>
      <c r="G1343" s="16" t="s">
        <v>35</v>
      </c>
      <c r="H1343" s="16"/>
      <c r="I1343" s="16"/>
      <c r="J1343" s="16"/>
      <c r="K1343" s="16"/>
      <c r="L1343" s="16"/>
      <c r="M1343" s="16"/>
      <c r="N1343" s="16"/>
      <c r="O1343" s="17"/>
      <c r="P1343" s="5" t="str">
        <f t="shared" si="37"/>
        <v>Truncate table FCNV50;</v>
      </c>
      <c r="Q1343" s="5"/>
      <c r="R1343" s="5"/>
    </row>
    <row r="1344" spans="2:18" x14ac:dyDescent="0.25">
      <c r="B1344" s="19" t="s">
        <v>1827</v>
      </c>
      <c r="C1344" s="16" t="s">
        <v>9112</v>
      </c>
      <c r="D1344" s="16" t="s">
        <v>29</v>
      </c>
      <c r="E1344" s="16" t="s">
        <v>1712</v>
      </c>
      <c r="F1344" s="16" t="s">
        <v>1711</v>
      </c>
      <c r="G1344" s="16" t="s">
        <v>35</v>
      </c>
      <c r="H1344" s="16"/>
      <c r="I1344" s="16"/>
      <c r="J1344" s="16"/>
      <c r="K1344" s="16"/>
      <c r="L1344" s="16"/>
      <c r="M1344" s="16"/>
      <c r="N1344" s="16"/>
      <c r="O1344" s="17"/>
      <c r="P1344" s="5" t="str">
        <f t="shared" si="37"/>
        <v>Truncate table FCNV51;</v>
      </c>
      <c r="Q1344" s="5"/>
      <c r="R1344" s="5"/>
    </row>
    <row r="1345" spans="2:18" x14ac:dyDescent="0.25">
      <c r="B1345" s="19" t="s">
        <v>1828</v>
      </c>
      <c r="C1345" s="16" t="s">
        <v>9113</v>
      </c>
      <c r="D1345" s="16" t="s">
        <v>29</v>
      </c>
      <c r="E1345" s="16" t="s">
        <v>1712</v>
      </c>
      <c r="F1345" s="16" t="s">
        <v>1711</v>
      </c>
      <c r="G1345" s="16" t="s">
        <v>35</v>
      </c>
      <c r="H1345" s="16"/>
      <c r="I1345" s="16"/>
      <c r="J1345" s="16"/>
      <c r="K1345" s="16"/>
      <c r="L1345" s="16"/>
      <c r="M1345" s="16"/>
      <c r="N1345" s="16"/>
      <c r="O1345" s="17"/>
      <c r="P1345" s="5" t="str">
        <f t="shared" si="37"/>
        <v>Truncate table FCNV52;</v>
      </c>
      <c r="Q1345" s="5"/>
      <c r="R1345" s="5"/>
    </row>
    <row r="1346" spans="2:18" x14ac:dyDescent="0.25">
      <c r="B1346" s="19" t="s">
        <v>1829</v>
      </c>
      <c r="C1346" s="16" t="s">
        <v>9114</v>
      </c>
      <c r="D1346" s="16" t="s">
        <v>29</v>
      </c>
      <c r="E1346" s="16" t="s">
        <v>1712</v>
      </c>
      <c r="F1346" s="16" t="s">
        <v>1711</v>
      </c>
      <c r="G1346" s="16" t="s">
        <v>35</v>
      </c>
      <c r="H1346" s="16"/>
      <c r="I1346" s="16"/>
      <c r="J1346" s="16"/>
      <c r="K1346" s="16"/>
      <c r="L1346" s="16"/>
      <c r="M1346" s="16"/>
      <c r="N1346" s="16"/>
      <c r="O1346" s="17"/>
      <c r="P1346" s="5" t="str">
        <f t="shared" si="37"/>
        <v>Truncate table FCNV53;</v>
      </c>
      <c r="Q1346" s="5"/>
      <c r="R1346" s="5"/>
    </row>
    <row r="1347" spans="2:18" x14ac:dyDescent="0.25">
      <c r="B1347" s="19" t="s">
        <v>1830</v>
      </c>
      <c r="C1347" s="16" t="s">
        <v>9115</v>
      </c>
      <c r="D1347" s="16" t="s">
        <v>29</v>
      </c>
      <c r="E1347" s="16" t="s">
        <v>1712</v>
      </c>
      <c r="F1347" s="16" t="s">
        <v>1711</v>
      </c>
      <c r="G1347" s="16" t="s">
        <v>35</v>
      </c>
      <c r="H1347" s="16"/>
      <c r="I1347" s="16"/>
      <c r="J1347" s="16"/>
      <c r="K1347" s="16"/>
      <c r="L1347" s="16"/>
      <c r="M1347" s="16"/>
      <c r="N1347" s="16"/>
      <c r="O1347" s="17"/>
      <c r="P1347" s="5" t="str">
        <f t="shared" si="37"/>
        <v>Truncate table FCNV70;</v>
      </c>
      <c r="Q1347" s="5"/>
      <c r="R1347" s="5"/>
    </row>
    <row r="1348" spans="2:18" x14ac:dyDescent="0.25">
      <c r="B1348" s="19" t="s">
        <v>1831</v>
      </c>
      <c r="C1348" s="16" t="s">
        <v>9116</v>
      </c>
      <c r="D1348" s="16" t="s">
        <v>29</v>
      </c>
      <c r="E1348" s="16" t="s">
        <v>1712</v>
      </c>
      <c r="F1348" s="16" t="s">
        <v>1711</v>
      </c>
      <c r="G1348" s="16" t="s">
        <v>35</v>
      </c>
      <c r="H1348" s="16"/>
      <c r="I1348" s="16"/>
      <c r="J1348" s="16"/>
      <c r="K1348" s="16"/>
      <c r="L1348" s="16"/>
      <c r="M1348" s="16"/>
      <c r="N1348" s="16"/>
      <c r="O1348" s="17"/>
      <c r="P1348" s="5" t="str">
        <f t="shared" si="37"/>
        <v>Truncate table FCNV71;</v>
      </c>
      <c r="Q1348" s="5"/>
      <c r="R1348" s="5"/>
    </row>
    <row r="1349" spans="2:18" x14ac:dyDescent="0.25">
      <c r="B1349" s="19" t="s">
        <v>1832</v>
      </c>
      <c r="C1349" s="16" t="s">
        <v>1800</v>
      </c>
      <c r="D1349" s="16" t="s">
        <v>8152</v>
      </c>
      <c r="E1349" s="16" t="s">
        <v>1712</v>
      </c>
      <c r="F1349" s="16" t="s">
        <v>1711</v>
      </c>
      <c r="G1349" s="16" t="s">
        <v>35</v>
      </c>
      <c r="H1349" s="16"/>
      <c r="I1349" s="16"/>
      <c r="J1349" s="16"/>
      <c r="K1349" s="16"/>
      <c r="L1349" s="16"/>
      <c r="M1349" s="16"/>
      <c r="N1349" s="16"/>
      <c r="O1349" s="17" t="s">
        <v>38</v>
      </c>
      <c r="P1349" s="5" t="str">
        <f t="shared" si="37"/>
        <v/>
      </c>
      <c r="Q1349" s="5"/>
      <c r="R1349" s="5"/>
    </row>
    <row r="1350" spans="2:18" x14ac:dyDescent="0.25">
      <c r="B1350" s="19" t="s">
        <v>1833</v>
      </c>
      <c r="C1350" s="16" t="s">
        <v>1800</v>
      </c>
      <c r="D1350" s="16" t="s">
        <v>8152</v>
      </c>
      <c r="E1350" s="16" t="s">
        <v>1712</v>
      </c>
      <c r="F1350" s="16" t="s">
        <v>1711</v>
      </c>
      <c r="G1350" s="16" t="s">
        <v>35</v>
      </c>
      <c r="H1350" s="16"/>
      <c r="I1350" s="16"/>
      <c r="J1350" s="16"/>
      <c r="K1350" s="16"/>
      <c r="L1350" s="16"/>
      <c r="M1350" s="16"/>
      <c r="N1350" s="16"/>
      <c r="O1350" s="17" t="s">
        <v>38</v>
      </c>
      <c r="P1350" s="5" t="str">
        <f t="shared" si="37"/>
        <v/>
      </c>
      <c r="Q1350" s="5"/>
      <c r="R1350" s="5"/>
    </row>
    <row r="1351" spans="2:18" x14ac:dyDescent="0.25">
      <c r="B1351" s="19" t="s">
        <v>1834</v>
      </c>
      <c r="C1351" s="16" t="s">
        <v>1800</v>
      </c>
      <c r="D1351" s="16" t="s">
        <v>8152</v>
      </c>
      <c r="E1351" s="16" t="s">
        <v>1712</v>
      </c>
      <c r="F1351" s="16" t="s">
        <v>1711</v>
      </c>
      <c r="G1351" s="16" t="s">
        <v>35</v>
      </c>
      <c r="H1351" s="16"/>
      <c r="I1351" s="16"/>
      <c r="J1351" s="16"/>
      <c r="K1351" s="16"/>
      <c r="L1351" s="16"/>
      <c r="M1351" s="16"/>
      <c r="N1351" s="16"/>
      <c r="O1351" s="17" t="s">
        <v>38</v>
      </c>
      <c r="P1351" s="5" t="str">
        <f t="shared" si="37"/>
        <v/>
      </c>
      <c r="Q1351" s="5"/>
      <c r="R1351" s="5"/>
    </row>
    <row r="1352" spans="2:18" x14ac:dyDescent="0.25">
      <c r="B1352" s="19" t="s">
        <v>1835</v>
      </c>
      <c r="C1352" s="16" t="s">
        <v>9117</v>
      </c>
      <c r="D1352" s="16" t="s">
        <v>29</v>
      </c>
      <c r="E1352" s="16" t="s">
        <v>1712</v>
      </c>
      <c r="F1352" s="16" t="s">
        <v>1711</v>
      </c>
      <c r="G1352" s="16" t="s">
        <v>35</v>
      </c>
      <c r="H1352" s="16"/>
      <c r="I1352" s="16"/>
      <c r="J1352" s="16"/>
      <c r="K1352" s="16"/>
      <c r="L1352" s="16"/>
      <c r="M1352" s="16"/>
      <c r="N1352" s="16"/>
      <c r="O1352" s="17"/>
      <c r="P1352" s="5" t="str">
        <f t="shared" si="37"/>
        <v>Truncate table FCNV85;</v>
      </c>
      <c r="Q1352" s="5"/>
      <c r="R1352" s="5"/>
    </row>
    <row r="1353" spans="2:18" x14ac:dyDescent="0.25">
      <c r="B1353" s="19" t="s">
        <v>1836</v>
      </c>
      <c r="C1353" s="16" t="s">
        <v>9118</v>
      </c>
      <c r="D1353" s="16" t="s">
        <v>29</v>
      </c>
      <c r="E1353" s="16" t="s">
        <v>1712</v>
      </c>
      <c r="F1353" s="16" t="s">
        <v>1711</v>
      </c>
      <c r="G1353" s="16" t="s">
        <v>35</v>
      </c>
      <c r="H1353" s="16"/>
      <c r="I1353" s="16"/>
      <c r="J1353" s="16"/>
      <c r="K1353" s="16"/>
      <c r="L1353" s="16"/>
      <c r="M1353" s="16"/>
      <c r="N1353" s="16"/>
      <c r="O1353" s="17"/>
      <c r="P1353" s="5" t="str">
        <f t="shared" si="37"/>
        <v>Truncate table FCNV86;</v>
      </c>
      <c r="Q1353" s="5"/>
      <c r="R1353" s="5"/>
    </row>
    <row r="1354" spans="2:18" x14ac:dyDescent="0.25">
      <c r="B1354" s="19" t="s">
        <v>1837</v>
      </c>
      <c r="C1354" s="16" t="s">
        <v>9119</v>
      </c>
      <c r="D1354" s="16" t="s">
        <v>29</v>
      </c>
      <c r="E1354" s="16" t="s">
        <v>1712</v>
      </c>
      <c r="F1354" s="16" t="s">
        <v>1711</v>
      </c>
      <c r="G1354" s="16" t="s">
        <v>35</v>
      </c>
      <c r="H1354" s="16"/>
      <c r="I1354" s="16"/>
      <c r="J1354" s="16"/>
      <c r="K1354" s="16"/>
      <c r="L1354" s="16"/>
      <c r="M1354" s="16"/>
      <c r="N1354" s="16"/>
      <c r="O1354" s="17"/>
      <c r="P1354" s="5" t="str">
        <f t="shared" si="37"/>
        <v>Truncate table FCNV90;</v>
      </c>
      <c r="Q1354" s="5"/>
      <c r="R1354" s="5"/>
    </row>
    <row r="1355" spans="2:18" x14ac:dyDescent="0.25">
      <c r="B1355" s="19" t="s">
        <v>1838</v>
      </c>
      <c r="C1355" s="16" t="s">
        <v>1800</v>
      </c>
      <c r="D1355" s="16" t="s">
        <v>29</v>
      </c>
      <c r="E1355" s="16" t="s">
        <v>1712</v>
      </c>
      <c r="F1355" s="16" t="s">
        <v>1711</v>
      </c>
      <c r="G1355" s="16" t="s">
        <v>35</v>
      </c>
      <c r="H1355" s="16"/>
      <c r="I1355" s="16"/>
      <c r="J1355" s="16"/>
      <c r="K1355" s="16"/>
      <c r="L1355" s="16"/>
      <c r="M1355" s="16"/>
      <c r="N1355" s="16"/>
      <c r="O1355" s="17" t="s">
        <v>38</v>
      </c>
      <c r="P1355" s="5" t="str">
        <f t="shared" si="37"/>
        <v>Truncate table FCNV91;</v>
      </c>
      <c r="Q1355" s="5"/>
      <c r="R1355" s="5"/>
    </row>
    <row r="1356" spans="2:18" x14ac:dyDescent="0.25">
      <c r="B1356" s="19" t="s">
        <v>1839</v>
      </c>
      <c r="C1356" s="16" t="s">
        <v>9120</v>
      </c>
      <c r="D1356" s="16" t="s">
        <v>8152</v>
      </c>
      <c r="E1356" s="16" t="s">
        <v>1712</v>
      </c>
      <c r="F1356" s="16" t="s">
        <v>1711</v>
      </c>
      <c r="G1356" s="16" t="s">
        <v>35</v>
      </c>
      <c r="H1356" s="16"/>
      <c r="I1356" s="16"/>
      <c r="J1356" s="16"/>
      <c r="K1356" s="16"/>
      <c r="L1356" s="16"/>
      <c r="M1356" s="16"/>
      <c r="N1356" s="16"/>
      <c r="O1356" s="17" t="s">
        <v>38</v>
      </c>
      <c r="P1356" s="5" t="str">
        <f t="shared" si="37"/>
        <v/>
      </c>
      <c r="Q1356" s="5"/>
      <c r="R1356" s="5"/>
    </row>
    <row r="1357" spans="2:18" x14ac:dyDescent="0.25">
      <c r="B1357" s="19" t="s">
        <v>1840</v>
      </c>
      <c r="C1357" s="16" t="s">
        <v>9121</v>
      </c>
      <c r="D1357" s="16" t="s">
        <v>29</v>
      </c>
      <c r="E1357" s="16" t="s">
        <v>1712</v>
      </c>
      <c r="F1357" s="16" t="s">
        <v>1711</v>
      </c>
      <c r="G1357" s="16" t="s">
        <v>35</v>
      </c>
      <c r="H1357" s="16"/>
      <c r="I1357" s="16"/>
      <c r="J1357" s="16"/>
      <c r="K1357" s="16"/>
      <c r="L1357" s="16"/>
      <c r="M1357" s="16"/>
      <c r="N1357" s="16"/>
      <c r="O1357" s="17"/>
      <c r="P1357" s="5" t="str">
        <f t="shared" si="37"/>
        <v>Truncate table FCPG01;</v>
      </c>
      <c r="Q1357" s="5"/>
      <c r="R1357" s="5"/>
    </row>
    <row r="1358" spans="2:18" x14ac:dyDescent="0.25">
      <c r="B1358" s="19" t="s">
        <v>1841</v>
      </c>
      <c r="C1358" s="16" t="s">
        <v>9122</v>
      </c>
      <c r="D1358" s="16" t="s">
        <v>29</v>
      </c>
      <c r="E1358" s="16" t="s">
        <v>1712</v>
      </c>
      <c r="F1358" s="16" t="s">
        <v>1711</v>
      </c>
      <c r="G1358" s="16" t="s">
        <v>35</v>
      </c>
      <c r="H1358" s="16"/>
      <c r="I1358" s="16"/>
      <c r="J1358" s="16"/>
      <c r="K1358" s="16"/>
      <c r="L1358" s="16"/>
      <c r="M1358" s="16"/>
      <c r="N1358" s="16"/>
      <c r="O1358" s="17"/>
      <c r="P1358" s="5" t="str">
        <f t="shared" si="37"/>
        <v>Truncate table FCPG02;</v>
      </c>
      <c r="Q1358" s="5"/>
      <c r="R1358" s="5"/>
    </row>
    <row r="1359" spans="2:18" x14ac:dyDescent="0.25">
      <c r="B1359" s="19" t="s">
        <v>1842</v>
      </c>
      <c r="C1359" s="16" t="s">
        <v>9123</v>
      </c>
      <c r="D1359" s="16" t="s">
        <v>29</v>
      </c>
      <c r="E1359" s="16" t="s">
        <v>1712</v>
      </c>
      <c r="F1359" s="16" t="s">
        <v>1711</v>
      </c>
      <c r="G1359" s="16" t="s">
        <v>35</v>
      </c>
      <c r="H1359" s="16"/>
      <c r="I1359" s="16"/>
      <c r="J1359" s="16"/>
      <c r="K1359" s="16"/>
      <c r="L1359" s="16"/>
      <c r="M1359" s="16"/>
      <c r="N1359" s="16"/>
      <c r="O1359" s="17"/>
      <c r="P1359" s="5" t="str">
        <f t="shared" si="37"/>
        <v>Truncate table FCPG03;</v>
      </c>
      <c r="Q1359" s="5"/>
      <c r="R1359" s="5"/>
    </row>
    <row r="1360" spans="2:18" x14ac:dyDescent="0.25">
      <c r="B1360" s="19" t="s">
        <v>1843</v>
      </c>
      <c r="C1360" s="16" t="s">
        <v>9124</v>
      </c>
      <c r="D1360" s="16" t="s">
        <v>29</v>
      </c>
      <c r="E1360" s="16" t="s">
        <v>1712</v>
      </c>
      <c r="F1360" s="16" t="s">
        <v>1711</v>
      </c>
      <c r="G1360" s="16" t="s">
        <v>35</v>
      </c>
      <c r="H1360" s="16"/>
      <c r="I1360" s="16"/>
      <c r="J1360" s="16"/>
      <c r="K1360" s="16"/>
      <c r="L1360" s="16"/>
      <c r="M1360" s="16"/>
      <c r="N1360" s="16"/>
      <c r="O1360" s="17"/>
      <c r="P1360" s="5" t="str">
        <f t="shared" si="37"/>
        <v>Truncate table FCPG04;</v>
      </c>
      <c r="Q1360" s="5"/>
      <c r="R1360" s="5"/>
    </row>
    <row r="1361" spans="2:18" x14ac:dyDescent="0.25">
      <c r="B1361" s="19" t="s">
        <v>1844</v>
      </c>
      <c r="C1361" s="16" t="s">
        <v>9125</v>
      </c>
      <c r="D1361" s="16" t="s">
        <v>29</v>
      </c>
      <c r="E1361" s="16" t="s">
        <v>1712</v>
      </c>
      <c r="F1361" s="16" t="s">
        <v>1711</v>
      </c>
      <c r="G1361" s="16" t="s">
        <v>35</v>
      </c>
      <c r="H1361" s="16"/>
      <c r="I1361" s="16"/>
      <c r="J1361" s="16"/>
      <c r="K1361" s="16"/>
      <c r="L1361" s="16"/>
      <c r="M1361" s="16"/>
      <c r="N1361" s="16"/>
      <c r="O1361" s="17"/>
      <c r="P1361" s="5" t="str">
        <f t="shared" si="37"/>
        <v>Truncate table FCPG05;</v>
      </c>
      <c r="Q1361" s="5"/>
      <c r="R1361" s="5"/>
    </row>
    <row r="1362" spans="2:18" ht="15" customHeight="1" x14ac:dyDescent="0.25">
      <c r="B1362" s="19" t="s">
        <v>1845</v>
      </c>
      <c r="C1362" s="16" t="s">
        <v>9126</v>
      </c>
      <c r="D1362" s="16" t="s">
        <v>29</v>
      </c>
      <c r="E1362" s="16" t="s">
        <v>1712</v>
      </c>
      <c r="F1362" s="16" t="s">
        <v>1711</v>
      </c>
      <c r="G1362" s="16" t="s">
        <v>35</v>
      </c>
      <c r="H1362" s="16"/>
      <c r="I1362" s="16"/>
      <c r="J1362" s="16"/>
      <c r="K1362" s="16"/>
      <c r="L1362" s="16"/>
      <c r="M1362" s="16"/>
      <c r="N1362" s="16"/>
      <c r="O1362" s="17"/>
      <c r="P1362" s="5" t="str">
        <f t="shared" si="37"/>
        <v>Truncate table FCPG06;</v>
      </c>
      <c r="Q1362" s="5"/>
      <c r="R1362" s="5"/>
    </row>
    <row r="1363" spans="2:18" x14ac:dyDescent="0.25">
      <c r="B1363" s="19" t="s">
        <v>1846</v>
      </c>
      <c r="C1363" s="16" t="s">
        <v>9127</v>
      </c>
      <c r="D1363" s="16" t="s">
        <v>29</v>
      </c>
      <c r="E1363" s="16"/>
      <c r="F1363" s="16" t="s">
        <v>1711</v>
      </c>
      <c r="G1363" s="16" t="s">
        <v>35</v>
      </c>
      <c r="H1363" s="16"/>
      <c r="I1363" s="16"/>
      <c r="J1363" s="16"/>
      <c r="K1363" s="16"/>
      <c r="L1363" s="16"/>
      <c r="M1363" s="16"/>
      <c r="N1363" s="16"/>
      <c r="O1363" s="17"/>
      <c r="P1363" s="5" t="str">
        <f t="shared" si="37"/>
        <v>Truncate table FCPG07;</v>
      </c>
      <c r="Q1363" s="5"/>
      <c r="R1363" s="5"/>
    </row>
    <row r="1364" spans="2:18" x14ac:dyDescent="0.25">
      <c r="B1364" s="19" t="s">
        <v>1847</v>
      </c>
      <c r="C1364" s="16" t="s">
        <v>9128</v>
      </c>
      <c r="D1364" s="16" t="s">
        <v>29</v>
      </c>
      <c r="E1364" s="16"/>
      <c r="F1364" s="16" t="s">
        <v>1711</v>
      </c>
      <c r="G1364" s="16" t="s">
        <v>35</v>
      </c>
      <c r="H1364" s="16"/>
      <c r="I1364" s="16"/>
      <c r="J1364" s="16"/>
      <c r="K1364" s="16"/>
      <c r="L1364" s="16"/>
      <c r="M1364" s="16"/>
      <c r="N1364" s="16"/>
      <c r="O1364" s="17"/>
      <c r="P1364" s="5" t="str">
        <f t="shared" si="37"/>
        <v>Truncate table FCPG08;</v>
      </c>
      <c r="Q1364" s="5"/>
      <c r="R1364" s="5"/>
    </row>
    <row r="1365" spans="2:18" x14ac:dyDescent="0.25">
      <c r="B1365" s="19" t="s">
        <v>1848</v>
      </c>
      <c r="C1365" s="16" t="s">
        <v>9129</v>
      </c>
      <c r="D1365" s="16" t="s">
        <v>29</v>
      </c>
      <c r="E1365" s="16"/>
      <c r="F1365" s="16" t="s">
        <v>1711</v>
      </c>
      <c r="G1365" s="16" t="s">
        <v>35</v>
      </c>
      <c r="H1365" s="16"/>
      <c r="I1365" s="16"/>
      <c r="J1365" s="16"/>
      <c r="K1365" s="16"/>
      <c r="L1365" s="16"/>
      <c r="M1365" s="16"/>
      <c r="N1365" s="16"/>
      <c r="O1365" s="17"/>
      <c r="P1365" s="5" t="str">
        <f t="shared" si="37"/>
        <v>Truncate table FCPG10;</v>
      </c>
      <c r="Q1365" s="5"/>
      <c r="R1365" s="5"/>
    </row>
    <row r="1366" spans="2:18" x14ac:dyDescent="0.25">
      <c r="B1366" s="19" t="s">
        <v>1849</v>
      </c>
      <c r="C1366" s="16" t="s">
        <v>9130</v>
      </c>
      <c r="D1366" s="16" t="s">
        <v>29</v>
      </c>
      <c r="E1366" s="16"/>
      <c r="F1366" s="16" t="s">
        <v>1711</v>
      </c>
      <c r="G1366" s="16" t="s">
        <v>35</v>
      </c>
      <c r="H1366" s="16"/>
      <c r="I1366" s="16"/>
      <c r="J1366" s="16"/>
      <c r="K1366" s="16"/>
      <c r="L1366" s="16"/>
      <c r="M1366" s="16"/>
      <c r="N1366" s="16"/>
      <c r="O1366" s="17"/>
      <c r="P1366" s="5" t="str">
        <f t="shared" si="37"/>
        <v>Truncate table FCPG11;</v>
      </c>
      <c r="Q1366" s="5"/>
      <c r="R1366" s="5"/>
    </row>
    <row r="1367" spans="2:18" x14ac:dyDescent="0.25">
      <c r="B1367" s="19" t="s">
        <v>1850</v>
      </c>
      <c r="C1367" s="16" t="s">
        <v>9131</v>
      </c>
      <c r="D1367" s="16" t="s">
        <v>29</v>
      </c>
      <c r="E1367" s="16"/>
      <c r="F1367" s="16" t="s">
        <v>1711</v>
      </c>
      <c r="G1367" s="16" t="s">
        <v>35</v>
      </c>
      <c r="H1367" s="16"/>
      <c r="I1367" s="16"/>
      <c r="J1367" s="16"/>
      <c r="K1367" s="16"/>
      <c r="L1367" s="16"/>
      <c r="M1367" s="16"/>
      <c r="N1367" s="16"/>
      <c r="O1367" s="17"/>
      <c r="P1367" s="5" t="str">
        <f t="shared" ref="P1367:P1430" si="38">IF(D1367="Datos","Truncate table "&amp; B1367&amp; ";","")</f>
        <v>Truncate table FCPG12;</v>
      </c>
      <c r="Q1367" s="5"/>
      <c r="R1367" s="5"/>
    </row>
    <row r="1368" spans="2:18" x14ac:dyDescent="0.25">
      <c r="B1368" s="19" t="s">
        <v>1851</v>
      </c>
      <c r="C1368" s="16" t="s">
        <v>9132</v>
      </c>
      <c r="D1368" s="16" t="s">
        <v>29</v>
      </c>
      <c r="E1368" s="16"/>
      <c r="F1368" s="16" t="s">
        <v>1711</v>
      </c>
      <c r="G1368" s="16" t="s">
        <v>35</v>
      </c>
      <c r="H1368" s="16"/>
      <c r="I1368" s="16"/>
      <c r="J1368" s="16"/>
      <c r="K1368" s="16"/>
      <c r="L1368" s="16"/>
      <c r="M1368" s="16"/>
      <c r="N1368" s="16"/>
      <c r="O1368" s="17"/>
      <c r="P1368" s="5" t="str">
        <f t="shared" si="38"/>
        <v>Truncate table FCPG13;</v>
      </c>
      <c r="Q1368" s="5"/>
      <c r="R1368" s="5"/>
    </row>
    <row r="1369" spans="2:18" x14ac:dyDescent="0.25">
      <c r="B1369" s="19" t="s">
        <v>1852</v>
      </c>
      <c r="C1369" s="16" t="s">
        <v>9133</v>
      </c>
      <c r="D1369" s="16" t="s">
        <v>29</v>
      </c>
      <c r="E1369" s="16"/>
      <c r="F1369" s="16" t="s">
        <v>1711</v>
      </c>
      <c r="G1369" s="16" t="s">
        <v>35</v>
      </c>
      <c r="H1369" s="16"/>
      <c r="I1369" s="16"/>
      <c r="J1369" s="16"/>
      <c r="K1369" s="16"/>
      <c r="L1369" s="16"/>
      <c r="M1369" s="16"/>
      <c r="N1369" s="16"/>
      <c r="O1369" s="17"/>
      <c r="P1369" s="5" t="str">
        <f t="shared" si="38"/>
        <v>Truncate table FCPG14;</v>
      </c>
      <c r="Q1369" s="5"/>
      <c r="R1369" s="5"/>
    </row>
    <row r="1370" spans="2:18" x14ac:dyDescent="0.25">
      <c r="B1370" s="19" t="s">
        <v>1853</v>
      </c>
      <c r="C1370" s="16" t="s">
        <v>9134</v>
      </c>
      <c r="D1370" s="16" t="s">
        <v>29</v>
      </c>
      <c r="E1370" s="16"/>
      <c r="F1370" s="16" t="s">
        <v>1711</v>
      </c>
      <c r="G1370" s="16" t="s">
        <v>35</v>
      </c>
      <c r="H1370" s="16"/>
      <c r="I1370" s="16"/>
      <c r="J1370" s="16"/>
      <c r="K1370" s="16"/>
      <c r="L1370" s="16"/>
      <c r="M1370" s="16"/>
      <c r="N1370" s="16"/>
      <c r="O1370" s="17"/>
      <c r="P1370" s="5" t="str">
        <f t="shared" si="38"/>
        <v>Truncate table FCPG15;</v>
      </c>
      <c r="Q1370" s="5"/>
      <c r="R1370" s="5"/>
    </row>
    <row r="1371" spans="2:18" x14ac:dyDescent="0.25">
      <c r="B1371" s="19" t="s">
        <v>1854</v>
      </c>
      <c r="C1371" s="16" t="s">
        <v>9135</v>
      </c>
      <c r="D1371" s="16" t="s">
        <v>29</v>
      </c>
      <c r="E1371" s="16"/>
      <c r="F1371" s="16" t="s">
        <v>1711</v>
      </c>
      <c r="G1371" s="16" t="s">
        <v>35</v>
      </c>
      <c r="H1371" s="16"/>
      <c r="I1371" s="16"/>
      <c r="J1371" s="16"/>
      <c r="K1371" s="16"/>
      <c r="L1371" s="16"/>
      <c r="M1371" s="16"/>
      <c r="N1371" s="16"/>
      <c r="O1371" s="17"/>
      <c r="P1371" s="5" t="str">
        <f t="shared" si="38"/>
        <v>Truncate table FCPG16;</v>
      </c>
      <c r="Q1371" s="5"/>
      <c r="R1371" s="5"/>
    </row>
    <row r="1372" spans="2:18" x14ac:dyDescent="0.25">
      <c r="B1372" s="19" t="s">
        <v>1855</v>
      </c>
      <c r="C1372" s="16" t="s">
        <v>9136</v>
      </c>
      <c r="D1372" s="16" t="s">
        <v>29</v>
      </c>
      <c r="E1372" s="16"/>
      <c r="F1372" s="16" t="s">
        <v>1711</v>
      </c>
      <c r="G1372" s="16" t="s">
        <v>35</v>
      </c>
      <c r="H1372" s="16"/>
      <c r="I1372" s="16"/>
      <c r="J1372" s="16"/>
      <c r="K1372" s="16"/>
      <c r="L1372" s="16"/>
      <c r="M1372" s="16"/>
      <c r="N1372" s="16"/>
      <c r="O1372" s="17"/>
      <c r="P1372" s="5" t="str">
        <f t="shared" si="38"/>
        <v>Truncate table FCPG17;</v>
      </c>
      <c r="Q1372" s="5"/>
      <c r="R1372" s="5"/>
    </row>
    <row r="1373" spans="2:18" x14ac:dyDescent="0.25">
      <c r="B1373" s="19" t="s">
        <v>1856</v>
      </c>
      <c r="C1373" s="16" t="s">
        <v>9137</v>
      </c>
      <c r="D1373" s="16" t="s">
        <v>29</v>
      </c>
      <c r="E1373" s="16"/>
      <c r="F1373" s="16" t="s">
        <v>1711</v>
      </c>
      <c r="G1373" s="16" t="s">
        <v>35</v>
      </c>
      <c r="H1373" s="16"/>
      <c r="I1373" s="16"/>
      <c r="J1373" s="16"/>
      <c r="K1373" s="16"/>
      <c r="L1373" s="16"/>
      <c r="M1373" s="16"/>
      <c r="N1373" s="16"/>
      <c r="O1373" s="17"/>
      <c r="P1373" s="5" t="str">
        <f t="shared" si="38"/>
        <v>Truncate table FCPG18;</v>
      </c>
      <c r="Q1373" s="5"/>
      <c r="R1373" s="5"/>
    </row>
    <row r="1374" spans="2:18" x14ac:dyDescent="0.25">
      <c r="B1374" s="19" t="s">
        <v>1857</v>
      </c>
      <c r="C1374" s="16" t="s">
        <v>9138</v>
      </c>
      <c r="D1374" s="16" t="s">
        <v>29</v>
      </c>
      <c r="E1374" s="16"/>
      <c r="F1374" s="16" t="s">
        <v>1711</v>
      </c>
      <c r="G1374" s="16" t="s">
        <v>35</v>
      </c>
      <c r="H1374" s="16"/>
      <c r="I1374" s="16"/>
      <c r="J1374" s="16"/>
      <c r="K1374" s="16"/>
      <c r="L1374" s="16"/>
      <c r="M1374" s="16"/>
      <c r="N1374" s="16"/>
      <c r="O1374" s="17"/>
      <c r="P1374" s="5" t="str">
        <f t="shared" si="38"/>
        <v>Truncate table FCPG19;</v>
      </c>
      <c r="Q1374" s="5"/>
      <c r="R1374" s="5"/>
    </row>
    <row r="1375" spans="2:18" x14ac:dyDescent="0.25">
      <c r="B1375" s="19" t="s">
        <v>1858</v>
      </c>
      <c r="C1375" s="16" t="s">
        <v>9139</v>
      </c>
      <c r="D1375" s="16" t="s">
        <v>29</v>
      </c>
      <c r="E1375" s="16"/>
      <c r="F1375" s="16" t="s">
        <v>1711</v>
      </c>
      <c r="G1375" s="16" t="s">
        <v>35</v>
      </c>
      <c r="H1375" s="16"/>
      <c r="I1375" s="16"/>
      <c r="J1375" s="16"/>
      <c r="K1375" s="16"/>
      <c r="L1375" s="16"/>
      <c r="M1375" s="16"/>
      <c r="N1375" s="16"/>
      <c r="O1375" s="17"/>
      <c r="P1375" s="5" t="str">
        <f t="shared" si="38"/>
        <v>Truncate table FCPG20;</v>
      </c>
      <c r="Q1375" s="5"/>
      <c r="R1375" s="5"/>
    </row>
    <row r="1376" spans="2:18" x14ac:dyDescent="0.25">
      <c r="B1376" s="19" t="s">
        <v>1859</v>
      </c>
      <c r="C1376" s="16" t="s">
        <v>9140</v>
      </c>
      <c r="D1376" s="16" t="s">
        <v>29</v>
      </c>
      <c r="E1376" s="16"/>
      <c r="F1376" s="16" t="s">
        <v>1711</v>
      </c>
      <c r="G1376" s="16" t="s">
        <v>35</v>
      </c>
      <c r="H1376" s="16"/>
      <c r="I1376" s="16"/>
      <c r="J1376" s="16"/>
      <c r="K1376" s="16"/>
      <c r="L1376" s="16"/>
      <c r="M1376" s="16"/>
      <c r="N1376" s="16"/>
      <c r="O1376" s="17"/>
      <c r="P1376" s="5" t="str">
        <f t="shared" si="38"/>
        <v>Truncate table FCPG21;</v>
      </c>
      <c r="Q1376" s="5"/>
      <c r="R1376" s="5"/>
    </row>
    <row r="1377" spans="2:18" x14ac:dyDescent="0.25">
      <c r="B1377" s="19" t="s">
        <v>1860</v>
      </c>
      <c r="C1377" s="16" t="s">
        <v>9141</v>
      </c>
      <c r="D1377" s="16" t="s">
        <v>29</v>
      </c>
      <c r="E1377" s="16"/>
      <c r="F1377" s="16" t="s">
        <v>1711</v>
      </c>
      <c r="G1377" s="16" t="s">
        <v>35</v>
      </c>
      <c r="H1377" s="16"/>
      <c r="I1377" s="16"/>
      <c r="J1377" s="16"/>
      <c r="K1377" s="16"/>
      <c r="L1377" s="16"/>
      <c r="M1377" s="16"/>
      <c r="N1377" s="16"/>
      <c r="O1377" s="17"/>
      <c r="P1377" s="5" t="str">
        <f t="shared" si="38"/>
        <v>Truncate table FCPG22;</v>
      </c>
      <c r="Q1377" s="5"/>
      <c r="R1377" s="5"/>
    </row>
    <row r="1378" spans="2:18" x14ac:dyDescent="0.25">
      <c r="B1378" s="19" t="s">
        <v>1861</v>
      </c>
      <c r="C1378" s="16" t="s">
        <v>9142</v>
      </c>
      <c r="D1378" s="16" t="s">
        <v>29</v>
      </c>
      <c r="E1378" s="16"/>
      <c r="F1378" s="16" t="s">
        <v>1711</v>
      </c>
      <c r="G1378" s="16" t="s">
        <v>35</v>
      </c>
      <c r="H1378" s="16"/>
      <c r="I1378" s="16"/>
      <c r="J1378" s="16"/>
      <c r="K1378" s="16"/>
      <c r="L1378" s="16"/>
      <c r="M1378" s="16"/>
      <c r="N1378" s="16"/>
      <c r="O1378" s="17"/>
      <c r="P1378" s="5" t="str">
        <f t="shared" si="38"/>
        <v>Truncate table FCPG23;</v>
      </c>
      <c r="Q1378" s="5"/>
      <c r="R1378" s="5"/>
    </row>
    <row r="1379" spans="2:18" x14ac:dyDescent="0.25">
      <c r="B1379" s="19" t="s">
        <v>1862</v>
      </c>
      <c r="C1379" s="16" t="s">
        <v>9143</v>
      </c>
      <c r="D1379" s="16" t="s">
        <v>29</v>
      </c>
      <c r="E1379" s="16"/>
      <c r="F1379" s="16" t="s">
        <v>1711</v>
      </c>
      <c r="G1379" s="16" t="s">
        <v>35</v>
      </c>
      <c r="H1379" s="16"/>
      <c r="I1379" s="16"/>
      <c r="J1379" s="16"/>
      <c r="K1379" s="16"/>
      <c r="L1379" s="16"/>
      <c r="M1379" s="16"/>
      <c r="N1379" s="16"/>
      <c r="O1379" s="17"/>
      <c r="P1379" s="5" t="str">
        <f t="shared" si="38"/>
        <v>Truncate table FCPG24;</v>
      </c>
      <c r="Q1379" s="5"/>
      <c r="R1379" s="5"/>
    </row>
    <row r="1380" spans="2:18" x14ac:dyDescent="0.25">
      <c r="B1380" s="19" t="s">
        <v>1863</v>
      </c>
      <c r="C1380" s="16" t="s">
        <v>9144</v>
      </c>
      <c r="D1380" s="16" t="s">
        <v>29</v>
      </c>
      <c r="E1380" s="16"/>
      <c r="F1380" s="16" t="s">
        <v>1711</v>
      </c>
      <c r="G1380" s="16" t="s">
        <v>35</v>
      </c>
      <c r="H1380" s="16"/>
      <c r="I1380" s="16"/>
      <c r="J1380" s="16"/>
      <c r="K1380" s="16"/>
      <c r="L1380" s="16"/>
      <c r="M1380" s="16"/>
      <c r="N1380" s="16"/>
      <c r="O1380" s="17"/>
      <c r="P1380" s="5" t="str">
        <f t="shared" si="38"/>
        <v>Truncate table FCPG25;</v>
      </c>
      <c r="Q1380" s="5"/>
      <c r="R1380" s="5"/>
    </row>
    <row r="1381" spans="2:18" x14ac:dyDescent="0.25">
      <c r="B1381" s="19" t="s">
        <v>1864</v>
      </c>
      <c r="C1381" s="16" t="s">
        <v>9145</v>
      </c>
      <c r="D1381" s="16" t="s">
        <v>29</v>
      </c>
      <c r="E1381" s="16"/>
      <c r="F1381" s="16" t="s">
        <v>1711</v>
      </c>
      <c r="G1381" s="16" t="s">
        <v>35</v>
      </c>
      <c r="H1381" s="16"/>
      <c r="I1381" s="16"/>
      <c r="J1381" s="16"/>
      <c r="K1381" s="16"/>
      <c r="L1381" s="16"/>
      <c r="M1381" s="16"/>
      <c r="N1381" s="16"/>
      <c r="O1381" s="17"/>
      <c r="P1381" s="5" t="str">
        <f t="shared" si="38"/>
        <v>Truncate table FCPG26;</v>
      </c>
      <c r="Q1381" s="5"/>
      <c r="R1381" s="5"/>
    </row>
    <row r="1382" spans="2:18" x14ac:dyDescent="0.25">
      <c r="B1382" s="19" t="s">
        <v>1865</v>
      </c>
      <c r="C1382" s="16" t="s">
        <v>9146</v>
      </c>
      <c r="D1382" s="16" t="s">
        <v>29</v>
      </c>
      <c r="E1382" s="16"/>
      <c r="F1382" s="5"/>
      <c r="G1382" s="16" t="s">
        <v>35</v>
      </c>
      <c r="H1382" s="16"/>
      <c r="I1382" s="16"/>
      <c r="J1382" s="16"/>
      <c r="K1382" s="16"/>
      <c r="L1382" s="16"/>
      <c r="M1382" s="16"/>
      <c r="N1382" s="16"/>
      <c r="O1382" s="17"/>
      <c r="P1382" s="5" t="str">
        <f t="shared" si="38"/>
        <v>Truncate table FCPG27;</v>
      </c>
      <c r="Q1382" s="5"/>
      <c r="R1382" s="5"/>
    </row>
    <row r="1383" spans="2:18" x14ac:dyDescent="0.25">
      <c r="B1383" s="19" t="s">
        <v>1866</v>
      </c>
      <c r="C1383" s="16" t="s">
        <v>9147</v>
      </c>
      <c r="D1383" s="16" t="s">
        <v>29</v>
      </c>
      <c r="E1383" s="16"/>
      <c r="F1383" s="5"/>
      <c r="G1383" s="16" t="s">
        <v>35</v>
      </c>
      <c r="H1383" s="16"/>
      <c r="I1383" s="16"/>
      <c r="J1383" s="16"/>
      <c r="K1383" s="16"/>
      <c r="L1383" s="16"/>
      <c r="M1383" s="16"/>
      <c r="N1383" s="16"/>
      <c r="O1383" s="17"/>
      <c r="P1383" s="5" t="str">
        <f t="shared" si="38"/>
        <v>Truncate table FCPG28;</v>
      </c>
      <c r="Q1383" s="5"/>
      <c r="R1383" s="5"/>
    </row>
    <row r="1384" spans="2:18" x14ac:dyDescent="0.25">
      <c r="B1384" s="19" t="s">
        <v>1867</v>
      </c>
      <c r="C1384" s="16" t="s">
        <v>9148</v>
      </c>
      <c r="D1384" s="16" t="s">
        <v>29</v>
      </c>
      <c r="E1384" s="16"/>
      <c r="F1384" s="5"/>
      <c r="G1384" s="16" t="s">
        <v>35</v>
      </c>
      <c r="H1384" s="16"/>
      <c r="I1384" s="16"/>
      <c r="J1384" s="16"/>
      <c r="K1384" s="16"/>
      <c r="L1384" s="16"/>
      <c r="M1384" s="16"/>
      <c r="N1384" s="16"/>
      <c r="O1384" s="17"/>
      <c r="P1384" s="5" t="str">
        <f t="shared" si="38"/>
        <v>Truncate table FCPG29;</v>
      </c>
      <c r="Q1384" s="5"/>
      <c r="R1384" s="5"/>
    </row>
    <row r="1385" spans="2:18" x14ac:dyDescent="0.25">
      <c r="B1385" s="19" t="s">
        <v>1868</v>
      </c>
      <c r="C1385" s="16" t="s">
        <v>9149</v>
      </c>
      <c r="D1385" s="16" t="s">
        <v>29</v>
      </c>
      <c r="E1385" s="16"/>
      <c r="F1385" s="5"/>
      <c r="G1385" s="16" t="s">
        <v>35</v>
      </c>
      <c r="H1385" s="16"/>
      <c r="I1385" s="16"/>
      <c r="J1385" s="16"/>
      <c r="K1385" s="16"/>
      <c r="L1385" s="16"/>
      <c r="M1385" s="16"/>
      <c r="N1385" s="16"/>
      <c r="O1385" s="17"/>
      <c r="P1385" s="5" t="str">
        <f t="shared" si="38"/>
        <v>Truncate table FCPG30;</v>
      </c>
      <c r="Q1385" s="5"/>
      <c r="R1385" s="5"/>
    </row>
    <row r="1386" spans="2:18" x14ac:dyDescent="0.25">
      <c r="B1386" s="19" t="s">
        <v>1869</v>
      </c>
      <c r="C1386" s="16" t="s">
        <v>9150</v>
      </c>
      <c r="D1386" s="16" t="s">
        <v>29</v>
      </c>
      <c r="E1386" s="16"/>
      <c r="F1386" s="5"/>
      <c r="G1386" s="16" t="s">
        <v>35</v>
      </c>
      <c r="H1386" s="16"/>
      <c r="I1386" s="16"/>
      <c r="J1386" s="16"/>
      <c r="K1386" s="16"/>
      <c r="L1386" s="16"/>
      <c r="M1386" s="16"/>
      <c r="N1386" s="16"/>
      <c r="O1386" s="17"/>
      <c r="P1386" s="5" t="str">
        <f t="shared" si="38"/>
        <v>Truncate table FCPG31;</v>
      </c>
      <c r="Q1386" s="5"/>
      <c r="R1386" s="5"/>
    </row>
    <row r="1387" spans="2:18" x14ac:dyDescent="0.25">
      <c r="B1387" s="19" t="s">
        <v>1870</v>
      </c>
      <c r="C1387" s="16" t="s">
        <v>9151</v>
      </c>
      <c r="D1387" s="16" t="s">
        <v>29</v>
      </c>
      <c r="E1387" s="16"/>
      <c r="F1387" s="5"/>
      <c r="G1387" s="16" t="s">
        <v>35</v>
      </c>
      <c r="H1387" s="16"/>
      <c r="I1387" s="16"/>
      <c r="J1387" s="16"/>
      <c r="K1387" s="16"/>
      <c r="L1387" s="16"/>
      <c r="M1387" s="16"/>
      <c r="N1387" s="16"/>
      <c r="O1387" s="17"/>
      <c r="P1387" s="5" t="str">
        <f t="shared" si="38"/>
        <v>Truncate table FCPG32;</v>
      </c>
      <c r="Q1387" s="5"/>
      <c r="R1387" s="5"/>
    </row>
    <row r="1388" spans="2:18" x14ac:dyDescent="0.25">
      <c r="B1388" s="19" t="s">
        <v>1871</v>
      </c>
      <c r="C1388" s="16" t="s">
        <v>9152</v>
      </c>
      <c r="D1388" s="16" t="s">
        <v>29</v>
      </c>
      <c r="E1388" s="16"/>
      <c r="F1388" s="5"/>
      <c r="G1388" s="16" t="s">
        <v>35</v>
      </c>
      <c r="H1388" s="16"/>
      <c r="I1388" s="16"/>
      <c r="J1388" s="16"/>
      <c r="K1388" s="16"/>
      <c r="L1388" s="16"/>
      <c r="M1388" s="16"/>
      <c r="N1388" s="16"/>
      <c r="O1388" s="17"/>
      <c r="P1388" s="5" t="str">
        <f t="shared" si="38"/>
        <v>Truncate table FCPG33;</v>
      </c>
      <c r="Q1388" s="5"/>
      <c r="R1388" s="5"/>
    </row>
    <row r="1389" spans="2:18" x14ac:dyDescent="0.25">
      <c r="B1389" s="19" t="s">
        <v>1872</v>
      </c>
      <c r="C1389" s="16" t="s">
        <v>9153</v>
      </c>
      <c r="D1389" s="16" t="s">
        <v>29</v>
      </c>
      <c r="E1389" s="16"/>
      <c r="F1389" s="5"/>
      <c r="G1389" s="16" t="s">
        <v>35</v>
      </c>
      <c r="H1389" s="16"/>
      <c r="I1389" s="16"/>
      <c r="J1389" s="16"/>
      <c r="K1389" s="16"/>
      <c r="L1389" s="16"/>
      <c r="M1389" s="16"/>
      <c r="N1389" s="16"/>
      <c r="O1389" s="17"/>
      <c r="P1389" s="5" t="str">
        <f t="shared" si="38"/>
        <v>Truncate table FCPG34;</v>
      </c>
      <c r="Q1389" s="5"/>
      <c r="R1389" s="5"/>
    </row>
    <row r="1390" spans="2:18" x14ac:dyDescent="0.25">
      <c r="B1390" s="19" t="s">
        <v>1873</v>
      </c>
      <c r="C1390" s="16" t="s">
        <v>9154</v>
      </c>
      <c r="D1390" s="16" t="s">
        <v>29</v>
      </c>
      <c r="E1390" s="16"/>
      <c r="F1390" s="5"/>
      <c r="G1390" s="16" t="s">
        <v>35</v>
      </c>
      <c r="H1390" s="16"/>
      <c r="I1390" s="16"/>
      <c r="J1390" s="16"/>
      <c r="K1390" s="16"/>
      <c r="L1390" s="16"/>
      <c r="M1390" s="16"/>
      <c r="N1390" s="16"/>
      <c r="O1390" s="17"/>
      <c r="P1390" s="5" t="str">
        <f t="shared" si="38"/>
        <v>Truncate table FCPG35;</v>
      </c>
      <c r="Q1390" s="5"/>
      <c r="R1390" s="5"/>
    </row>
    <row r="1391" spans="2:18" x14ac:dyDescent="0.25">
      <c r="B1391" s="19" t="s">
        <v>1874</v>
      </c>
      <c r="C1391" s="16" t="s">
        <v>9155</v>
      </c>
      <c r="D1391" s="16" t="s">
        <v>29</v>
      </c>
      <c r="E1391" s="16"/>
      <c r="F1391" s="5"/>
      <c r="G1391" s="16" t="s">
        <v>35</v>
      </c>
      <c r="H1391" s="16"/>
      <c r="I1391" s="16"/>
      <c r="J1391" s="16"/>
      <c r="K1391" s="16"/>
      <c r="L1391" s="16"/>
      <c r="M1391" s="16"/>
      <c r="N1391" s="16"/>
      <c r="O1391" s="17"/>
      <c r="P1391" s="5" t="str">
        <f t="shared" si="38"/>
        <v>Truncate table FCPG36;</v>
      </c>
      <c r="Q1391" s="5"/>
      <c r="R1391" s="5"/>
    </row>
    <row r="1392" spans="2:18" x14ac:dyDescent="0.25">
      <c r="B1392" s="19" t="s">
        <v>1875</v>
      </c>
      <c r="C1392" s="16" t="s">
        <v>9156</v>
      </c>
      <c r="D1392" s="16" t="s">
        <v>29</v>
      </c>
      <c r="E1392" s="16"/>
      <c r="F1392" s="5"/>
      <c r="G1392" s="16" t="s">
        <v>35</v>
      </c>
      <c r="H1392" s="16"/>
      <c r="I1392" s="16"/>
      <c r="J1392" s="16"/>
      <c r="K1392" s="16"/>
      <c r="L1392" s="16"/>
      <c r="M1392" s="16"/>
      <c r="N1392" s="16"/>
      <c r="O1392" s="17"/>
      <c r="P1392" s="5" t="str">
        <f t="shared" si="38"/>
        <v>Truncate table FCPG37;</v>
      </c>
      <c r="Q1392" s="5"/>
      <c r="R1392" s="5"/>
    </row>
    <row r="1393" spans="2:18" x14ac:dyDescent="0.25">
      <c r="B1393" s="19" t="s">
        <v>1876</v>
      </c>
      <c r="C1393" s="16" t="s">
        <v>9157</v>
      </c>
      <c r="D1393" s="16" t="s">
        <v>29</v>
      </c>
      <c r="E1393" s="16"/>
      <c r="F1393" s="5"/>
      <c r="G1393" s="16" t="s">
        <v>35</v>
      </c>
      <c r="H1393" s="16"/>
      <c r="I1393" s="16"/>
      <c r="J1393" s="16"/>
      <c r="K1393" s="16"/>
      <c r="L1393" s="16"/>
      <c r="M1393" s="16"/>
      <c r="N1393" s="16"/>
      <c r="O1393" s="17"/>
      <c r="P1393" s="5" t="str">
        <f t="shared" si="38"/>
        <v>Truncate table FCPG38;</v>
      </c>
      <c r="Q1393" s="5"/>
      <c r="R1393" s="5"/>
    </row>
    <row r="1394" spans="2:18" x14ac:dyDescent="0.25">
      <c r="B1394" s="19" t="s">
        <v>1877</v>
      </c>
      <c r="C1394" s="16" t="s">
        <v>9158</v>
      </c>
      <c r="D1394" s="16" t="s">
        <v>29</v>
      </c>
      <c r="E1394" s="16"/>
      <c r="F1394" s="5"/>
      <c r="G1394" s="16" t="s">
        <v>35</v>
      </c>
      <c r="H1394" s="16"/>
      <c r="I1394" s="16"/>
      <c r="J1394" s="16"/>
      <c r="K1394" s="16"/>
      <c r="L1394" s="16"/>
      <c r="M1394" s="16"/>
      <c r="N1394" s="16"/>
      <c r="O1394" s="17"/>
      <c r="P1394" s="5" t="str">
        <f t="shared" si="38"/>
        <v>Truncate table FCPG39;</v>
      </c>
      <c r="Q1394" s="5"/>
      <c r="R1394" s="5"/>
    </row>
    <row r="1395" spans="2:18" x14ac:dyDescent="0.25">
      <c r="B1395" s="19" t="s">
        <v>1878</v>
      </c>
      <c r="C1395" s="16" t="s">
        <v>9159</v>
      </c>
      <c r="D1395" s="16" t="s">
        <v>29</v>
      </c>
      <c r="E1395" s="16"/>
      <c r="F1395" s="5"/>
      <c r="G1395" s="16" t="s">
        <v>35</v>
      </c>
      <c r="H1395" s="16"/>
      <c r="I1395" s="16"/>
      <c r="J1395" s="16"/>
      <c r="K1395" s="16"/>
      <c r="L1395" s="16"/>
      <c r="M1395" s="16"/>
      <c r="N1395" s="16"/>
      <c r="O1395" s="17"/>
      <c r="P1395" s="5" t="str">
        <f t="shared" si="38"/>
        <v>Truncate table FCPG40;</v>
      </c>
      <c r="Q1395" s="5"/>
      <c r="R1395" s="5"/>
    </row>
    <row r="1396" spans="2:18" x14ac:dyDescent="0.25">
      <c r="B1396" s="19" t="s">
        <v>1879</v>
      </c>
      <c r="C1396" s="16" t="s">
        <v>9160</v>
      </c>
      <c r="D1396" s="16" t="s">
        <v>29</v>
      </c>
      <c r="E1396" s="16"/>
      <c r="F1396" s="5"/>
      <c r="G1396" s="16" t="s">
        <v>35</v>
      </c>
      <c r="H1396" s="16"/>
      <c r="I1396" s="16"/>
      <c r="J1396" s="16"/>
      <c r="K1396" s="16"/>
      <c r="L1396" s="16"/>
      <c r="M1396" s="16"/>
      <c r="N1396" s="16"/>
      <c r="O1396" s="17"/>
      <c r="P1396" s="5" t="str">
        <f t="shared" si="38"/>
        <v>Truncate table FCPG41;</v>
      </c>
      <c r="Q1396" s="5"/>
      <c r="R1396" s="5"/>
    </row>
    <row r="1397" spans="2:18" x14ac:dyDescent="0.25">
      <c r="B1397" s="19" t="s">
        <v>1880</v>
      </c>
      <c r="C1397" s="16" t="s">
        <v>9161</v>
      </c>
      <c r="D1397" s="16" t="s">
        <v>29</v>
      </c>
      <c r="E1397" s="16"/>
      <c r="F1397" s="5"/>
      <c r="G1397" s="16" t="s">
        <v>35</v>
      </c>
      <c r="H1397" s="16"/>
      <c r="I1397" s="16"/>
      <c r="J1397" s="16"/>
      <c r="K1397" s="16"/>
      <c r="L1397" s="16"/>
      <c r="M1397" s="16"/>
      <c r="N1397" s="16"/>
      <c r="O1397" s="17"/>
      <c r="P1397" s="5" t="str">
        <f t="shared" si="38"/>
        <v>Truncate table FCPG42;</v>
      </c>
      <c r="Q1397" s="5"/>
      <c r="R1397" s="5"/>
    </row>
    <row r="1398" spans="2:18" x14ac:dyDescent="0.25">
      <c r="B1398" s="19" t="s">
        <v>1881</v>
      </c>
      <c r="C1398" s="16" t="s">
        <v>9162</v>
      </c>
      <c r="D1398" s="16" t="s">
        <v>29</v>
      </c>
      <c r="E1398" s="16"/>
      <c r="F1398" s="5"/>
      <c r="G1398" s="16" t="s">
        <v>35</v>
      </c>
      <c r="H1398" s="16"/>
      <c r="I1398" s="16"/>
      <c r="J1398" s="16"/>
      <c r="K1398" s="16"/>
      <c r="L1398" s="16"/>
      <c r="M1398" s="16"/>
      <c r="N1398" s="16"/>
      <c r="O1398" s="17"/>
      <c r="P1398" s="5" t="str">
        <f t="shared" si="38"/>
        <v>Truncate table FCPG43;</v>
      </c>
      <c r="Q1398" s="5"/>
      <c r="R1398" s="5"/>
    </row>
    <row r="1399" spans="2:18" x14ac:dyDescent="0.25">
      <c r="B1399" s="19" t="s">
        <v>1882</v>
      </c>
      <c r="C1399" s="16" t="s">
        <v>9163</v>
      </c>
      <c r="D1399" s="16" t="s">
        <v>29</v>
      </c>
      <c r="E1399" s="16"/>
      <c r="F1399" s="5"/>
      <c r="G1399" s="16" t="s">
        <v>35</v>
      </c>
      <c r="H1399" s="16"/>
      <c r="I1399" s="16"/>
      <c r="J1399" s="16"/>
      <c r="K1399" s="16"/>
      <c r="L1399" s="16"/>
      <c r="M1399" s="16"/>
      <c r="N1399" s="16"/>
      <c r="O1399" s="17"/>
      <c r="P1399" s="5" t="str">
        <f t="shared" si="38"/>
        <v>Truncate table FCPG44;</v>
      </c>
      <c r="Q1399" s="5"/>
      <c r="R1399" s="5"/>
    </row>
    <row r="1400" spans="2:18" ht="15" customHeight="1" x14ac:dyDescent="0.25">
      <c r="B1400" s="19" t="s">
        <v>1883</v>
      </c>
      <c r="C1400" s="16" t="s">
        <v>9164</v>
      </c>
      <c r="D1400" s="16" t="s">
        <v>29</v>
      </c>
      <c r="E1400" s="16"/>
      <c r="F1400" s="5"/>
      <c r="G1400" s="16" t="s">
        <v>35</v>
      </c>
      <c r="H1400" s="16"/>
      <c r="I1400" s="16"/>
      <c r="J1400" s="16"/>
      <c r="K1400" s="16"/>
      <c r="L1400" s="16"/>
      <c r="M1400" s="16"/>
      <c r="N1400" s="16"/>
      <c r="O1400" s="17"/>
      <c r="P1400" s="5" t="str">
        <f t="shared" si="38"/>
        <v>Truncate table FCPG45;</v>
      </c>
      <c r="Q1400" s="5"/>
      <c r="R1400" s="5"/>
    </row>
    <row r="1401" spans="2:18" x14ac:dyDescent="0.25">
      <c r="B1401" s="19" t="s">
        <v>1884</v>
      </c>
      <c r="C1401" s="16" t="s">
        <v>9165</v>
      </c>
      <c r="D1401" s="16" t="s">
        <v>29</v>
      </c>
      <c r="E1401" s="16"/>
      <c r="F1401" s="5"/>
      <c r="G1401" s="16" t="s">
        <v>35</v>
      </c>
      <c r="H1401" s="16"/>
      <c r="I1401" s="16"/>
      <c r="J1401" s="16"/>
      <c r="K1401" s="16"/>
      <c r="L1401" s="16"/>
      <c r="M1401" s="16"/>
      <c r="N1401" s="16"/>
      <c r="O1401" s="17"/>
      <c r="P1401" s="5" t="str">
        <f t="shared" si="38"/>
        <v>Truncate table FCPG46;</v>
      </c>
      <c r="Q1401" s="5"/>
      <c r="R1401" s="5"/>
    </row>
    <row r="1402" spans="2:18" x14ac:dyDescent="0.25">
      <c r="B1402" s="19" t="s">
        <v>1885</v>
      </c>
      <c r="C1402" s="16" t="s">
        <v>9166</v>
      </c>
      <c r="D1402" s="16" t="s">
        <v>29</v>
      </c>
      <c r="E1402" s="16"/>
      <c r="F1402" s="5"/>
      <c r="G1402" s="16" t="s">
        <v>35</v>
      </c>
      <c r="H1402" s="16"/>
      <c r="I1402" s="16"/>
      <c r="J1402" s="16"/>
      <c r="K1402" s="16"/>
      <c r="L1402" s="16"/>
      <c r="M1402" s="16"/>
      <c r="N1402" s="16"/>
      <c r="O1402" s="17"/>
      <c r="P1402" s="5" t="str">
        <f t="shared" si="38"/>
        <v>Truncate table FCPG47;</v>
      </c>
      <c r="Q1402" s="5"/>
      <c r="R1402" s="5"/>
    </row>
    <row r="1403" spans="2:18" x14ac:dyDescent="0.25">
      <c r="B1403" s="19" t="s">
        <v>1886</v>
      </c>
      <c r="C1403" s="16" t="s">
        <v>9167</v>
      </c>
      <c r="D1403" s="16" t="s">
        <v>29</v>
      </c>
      <c r="E1403" s="16"/>
      <c r="F1403" s="5"/>
      <c r="G1403" s="16" t="s">
        <v>35</v>
      </c>
      <c r="H1403" s="16"/>
      <c r="I1403" s="16"/>
      <c r="J1403" s="16"/>
      <c r="K1403" s="16"/>
      <c r="L1403" s="16"/>
      <c r="M1403" s="16"/>
      <c r="N1403" s="16"/>
      <c r="O1403" s="17"/>
      <c r="P1403" s="5" t="str">
        <f t="shared" si="38"/>
        <v>Truncate table FCPG48;</v>
      </c>
      <c r="Q1403" s="5"/>
      <c r="R1403" s="5"/>
    </row>
    <row r="1404" spans="2:18" x14ac:dyDescent="0.25">
      <c r="B1404" s="19" t="s">
        <v>1887</v>
      </c>
      <c r="C1404" s="16" t="s">
        <v>9168</v>
      </c>
      <c r="D1404" s="16" t="s">
        <v>29</v>
      </c>
      <c r="E1404" s="16"/>
      <c r="F1404" s="5"/>
      <c r="G1404" s="16" t="s">
        <v>35</v>
      </c>
      <c r="H1404" s="16"/>
      <c r="I1404" s="16"/>
      <c r="J1404" s="16"/>
      <c r="K1404" s="16"/>
      <c r="L1404" s="16"/>
      <c r="M1404" s="16"/>
      <c r="N1404" s="16"/>
      <c r="O1404" s="17"/>
      <c r="P1404" s="5" t="str">
        <f t="shared" si="38"/>
        <v>Truncate table FCPG49;</v>
      </c>
      <c r="Q1404" s="5"/>
      <c r="R1404" s="5"/>
    </row>
    <row r="1405" spans="2:18" x14ac:dyDescent="0.25">
      <c r="B1405" s="19" t="s">
        <v>1888</v>
      </c>
      <c r="C1405" s="16" t="s">
        <v>9169</v>
      </c>
      <c r="D1405" s="16" t="s">
        <v>29</v>
      </c>
      <c r="E1405" s="16"/>
      <c r="F1405" s="5"/>
      <c r="G1405" s="16" t="s">
        <v>35</v>
      </c>
      <c r="H1405" s="16"/>
      <c r="I1405" s="16"/>
      <c r="J1405" s="16"/>
      <c r="K1405" s="16"/>
      <c r="L1405" s="16"/>
      <c r="M1405" s="16"/>
      <c r="N1405" s="16"/>
      <c r="O1405" s="17"/>
      <c r="P1405" s="5" t="str">
        <f t="shared" si="38"/>
        <v>Truncate table FCPG50;</v>
      </c>
      <c r="Q1405" s="5"/>
      <c r="R1405" s="5"/>
    </row>
    <row r="1406" spans="2:18" x14ac:dyDescent="0.25">
      <c r="B1406" s="19" t="s">
        <v>1889</v>
      </c>
      <c r="C1406" s="16" t="s">
        <v>9170</v>
      </c>
      <c r="D1406" s="16" t="s">
        <v>29</v>
      </c>
      <c r="E1406" s="16"/>
      <c r="F1406" s="5"/>
      <c r="G1406" s="16" t="s">
        <v>35</v>
      </c>
      <c r="H1406" s="16"/>
      <c r="I1406" s="16"/>
      <c r="J1406" s="16"/>
      <c r="K1406" s="16"/>
      <c r="L1406" s="16"/>
      <c r="M1406" s="16"/>
      <c r="N1406" s="16"/>
      <c r="O1406" s="17"/>
      <c r="P1406" s="5" t="str">
        <f t="shared" si="38"/>
        <v>Truncate table FCPG51;</v>
      </c>
      <c r="Q1406" s="5"/>
      <c r="R1406" s="5"/>
    </row>
    <row r="1407" spans="2:18" x14ac:dyDescent="0.25">
      <c r="B1407" s="19" t="s">
        <v>1890</v>
      </c>
      <c r="C1407" s="16" t="s">
        <v>9171</v>
      </c>
      <c r="D1407" s="16" t="s">
        <v>29</v>
      </c>
      <c r="E1407" s="16"/>
      <c r="F1407" s="5"/>
      <c r="G1407" s="16" t="s">
        <v>35</v>
      </c>
      <c r="H1407" s="16"/>
      <c r="I1407" s="16"/>
      <c r="J1407" s="16"/>
      <c r="K1407" s="16"/>
      <c r="L1407" s="16"/>
      <c r="M1407" s="16"/>
      <c r="N1407" s="16"/>
      <c r="O1407" s="17"/>
      <c r="P1407" s="5" t="str">
        <f t="shared" si="38"/>
        <v>Truncate table FCPG52;</v>
      </c>
      <c r="Q1407" s="5"/>
      <c r="R1407" s="5"/>
    </row>
    <row r="1408" spans="2:18" x14ac:dyDescent="0.25">
      <c r="B1408" s="19" t="s">
        <v>1891</v>
      </c>
      <c r="C1408" s="16" t="s">
        <v>9172</v>
      </c>
      <c r="D1408" s="16" t="s">
        <v>29</v>
      </c>
      <c r="E1408" s="16"/>
      <c r="F1408" s="5"/>
      <c r="G1408" s="16" t="s">
        <v>35</v>
      </c>
      <c r="H1408" s="16"/>
      <c r="I1408" s="16"/>
      <c r="J1408" s="16"/>
      <c r="K1408" s="16"/>
      <c r="L1408" s="16"/>
      <c r="M1408" s="16"/>
      <c r="N1408" s="16"/>
      <c r="O1408" s="17"/>
      <c r="P1408" s="5" t="str">
        <f t="shared" si="38"/>
        <v>Truncate table FCPG53;</v>
      </c>
      <c r="Q1408" s="5"/>
      <c r="R1408" s="5"/>
    </row>
    <row r="1409" spans="2:18" x14ac:dyDescent="0.25">
      <c r="B1409" s="19" t="s">
        <v>1892</v>
      </c>
      <c r="C1409" s="16" t="s">
        <v>9173</v>
      </c>
      <c r="D1409" s="16" t="s">
        <v>29</v>
      </c>
      <c r="E1409" s="16"/>
      <c r="F1409" s="5"/>
      <c r="G1409" s="16" t="s">
        <v>35</v>
      </c>
      <c r="H1409" s="16"/>
      <c r="I1409" s="16"/>
      <c r="J1409" s="16"/>
      <c r="K1409" s="16"/>
      <c r="L1409" s="16"/>
      <c r="M1409" s="16"/>
      <c r="N1409" s="16"/>
      <c r="O1409" s="17"/>
      <c r="P1409" s="5" t="str">
        <f t="shared" si="38"/>
        <v>Truncate table FCPG54;</v>
      </c>
      <c r="Q1409" s="5"/>
      <c r="R1409" s="5"/>
    </row>
    <row r="1410" spans="2:18" x14ac:dyDescent="0.25">
      <c r="B1410" s="19" t="s">
        <v>1893</v>
      </c>
      <c r="C1410" s="16" t="s">
        <v>9174</v>
      </c>
      <c r="D1410" s="16" t="s">
        <v>29</v>
      </c>
      <c r="E1410" s="16"/>
      <c r="F1410" s="5"/>
      <c r="G1410" s="16" t="s">
        <v>35</v>
      </c>
      <c r="H1410" s="16"/>
      <c r="I1410" s="16"/>
      <c r="J1410" s="16"/>
      <c r="K1410" s="16"/>
      <c r="L1410" s="16"/>
      <c r="M1410" s="16"/>
      <c r="N1410" s="16"/>
      <c r="O1410" s="17"/>
      <c r="P1410" s="5" t="str">
        <f t="shared" si="38"/>
        <v>Truncate table FCPG55;</v>
      </c>
      <c r="Q1410" s="5"/>
      <c r="R1410" s="5"/>
    </row>
    <row r="1411" spans="2:18" x14ac:dyDescent="0.25">
      <c r="B1411" s="19" t="s">
        <v>1894</v>
      </c>
      <c r="C1411" s="16" t="s">
        <v>9175</v>
      </c>
      <c r="D1411" s="16" t="s">
        <v>29</v>
      </c>
      <c r="E1411" s="16"/>
      <c r="F1411" s="5"/>
      <c r="G1411" s="16" t="s">
        <v>35</v>
      </c>
      <c r="H1411" s="16"/>
      <c r="I1411" s="16"/>
      <c r="J1411" s="16"/>
      <c r="K1411" s="16"/>
      <c r="L1411" s="16"/>
      <c r="M1411" s="16"/>
      <c r="N1411" s="16"/>
      <c r="O1411" s="17"/>
      <c r="P1411" s="5" t="str">
        <f t="shared" si="38"/>
        <v>Truncate table FCPG56;</v>
      </c>
      <c r="Q1411" s="5"/>
      <c r="R1411" s="5"/>
    </row>
    <row r="1412" spans="2:18" x14ac:dyDescent="0.25">
      <c r="B1412" s="19" t="s">
        <v>1895</v>
      </c>
      <c r="C1412" s="16" t="s">
        <v>9176</v>
      </c>
      <c r="D1412" s="16" t="s">
        <v>29</v>
      </c>
      <c r="E1412" s="16"/>
      <c r="F1412" s="5"/>
      <c r="G1412" s="16" t="s">
        <v>35</v>
      </c>
      <c r="H1412" s="16"/>
      <c r="I1412" s="16"/>
      <c r="J1412" s="16"/>
      <c r="K1412" s="16"/>
      <c r="L1412" s="16"/>
      <c r="M1412" s="16"/>
      <c r="N1412" s="16"/>
      <c r="O1412" s="17"/>
      <c r="P1412" s="5" t="str">
        <f t="shared" si="38"/>
        <v>Truncate table FCPG57;</v>
      </c>
      <c r="Q1412" s="5"/>
      <c r="R1412" s="5"/>
    </row>
    <row r="1413" spans="2:18" x14ac:dyDescent="0.25">
      <c r="B1413" s="19" t="s">
        <v>1896</v>
      </c>
      <c r="C1413" s="16" t="s">
        <v>9177</v>
      </c>
      <c r="D1413" s="16" t="s">
        <v>29</v>
      </c>
      <c r="E1413" s="16"/>
      <c r="F1413" s="5"/>
      <c r="G1413" s="16" t="s">
        <v>35</v>
      </c>
      <c r="H1413" s="16"/>
      <c r="I1413" s="16"/>
      <c r="J1413" s="16"/>
      <c r="K1413" s="16"/>
      <c r="L1413" s="16"/>
      <c r="M1413" s="16"/>
      <c r="N1413" s="16"/>
      <c r="O1413" s="17"/>
      <c r="P1413" s="5" t="str">
        <f t="shared" si="38"/>
        <v>Truncate table FCPG58;</v>
      </c>
      <c r="Q1413" s="5"/>
      <c r="R1413" s="5"/>
    </row>
    <row r="1414" spans="2:18" x14ac:dyDescent="0.25">
      <c r="B1414" s="19" t="s">
        <v>1897</v>
      </c>
      <c r="C1414" s="16" t="s">
        <v>9178</v>
      </c>
      <c r="D1414" s="16" t="s">
        <v>29</v>
      </c>
      <c r="E1414" s="16"/>
      <c r="F1414" s="5"/>
      <c r="G1414" s="16" t="s">
        <v>35</v>
      </c>
      <c r="H1414" s="16"/>
      <c r="I1414" s="16"/>
      <c r="J1414" s="16"/>
      <c r="K1414" s="16"/>
      <c r="L1414" s="16"/>
      <c r="M1414" s="16"/>
      <c r="N1414" s="16"/>
      <c r="O1414" s="17"/>
      <c r="P1414" s="5" t="str">
        <f t="shared" si="38"/>
        <v>Truncate table FCPG59;</v>
      </c>
      <c r="Q1414" s="5"/>
      <c r="R1414" s="5"/>
    </row>
    <row r="1415" spans="2:18" x14ac:dyDescent="0.25">
      <c r="B1415" s="19" t="s">
        <v>1898</v>
      </c>
      <c r="C1415" s="16" t="s">
        <v>9179</v>
      </c>
      <c r="D1415" s="16" t="s">
        <v>29</v>
      </c>
      <c r="E1415" s="16"/>
      <c r="F1415" s="5"/>
      <c r="G1415" s="16" t="s">
        <v>35</v>
      </c>
      <c r="H1415" s="16"/>
      <c r="I1415" s="16"/>
      <c r="J1415" s="16"/>
      <c r="K1415" s="16"/>
      <c r="L1415" s="16"/>
      <c r="M1415" s="16"/>
      <c r="N1415" s="16"/>
      <c r="O1415" s="17"/>
      <c r="P1415" s="5" t="str">
        <f t="shared" si="38"/>
        <v>Truncate table FCPG60;</v>
      </c>
      <c r="Q1415" s="5"/>
      <c r="R1415" s="5"/>
    </row>
    <row r="1416" spans="2:18" x14ac:dyDescent="0.25">
      <c r="B1416" s="19" t="s">
        <v>1899</v>
      </c>
      <c r="C1416" s="16" t="s">
        <v>9180</v>
      </c>
      <c r="D1416" s="16" t="s">
        <v>29</v>
      </c>
      <c r="E1416" s="16"/>
      <c r="F1416" s="5"/>
      <c r="G1416" s="16" t="s">
        <v>35</v>
      </c>
      <c r="H1416" s="16"/>
      <c r="I1416" s="16"/>
      <c r="J1416" s="16"/>
      <c r="K1416" s="16"/>
      <c r="L1416" s="16"/>
      <c r="M1416" s="16"/>
      <c r="N1416" s="16"/>
      <c r="O1416" s="17"/>
      <c r="P1416" s="5" t="str">
        <f t="shared" si="38"/>
        <v>Truncate table FCPG61;</v>
      </c>
      <c r="Q1416" s="5"/>
      <c r="R1416" s="5"/>
    </row>
    <row r="1417" spans="2:18" x14ac:dyDescent="0.25">
      <c r="B1417" s="19" t="s">
        <v>1900</v>
      </c>
      <c r="C1417" s="16" t="s">
        <v>9181</v>
      </c>
      <c r="D1417" s="16" t="s">
        <v>29</v>
      </c>
      <c r="E1417" s="16"/>
      <c r="F1417" s="5"/>
      <c r="G1417" s="16" t="s">
        <v>35</v>
      </c>
      <c r="H1417" s="16"/>
      <c r="I1417" s="16"/>
      <c r="J1417" s="16"/>
      <c r="K1417" s="16"/>
      <c r="L1417" s="16"/>
      <c r="M1417" s="16"/>
      <c r="N1417" s="16"/>
      <c r="O1417" s="17"/>
      <c r="P1417" s="5" t="str">
        <f t="shared" si="38"/>
        <v>Truncate table FCPG62;</v>
      </c>
      <c r="Q1417" s="5"/>
      <c r="R1417" s="5"/>
    </row>
    <row r="1418" spans="2:18" x14ac:dyDescent="0.25">
      <c r="B1418" s="19" t="s">
        <v>1901</v>
      </c>
      <c r="C1418" s="16" t="s">
        <v>9182</v>
      </c>
      <c r="D1418" s="16" t="s">
        <v>29</v>
      </c>
      <c r="E1418" s="16"/>
      <c r="F1418" s="5"/>
      <c r="G1418" s="16" t="s">
        <v>35</v>
      </c>
      <c r="H1418" s="16"/>
      <c r="I1418" s="16"/>
      <c r="J1418" s="16"/>
      <c r="K1418" s="16"/>
      <c r="L1418" s="16"/>
      <c r="M1418" s="16"/>
      <c r="N1418" s="16"/>
      <c r="O1418" s="17"/>
      <c r="P1418" s="5" t="str">
        <f t="shared" si="38"/>
        <v>Truncate table FCPG63;</v>
      </c>
      <c r="Q1418" s="5"/>
      <c r="R1418" s="5"/>
    </row>
    <row r="1419" spans="2:18" x14ac:dyDescent="0.25">
      <c r="B1419" s="19" t="s">
        <v>1902</v>
      </c>
      <c r="C1419" s="16" t="s">
        <v>9183</v>
      </c>
      <c r="D1419" s="16" t="s">
        <v>29</v>
      </c>
      <c r="E1419" s="16"/>
      <c r="F1419" s="5"/>
      <c r="G1419" s="16" t="s">
        <v>35</v>
      </c>
      <c r="H1419" s="16"/>
      <c r="I1419" s="16"/>
      <c r="J1419" s="16"/>
      <c r="K1419" s="16"/>
      <c r="L1419" s="16"/>
      <c r="M1419" s="16"/>
      <c r="N1419" s="16"/>
      <c r="O1419" s="17"/>
      <c r="P1419" s="5" t="str">
        <f t="shared" si="38"/>
        <v>Truncate table FCPG64;</v>
      </c>
      <c r="Q1419" s="5"/>
      <c r="R1419" s="5"/>
    </row>
    <row r="1420" spans="2:18" x14ac:dyDescent="0.25">
      <c r="B1420" s="19" t="s">
        <v>1903</v>
      </c>
      <c r="C1420" s="16" t="s">
        <v>9184</v>
      </c>
      <c r="D1420" s="16" t="s">
        <v>29</v>
      </c>
      <c r="E1420" s="16"/>
      <c r="F1420" s="5"/>
      <c r="G1420" s="16" t="s">
        <v>35</v>
      </c>
      <c r="H1420" s="16"/>
      <c r="I1420" s="16"/>
      <c r="J1420" s="16"/>
      <c r="K1420" s="16"/>
      <c r="L1420" s="16"/>
      <c r="M1420" s="16"/>
      <c r="N1420" s="16"/>
      <c r="O1420" s="17"/>
      <c r="P1420" s="5" t="str">
        <f t="shared" si="38"/>
        <v>Truncate table FCPG65;</v>
      </c>
      <c r="Q1420" s="5"/>
      <c r="R1420" s="5"/>
    </row>
    <row r="1421" spans="2:18" x14ac:dyDescent="0.25">
      <c r="B1421" s="19" t="s">
        <v>1904</v>
      </c>
      <c r="C1421" s="16" t="s">
        <v>9185</v>
      </c>
      <c r="D1421" s="16" t="s">
        <v>29</v>
      </c>
      <c r="E1421" s="16"/>
      <c r="F1421" s="5"/>
      <c r="G1421" s="16" t="s">
        <v>35</v>
      </c>
      <c r="H1421" s="16"/>
      <c r="I1421" s="16"/>
      <c r="J1421" s="16"/>
      <c r="K1421" s="16"/>
      <c r="L1421" s="16"/>
      <c r="M1421" s="16"/>
      <c r="N1421" s="16"/>
      <c r="O1421" s="17"/>
      <c r="P1421" s="5" t="str">
        <f t="shared" si="38"/>
        <v>Truncate table FCPG66;</v>
      </c>
      <c r="Q1421" s="5"/>
      <c r="R1421" s="5"/>
    </row>
    <row r="1422" spans="2:18" x14ac:dyDescent="0.25">
      <c r="B1422" s="19" t="s">
        <v>1905</v>
      </c>
      <c r="C1422" s="16" t="s">
        <v>9186</v>
      </c>
      <c r="D1422" s="16" t="s">
        <v>29</v>
      </c>
      <c r="E1422" s="16"/>
      <c r="F1422" s="5"/>
      <c r="G1422" s="16" t="s">
        <v>35</v>
      </c>
      <c r="H1422" s="16"/>
      <c r="I1422" s="16"/>
      <c r="J1422" s="16"/>
      <c r="K1422" s="16"/>
      <c r="L1422" s="16"/>
      <c r="M1422" s="16"/>
      <c r="N1422" s="16"/>
      <c r="O1422" s="17"/>
      <c r="P1422" s="5" t="str">
        <f t="shared" si="38"/>
        <v>Truncate table FCPG67;</v>
      </c>
      <c r="Q1422" s="5"/>
      <c r="R1422" s="5"/>
    </row>
    <row r="1423" spans="2:18" x14ac:dyDescent="0.25">
      <c r="B1423" s="19" t="s">
        <v>1906</v>
      </c>
      <c r="C1423" s="16" t="s">
        <v>9187</v>
      </c>
      <c r="D1423" s="16" t="s">
        <v>29</v>
      </c>
      <c r="E1423" s="16"/>
      <c r="F1423" s="5"/>
      <c r="G1423" s="16" t="s">
        <v>35</v>
      </c>
      <c r="H1423" s="16"/>
      <c r="I1423" s="16"/>
      <c r="J1423" s="16"/>
      <c r="K1423" s="16"/>
      <c r="L1423" s="16"/>
      <c r="M1423" s="16"/>
      <c r="N1423" s="16"/>
      <c r="O1423" s="17"/>
      <c r="P1423" s="5" t="str">
        <f t="shared" si="38"/>
        <v>Truncate table FCPG68;</v>
      </c>
      <c r="Q1423" s="5"/>
      <c r="R1423" s="5"/>
    </row>
    <row r="1424" spans="2:18" x14ac:dyDescent="0.25">
      <c r="B1424" s="19" t="s">
        <v>1907</v>
      </c>
      <c r="C1424" s="16" t="s">
        <v>9188</v>
      </c>
      <c r="D1424" s="16" t="s">
        <v>29</v>
      </c>
      <c r="E1424" s="16"/>
      <c r="F1424" s="5"/>
      <c r="G1424" s="16" t="s">
        <v>35</v>
      </c>
      <c r="H1424" s="16"/>
      <c r="I1424" s="16"/>
      <c r="J1424" s="16"/>
      <c r="K1424" s="16"/>
      <c r="L1424" s="16"/>
      <c r="M1424" s="16"/>
      <c r="N1424" s="16"/>
      <c r="O1424" s="17"/>
      <c r="P1424" s="5" t="str">
        <f t="shared" si="38"/>
        <v>Truncate table FCPG69;</v>
      </c>
      <c r="Q1424" s="5"/>
      <c r="R1424" s="5"/>
    </row>
    <row r="1425" spans="2:18" x14ac:dyDescent="0.25">
      <c r="B1425" s="19" t="s">
        <v>1908</v>
      </c>
      <c r="C1425" s="16" t="s">
        <v>9189</v>
      </c>
      <c r="D1425" s="16" t="s">
        <v>29</v>
      </c>
      <c r="E1425" s="16"/>
      <c r="F1425" s="5"/>
      <c r="G1425" s="16" t="s">
        <v>35</v>
      </c>
      <c r="H1425" s="16"/>
      <c r="I1425" s="16"/>
      <c r="J1425" s="16"/>
      <c r="K1425" s="16"/>
      <c r="L1425" s="16"/>
      <c r="M1425" s="16"/>
      <c r="N1425" s="16"/>
      <c r="O1425" s="17"/>
      <c r="P1425" s="5" t="str">
        <f t="shared" si="38"/>
        <v>Truncate table FCPG70;</v>
      </c>
      <c r="Q1425" s="5"/>
      <c r="R1425" s="5"/>
    </row>
    <row r="1426" spans="2:18" x14ac:dyDescent="0.25">
      <c r="B1426" s="19" t="s">
        <v>1909</v>
      </c>
      <c r="C1426" s="16" t="s">
        <v>9190</v>
      </c>
      <c r="D1426" s="16" t="s">
        <v>29</v>
      </c>
      <c r="E1426" s="16"/>
      <c r="F1426" s="5"/>
      <c r="G1426" s="16" t="s">
        <v>35</v>
      </c>
      <c r="H1426" s="16"/>
      <c r="I1426" s="16"/>
      <c r="J1426" s="16"/>
      <c r="K1426" s="16"/>
      <c r="L1426" s="16"/>
      <c r="M1426" s="16"/>
      <c r="N1426" s="16"/>
      <c r="O1426" s="17"/>
      <c r="P1426" s="5" t="str">
        <f t="shared" si="38"/>
        <v>Truncate table FCPG71;</v>
      </c>
      <c r="Q1426" s="5"/>
      <c r="R1426" s="5"/>
    </row>
    <row r="1427" spans="2:18" x14ac:dyDescent="0.25">
      <c r="B1427" s="19" t="s">
        <v>1910</v>
      </c>
      <c r="C1427" s="16" t="s">
        <v>9191</v>
      </c>
      <c r="D1427" s="16" t="s">
        <v>29</v>
      </c>
      <c r="E1427" s="16"/>
      <c r="F1427" s="5"/>
      <c r="G1427" s="16" t="s">
        <v>35</v>
      </c>
      <c r="H1427" s="16"/>
      <c r="I1427" s="16"/>
      <c r="J1427" s="16"/>
      <c r="K1427" s="16"/>
      <c r="L1427" s="16"/>
      <c r="M1427" s="16"/>
      <c r="N1427" s="16"/>
      <c r="O1427" s="17"/>
      <c r="P1427" s="5" t="str">
        <f t="shared" si="38"/>
        <v>Truncate table FCPG72;</v>
      </c>
      <c r="Q1427" s="5"/>
      <c r="R1427" s="5"/>
    </row>
    <row r="1428" spans="2:18" x14ac:dyDescent="0.25">
      <c r="B1428" s="19" t="s">
        <v>1911</v>
      </c>
      <c r="C1428" s="16" t="s">
        <v>9192</v>
      </c>
      <c r="D1428" s="16" t="s">
        <v>29</v>
      </c>
      <c r="E1428" s="16"/>
      <c r="F1428" s="5"/>
      <c r="G1428" s="16" t="s">
        <v>35</v>
      </c>
      <c r="H1428" s="16"/>
      <c r="I1428" s="16"/>
      <c r="J1428" s="16"/>
      <c r="K1428" s="16"/>
      <c r="L1428" s="16"/>
      <c r="M1428" s="16"/>
      <c r="N1428" s="16"/>
      <c r="O1428" s="17"/>
      <c r="P1428" s="5" t="str">
        <f t="shared" si="38"/>
        <v>Truncate table FCPG73;</v>
      </c>
      <c r="Q1428" s="5"/>
      <c r="R1428" s="5"/>
    </row>
    <row r="1429" spans="2:18" x14ac:dyDescent="0.25">
      <c r="B1429" s="19" t="s">
        <v>1912</v>
      </c>
      <c r="C1429" s="16" t="s">
        <v>9193</v>
      </c>
      <c r="D1429" s="16" t="s">
        <v>29</v>
      </c>
      <c r="E1429" s="16"/>
      <c r="F1429" s="5"/>
      <c r="G1429" s="16" t="s">
        <v>35</v>
      </c>
      <c r="H1429" s="16"/>
      <c r="I1429" s="16"/>
      <c r="J1429" s="16"/>
      <c r="K1429" s="16"/>
      <c r="L1429" s="16"/>
      <c r="M1429" s="16"/>
      <c r="N1429" s="16"/>
      <c r="O1429" s="17"/>
      <c r="P1429" s="5" t="str">
        <f t="shared" si="38"/>
        <v>Truncate table FCPG74;</v>
      </c>
      <c r="Q1429" s="5"/>
      <c r="R1429" s="5"/>
    </row>
    <row r="1430" spans="2:18" x14ac:dyDescent="0.25">
      <c r="B1430" s="19" t="s">
        <v>1913</v>
      </c>
      <c r="C1430" s="16" t="s">
        <v>9194</v>
      </c>
      <c r="D1430" s="16" t="s">
        <v>29</v>
      </c>
      <c r="E1430" s="16"/>
      <c r="F1430" s="5"/>
      <c r="G1430" s="16" t="s">
        <v>35</v>
      </c>
      <c r="H1430" s="16"/>
      <c r="I1430" s="16"/>
      <c r="J1430" s="16"/>
      <c r="K1430" s="16"/>
      <c r="L1430" s="16"/>
      <c r="M1430" s="16"/>
      <c r="N1430" s="16"/>
      <c r="O1430" s="17"/>
      <c r="P1430" s="5" t="str">
        <f t="shared" si="38"/>
        <v>Truncate table FCPG75;</v>
      </c>
      <c r="Q1430" s="5"/>
      <c r="R1430" s="5"/>
    </row>
    <row r="1431" spans="2:18" x14ac:dyDescent="0.25">
      <c r="B1431" s="19" t="s">
        <v>1914</v>
      </c>
      <c r="C1431" s="16" t="s">
        <v>9195</v>
      </c>
      <c r="D1431" s="16" t="s">
        <v>29</v>
      </c>
      <c r="E1431" s="16"/>
      <c r="F1431" s="5"/>
      <c r="G1431" s="16" t="s">
        <v>35</v>
      </c>
      <c r="H1431" s="16"/>
      <c r="I1431" s="16"/>
      <c r="J1431" s="16"/>
      <c r="K1431" s="16"/>
      <c r="L1431" s="16"/>
      <c r="M1431" s="16"/>
      <c r="N1431" s="16"/>
      <c r="O1431" s="17"/>
      <c r="P1431" s="5" t="str">
        <f t="shared" ref="P1431:P1494" si="39">IF(D1431="Datos","Truncate table "&amp; B1431&amp; ";","")</f>
        <v>Truncate table FCPG76;</v>
      </c>
      <c r="Q1431" s="5"/>
      <c r="R1431" s="5"/>
    </row>
    <row r="1432" spans="2:18" x14ac:dyDescent="0.25">
      <c r="B1432" s="19" t="s">
        <v>1915</v>
      </c>
      <c r="C1432" s="16" t="s">
        <v>9196</v>
      </c>
      <c r="D1432" s="16" t="s">
        <v>29</v>
      </c>
      <c r="E1432" s="16"/>
      <c r="F1432" s="5"/>
      <c r="G1432" s="16" t="s">
        <v>35</v>
      </c>
      <c r="H1432" s="16"/>
      <c r="I1432" s="16"/>
      <c r="J1432" s="16"/>
      <c r="K1432" s="16"/>
      <c r="L1432" s="16"/>
      <c r="M1432" s="16"/>
      <c r="N1432" s="16"/>
      <c r="O1432" s="17"/>
      <c r="P1432" s="5" t="str">
        <f t="shared" si="39"/>
        <v>Truncate table FCPG77;</v>
      </c>
      <c r="Q1432" s="5"/>
      <c r="R1432" s="5"/>
    </row>
    <row r="1433" spans="2:18" x14ac:dyDescent="0.25">
      <c r="B1433" s="19" t="s">
        <v>1916</v>
      </c>
      <c r="C1433" s="16" t="s">
        <v>9197</v>
      </c>
      <c r="D1433" s="16" t="s">
        <v>29</v>
      </c>
      <c r="E1433" s="16"/>
      <c r="F1433" s="5"/>
      <c r="G1433" s="16" t="s">
        <v>35</v>
      </c>
      <c r="H1433" s="16"/>
      <c r="I1433" s="16"/>
      <c r="J1433" s="16"/>
      <c r="K1433" s="16"/>
      <c r="L1433" s="16"/>
      <c r="M1433" s="16"/>
      <c r="N1433" s="16"/>
      <c r="O1433" s="17"/>
      <c r="P1433" s="5" t="str">
        <f t="shared" si="39"/>
        <v>Truncate table FCPG78;</v>
      </c>
      <c r="Q1433" s="5"/>
      <c r="R1433" s="5"/>
    </row>
    <row r="1434" spans="2:18" x14ac:dyDescent="0.25">
      <c r="B1434" s="19" t="s">
        <v>1917</v>
      </c>
      <c r="C1434" s="16" t="s">
        <v>9198</v>
      </c>
      <c r="D1434" s="16" t="s">
        <v>29</v>
      </c>
      <c r="E1434" s="16"/>
      <c r="F1434" s="5"/>
      <c r="G1434" s="16" t="s">
        <v>35</v>
      </c>
      <c r="H1434" s="16"/>
      <c r="I1434" s="16"/>
      <c r="J1434" s="16"/>
      <c r="K1434" s="16"/>
      <c r="L1434" s="16"/>
      <c r="M1434" s="16"/>
      <c r="N1434" s="16"/>
      <c r="O1434" s="17"/>
      <c r="P1434" s="5" t="str">
        <f t="shared" si="39"/>
        <v>Truncate table FCPG79;</v>
      </c>
      <c r="Q1434" s="5"/>
      <c r="R1434" s="5"/>
    </row>
    <row r="1435" spans="2:18" x14ac:dyDescent="0.25">
      <c r="B1435" s="19" t="s">
        <v>1918</v>
      </c>
      <c r="C1435" s="16" t="s">
        <v>9199</v>
      </c>
      <c r="D1435" s="16" t="s">
        <v>29</v>
      </c>
      <c r="E1435" s="16"/>
      <c r="F1435" s="5"/>
      <c r="G1435" s="16" t="s">
        <v>35</v>
      </c>
      <c r="H1435" s="16"/>
      <c r="I1435" s="16"/>
      <c r="J1435" s="16"/>
      <c r="K1435" s="16"/>
      <c r="L1435" s="16"/>
      <c r="M1435" s="16"/>
      <c r="N1435" s="16"/>
      <c r="O1435" s="17"/>
      <c r="P1435" s="5" t="str">
        <f t="shared" si="39"/>
        <v>Truncate table FCPG80;</v>
      </c>
      <c r="Q1435" s="5"/>
      <c r="R1435" s="5"/>
    </row>
    <row r="1436" spans="2:18" x14ac:dyDescent="0.25">
      <c r="B1436" s="19" t="s">
        <v>1919</v>
      </c>
      <c r="C1436" s="16" t="s">
        <v>9200</v>
      </c>
      <c r="D1436" s="16" t="s">
        <v>29</v>
      </c>
      <c r="E1436" s="16"/>
      <c r="F1436" s="5"/>
      <c r="G1436" s="16" t="s">
        <v>35</v>
      </c>
      <c r="H1436" s="16"/>
      <c r="I1436" s="16"/>
      <c r="J1436" s="16"/>
      <c r="K1436" s="16"/>
      <c r="L1436" s="16"/>
      <c r="M1436" s="16"/>
      <c r="N1436" s="16"/>
      <c r="O1436" s="17"/>
      <c r="P1436" s="5" t="str">
        <f t="shared" si="39"/>
        <v>Truncate table FCPG81;</v>
      </c>
      <c r="Q1436" s="5"/>
      <c r="R1436" s="5"/>
    </row>
    <row r="1437" spans="2:18" x14ac:dyDescent="0.25">
      <c r="B1437" s="19" t="s">
        <v>1920</v>
      </c>
      <c r="C1437" s="16" t="s">
        <v>9201</v>
      </c>
      <c r="D1437" s="16" t="s">
        <v>29</v>
      </c>
      <c r="E1437" s="16"/>
      <c r="F1437" s="5"/>
      <c r="G1437" s="16" t="s">
        <v>35</v>
      </c>
      <c r="H1437" s="16"/>
      <c r="I1437" s="16"/>
      <c r="J1437" s="16"/>
      <c r="K1437" s="16"/>
      <c r="L1437" s="16"/>
      <c r="M1437" s="16"/>
      <c r="N1437" s="16"/>
      <c r="O1437" s="17"/>
      <c r="P1437" s="5" t="str">
        <f t="shared" si="39"/>
        <v>Truncate table FCPG82;</v>
      </c>
      <c r="Q1437" s="5"/>
      <c r="R1437" s="5"/>
    </row>
    <row r="1438" spans="2:18" x14ac:dyDescent="0.25">
      <c r="B1438" s="19" t="s">
        <v>1921</v>
      </c>
      <c r="C1438" s="16" t="s">
        <v>9202</v>
      </c>
      <c r="D1438" s="16" t="s">
        <v>29</v>
      </c>
      <c r="E1438" s="16"/>
      <c r="F1438" s="5"/>
      <c r="G1438" s="16" t="s">
        <v>35</v>
      </c>
      <c r="H1438" s="16"/>
      <c r="I1438" s="16"/>
      <c r="J1438" s="16"/>
      <c r="K1438" s="16"/>
      <c r="L1438" s="16"/>
      <c r="M1438" s="16"/>
      <c r="N1438" s="16"/>
      <c r="O1438" s="17"/>
      <c r="P1438" s="5" t="str">
        <f t="shared" si="39"/>
        <v>Truncate table FCPG83;</v>
      </c>
      <c r="Q1438" s="5"/>
      <c r="R1438" s="5"/>
    </row>
    <row r="1439" spans="2:18" x14ac:dyDescent="0.25">
      <c r="B1439" s="19" t="s">
        <v>1922</v>
      </c>
      <c r="C1439" s="16" t="s">
        <v>9203</v>
      </c>
      <c r="D1439" s="16" t="s">
        <v>29</v>
      </c>
      <c r="E1439" s="16"/>
      <c r="F1439" s="5"/>
      <c r="G1439" s="16" t="s">
        <v>35</v>
      </c>
      <c r="H1439" s="16"/>
      <c r="I1439" s="16"/>
      <c r="J1439" s="16"/>
      <c r="K1439" s="16"/>
      <c r="L1439" s="16"/>
      <c r="M1439" s="16"/>
      <c r="N1439" s="16"/>
      <c r="O1439" s="17"/>
      <c r="P1439" s="5" t="str">
        <f t="shared" si="39"/>
        <v>Truncate table FCPG84;</v>
      </c>
      <c r="Q1439" s="5"/>
      <c r="R1439" s="5"/>
    </row>
    <row r="1440" spans="2:18" x14ac:dyDescent="0.25">
      <c r="B1440" s="19" t="s">
        <v>1923</v>
      </c>
      <c r="C1440" s="16" t="s">
        <v>9204</v>
      </c>
      <c r="D1440" s="16" t="s">
        <v>29</v>
      </c>
      <c r="E1440" s="16"/>
      <c r="F1440" s="5"/>
      <c r="G1440" s="16" t="s">
        <v>35</v>
      </c>
      <c r="H1440" s="16"/>
      <c r="I1440" s="16"/>
      <c r="J1440" s="16"/>
      <c r="K1440" s="16"/>
      <c r="L1440" s="16"/>
      <c r="M1440" s="16"/>
      <c r="N1440" s="16"/>
      <c r="O1440" s="17"/>
      <c r="P1440" s="5" t="str">
        <f t="shared" si="39"/>
        <v>Truncate table FCPG85;</v>
      </c>
      <c r="Q1440" s="5"/>
      <c r="R1440" s="5"/>
    </row>
    <row r="1441" spans="2:18" x14ac:dyDescent="0.25">
      <c r="B1441" s="19" t="s">
        <v>1924</v>
      </c>
      <c r="C1441" s="16" t="s">
        <v>9205</v>
      </c>
      <c r="D1441" s="16" t="s">
        <v>29</v>
      </c>
      <c r="E1441" s="16"/>
      <c r="F1441" s="5"/>
      <c r="G1441" s="16" t="s">
        <v>35</v>
      </c>
      <c r="H1441" s="16"/>
      <c r="I1441" s="16"/>
      <c r="J1441" s="16"/>
      <c r="K1441" s="16"/>
      <c r="L1441" s="16"/>
      <c r="M1441" s="16"/>
      <c r="N1441" s="16"/>
      <c r="O1441" s="17"/>
      <c r="P1441" s="5" t="str">
        <f t="shared" si="39"/>
        <v>Truncate table FCPG86;</v>
      </c>
      <c r="Q1441" s="5"/>
      <c r="R1441" s="5"/>
    </row>
    <row r="1442" spans="2:18" x14ac:dyDescent="0.25">
      <c r="B1442" s="19" t="s">
        <v>1925</v>
      </c>
      <c r="C1442" s="16" t="s">
        <v>9206</v>
      </c>
      <c r="D1442" s="16" t="s">
        <v>29</v>
      </c>
      <c r="E1442" s="16"/>
      <c r="F1442" s="5"/>
      <c r="G1442" s="16" t="s">
        <v>35</v>
      </c>
      <c r="H1442" s="16"/>
      <c r="I1442" s="16"/>
      <c r="J1442" s="16"/>
      <c r="K1442" s="16"/>
      <c r="L1442" s="16"/>
      <c r="M1442" s="16"/>
      <c r="N1442" s="16"/>
      <c r="O1442" s="17"/>
      <c r="P1442" s="5" t="str">
        <f t="shared" si="39"/>
        <v>Truncate table FCPG87;</v>
      </c>
      <c r="Q1442" s="5"/>
      <c r="R1442" s="5"/>
    </row>
    <row r="1443" spans="2:18" x14ac:dyDescent="0.25">
      <c r="B1443" s="19" t="s">
        <v>1926</v>
      </c>
      <c r="C1443" s="16" t="s">
        <v>9207</v>
      </c>
      <c r="D1443" s="16" t="s">
        <v>29</v>
      </c>
      <c r="E1443" s="16"/>
      <c r="F1443" s="5"/>
      <c r="G1443" s="16" t="s">
        <v>35</v>
      </c>
      <c r="H1443" s="16"/>
      <c r="I1443" s="16"/>
      <c r="J1443" s="16"/>
      <c r="K1443" s="16"/>
      <c r="L1443" s="16"/>
      <c r="M1443" s="16"/>
      <c r="N1443" s="16"/>
      <c r="O1443" s="17"/>
      <c r="P1443" s="5" t="str">
        <f t="shared" si="39"/>
        <v>Truncate table FCPG88;</v>
      </c>
      <c r="Q1443" s="5"/>
      <c r="R1443" s="5"/>
    </row>
    <row r="1444" spans="2:18" x14ac:dyDescent="0.25">
      <c r="B1444" s="19" t="s">
        <v>1927</v>
      </c>
      <c r="C1444" s="16" t="s">
        <v>9208</v>
      </c>
      <c r="D1444" s="16" t="s">
        <v>29</v>
      </c>
      <c r="E1444" s="16"/>
      <c r="F1444" s="5"/>
      <c r="G1444" s="16" t="s">
        <v>35</v>
      </c>
      <c r="H1444" s="16"/>
      <c r="I1444" s="16"/>
      <c r="J1444" s="16"/>
      <c r="K1444" s="16"/>
      <c r="L1444" s="16"/>
      <c r="M1444" s="16"/>
      <c r="N1444" s="16"/>
      <c r="O1444" s="17"/>
      <c r="P1444" s="5" t="str">
        <f t="shared" si="39"/>
        <v>Truncate table FCPG89;</v>
      </c>
      <c r="Q1444" s="5"/>
      <c r="R1444" s="5"/>
    </row>
    <row r="1445" spans="2:18" x14ac:dyDescent="0.25">
      <c r="B1445" s="19" t="s">
        <v>1928</v>
      </c>
      <c r="C1445" s="16" t="s">
        <v>9209</v>
      </c>
      <c r="D1445" s="16" t="s">
        <v>29</v>
      </c>
      <c r="E1445" s="16"/>
      <c r="F1445" s="5"/>
      <c r="G1445" s="16" t="s">
        <v>35</v>
      </c>
      <c r="H1445" s="16"/>
      <c r="I1445" s="16"/>
      <c r="J1445" s="16"/>
      <c r="K1445" s="16"/>
      <c r="L1445" s="16"/>
      <c r="M1445" s="16"/>
      <c r="N1445" s="16"/>
      <c r="O1445" s="17"/>
      <c r="P1445" s="5" t="str">
        <f t="shared" si="39"/>
        <v>Truncate table FCPG90;</v>
      </c>
      <c r="Q1445" s="5"/>
      <c r="R1445" s="5"/>
    </row>
    <row r="1446" spans="2:18" x14ac:dyDescent="0.25">
      <c r="B1446" s="19" t="s">
        <v>1929</v>
      </c>
      <c r="C1446" s="16" t="s">
        <v>9210</v>
      </c>
      <c r="D1446" s="16" t="s">
        <v>29</v>
      </c>
      <c r="E1446" s="16"/>
      <c r="F1446" s="5"/>
      <c r="G1446" s="16" t="s">
        <v>35</v>
      </c>
      <c r="H1446" s="16"/>
      <c r="I1446" s="16"/>
      <c r="J1446" s="16"/>
      <c r="K1446" s="16"/>
      <c r="L1446" s="16"/>
      <c r="M1446" s="16"/>
      <c r="N1446" s="16"/>
      <c r="O1446" s="17"/>
      <c r="P1446" s="5" t="str">
        <f t="shared" si="39"/>
        <v>Truncate table FCPG91;</v>
      </c>
      <c r="Q1446" s="5"/>
      <c r="R1446" s="5"/>
    </row>
    <row r="1447" spans="2:18" x14ac:dyDescent="0.25">
      <c r="B1447" s="19" t="s">
        <v>1930</v>
      </c>
      <c r="C1447" s="16" t="s">
        <v>9211</v>
      </c>
      <c r="D1447" s="16" t="s">
        <v>29</v>
      </c>
      <c r="E1447" s="16"/>
      <c r="F1447" s="5"/>
      <c r="G1447" s="16" t="s">
        <v>35</v>
      </c>
      <c r="H1447" s="16"/>
      <c r="I1447" s="16"/>
      <c r="J1447" s="16"/>
      <c r="K1447" s="16"/>
      <c r="L1447" s="16"/>
      <c r="M1447" s="16"/>
      <c r="N1447" s="16"/>
      <c r="O1447" s="17"/>
      <c r="P1447" s="5" t="str">
        <f t="shared" si="39"/>
        <v>Truncate table FCPG92;</v>
      </c>
      <c r="Q1447" s="5"/>
      <c r="R1447" s="5"/>
    </row>
    <row r="1448" spans="2:18" x14ac:dyDescent="0.25">
      <c r="B1448" s="19" t="s">
        <v>1931</v>
      </c>
      <c r="C1448" s="16" t="s">
        <v>9212</v>
      </c>
      <c r="D1448" s="16" t="s">
        <v>29</v>
      </c>
      <c r="E1448" s="16"/>
      <c r="F1448" s="5"/>
      <c r="G1448" s="16" t="s">
        <v>35</v>
      </c>
      <c r="H1448" s="16"/>
      <c r="I1448" s="16"/>
      <c r="J1448" s="16"/>
      <c r="K1448" s="16"/>
      <c r="L1448" s="16"/>
      <c r="M1448" s="16"/>
      <c r="N1448" s="16"/>
      <c r="O1448" s="17"/>
      <c r="P1448" s="5" t="str">
        <f t="shared" si="39"/>
        <v>Truncate table FCPG93;</v>
      </c>
      <c r="Q1448" s="5"/>
      <c r="R1448" s="5"/>
    </row>
    <row r="1449" spans="2:18" x14ac:dyDescent="0.25">
      <c r="B1449" s="19" t="s">
        <v>1932</v>
      </c>
      <c r="C1449" s="16" t="s">
        <v>9213</v>
      </c>
      <c r="D1449" s="16" t="s">
        <v>29</v>
      </c>
      <c r="E1449" s="16"/>
      <c r="F1449" s="5"/>
      <c r="G1449" s="16" t="s">
        <v>35</v>
      </c>
      <c r="H1449" s="16"/>
      <c r="I1449" s="16"/>
      <c r="J1449" s="16"/>
      <c r="K1449" s="16"/>
      <c r="L1449" s="16"/>
      <c r="M1449" s="16"/>
      <c r="N1449" s="16"/>
      <c r="O1449" s="17"/>
      <c r="P1449" s="5" t="str">
        <f t="shared" si="39"/>
        <v>Truncate table FCPG94;</v>
      </c>
      <c r="Q1449" s="5"/>
      <c r="R1449" s="5"/>
    </row>
    <row r="1450" spans="2:18" x14ac:dyDescent="0.25">
      <c r="B1450" s="19" t="s">
        <v>1933</v>
      </c>
      <c r="C1450" s="16" t="s">
        <v>9214</v>
      </c>
      <c r="D1450" s="16" t="s">
        <v>29</v>
      </c>
      <c r="E1450" s="16"/>
      <c r="F1450" s="5"/>
      <c r="G1450" s="16" t="s">
        <v>35</v>
      </c>
      <c r="H1450" s="16"/>
      <c r="I1450" s="16"/>
      <c r="J1450" s="16"/>
      <c r="K1450" s="16"/>
      <c r="L1450" s="16"/>
      <c r="M1450" s="16"/>
      <c r="N1450" s="16"/>
      <c r="O1450" s="17"/>
      <c r="P1450" s="5" t="str">
        <f t="shared" si="39"/>
        <v>Truncate table FCPG95;</v>
      </c>
      <c r="Q1450" s="5"/>
      <c r="R1450" s="5"/>
    </row>
    <row r="1451" spans="2:18" x14ac:dyDescent="0.25">
      <c r="B1451" s="19" t="s">
        <v>1934</v>
      </c>
      <c r="C1451" s="16" t="s">
        <v>9215</v>
      </c>
      <c r="D1451" s="16" t="s">
        <v>29</v>
      </c>
      <c r="E1451" s="16"/>
      <c r="F1451" s="5"/>
      <c r="G1451" s="16" t="s">
        <v>35</v>
      </c>
      <c r="H1451" s="16"/>
      <c r="I1451" s="16"/>
      <c r="J1451" s="16"/>
      <c r="K1451" s="16"/>
      <c r="L1451" s="16"/>
      <c r="M1451" s="16"/>
      <c r="N1451" s="16"/>
      <c r="O1451" s="17"/>
      <c r="P1451" s="5" t="str">
        <f t="shared" si="39"/>
        <v>Truncate table FCPG96;</v>
      </c>
      <c r="Q1451" s="5"/>
      <c r="R1451" s="5"/>
    </row>
    <row r="1452" spans="2:18" x14ac:dyDescent="0.25">
      <c r="B1452" s="19" t="s">
        <v>1935</v>
      </c>
      <c r="C1452" s="16" t="s">
        <v>9216</v>
      </c>
      <c r="D1452" s="16" t="s">
        <v>29</v>
      </c>
      <c r="E1452" s="16"/>
      <c r="F1452" s="5"/>
      <c r="G1452" s="16" t="s">
        <v>35</v>
      </c>
      <c r="H1452" s="16"/>
      <c r="I1452" s="16"/>
      <c r="J1452" s="16"/>
      <c r="K1452" s="16"/>
      <c r="L1452" s="16"/>
      <c r="M1452" s="16"/>
      <c r="N1452" s="16"/>
      <c r="O1452" s="17"/>
      <c r="P1452" s="5" t="str">
        <f t="shared" si="39"/>
        <v>Truncate table FCPG97;</v>
      </c>
      <c r="Q1452" s="5"/>
      <c r="R1452" s="5"/>
    </row>
    <row r="1453" spans="2:18" x14ac:dyDescent="0.25">
      <c r="B1453" s="19" t="s">
        <v>1936</v>
      </c>
      <c r="C1453" s="16" t="s">
        <v>9217</v>
      </c>
      <c r="D1453" s="16" t="s">
        <v>29</v>
      </c>
      <c r="E1453" s="16"/>
      <c r="F1453" s="5"/>
      <c r="G1453" s="16" t="s">
        <v>35</v>
      </c>
      <c r="H1453" s="16"/>
      <c r="I1453" s="16"/>
      <c r="J1453" s="16"/>
      <c r="K1453" s="16"/>
      <c r="L1453" s="16"/>
      <c r="M1453" s="16"/>
      <c r="N1453" s="16"/>
      <c r="O1453" s="17"/>
      <c r="P1453" s="5" t="str">
        <f t="shared" si="39"/>
        <v>Truncate table FCPG98;</v>
      </c>
      <c r="Q1453" s="5"/>
      <c r="R1453" s="5"/>
    </row>
    <row r="1454" spans="2:18" x14ac:dyDescent="0.25">
      <c r="B1454" s="19" t="s">
        <v>1937</v>
      </c>
      <c r="C1454" s="16" t="s">
        <v>9218</v>
      </c>
      <c r="D1454" s="16" t="s">
        <v>29</v>
      </c>
      <c r="E1454" s="16"/>
      <c r="F1454" s="5"/>
      <c r="G1454" s="16" t="s">
        <v>35</v>
      </c>
      <c r="H1454" s="16"/>
      <c r="I1454" s="16"/>
      <c r="J1454" s="16"/>
      <c r="K1454" s="16"/>
      <c r="L1454" s="16"/>
      <c r="M1454" s="16"/>
      <c r="N1454" s="16"/>
      <c r="O1454" s="17"/>
      <c r="P1454" s="5" t="str">
        <f t="shared" si="39"/>
        <v>Truncate table FCPG99;</v>
      </c>
      <c r="Q1454" s="5"/>
      <c r="R1454" s="5"/>
    </row>
    <row r="1455" spans="2:18" x14ac:dyDescent="0.25">
      <c r="B1455" s="19" t="s">
        <v>1938</v>
      </c>
      <c r="C1455" s="305" t="s">
        <v>10025</v>
      </c>
      <c r="D1455" s="16" t="s">
        <v>29</v>
      </c>
      <c r="E1455" s="16"/>
      <c r="F1455" s="5"/>
      <c r="G1455" s="16" t="s">
        <v>35</v>
      </c>
      <c r="H1455" s="16"/>
      <c r="I1455" s="16"/>
      <c r="J1455" s="16"/>
      <c r="K1455" s="16"/>
      <c r="L1455" s="16"/>
      <c r="M1455" s="16"/>
      <c r="N1455" s="16"/>
      <c r="O1455" s="17"/>
      <c r="P1455" s="5" t="str">
        <f t="shared" si="39"/>
        <v>Truncate table FCQ001;</v>
      </c>
      <c r="Q1455" s="5"/>
      <c r="R1455" s="5"/>
    </row>
    <row r="1456" spans="2:18" x14ac:dyDescent="0.25">
      <c r="B1456" s="19" t="s">
        <v>1939</v>
      </c>
      <c r="C1456" s="305" t="s">
        <v>10026</v>
      </c>
      <c r="D1456" s="16" t="s">
        <v>29</v>
      </c>
      <c r="E1456" s="16"/>
      <c r="F1456" s="5"/>
      <c r="G1456" s="16" t="s">
        <v>35</v>
      </c>
      <c r="H1456" s="16"/>
      <c r="I1456" s="16"/>
      <c r="J1456" s="16"/>
      <c r="K1456" s="16"/>
      <c r="L1456" s="16"/>
      <c r="M1456" s="16"/>
      <c r="N1456" s="16"/>
      <c r="O1456" s="17"/>
      <c r="P1456" s="5" t="str">
        <f t="shared" si="39"/>
        <v>Truncate table FCQ002;</v>
      </c>
      <c r="Q1456" s="5"/>
      <c r="R1456" s="5"/>
    </row>
    <row r="1457" spans="2:18" x14ac:dyDescent="0.25">
      <c r="B1457" s="19" t="s">
        <v>1940</v>
      </c>
      <c r="C1457" s="16" t="s">
        <v>9219</v>
      </c>
      <c r="D1457" s="16" t="s">
        <v>8152</v>
      </c>
      <c r="E1457" s="16" t="s">
        <v>1712</v>
      </c>
      <c r="F1457" s="16" t="s">
        <v>1941</v>
      </c>
      <c r="G1457" s="16" t="s">
        <v>35</v>
      </c>
      <c r="H1457" s="16"/>
      <c r="I1457" s="16"/>
      <c r="J1457" s="16"/>
      <c r="K1457" s="16"/>
      <c r="L1457" s="16"/>
      <c r="M1457" s="16"/>
      <c r="N1457" s="16"/>
      <c r="O1457" s="17" t="s">
        <v>38</v>
      </c>
      <c r="P1457" s="5" t="str">
        <f t="shared" si="39"/>
        <v/>
      </c>
      <c r="Q1457" s="5"/>
      <c r="R1457" s="5"/>
    </row>
    <row r="1458" spans="2:18" x14ac:dyDescent="0.25">
      <c r="B1458" s="19" t="s">
        <v>1942</v>
      </c>
      <c r="C1458" s="16" t="s">
        <v>9220</v>
      </c>
      <c r="D1458" s="16" t="s">
        <v>29</v>
      </c>
      <c r="E1458" s="16" t="s">
        <v>1712</v>
      </c>
      <c r="F1458" s="16" t="s">
        <v>1941</v>
      </c>
      <c r="G1458" s="16" t="s">
        <v>35</v>
      </c>
      <c r="H1458" s="16"/>
      <c r="I1458" s="16"/>
      <c r="J1458" s="16"/>
      <c r="K1458" s="16"/>
      <c r="L1458" s="16"/>
      <c r="M1458" s="16"/>
      <c r="N1458" s="16"/>
      <c r="O1458" s="17" t="s">
        <v>38</v>
      </c>
      <c r="P1458" s="5" t="str">
        <f t="shared" si="39"/>
        <v>Truncate table FCR005;</v>
      </c>
      <c r="Q1458" s="5"/>
      <c r="R1458" s="5"/>
    </row>
    <row r="1459" spans="2:18" x14ac:dyDescent="0.25">
      <c r="B1459" s="19" t="s">
        <v>1943</v>
      </c>
      <c r="C1459" s="16" t="s">
        <v>9221</v>
      </c>
      <c r="D1459" s="16" t="s">
        <v>8152</v>
      </c>
      <c r="E1459" s="16" t="s">
        <v>1712</v>
      </c>
      <c r="F1459" s="16" t="s">
        <v>1941</v>
      </c>
      <c r="G1459" s="16" t="s">
        <v>35</v>
      </c>
      <c r="H1459" s="16"/>
      <c r="I1459" s="16"/>
      <c r="J1459" s="16"/>
      <c r="K1459" s="16"/>
      <c r="L1459" s="16"/>
      <c r="M1459" s="16"/>
      <c r="N1459" s="16"/>
      <c r="O1459" s="17" t="s">
        <v>38</v>
      </c>
      <c r="P1459" s="5" t="str">
        <f t="shared" si="39"/>
        <v/>
      </c>
      <c r="Q1459" s="5"/>
      <c r="R1459" s="5"/>
    </row>
    <row r="1460" spans="2:18" x14ac:dyDescent="0.25">
      <c r="B1460" s="19" t="s">
        <v>1944</v>
      </c>
      <c r="C1460" s="16" t="s">
        <v>9222</v>
      </c>
      <c r="D1460" s="16" t="s">
        <v>29</v>
      </c>
      <c r="E1460" s="16" t="s">
        <v>1712</v>
      </c>
      <c r="F1460" s="16" t="s">
        <v>1941</v>
      </c>
      <c r="G1460" s="16" t="s">
        <v>35</v>
      </c>
      <c r="H1460" s="16"/>
      <c r="I1460" s="16"/>
      <c r="J1460" s="16"/>
      <c r="K1460" s="16"/>
      <c r="L1460" s="16"/>
      <c r="M1460" s="16"/>
      <c r="N1460" s="16"/>
      <c r="O1460" s="17" t="s">
        <v>38</v>
      </c>
      <c r="P1460" s="5" t="str">
        <f t="shared" si="39"/>
        <v>Truncate table FCR011;</v>
      </c>
      <c r="Q1460" s="5"/>
      <c r="R1460" s="5"/>
    </row>
    <row r="1461" spans="2:18" x14ac:dyDescent="0.25">
      <c r="B1461" s="19" t="s">
        <v>1945</v>
      </c>
      <c r="C1461" s="16" t="s">
        <v>9223</v>
      </c>
      <c r="D1461" s="16" t="s">
        <v>29</v>
      </c>
      <c r="E1461" s="16" t="s">
        <v>1712</v>
      </c>
      <c r="F1461" s="16" t="s">
        <v>1941</v>
      </c>
      <c r="G1461" s="16" t="s">
        <v>35</v>
      </c>
      <c r="H1461" s="16"/>
      <c r="I1461" s="16"/>
      <c r="J1461" s="16"/>
      <c r="K1461" s="16"/>
      <c r="L1461" s="16"/>
      <c r="M1461" s="16"/>
      <c r="N1461" s="16"/>
      <c r="O1461" s="17" t="s">
        <v>38</v>
      </c>
      <c r="P1461" s="5" t="str">
        <f t="shared" si="39"/>
        <v>Truncate table FCR020;</v>
      </c>
      <c r="Q1461" s="5"/>
      <c r="R1461" s="5"/>
    </row>
    <row r="1462" spans="2:18" x14ac:dyDescent="0.25">
      <c r="B1462" s="19" t="s">
        <v>1946</v>
      </c>
      <c r="C1462" s="16" t="s">
        <v>9224</v>
      </c>
      <c r="D1462" s="16" t="s">
        <v>29</v>
      </c>
      <c r="E1462" s="16" t="s">
        <v>1712</v>
      </c>
      <c r="F1462" s="16" t="s">
        <v>1941</v>
      </c>
      <c r="G1462" s="16" t="s">
        <v>35</v>
      </c>
      <c r="H1462" s="16"/>
      <c r="I1462" s="16"/>
      <c r="J1462" s="16"/>
      <c r="K1462" s="16"/>
      <c r="L1462" s="16"/>
      <c r="M1462" s="16"/>
      <c r="N1462" s="16"/>
      <c r="O1462" s="17" t="s">
        <v>38</v>
      </c>
      <c r="P1462" s="5" t="str">
        <f t="shared" si="39"/>
        <v>Truncate table FCR021;</v>
      </c>
      <c r="Q1462" s="5"/>
      <c r="R1462" s="5"/>
    </row>
    <row r="1463" spans="2:18" x14ac:dyDescent="0.25">
      <c r="B1463" s="19" t="s">
        <v>1947</v>
      </c>
      <c r="C1463" s="16" t="s">
        <v>9225</v>
      </c>
      <c r="D1463" s="16" t="s">
        <v>29</v>
      </c>
      <c r="E1463" s="16" t="s">
        <v>1712</v>
      </c>
      <c r="F1463" s="16" t="s">
        <v>1941</v>
      </c>
      <c r="G1463" s="16" t="s">
        <v>35</v>
      </c>
      <c r="H1463" s="16"/>
      <c r="I1463" s="16"/>
      <c r="J1463" s="16"/>
      <c r="K1463" s="16"/>
      <c r="L1463" s="16"/>
      <c r="M1463" s="16"/>
      <c r="N1463" s="16"/>
      <c r="O1463" s="17" t="s">
        <v>38</v>
      </c>
      <c r="P1463" s="5" t="str">
        <f t="shared" si="39"/>
        <v>Truncate table FCR030;</v>
      </c>
      <c r="Q1463" s="5"/>
      <c r="R1463" s="5"/>
    </row>
    <row r="1464" spans="2:18" x14ac:dyDescent="0.25">
      <c r="B1464" s="19" t="s">
        <v>1948</v>
      </c>
      <c r="C1464" s="16" t="s">
        <v>9226</v>
      </c>
      <c r="D1464" s="16" t="s">
        <v>29</v>
      </c>
      <c r="E1464" s="16" t="s">
        <v>1712</v>
      </c>
      <c r="F1464" s="16" t="s">
        <v>1941</v>
      </c>
      <c r="G1464" s="16" t="s">
        <v>35</v>
      </c>
      <c r="H1464" s="16"/>
      <c r="I1464" s="16"/>
      <c r="J1464" s="16"/>
      <c r="K1464" s="16"/>
      <c r="L1464" s="16"/>
      <c r="M1464" s="16"/>
      <c r="N1464" s="16"/>
      <c r="O1464" s="17" t="s">
        <v>38</v>
      </c>
      <c r="P1464" s="5" t="str">
        <f t="shared" si="39"/>
        <v>Truncate table FCR046;</v>
      </c>
      <c r="Q1464" s="5"/>
      <c r="R1464" s="5"/>
    </row>
    <row r="1465" spans="2:18" x14ac:dyDescent="0.25">
      <c r="B1465" s="19" t="s">
        <v>1949</v>
      </c>
      <c r="C1465" s="16" t="s">
        <v>9227</v>
      </c>
      <c r="D1465" s="16" t="s">
        <v>29</v>
      </c>
      <c r="E1465" s="16" t="s">
        <v>1712</v>
      </c>
      <c r="F1465" s="16" t="s">
        <v>1941</v>
      </c>
      <c r="G1465" s="16" t="s">
        <v>35</v>
      </c>
      <c r="H1465" s="16"/>
      <c r="I1465" s="16"/>
      <c r="J1465" s="16"/>
      <c r="K1465" s="16"/>
      <c r="L1465" s="16"/>
      <c r="M1465" s="16"/>
      <c r="N1465" s="16"/>
      <c r="O1465" s="17" t="s">
        <v>38</v>
      </c>
      <c r="P1465" s="5" t="str">
        <f t="shared" si="39"/>
        <v>Truncate table FCR100;</v>
      </c>
      <c r="Q1465" s="5"/>
      <c r="R1465" s="5"/>
    </row>
    <row r="1466" spans="2:18" x14ac:dyDescent="0.25">
      <c r="B1466" s="19" t="s">
        <v>1950</v>
      </c>
      <c r="C1466" s="16" t="s">
        <v>9228</v>
      </c>
      <c r="D1466" s="16" t="s">
        <v>29</v>
      </c>
      <c r="E1466" s="16" t="s">
        <v>1712</v>
      </c>
      <c r="F1466" s="16" t="s">
        <v>1711</v>
      </c>
      <c r="G1466" s="16" t="s">
        <v>35</v>
      </c>
      <c r="H1466" s="16"/>
      <c r="I1466" s="16"/>
      <c r="J1466" s="16"/>
      <c r="K1466" s="16"/>
      <c r="L1466" s="16"/>
      <c r="M1466" s="16"/>
      <c r="N1466" s="16"/>
      <c r="O1466" s="17"/>
      <c r="P1466" s="5" t="str">
        <f t="shared" si="39"/>
        <v>Truncate table FCR110;</v>
      </c>
      <c r="Q1466" s="5"/>
      <c r="R1466" s="5"/>
    </row>
    <row r="1467" spans="2:18" x14ac:dyDescent="0.25">
      <c r="B1467" s="19" t="s">
        <v>1951</v>
      </c>
      <c r="C1467" s="16" t="s">
        <v>9229</v>
      </c>
      <c r="D1467" s="16" t="s">
        <v>29</v>
      </c>
      <c r="E1467" s="16" t="s">
        <v>1712</v>
      </c>
      <c r="F1467" s="16" t="s">
        <v>1941</v>
      </c>
      <c r="G1467" s="16" t="s">
        <v>35</v>
      </c>
      <c r="H1467" s="16"/>
      <c r="I1467" s="16"/>
      <c r="J1467" s="16"/>
      <c r="K1467" s="16"/>
      <c r="L1467" s="16"/>
      <c r="M1467" s="16"/>
      <c r="N1467" s="16"/>
      <c r="O1467" s="17" t="s">
        <v>38</v>
      </c>
      <c r="P1467" s="5" t="str">
        <f t="shared" si="39"/>
        <v>Truncate table FCR120;</v>
      </c>
      <c r="Q1467" s="5"/>
      <c r="R1467" s="5"/>
    </row>
    <row r="1468" spans="2:18" x14ac:dyDescent="0.25">
      <c r="B1468" s="19" t="s">
        <v>1952</v>
      </c>
      <c r="C1468" s="16" t="s">
        <v>9230</v>
      </c>
      <c r="D1468" s="16" t="s">
        <v>29</v>
      </c>
      <c r="E1468" s="16" t="s">
        <v>1712</v>
      </c>
      <c r="F1468" s="16" t="s">
        <v>1941</v>
      </c>
      <c r="G1468" s="16" t="s">
        <v>35</v>
      </c>
      <c r="H1468" s="16"/>
      <c r="I1468" s="16"/>
      <c r="J1468" s="16"/>
      <c r="K1468" s="16"/>
      <c r="L1468" s="16"/>
      <c r="M1468" s="16"/>
      <c r="N1468" s="16"/>
      <c r="O1468" s="17" t="s">
        <v>38</v>
      </c>
      <c r="P1468" s="5" t="str">
        <f t="shared" si="39"/>
        <v>Truncate table FCR121;</v>
      </c>
      <c r="Q1468" s="5"/>
      <c r="R1468" s="5"/>
    </row>
    <row r="1469" spans="2:18" x14ac:dyDescent="0.25">
      <c r="B1469" s="19" t="s">
        <v>1953</v>
      </c>
      <c r="C1469" s="16" t="s">
        <v>9231</v>
      </c>
      <c r="D1469" s="16" t="s">
        <v>29</v>
      </c>
      <c r="E1469" s="16" t="s">
        <v>1712</v>
      </c>
      <c r="F1469" s="16" t="s">
        <v>1941</v>
      </c>
      <c r="G1469" s="16" t="s">
        <v>35</v>
      </c>
      <c r="H1469" s="16"/>
      <c r="I1469" s="16"/>
      <c r="J1469" s="16"/>
      <c r="K1469" s="16"/>
      <c r="L1469" s="16"/>
      <c r="M1469" s="16"/>
      <c r="N1469" s="16"/>
      <c r="O1469" s="17" t="s">
        <v>38</v>
      </c>
      <c r="P1469" s="5" t="str">
        <f t="shared" si="39"/>
        <v>Truncate table FCR130;</v>
      </c>
      <c r="Q1469" s="5"/>
      <c r="R1469" s="5"/>
    </row>
    <row r="1470" spans="2:18" x14ac:dyDescent="0.25">
      <c r="B1470" s="19" t="s">
        <v>1954</v>
      </c>
      <c r="C1470" t="s">
        <v>10027</v>
      </c>
      <c r="D1470" s="16" t="s">
        <v>29</v>
      </c>
      <c r="E1470" s="16" t="s">
        <v>1712</v>
      </c>
      <c r="F1470" s="16" t="s">
        <v>1711</v>
      </c>
      <c r="G1470" s="16" t="s">
        <v>35</v>
      </c>
      <c r="H1470" s="16"/>
      <c r="I1470" s="16"/>
      <c r="J1470" s="16"/>
      <c r="K1470" s="16"/>
      <c r="L1470" s="16"/>
      <c r="M1470" s="16"/>
      <c r="N1470" s="16"/>
      <c r="O1470" s="17"/>
      <c r="P1470" s="5" t="str">
        <f t="shared" si="39"/>
        <v>Truncate table FCR140;</v>
      </c>
      <c r="Q1470" s="5"/>
      <c r="R1470" s="5"/>
    </row>
    <row r="1471" spans="2:18" x14ac:dyDescent="0.25">
      <c r="B1471" s="19" t="s">
        <v>1955</v>
      </c>
      <c r="C1471" s="16" t="s">
        <v>9232</v>
      </c>
      <c r="D1471" s="16" t="s">
        <v>29</v>
      </c>
      <c r="E1471" s="16" t="s">
        <v>1712</v>
      </c>
      <c r="F1471" s="16" t="s">
        <v>1941</v>
      </c>
      <c r="G1471" s="16" t="s">
        <v>35</v>
      </c>
      <c r="H1471" s="16"/>
      <c r="I1471" s="16"/>
      <c r="J1471" s="16"/>
      <c r="K1471" s="16"/>
      <c r="L1471" s="16"/>
      <c r="M1471" s="16"/>
      <c r="N1471" s="16"/>
      <c r="O1471" s="17" t="s">
        <v>38</v>
      </c>
      <c r="P1471" s="5" t="str">
        <f t="shared" si="39"/>
        <v>Truncate table FCR200;</v>
      </c>
      <c r="Q1471" s="5"/>
      <c r="R1471" s="5"/>
    </row>
    <row r="1472" spans="2:18" x14ac:dyDescent="0.25">
      <c r="B1472" s="19" t="s">
        <v>1956</v>
      </c>
      <c r="C1472" s="16" t="s">
        <v>9233</v>
      </c>
      <c r="D1472" s="16" t="s">
        <v>29</v>
      </c>
      <c r="E1472" s="16" t="s">
        <v>1712</v>
      </c>
      <c r="F1472" s="16" t="s">
        <v>1941</v>
      </c>
      <c r="G1472" s="16" t="s">
        <v>35</v>
      </c>
      <c r="H1472" s="16"/>
      <c r="I1472" s="16"/>
      <c r="J1472" s="16"/>
      <c r="K1472" s="16"/>
      <c r="L1472" s="16"/>
      <c r="M1472" s="16"/>
      <c r="N1472" s="16"/>
      <c r="O1472" s="17" t="s">
        <v>38</v>
      </c>
      <c r="P1472" s="5" t="str">
        <f t="shared" si="39"/>
        <v>Truncate table FCR300;</v>
      </c>
      <c r="Q1472" s="5"/>
      <c r="R1472" s="5"/>
    </row>
    <row r="1473" spans="2:18" x14ac:dyDescent="0.25">
      <c r="B1473" s="19" t="s">
        <v>1957</v>
      </c>
      <c r="C1473" s="16" t="s">
        <v>9234</v>
      </c>
      <c r="D1473" s="16" t="s">
        <v>29</v>
      </c>
      <c r="E1473" s="16" t="s">
        <v>1712</v>
      </c>
      <c r="F1473" s="16" t="s">
        <v>1941</v>
      </c>
      <c r="G1473" s="16" t="s">
        <v>35</v>
      </c>
      <c r="H1473" s="16"/>
      <c r="I1473" s="16"/>
      <c r="J1473" s="16"/>
      <c r="K1473" s="16"/>
      <c r="L1473" s="16"/>
      <c r="M1473" s="16"/>
      <c r="N1473" s="16"/>
      <c r="O1473" s="17" t="s">
        <v>38</v>
      </c>
      <c r="P1473" s="5" t="str">
        <f t="shared" si="39"/>
        <v>Truncate table FCR399;</v>
      </c>
      <c r="Q1473" s="5"/>
      <c r="R1473" s="5"/>
    </row>
    <row r="1474" spans="2:18" x14ac:dyDescent="0.25">
      <c r="B1474" s="19" t="s">
        <v>1958</v>
      </c>
      <c r="C1474" s="16" t="s">
        <v>9235</v>
      </c>
      <c r="D1474" s="16" t="s">
        <v>8152</v>
      </c>
      <c r="E1474" s="16" t="s">
        <v>1712</v>
      </c>
      <c r="F1474" s="16" t="s">
        <v>1941</v>
      </c>
      <c r="G1474" s="16" t="s">
        <v>35</v>
      </c>
      <c r="H1474" s="16"/>
      <c r="I1474" s="16"/>
      <c r="J1474" s="16"/>
      <c r="K1474" s="16"/>
      <c r="L1474" s="16"/>
      <c r="M1474" s="16"/>
      <c r="N1474" s="16"/>
      <c r="O1474" s="17" t="s">
        <v>38</v>
      </c>
      <c r="P1474" s="5" t="str">
        <f t="shared" si="39"/>
        <v/>
      </c>
      <c r="Q1474" s="5"/>
      <c r="R1474" s="5"/>
    </row>
    <row r="1475" spans="2:18" x14ac:dyDescent="0.25">
      <c r="B1475" s="19" t="s">
        <v>1959</v>
      </c>
      <c r="C1475" t="s">
        <v>10028</v>
      </c>
      <c r="D1475" s="16" t="s">
        <v>29</v>
      </c>
      <c r="E1475" s="16" t="s">
        <v>1712</v>
      </c>
      <c r="F1475" s="16" t="s">
        <v>1941</v>
      </c>
      <c r="G1475" s="16" t="s">
        <v>35</v>
      </c>
      <c r="H1475" s="16"/>
      <c r="I1475" s="16"/>
      <c r="J1475" s="16"/>
      <c r="K1475" s="16"/>
      <c r="L1475" s="16"/>
      <c r="M1475" s="16"/>
      <c r="N1475" s="16"/>
      <c r="O1475" s="17" t="s">
        <v>38</v>
      </c>
      <c r="P1475" s="5" t="str">
        <f t="shared" si="39"/>
        <v>Truncate table FCR600;</v>
      </c>
      <c r="Q1475" s="5"/>
      <c r="R1475" s="5"/>
    </row>
    <row r="1476" spans="2:18" x14ac:dyDescent="0.25">
      <c r="B1476" s="19" t="s">
        <v>1960</v>
      </c>
      <c r="C1476" s="16" t="s">
        <v>9236</v>
      </c>
      <c r="D1476" s="16" t="s">
        <v>29</v>
      </c>
      <c r="E1476" s="16" t="s">
        <v>1712</v>
      </c>
      <c r="F1476" s="16" t="s">
        <v>1711</v>
      </c>
      <c r="G1476" s="16" t="s">
        <v>35</v>
      </c>
      <c r="H1476" s="16"/>
      <c r="I1476" s="16"/>
      <c r="J1476" s="16"/>
      <c r="K1476" s="16"/>
      <c r="L1476" s="16"/>
      <c r="M1476" s="16"/>
      <c r="N1476" s="16"/>
      <c r="O1476" s="17"/>
      <c r="P1476" s="5" t="str">
        <f t="shared" si="39"/>
        <v>Truncate table FCR700;</v>
      </c>
      <c r="Q1476" s="5"/>
      <c r="R1476" s="5"/>
    </row>
    <row r="1477" spans="2:18" x14ac:dyDescent="0.25">
      <c r="B1477" s="19" t="s">
        <v>1961</v>
      </c>
      <c r="C1477" t="s">
        <v>1961</v>
      </c>
      <c r="D1477" s="16" t="s">
        <v>29</v>
      </c>
      <c r="E1477" s="16" t="s">
        <v>1712</v>
      </c>
      <c r="F1477" s="16" t="s">
        <v>1711</v>
      </c>
      <c r="G1477" s="16" t="s">
        <v>35</v>
      </c>
      <c r="H1477" s="16"/>
      <c r="I1477" s="16"/>
      <c r="J1477" s="16"/>
      <c r="K1477" s="16"/>
      <c r="L1477" s="16"/>
      <c r="M1477" s="16"/>
      <c r="N1477" s="16"/>
      <c r="O1477" s="17"/>
      <c r="P1477" s="5" t="str">
        <f t="shared" si="39"/>
        <v>Truncate table FCR704;</v>
      </c>
      <c r="Q1477" s="5"/>
      <c r="R1477" s="5"/>
    </row>
    <row r="1478" spans="2:18" x14ac:dyDescent="0.25">
      <c r="B1478" s="19" t="s">
        <v>1962</v>
      </c>
      <c r="C1478" t="s">
        <v>10029</v>
      </c>
      <c r="D1478" s="16" t="s">
        <v>29</v>
      </c>
      <c r="E1478" s="16" t="s">
        <v>1712</v>
      </c>
      <c r="F1478" s="16" t="s">
        <v>1941</v>
      </c>
      <c r="G1478" s="16" t="s">
        <v>28</v>
      </c>
      <c r="H1478" s="16" t="s">
        <v>36</v>
      </c>
      <c r="I1478" s="16"/>
      <c r="J1478" s="16"/>
      <c r="K1478" s="16"/>
      <c r="L1478" s="16"/>
      <c r="M1478" s="16"/>
      <c r="N1478" s="16"/>
      <c r="O1478" s="17" t="s">
        <v>38</v>
      </c>
      <c r="P1478" s="5" t="str">
        <f t="shared" si="39"/>
        <v>Truncate table FCR911;</v>
      </c>
      <c r="Q1478" s="5"/>
      <c r="R1478" s="5"/>
    </row>
    <row r="1479" spans="2:18" x14ac:dyDescent="0.25">
      <c r="B1479" s="19" t="s">
        <v>1963</v>
      </c>
      <c r="C1479" s="16" t="s">
        <v>9237</v>
      </c>
      <c r="D1479" s="16" t="s">
        <v>29</v>
      </c>
      <c r="E1479" s="16" t="s">
        <v>1712</v>
      </c>
      <c r="F1479" s="16" t="s">
        <v>1941</v>
      </c>
      <c r="G1479" s="16" t="s">
        <v>28</v>
      </c>
      <c r="H1479" s="16" t="s">
        <v>36</v>
      </c>
      <c r="I1479" s="16"/>
      <c r="J1479" s="16"/>
      <c r="K1479" s="16"/>
      <c r="L1479" s="16"/>
      <c r="M1479" s="16"/>
      <c r="N1479" s="16"/>
      <c r="O1479" s="17" t="s">
        <v>38</v>
      </c>
      <c r="P1479" s="5" t="str">
        <f t="shared" si="39"/>
        <v>Truncate table FCR999;</v>
      </c>
      <c r="Q1479" s="5"/>
      <c r="R1479" s="5"/>
    </row>
    <row r="1480" spans="2:18" x14ac:dyDescent="0.25">
      <c r="B1480" s="19" t="s">
        <v>1964</v>
      </c>
      <c r="C1480" s="16" t="s">
        <v>9238</v>
      </c>
      <c r="D1480" s="16" t="s">
        <v>29</v>
      </c>
      <c r="E1480" s="16" t="s">
        <v>1712</v>
      </c>
      <c r="F1480" s="16" t="s">
        <v>1941</v>
      </c>
      <c r="G1480" s="16" t="s">
        <v>35</v>
      </c>
      <c r="H1480" s="16"/>
      <c r="I1480" s="16"/>
      <c r="J1480" s="16"/>
      <c r="K1480" s="16"/>
      <c r="L1480" s="16"/>
      <c r="M1480" s="16"/>
      <c r="N1480" s="16"/>
      <c r="O1480" s="17" t="s">
        <v>38</v>
      </c>
      <c r="P1480" s="5" t="str">
        <f t="shared" si="39"/>
        <v>Truncate table FCT001;</v>
      </c>
      <c r="Q1480" s="5"/>
      <c r="R1480" s="5"/>
    </row>
    <row r="1481" spans="2:18" x14ac:dyDescent="0.25">
      <c r="B1481" s="19" t="s">
        <v>1965</v>
      </c>
      <c r="C1481" s="16" t="s">
        <v>9239</v>
      </c>
      <c r="D1481" s="16" t="s">
        <v>8152</v>
      </c>
      <c r="E1481" s="16" t="s">
        <v>1712</v>
      </c>
      <c r="F1481" s="16" t="s">
        <v>1941</v>
      </c>
      <c r="G1481" s="16" t="s">
        <v>35</v>
      </c>
      <c r="H1481" s="16"/>
      <c r="I1481" s="16"/>
      <c r="J1481" s="16"/>
      <c r="K1481" s="16"/>
      <c r="L1481" s="16"/>
      <c r="M1481" s="16"/>
      <c r="N1481" s="16"/>
      <c r="O1481" s="17" t="s">
        <v>38</v>
      </c>
      <c r="P1481" s="5" t="str">
        <f t="shared" si="39"/>
        <v/>
      </c>
      <c r="Q1481" s="5"/>
      <c r="R1481" s="5"/>
    </row>
    <row r="1482" spans="2:18" x14ac:dyDescent="0.25">
      <c r="B1482" s="19" t="s">
        <v>1966</v>
      </c>
      <c r="C1482" s="16" t="s">
        <v>9240</v>
      </c>
      <c r="D1482" s="16" t="s">
        <v>8152</v>
      </c>
      <c r="E1482" s="16" t="s">
        <v>1712</v>
      </c>
      <c r="F1482" s="16" t="s">
        <v>1941</v>
      </c>
      <c r="G1482" s="16" t="s">
        <v>35</v>
      </c>
      <c r="H1482" s="16"/>
      <c r="I1482" s="16"/>
      <c r="J1482" s="16"/>
      <c r="K1482" s="16"/>
      <c r="L1482" s="16"/>
      <c r="M1482" s="16"/>
      <c r="N1482" s="16"/>
      <c r="O1482" s="17" t="s">
        <v>38</v>
      </c>
      <c r="P1482" s="5" t="str">
        <f t="shared" si="39"/>
        <v/>
      </c>
      <c r="Q1482" s="5"/>
      <c r="R1482" s="5"/>
    </row>
    <row r="1483" spans="2:18" x14ac:dyDescent="0.25">
      <c r="B1483" s="19" t="s">
        <v>1967</v>
      </c>
      <c r="C1483" s="16" t="s">
        <v>9241</v>
      </c>
      <c r="D1483" s="16" t="s">
        <v>8152</v>
      </c>
      <c r="E1483" s="16" t="s">
        <v>1712</v>
      </c>
      <c r="F1483" s="16" t="s">
        <v>1941</v>
      </c>
      <c r="G1483" s="16" t="s">
        <v>35</v>
      </c>
      <c r="H1483" s="16"/>
      <c r="I1483" s="16"/>
      <c r="J1483" s="16"/>
      <c r="K1483" s="16"/>
      <c r="L1483" s="16"/>
      <c r="M1483" s="16"/>
      <c r="N1483" s="16"/>
      <c r="O1483" s="17" t="s">
        <v>38</v>
      </c>
      <c r="P1483" s="5" t="str">
        <f t="shared" si="39"/>
        <v/>
      </c>
      <c r="Q1483" s="5"/>
      <c r="R1483" s="5"/>
    </row>
    <row r="1484" spans="2:18" x14ac:dyDescent="0.25">
      <c r="B1484" s="19" t="s">
        <v>1968</v>
      </c>
      <c r="C1484" s="16" t="s">
        <v>8504</v>
      </c>
      <c r="D1484" s="16" t="s">
        <v>8152</v>
      </c>
      <c r="E1484" s="16" t="s">
        <v>1712</v>
      </c>
      <c r="F1484" s="16" t="s">
        <v>1941</v>
      </c>
      <c r="G1484" s="16" t="s">
        <v>35</v>
      </c>
      <c r="H1484" s="16"/>
      <c r="I1484" s="16"/>
      <c r="J1484" s="16"/>
      <c r="K1484" s="16"/>
      <c r="L1484" s="16"/>
      <c r="M1484" s="16"/>
      <c r="N1484" s="16"/>
      <c r="O1484" s="17" t="s">
        <v>38</v>
      </c>
      <c r="P1484" s="5" t="str">
        <f t="shared" si="39"/>
        <v/>
      </c>
      <c r="Q1484" s="5"/>
      <c r="R1484" s="5"/>
    </row>
    <row r="1485" spans="2:18" x14ac:dyDescent="0.25">
      <c r="B1485" s="19" t="s">
        <v>1969</v>
      </c>
      <c r="C1485" s="16" t="s">
        <v>9242</v>
      </c>
      <c r="D1485" s="16" t="s">
        <v>8152</v>
      </c>
      <c r="E1485" s="16" t="s">
        <v>1712</v>
      </c>
      <c r="F1485" s="16" t="s">
        <v>1941</v>
      </c>
      <c r="G1485" s="16" t="s">
        <v>35</v>
      </c>
      <c r="H1485" s="16"/>
      <c r="I1485" s="16"/>
      <c r="J1485" s="16"/>
      <c r="K1485" s="16"/>
      <c r="L1485" s="16"/>
      <c r="M1485" s="16"/>
      <c r="N1485" s="16"/>
      <c r="O1485" s="17" t="s">
        <v>38</v>
      </c>
      <c r="P1485" s="5" t="str">
        <f t="shared" si="39"/>
        <v/>
      </c>
      <c r="Q1485" s="5"/>
      <c r="R1485" s="5"/>
    </row>
    <row r="1486" spans="2:18" x14ac:dyDescent="0.25">
      <c r="B1486" s="19" t="s">
        <v>1970</v>
      </c>
      <c r="C1486" s="16" t="s">
        <v>9243</v>
      </c>
      <c r="D1486" s="16" t="s">
        <v>8152</v>
      </c>
      <c r="E1486" s="16" t="s">
        <v>1712</v>
      </c>
      <c r="F1486" s="16" t="s">
        <v>1941</v>
      </c>
      <c r="G1486" s="16" t="s">
        <v>35</v>
      </c>
      <c r="H1486" s="16"/>
      <c r="I1486" s="16"/>
      <c r="J1486" s="16"/>
      <c r="K1486" s="16"/>
      <c r="L1486" s="16"/>
      <c r="M1486" s="16"/>
      <c r="N1486" s="16"/>
      <c r="O1486" s="17" t="s">
        <v>38</v>
      </c>
      <c r="P1486" s="5" t="str">
        <f t="shared" si="39"/>
        <v/>
      </c>
      <c r="Q1486" s="5"/>
      <c r="R1486" s="5"/>
    </row>
    <row r="1487" spans="2:18" x14ac:dyDescent="0.25">
      <c r="B1487" s="19" t="s">
        <v>1971</v>
      </c>
      <c r="C1487" s="16" t="s">
        <v>9244</v>
      </c>
      <c r="D1487" s="16" t="s">
        <v>8152</v>
      </c>
      <c r="E1487" s="16" t="s">
        <v>1712</v>
      </c>
      <c r="F1487" s="16" t="s">
        <v>1941</v>
      </c>
      <c r="G1487" s="16" t="s">
        <v>35</v>
      </c>
      <c r="H1487" s="16"/>
      <c r="I1487" s="16"/>
      <c r="J1487" s="16"/>
      <c r="K1487" s="16"/>
      <c r="L1487" s="16"/>
      <c r="M1487" s="16"/>
      <c r="N1487" s="16"/>
      <c r="O1487" s="17" t="s">
        <v>38</v>
      </c>
      <c r="P1487" s="5" t="str">
        <f t="shared" si="39"/>
        <v/>
      </c>
      <c r="Q1487" s="5"/>
      <c r="R1487" s="5"/>
    </row>
    <row r="1488" spans="2:18" x14ac:dyDescent="0.25">
      <c r="B1488" s="19" t="s">
        <v>1972</v>
      </c>
      <c r="C1488" s="16" t="s">
        <v>9245</v>
      </c>
      <c r="D1488" s="16" t="s">
        <v>8152</v>
      </c>
      <c r="E1488" s="16" t="s">
        <v>1712</v>
      </c>
      <c r="F1488" s="16" t="s">
        <v>1941</v>
      </c>
      <c r="G1488" s="16" t="s">
        <v>35</v>
      </c>
      <c r="H1488" s="16"/>
      <c r="I1488" s="16"/>
      <c r="J1488" s="16"/>
      <c r="K1488" s="16"/>
      <c r="L1488" s="16"/>
      <c r="M1488" s="16"/>
      <c r="N1488" s="16"/>
      <c r="O1488" s="17" t="s">
        <v>38</v>
      </c>
      <c r="P1488" s="5" t="str">
        <f t="shared" si="39"/>
        <v/>
      </c>
      <c r="Q1488" s="5"/>
      <c r="R1488" s="5"/>
    </row>
    <row r="1489" spans="2:18" x14ac:dyDescent="0.25">
      <c r="B1489" s="19" t="s">
        <v>1973</v>
      </c>
      <c r="C1489" s="16" t="s">
        <v>9246</v>
      </c>
      <c r="D1489" s="16" t="s">
        <v>8152</v>
      </c>
      <c r="E1489" s="16" t="s">
        <v>1712</v>
      </c>
      <c r="F1489" s="16" t="s">
        <v>1941</v>
      </c>
      <c r="G1489" s="16" t="s">
        <v>35</v>
      </c>
      <c r="H1489" s="16"/>
      <c r="I1489" s="16"/>
      <c r="J1489" s="16"/>
      <c r="K1489" s="16"/>
      <c r="L1489" s="16"/>
      <c r="M1489" s="16"/>
      <c r="N1489" s="16"/>
      <c r="O1489" s="17" t="s">
        <v>38</v>
      </c>
      <c r="P1489" s="5" t="str">
        <f t="shared" si="39"/>
        <v/>
      </c>
      <c r="Q1489" s="5"/>
      <c r="R1489" s="5"/>
    </row>
    <row r="1490" spans="2:18" x14ac:dyDescent="0.25">
      <c r="B1490" s="19" t="s">
        <v>1974</v>
      </c>
      <c r="C1490" s="16" t="s">
        <v>9247</v>
      </c>
      <c r="D1490" s="16" t="s">
        <v>8152</v>
      </c>
      <c r="E1490" s="16" t="s">
        <v>1712</v>
      </c>
      <c r="F1490" s="16" t="s">
        <v>1941</v>
      </c>
      <c r="G1490" s="16" t="s">
        <v>35</v>
      </c>
      <c r="H1490" s="16"/>
      <c r="I1490" s="16"/>
      <c r="J1490" s="16"/>
      <c r="K1490" s="16"/>
      <c r="L1490" s="16"/>
      <c r="M1490" s="16"/>
      <c r="N1490" s="16"/>
      <c r="O1490" s="17" t="s">
        <v>38</v>
      </c>
      <c r="P1490" s="5" t="str">
        <f t="shared" si="39"/>
        <v/>
      </c>
      <c r="Q1490" s="5"/>
      <c r="R1490" s="5"/>
    </row>
    <row r="1491" spans="2:18" x14ac:dyDescent="0.25">
      <c r="B1491" s="19" t="s">
        <v>1975</v>
      </c>
      <c r="C1491" s="16" t="s">
        <v>9248</v>
      </c>
      <c r="D1491" s="16" t="s">
        <v>8152</v>
      </c>
      <c r="E1491" s="16" t="s">
        <v>1712</v>
      </c>
      <c r="F1491" s="16" t="s">
        <v>1941</v>
      </c>
      <c r="G1491" s="16" t="s">
        <v>35</v>
      </c>
      <c r="H1491" s="16"/>
      <c r="I1491" s="16"/>
      <c r="J1491" s="16"/>
      <c r="K1491" s="16"/>
      <c r="L1491" s="16"/>
      <c r="M1491" s="16"/>
      <c r="N1491" s="16"/>
      <c r="O1491" s="17" t="s">
        <v>38</v>
      </c>
      <c r="P1491" s="5" t="str">
        <f t="shared" si="39"/>
        <v/>
      </c>
      <c r="Q1491" s="5"/>
      <c r="R1491" s="5"/>
    </row>
    <row r="1492" spans="2:18" x14ac:dyDescent="0.25">
      <c r="B1492" s="19" t="s">
        <v>1976</v>
      </c>
      <c r="C1492" s="16" t="s">
        <v>9249</v>
      </c>
      <c r="D1492" s="16" t="s">
        <v>8152</v>
      </c>
      <c r="E1492" s="16" t="s">
        <v>1712</v>
      </c>
      <c r="F1492" s="16" t="s">
        <v>1941</v>
      </c>
      <c r="G1492" s="16" t="s">
        <v>35</v>
      </c>
      <c r="H1492" s="16"/>
      <c r="I1492" s="16"/>
      <c r="J1492" s="16"/>
      <c r="K1492" s="16"/>
      <c r="L1492" s="16"/>
      <c r="M1492" s="16"/>
      <c r="N1492" s="16"/>
      <c r="O1492" s="17" t="s">
        <v>38</v>
      </c>
      <c r="P1492" s="5" t="str">
        <f t="shared" si="39"/>
        <v/>
      </c>
      <c r="Q1492" s="5"/>
      <c r="R1492" s="5"/>
    </row>
    <row r="1493" spans="2:18" x14ac:dyDescent="0.25">
      <c r="B1493" s="19" t="s">
        <v>1977</v>
      </c>
      <c r="C1493" s="16" t="s">
        <v>9250</v>
      </c>
      <c r="D1493" s="16" t="s">
        <v>8152</v>
      </c>
      <c r="E1493" s="16" t="s">
        <v>1712</v>
      </c>
      <c r="F1493" s="16" t="s">
        <v>1941</v>
      </c>
      <c r="G1493" s="16" t="s">
        <v>35</v>
      </c>
      <c r="H1493" s="16"/>
      <c r="I1493" s="16"/>
      <c r="J1493" s="16"/>
      <c r="K1493" s="16"/>
      <c r="L1493" s="16"/>
      <c r="M1493" s="16"/>
      <c r="N1493" s="16"/>
      <c r="O1493" s="17" t="s">
        <v>38</v>
      </c>
      <c r="P1493" s="5" t="str">
        <f t="shared" si="39"/>
        <v/>
      </c>
      <c r="Q1493" s="5"/>
      <c r="R1493" s="5"/>
    </row>
    <row r="1494" spans="2:18" x14ac:dyDescent="0.25">
      <c r="B1494" s="19" t="s">
        <v>1978</v>
      </c>
      <c r="C1494" s="16" t="s">
        <v>9251</v>
      </c>
      <c r="D1494" s="16" t="s">
        <v>8152</v>
      </c>
      <c r="E1494" s="16" t="s">
        <v>1712</v>
      </c>
      <c r="F1494" s="16" t="s">
        <v>1941</v>
      </c>
      <c r="G1494" s="16" t="s">
        <v>35</v>
      </c>
      <c r="H1494" s="16"/>
      <c r="I1494" s="16"/>
      <c r="J1494" s="16"/>
      <c r="K1494" s="16"/>
      <c r="L1494" s="16"/>
      <c r="M1494" s="16"/>
      <c r="N1494" s="16"/>
      <c r="O1494" s="17" t="s">
        <v>38</v>
      </c>
      <c r="P1494" s="5" t="str">
        <f t="shared" si="39"/>
        <v/>
      </c>
      <c r="Q1494" s="5"/>
      <c r="R1494" s="5"/>
    </row>
    <row r="1495" spans="2:18" x14ac:dyDescent="0.25">
      <c r="B1495" s="19" t="s">
        <v>1979</v>
      </c>
      <c r="C1495" s="16" t="s">
        <v>9252</v>
      </c>
      <c r="D1495" s="16" t="s">
        <v>8152</v>
      </c>
      <c r="E1495" s="16" t="s">
        <v>1712</v>
      </c>
      <c r="F1495" s="16" t="s">
        <v>1941</v>
      </c>
      <c r="G1495" s="16" t="s">
        <v>35</v>
      </c>
      <c r="H1495" s="16"/>
      <c r="I1495" s="16"/>
      <c r="J1495" s="16"/>
      <c r="K1495" s="16"/>
      <c r="L1495" s="16"/>
      <c r="M1495" s="16"/>
      <c r="N1495" s="16"/>
      <c r="O1495" s="17" t="s">
        <v>38</v>
      </c>
      <c r="P1495" s="5" t="str">
        <f t="shared" ref="P1495:P1558" si="40">IF(D1495="Datos","Truncate table "&amp; B1495&amp; ";","")</f>
        <v/>
      </c>
      <c r="Q1495" s="5"/>
      <c r="R1495" s="5"/>
    </row>
    <row r="1496" spans="2:18" x14ac:dyDescent="0.25">
      <c r="B1496" s="19" t="s">
        <v>1980</v>
      </c>
      <c r="C1496" s="16" t="s">
        <v>9253</v>
      </c>
      <c r="D1496" s="16" t="s">
        <v>8152</v>
      </c>
      <c r="E1496" s="16" t="s">
        <v>1712</v>
      </c>
      <c r="F1496" s="16" t="s">
        <v>1941</v>
      </c>
      <c r="G1496" s="16" t="s">
        <v>35</v>
      </c>
      <c r="H1496" s="16"/>
      <c r="I1496" s="16"/>
      <c r="J1496" s="16"/>
      <c r="K1496" s="16"/>
      <c r="L1496" s="16"/>
      <c r="M1496" s="16"/>
      <c r="N1496" s="16"/>
      <c r="O1496" s="17" t="s">
        <v>38</v>
      </c>
      <c r="P1496" s="5" t="str">
        <f t="shared" si="40"/>
        <v/>
      </c>
      <c r="Q1496" s="5"/>
      <c r="R1496" s="5"/>
    </row>
    <row r="1497" spans="2:18" x14ac:dyDescent="0.25">
      <c r="B1497" s="19" t="s">
        <v>1981</v>
      </c>
      <c r="C1497" s="16" t="s">
        <v>9254</v>
      </c>
      <c r="D1497" s="16" t="s">
        <v>29</v>
      </c>
      <c r="E1497" s="16" t="s">
        <v>1712</v>
      </c>
      <c r="F1497" s="16" t="s">
        <v>1711</v>
      </c>
      <c r="G1497" s="16" t="s">
        <v>35</v>
      </c>
      <c r="H1497" s="16"/>
      <c r="I1497" s="16"/>
      <c r="J1497" s="16"/>
      <c r="K1497" s="16"/>
      <c r="L1497" s="16"/>
      <c r="M1497" s="16"/>
      <c r="N1497" s="16"/>
      <c r="O1497" s="17"/>
      <c r="P1497" s="5" t="str">
        <f t="shared" si="40"/>
        <v>Truncate table FCT511;</v>
      </c>
      <c r="Q1497" s="5"/>
      <c r="R1497" s="5"/>
    </row>
    <row r="1498" spans="2:18" x14ac:dyDescent="0.25">
      <c r="B1498" s="19" t="s">
        <v>1982</v>
      </c>
      <c r="C1498" s="16" t="s">
        <v>9255</v>
      </c>
      <c r="D1498" s="16" t="s">
        <v>29</v>
      </c>
      <c r="E1498" s="16" t="s">
        <v>1712</v>
      </c>
      <c r="F1498" s="16" t="s">
        <v>1711</v>
      </c>
      <c r="G1498" s="16" t="s">
        <v>35</v>
      </c>
      <c r="H1498" s="16"/>
      <c r="I1498" s="16"/>
      <c r="J1498" s="16"/>
      <c r="K1498" s="16"/>
      <c r="L1498" s="16"/>
      <c r="M1498" s="16"/>
      <c r="N1498" s="16"/>
      <c r="O1498" s="17"/>
      <c r="P1498" s="5" t="str">
        <f t="shared" si="40"/>
        <v>Truncate table FCT512;</v>
      </c>
      <c r="Q1498" s="5"/>
      <c r="R1498" s="5"/>
    </row>
    <row r="1499" spans="2:18" x14ac:dyDescent="0.25">
      <c r="B1499" s="19" t="s">
        <v>1983</v>
      </c>
      <c r="C1499" s="16" t="s">
        <v>9258</v>
      </c>
      <c r="D1499" s="16" t="s">
        <v>29</v>
      </c>
      <c r="E1499" s="16" t="s">
        <v>1712</v>
      </c>
      <c r="F1499" s="16" t="s">
        <v>1711</v>
      </c>
      <c r="G1499" s="16" t="s">
        <v>35</v>
      </c>
      <c r="H1499" s="16"/>
      <c r="I1499" s="16"/>
      <c r="J1499" s="16"/>
      <c r="K1499" s="16"/>
      <c r="L1499" s="16"/>
      <c r="M1499" s="16"/>
      <c r="N1499" s="16"/>
      <c r="O1499" s="17"/>
      <c r="P1499" s="5" t="str">
        <f t="shared" si="40"/>
        <v>Truncate table FCT513;</v>
      </c>
      <c r="Q1499" s="5"/>
      <c r="R1499" s="5"/>
    </row>
    <row r="1500" spans="2:18" x14ac:dyDescent="0.25">
      <c r="B1500" s="19" t="s">
        <v>1984</v>
      </c>
      <c r="C1500" t="s">
        <v>10030</v>
      </c>
      <c r="D1500" s="16" t="s">
        <v>29</v>
      </c>
      <c r="E1500" s="16" t="s">
        <v>1712</v>
      </c>
      <c r="F1500" s="16" t="s">
        <v>1711</v>
      </c>
      <c r="G1500" s="16" t="s">
        <v>35</v>
      </c>
      <c r="H1500" s="16"/>
      <c r="I1500" s="16"/>
      <c r="J1500" s="16"/>
      <c r="K1500" s="16"/>
      <c r="L1500" s="16"/>
      <c r="M1500" s="16"/>
      <c r="N1500" s="16"/>
      <c r="O1500" s="17"/>
      <c r="P1500" s="5" t="str">
        <f t="shared" si="40"/>
        <v>Truncate table FCT514;</v>
      </c>
      <c r="Q1500" s="5"/>
      <c r="R1500" s="5"/>
    </row>
    <row r="1501" spans="2:18" x14ac:dyDescent="0.25">
      <c r="B1501" s="19" t="s">
        <v>1985</v>
      </c>
      <c r="C1501" s="16" t="s">
        <v>9256</v>
      </c>
      <c r="D1501" s="16" t="s">
        <v>29</v>
      </c>
      <c r="E1501" s="16" t="s">
        <v>1712</v>
      </c>
      <c r="F1501" s="16" t="s">
        <v>1711</v>
      </c>
      <c r="G1501" s="16" t="s">
        <v>35</v>
      </c>
      <c r="H1501" s="16"/>
      <c r="I1501" s="16"/>
      <c r="J1501" s="16"/>
      <c r="K1501" s="16"/>
      <c r="L1501" s="16"/>
      <c r="M1501" s="16"/>
      <c r="N1501" s="16"/>
      <c r="O1501" s="17"/>
      <c r="P1501" s="5" t="str">
        <f t="shared" si="40"/>
        <v>Truncate table FCT600;</v>
      </c>
      <c r="Q1501" s="5"/>
      <c r="R1501" s="5"/>
    </row>
    <row r="1502" spans="2:18" x14ac:dyDescent="0.25">
      <c r="B1502" s="19" t="s">
        <v>1986</v>
      </c>
      <c r="C1502" t="s">
        <v>10031</v>
      </c>
      <c r="D1502" s="16" t="s">
        <v>8152</v>
      </c>
      <c r="E1502" s="16" t="s">
        <v>1712</v>
      </c>
      <c r="F1502" s="16" t="s">
        <v>1941</v>
      </c>
      <c r="G1502" s="16" t="s">
        <v>35</v>
      </c>
      <c r="H1502" s="16"/>
      <c r="I1502" s="16"/>
      <c r="J1502" s="16"/>
      <c r="K1502" s="16"/>
      <c r="L1502" s="16"/>
      <c r="M1502" s="16"/>
      <c r="N1502" s="16"/>
      <c r="O1502" s="17" t="s">
        <v>38</v>
      </c>
      <c r="P1502" s="5" t="str">
        <f t="shared" si="40"/>
        <v/>
      </c>
      <c r="Q1502" s="5"/>
      <c r="R1502" s="5"/>
    </row>
    <row r="1503" spans="2:18" x14ac:dyDescent="0.25">
      <c r="B1503" s="19" t="s">
        <v>1987</v>
      </c>
      <c r="C1503" t="s">
        <v>10032</v>
      </c>
      <c r="D1503" s="16" t="s">
        <v>29</v>
      </c>
      <c r="E1503" s="16" t="s">
        <v>1712</v>
      </c>
      <c r="F1503" s="16" t="s">
        <v>1711</v>
      </c>
      <c r="G1503" s="16" t="s">
        <v>35</v>
      </c>
      <c r="H1503" s="16"/>
      <c r="I1503" s="16"/>
      <c r="J1503" s="16"/>
      <c r="K1503" s="16"/>
      <c r="L1503" s="16"/>
      <c r="M1503" s="16"/>
      <c r="N1503" s="16"/>
      <c r="O1503" s="17"/>
      <c r="P1503" s="5" t="str">
        <f t="shared" si="40"/>
        <v>Truncate table FCT702;</v>
      </c>
      <c r="Q1503" s="5"/>
      <c r="R1503" s="5"/>
    </row>
    <row r="1504" spans="2:18" x14ac:dyDescent="0.25">
      <c r="B1504" s="19" t="s">
        <v>1988</v>
      </c>
      <c r="C1504" t="s">
        <v>10033</v>
      </c>
      <c r="D1504" s="16" t="s">
        <v>29</v>
      </c>
      <c r="E1504" s="16" t="s">
        <v>1712</v>
      </c>
      <c r="F1504" s="16" t="s">
        <v>1711</v>
      </c>
      <c r="G1504" s="16" t="s">
        <v>35</v>
      </c>
      <c r="H1504" s="16"/>
      <c r="I1504" s="16"/>
      <c r="J1504" s="16"/>
      <c r="K1504" s="16"/>
      <c r="L1504" s="16"/>
      <c r="M1504" s="16"/>
      <c r="N1504" s="16"/>
      <c r="O1504" s="17"/>
      <c r="P1504" s="5" t="str">
        <f t="shared" si="40"/>
        <v>Truncate table FCT703;</v>
      </c>
      <c r="Q1504" s="5"/>
      <c r="R1504" s="5"/>
    </row>
    <row r="1505" spans="2:18" x14ac:dyDescent="0.25">
      <c r="B1505" s="19" t="s">
        <v>1989</v>
      </c>
      <c r="C1505" s="16" t="s">
        <v>9257</v>
      </c>
      <c r="D1505" s="16" t="s">
        <v>29</v>
      </c>
      <c r="E1505" s="16" t="s">
        <v>1712</v>
      </c>
      <c r="F1505" s="16" t="s">
        <v>1711</v>
      </c>
      <c r="G1505" s="16" t="s">
        <v>35</v>
      </c>
      <c r="H1505" s="16"/>
      <c r="I1505" s="16"/>
      <c r="J1505" s="16"/>
      <c r="K1505" s="16"/>
      <c r="L1505" s="16"/>
      <c r="M1505" s="16"/>
      <c r="N1505" s="16"/>
      <c r="O1505" s="17"/>
      <c r="P1505" s="5" t="str">
        <f t="shared" si="40"/>
        <v>Truncate table FCT800;</v>
      </c>
      <c r="Q1505" s="5"/>
      <c r="R1505" s="5"/>
    </row>
    <row r="1506" spans="2:18" x14ac:dyDescent="0.25">
      <c r="B1506" s="19" t="s">
        <v>1990</v>
      </c>
      <c r="C1506" s="16" t="s">
        <v>9259</v>
      </c>
      <c r="D1506" s="16" t="s">
        <v>8152</v>
      </c>
      <c r="E1506" s="16" t="s">
        <v>1712</v>
      </c>
      <c r="F1506" s="16" t="s">
        <v>1941</v>
      </c>
      <c r="G1506" s="16" t="s">
        <v>35</v>
      </c>
      <c r="H1506" s="16"/>
      <c r="I1506" s="16"/>
      <c r="J1506" s="16"/>
      <c r="K1506" s="16"/>
      <c r="L1506" s="16"/>
      <c r="M1506" s="16"/>
      <c r="N1506" s="16"/>
      <c r="O1506" s="17" t="s">
        <v>38</v>
      </c>
      <c r="P1506" s="5" t="str">
        <f t="shared" si="40"/>
        <v/>
      </c>
      <c r="Q1506" s="5"/>
      <c r="R1506" s="5"/>
    </row>
    <row r="1507" spans="2:18" x14ac:dyDescent="0.25">
      <c r="B1507" s="19" t="s">
        <v>1991</v>
      </c>
      <c r="C1507" s="16" t="s">
        <v>9260</v>
      </c>
      <c r="D1507" s="16" t="s">
        <v>29</v>
      </c>
      <c r="E1507" s="16" t="s">
        <v>1712</v>
      </c>
      <c r="F1507" s="16" t="s">
        <v>1941</v>
      </c>
      <c r="G1507" s="16" t="s">
        <v>35</v>
      </c>
      <c r="H1507" s="16"/>
      <c r="I1507" s="16"/>
      <c r="J1507" s="16"/>
      <c r="K1507" s="16"/>
      <c r="L1507" s="16"/>
      <c r="M1507" s="16"/>
      <c r="N1507" s="16"/>
      <c r="O1507" s="17" t="s">
        <v>38</v>
      </c>
      <c r="P1507" s="5" t="str">
        <f t="shared" si="40"/>
        <v>Truncate table FCU021;</v>
      </c>
      <c r="Q1507" s="5"/>
      <c r="R1507" s="5"/>
    </row>
    <row r="1508" spans="2:18" x14ac:dyDescent="0.25">
      <c r="B1508" s="19" t="s">
        <v>1992</v>
      </c>
      <c r="C1508" s="16" t="s">
        <v>9261</v>
      </c>
      <c r="D1508" s="16" t="s">
        <v>29</v>
      </c>
      <c r="E1508" s="16" t="s">
        <v>1712</v>
      </c>
      <c r="F1508" s="16" t="s">
        <v>1941</v>
      </c>
      <c r="G1508" s="16" t="s">
        <v>35</v>
      </c>
      <c r="H1508" s="16"/>
      <c r="I1508" s="16"/>
      <c r="J1508" s="16"/>
      <c r="K1508" s="16"/>
      <c r="L1508" s="16"/>
      <c r="M1508" s="16"/>
      <c r="N1508" s="16"/>
      <c r="O1508" s="17" t="s">
        <v>38</v>
      </c>
      <c r="P1508" s="5" t="str">
        <f t="shared" si="40"/>
        <v>Truncate table FCU030;</v>
      </c>
      <c r="Q1508" s="5"/>
      <c r="R1508" s="5"/>
    </row>
    <row r="1509" spans="2:18" x14ac:dyDescent="0.25">
      <c r="B1509" s="19" t="s">
        <v>1993</v>
      </c>
      <c r="C1509" s="16" t="s">
        <v>9262</v>
      </c>
      <c r="D1509" s="16" t="s">
        <v>29</v>
      </c>
      <c r="E1509" s="16" t="s">
        <v>1712</v>
      </c>
      <c r="F1509" s="16" t="s">
        <v>1941</v>
      </c>
      <c r="G1509" s="16" t="s">
        <v>35</v>
      </c>
      <c r="H1509" s="16"/>
      <c r="I1509" s="16"/>
      <c r="J1509" s="16"/>
      <c r="K1509" s="16"/>
      <c r="L1509" s="16"/>
      <c r="M1509" s="16"/>
      <c r="N1509" s="16"/>
      <c r="O1509" s="17" t="s">
        <v>38</v>
      </c>
      <c r="P1509" s="5" t="str">
        <f t="shared" si="40"/>
        <v>Truncate table FCU121;</v>
      </c>
      <c r="Q1509" s="5"/>
      <c r="R1509" s="5"/>
    </row>
    <row r="1510" spans="2:18" x14ac:dyDescent="0.25">
      <c r="B1510" s="19" t="s">
        <v>1994</v>
      </c>
      <c r="C1510" s="16" t="s">
        <v>9263</v>
      </c>
      <c r="D1510" s="16" t="s">
        <v>29</v>
      </c>
      <c r="E1510" s="16" t="s">
        <v>1712</v>
      </c>
      <c r="F1510" s="16" t="s">
        <v>1941</v>
      </c>
      <c r="G1510" s="16" t="s">
        <v>35</v>
      </c>
      <c r="H1510" s="16"/>
      <c r="I1510" s="16"/>
      <c r="J1510" s="16"/>
      <c r="K1510" s="16"/>
      <c r="L1510" s="16"/>
      <c r="M1510" s="16"/>
      <c r="N1510" s="16"/>
      <c r="O1510" s="17" t="s">
        <v>38</v>
      </c>
      <c r="P1510" s="5" t="str">
        <f t="shared" si="40"/>
        <v>Truncate table FCU130;</v>
      </c>
      <c r="Q1510" s="5"/>
      <c r="R1510" s="5"/>
    </row>
    <row r="1511" spans="2:18" x14ac:dyDescent="0.25">
      <c r="B1511" s="19" t="s">
        <v>1995</v>
      </c>
      <c r="C1511" s="16" t="s">
        <v>9264</v>
      </c>
      <c r="D1511" s="16" t="s">
        <v>29</v>
      </c>
      <c r="E1511" s="16" t="s">
        <v>1712</v>
      </c>
      <c r="F1511" s="16" t="s">
        <v>1941</v>
      </c>
      <c r="G1511" s="16" t="s">
        <v>35</v>
      </c>
      <c r="H1511" s="16"/>
      <c r="I1511" s="16"/>
      <c r="J1511" s="16"/>
      <c r="K1511" s="16"/>
      <c r="L1511" s="16"/>
      <c r="M1511" s="16"/>
      <c r="N1511" s="16"/>
      <c r="O1511" s="17" t="s">
        <v>38</v>
      </c>
      <c r="P1511" s="5" t="str">
        <f t="shared" si="40"/>
        <v>Truncate table FCU999;</v>
      </c>
      <c r="Q1511" s="5"/>
      <c r="R1511" s="5"/>
    </row>
    <row r="1512" spans="2:18" x14ac:dyDescent="0.25">
      <c r="B1512" s="19" t="s">
        <v>1996</v>
      </c>
      <c r="C1512" s="16" t="s">
        <v>9265</v>
      </c>
      <c r="D1512" s="16" t="s">
        <v>29</v>
      </c>
      <c r="E1512" s="16" t="s">
        <v>1712</v>
      </c>
      <c r="F1512" s="16" t="s">
        <v>1711</v>
      </c>
      <c r="G1512" s="16" t="s">
        <v>35</v>
      </c>
      <c r="H1512" s="16"/>
      <c r="I1512" s="16"/>
      <c r="J1512" s="16"/>
      <c r="K1512" s="16"/>
      <c r="L1512" s="16"/>
      <c r="M1512" s="16"/>
      <c r="N1512" s="16"/>
      <c r="O1512" s="17"/>
      <c r="P1512" s="5" t="str">
        <f t="shared" si="40"/>
        <v>Truncate table FCV001;</v>
      </c>
      <c r="Q1512" s="5"/>
      <c r="R1512" s="5"/>
    </row>
    <row r="1513" spans="2:18" x14ac:dyDescent="0.25">
      <c r="B1513" s="19" t="s">
        <v>1997</v>
      </c>
      <c r="C1513" s="16" t="s">
        <v>9266</v>
      </c>
      <c r="D1513" s="16" t="s">
        <v>29</v>
      </c>
      <c r="E1513" s="16" t="s">
        <v>1712</v>
      </c>
      <c r="F1513" s="16" t="s">
        <v>1711</v>
      </c>
      <c r="G1513" s="16" t="s">
        <v>35</v>
      </c>
      <c r="H1513" s="16"/>
      <c r="I1513" s="16"/>
      <c r="J1513" s="16"/>
      <c r="K1513" s="16"/>
      <c r="L1513" s="16"/>
      <c r="M1513" s="16"/>
      <c r="N1513" s="16"/>
      <c r="O1513" s="17"/>
      <c r="P1513" s="5" t="str">
        <f t="shared" si="40"/>
        <v>Truncate table FCV002;</v>
      </c>
      <c r="Q1513" s="5"/>
      <c r="R1513" s="5"/>
    </row>
    <row r="1514" spans="2:18" x14ac:dyDescent="0.25">
      <c r="B1514" s="19" t="s">
        <v>1998</v>
      </c>
      <c r="C1514" s="16" t="s">
        <v>9267</v>
      </c>
      <c r="D1514" s="16" t="s">
        <v>29</v>
      </c>
      <c r="E1514" s="16" t="s">
        <v>1712</v>
      </c>
      <c r="F1514" s="16" t="s">
        <v>1711</v>
      </c>
      <c r="G1514" s="16" t="s">
        <v>35</v>
      </c>
      <c r="H1514" s="16"/>
      <c r="I1514" s="16"/>
      <c r="J1514" s="16"/>
      <c r="K1514" s="16"/>
      <c r="L1514" s="16"/>
      <c r="M1514" s="16"/>
      <c r="N1514" s="16"/>
      <c r="O1514" s="17"/>
      <c r="P1514" s="5" t="str">
        <f t="shared" si="40"/>
        <v>Truncate table FCV003;</v>
      </c>
      <c r="Q1514" s="5"/>
      <c r="R1514" s="5"/>
    </row>
    <row r="1515" spans="2:18" x14ac:dyDescent="0.25">
      <c r="B1515" s="19" t="s">
        <v>1999</v>
      </c>
      <c r="C1515" s="16" t="s">
        <v>9268</v>
      </c>
      <c r="D1515" s="16" t="s">
        <v>29</v>
      </c>
      <c r="E1515" s="16" t="s">
        <v>1712</v>
      </c>
      <c r="F1515" s="16" t="s">
        <v>1711</v>
      </c>
      <c r="G1515" s="16" t="s">
        <v>35</v>
      </c>
      <c r="H1515" s="16"/>
      <c r="I1515" s="16"/>
      <c r="J1515" s="16"/>
      <c r="K1515" s="16"/>
      <c r="L1515" s="16"/>
      <c r="M1515" s="16"/>
      <c r="N1515" s="16"/>
      <c r="O1515" s="17"/>
      <c r="P1515" s="5" t="str">
        <f t="shared" si="40"/>
        <v>Truncate table FCV005;</v>
      </c>
      <c r="Q1515" s="5"/>
      <c r="R1515" s="5"/>
    </row>
    <row r="1516" spans="2:18" x14ac:dyDescent="0.25">
      <c r="B1516" s="19" t="s">
        <v>2000</v>
      </c>
      <c r="C1516" t="s">
        <v>10034</v>
      </c>
      <c r="D1516" s="16" t="s">
        <v>29</v>
      </c>
      <c r="E1516" s="16" t="s">
        <v>1712</v>
      </c>
      <c r="F1516" s="16" t="s">
        <v>1711</v>
      </c>
      <c r="G1516" s="16" t="s">
        <v>35</v>
      </c>
      <c r="H1516" s="16"/>
      <c r="I1516" s="16"/>
      <c r="J1516" s="16"/>
      <c r="K1516" s="16"/>
      <c r="L1516" s="16"/>
      <c r="M1516" s="16"/>
      <c r="N1516" s="16"/>
      <c r="O1516" s="17"/>
      <c r="P1516" s="5" t="str">
        <f t="shared" si="40"/>
        <v>Truncate table FCV006;</v>
      </c>
      <c r="Q1516" s="5"/>
      <c r="R1516" s="5"/>
    </row>
    <row r="1517" spans="2:18" x14ac:dyDescent="0.25">
      <c r="B1517" s="19" t="s">
        <v>2001</v>
      </c>
      <c r="C1517" s="16" t="s">
        <v>9269</v>
      </c>
      <c r="D1517" s="16" t="s">
        <v>29</v>
      </c>
      <c r="E1517" s="16" t="s">
        <v>1712</v>
      </c>
      <c r="F1517" s="16" t="s">
        <v>1711</v>
      </c>
      <c r="G1517" s="16" t="s">
        <v>35</v>
      </c>
      <c r="H1517" s="16"/>
      <c r="I1517" s="16"/>
      <c r="J1517" s="16"/>
      <c r="K1517" s="16"/>
      <c r="L1517" s="16"/>
      <c r="M1517" s="16"/>
      <c r="N1517" s="16"/>
      <c r="O1517" s="17"/>
      <c r="P1517" s="5" t="str">
        <f t="shared" si="40"/>
        <v>Truncate table FCV010;</v>
      </c>
      <c r="Q1517" s="5"/>
      <c r="R1517" s="5"/>
    </row>
    <row r="1518" spans="2:18" x14ac:dyDescent="0.25">
      <c r="B1518" s="19" t="s">
        <v>2002</v>
      </c>
      <c r="C1518" s="16" t="s">
        <v>9270</v>
      </c>
      <c r="D1518" s="16" t="s">
        <v>29</v>
      </c>
      <c r="E1518" s="16" t="s">
        <v>1712</v>
      </c>
      <c r="F1518" s="16" t="s">
        <v>1711</v>
      </c>
      <c r="G1518" s="16" t="s">
        <v>35</v>
      </c>
      <c r="H1518" s="16"/>
      <c r="I1518" s="16"/>
      <c r="J1518" s="16"/>
      <c r="K1518" s="16"/>
      <c r="L1518" s="16"/>
      <c r="M1518" s="16"/>
      <c r="N1518" s="16"/>
      <c r="O1518" s="17"/>
      <c r="P1518" s="5" t="str">
        <f t="shared" si="40"/>
        <v>Truncate table FCV011;</v>
      </c>
      <c r="Q1518" s="5"/>
      <c r="R1518" s="5"/>
    </row>
    <row r="1519" spans="2:18" x14ac:dyDescent="0.25">
      <c r="B1519" s="19" t="s">
        <v>2003</v>
      </c>
      <c r="C1519" s="16" t="s">
        <v>9271</v>
      </c>
      <c r="D1519" s="16" t="s">
        <v>29</v>
      </c>
      <c r="E1519" s="16" t="s">
        <v>1712</v>
      </c>
      <c r="F1519" s="16" t="s">
        <v>1711</v>
      </c>
      <c r="G1519" s="16" t="s">
        <v>35</v>
      </c>
      <c r="H1519" s="16"/>
      <c r="I1519" s="16"/>
      <c r="J1519" s="16"/>
      <c r="K1519" s="16"/>
      <c r="L1519" s="16"/>
      <c r="M1519" s="16"/>
      <c r="N1519" s="16"/>
      <c r="O1519" s="17"/>
      <c r="P1519" s="5" t="str">
        <f t="shared" si="40"/>
        <v>Truncate table FCV012;</v>
      </c>
      <c r="Q1519" s="5"/>
      <c r="R1519" s="5"/>
    </row>
    <row r="1520" spans="2:18" x14ac:dyDescent="0.25">
      <c r="B1520" s="19" t="s">
        <v>2004</v>
      </c>
      <c r="C1520" s="16" t="s">
        <v>9273</v>
      </c>
      <c r="D1520" s="16" t="s">
        <v>29</v>
      </c>
      <c r="E1520" s="16" t="s">
        <v>1712</v>
      </c>
      <c r="F1520" s="16" t="s">
        <v>1711</v>
      </c>
      <c r="G1520" s="16" t="s">
        <v>35</v>
      </c>
      <c r="H1520" s="16"/>
      <c r="I1520" s="16"/>
      <c r="J1520" s="16"/>
      <c r="K1520" s="16"/>
      <c r="L1520" s="16"/>
      <c r="M1520" s="16"/>
      <c r="N1520" s="16"/>
      <c r="O1520" s="17"/>
      <c r="P1520" s="5" t="str">
        <f t="shared" si="40"/>
        <v>Truncate table FCV311;</v>
      </c>
      <c r="Q1520" s="5"/>
      <c r="R1520" s="5"/>
    </row>
    <row r="1521" spans="2:18" x14ac:dyDescent="0.25">
      <c r="B1521" s="19" t="s">
        <v>2005</v>
      </c>
      <c r="C1521" s="16" t="s">
        <v>2006</v>
      </c>
      <c r="D1521" s="16" t="s">
        <v>8152</v>
      </c>
      <c r="E1521" s="16" t="s">
        <v>1712</v>
      </c>
      <c r="F1521" s="16" t="s">
        <v>1941</v>
      </c>
      <c r="G1521" s="16" t="s">
        <v>35</v>
      </c>
      <c r="H1521" s="16"/>
      <c r="I1521" s="16"/>
      <c r="J1521" s="16"/>
      <c r="K1521" s="16"/>
      <c r="L1521" s="16"/>
      <c r="M1521" s="16"/>
      <c r="N1521" s="16"/>
      <c r="O1521" s="17" t="s">
        <v>38</v>
      </c>
      <c r="P1521" s="5" t="str">
        <f t="shared" si="40"/>
        <v/>
      </c>
      <c r="Q1521" s="5"/>
      <c r="R1521" s="5"/>
    </row>
    <row r="1522" spans="2:18" x14ac:dyDescent="0.25">
      <c r="B1522" s="19" t="s">
        <v>2007</v>
      </c>
      <c r="C1522" s="16" t="s">
        <v>9272</v>
      </c>
      <c r="D1522" s="16" t="s">
        <v>29</v>
      </c>
      <c r="E1522" s="16" t="s">
        <v>1712</v>
      </c>
      <c r="F1522" s="16" t="s">
        <v>1941</v>
      </c>
      <c r="G1522" s="16" t="s">
        <v>35</v>
      </c>
      <c r="H1522" s="16"/>
      <c r="I1522" s="16"/>
      <c r="J1522" s="16"/>
      <c r="K1522" s="16"/>
      <c r="L1522" s="16"/>
      <c r="M1522" s="16"/>
      <c r="N1522" s="16"/>
      <c r="O1522" s="17" t="s">
        <v>38</v>
      </c>
      <c r="P1522" s="5" t="str">
        <f t="shared" si="40"/>
        <v>Truncate table FCW046;</v>
      </c>
      <c r="Q1522" s="5"/>
      <c r="R1522" s="5"/>
    </row>
    <row r="1523" spans="2:18" x14ac:dyDescent="0.25">
      <c r="B1523" s="19" t="s">
        <v>2008</v>
      </c>
      <c r="C1523" s="16" t="s">
        <v>2009</v>
      </c>
      <c r="D1523" s="16" t="s">
        <v>8152</v>
      </c>
      <c r="E1523" s="16" t="s">
        <v>1712</v>
      </c>
      <c r="F1523" s="16" t="s">
        <v>1941</v>
      </c>
      <c r="G1523" s="16" t="s">
        <v>35</v>
      </c>
      <c r="H1523" s="16"/>
      <c r="I1523" s="16"/>
      <c r="J1523" s="16"/>
      <c r="K1523" s="16"/>
      <c r="L1523" s="16"/>
      <c r="M1523" s="16"/>
      <c r="N1523" s="16"/>
      <c r="O1523" s="17" t="s">
        <v>38</v>
      </c>
      <c r="P1523" s="5" t="str">
        <f t="shared" si="40"/>
        <v/>
      </c>
      <c r="Q1523" s="5"/>
      <c r="R1523" s="5"/>
    </row>
    <row r="1524" spans="2:18" x14ac:dyDescent="0.25">
      <c r="B1524" s="19" t="s">
        <v>2010</v>
      </c>
      <c r="C1524" s="16" t="s">
        <v>2011</v>
      </c>
      <c r="D1524" s="16" t="s">
        <v>8152</v>
      </c>
      <c r="E1524" s="16" t="s">
        <v>1712</v>
      </c>
      <c r="F1524" s="16" t="s">
        <v>1941</v>
      </c>
      <c r="G1524" s="16" t="s">
        <v>35</v>
      </c>
      <c r="H1524" s="16"/>
      <c r="I1524" s="16"/>
      <c r="J1524" s="16"/>
      <c r="K1524" s="16"/>
      <c r="L1524" s="16"/>
      <c r="M1524" s="16"/>
      <c r="N1524" s="16"/>
      <c r="O1524" s="17" t="s">
        <v>38</v>
      </c>
      <c r="P1524" s="5" t="str">
        <f t="shared" si="40"/>
        <v/>
      </c>
      <c r="Q1524" s="5"/>
      <c r="R1524" s="5"/>
    </row>
    <row r="1525" spans="2:18" x14ac:dyDescent="0.25">
      <c r="B1525" s="19" t="s">
        <v>2012</v>
      </c>
      <c r="C1525" s="16" t="s">
        <v>2013</v>
      </c>
      <c r="D1525" s="16" t="s">
        <v>8152</v>
      </c>
      <c r="E1525" s="16" t="s">
        <v>1712</v>
      </c>
      <c r="F1525" s="16" t="s">
        <v>1941</v>
      </c>
      <c r="G1525" s="16" t="s">
        <v>35</v>
      </c>
      <c r="H1525" s="16"/>
      <c r="I1525" s="16"/>
      <c r="J1525" s="16"/>
      <c r="K1525" s="16"/>
      <c r="L1525" s="16"/>
      <c r="M1525" s="16"/>
      <c r="N1525" s="16"/>
      <c r="O1525" s="17" t="s">
        <v>38</v>
      </c>
      <c r="P1525" s="5" t="str">
        <f t="shared" si="40"/>
        <v/>
      </c>
      <c r="Q1525" s="5"/>
      <c r="R1525" s="5"/>
    </row>
    <row r="1526" spans="2:18" x14ac:dyDescent="0.25">
      <c r="B1526" s="19" t="s">
        <v>2014</v>
      </c>
      <c r="C1526" s="16" t="s">
        <v>9274</v>
      </c>
      <c r="D1526" s="16" t="s">
        <v>29</v>
      </c>
      <c r="E1526" s="16" t="s">
        <v>1712</v>
      </c>
      <c r="F1526" s="16" t="s">
        <v>1941</v>
      </c>
      <c r="G1526" s="16" t="s">
        <v>35</v>
      </c>
      <c r="H1526" s="16"/>
      <c r="I1526" s="16"/>
      <c r="J1526" s="16"/>
      <c r="K1526" s="16"/>
      <c r="L1526" s="16"/>
      <c r="M1526" s="16"/>
      <c r="N1526" s="16"/>
      <c r="O1526" s="17" t="s">
        <v>38</v>
      </c>
      <c r="P1526" s="5" t="str">
        <f t="shared" si="40"/>
        <v>Truncate table FCW999;</v>
      </c>
      <c r="Q1526" s="5"/>
      <c r="R1526" s="5"/>
    </row>
    <row r="1527" spans="2:18" x14ac:dyDescent="0.25">
      <c r="B1527" s="19" t="s">
        <v>2015</v>
      </c>
      <c r="C1527" s="16" t="s">
        <v>2016</v>
      </c>
      <c r="D1527" s="16" t="s">
        <v>8152</v>
      </c>
      <c r="E1527" s="16" t="s">
        <v>1712</v>
      </c>
      <c r="F1527" s="16" t="s">
        <v>1941</v>
      </c>
      <c r="G1527" s="16" t="s">
        <v>35</v>
      </c>
      <c r="H1527" s="16"/>
      <c r="I1527" s="16"/>
      <c r="J1527" s="16"/>
      <c r="K1527" s="16"/>
      <c r="L1527" s="16"/>
      <c r="M1527" s="16"/>
      <c r="N1527" s="16"/>
      <c r="O1527" s="17" t="s">
        <v>38</v>
      </c>
      <c r="P1527" s="5" t="str">
        <f t="shared" si="40"/>
        <v/>
      </c>
      <c r="Q1527" s="5"/>
      <c r="R1527" s="5"/>
    </row>
    <row r="1528" spans="2:18" x14ac:dyDescent="0.25">
      <c r="B1528" s="19" t="s">
        <v>2017</v>
      </c>
      <c r="C1528" s="16" t="s">
        <v>2016</v>
      </c>
      <c r="D1528" s="16" t="s">
        <v>8152</v>
      </c>
      <c r="E1528" s="16" t="s">
        <v>1712</v>
      </c>
      <c r="F1528" s="16" t="s">
        <v>1941</v>
      </c>
      <c r="G1528" s="16" t="s">
        <v>35</v>
      </c>
      <c r="H1528" s="16"/>
      <c r="I1528" s="16"/>
      <c r="J1528" s="16"/>
      <c r="K1528" s="16"/>
      <c r="L1528" s="16"/>
      <c r="M1528" s="16"/>
      <c r="N1528" s="16"/>
      <c r="O1528" s="17" t="s">
        <v>38</v>
      </c>
      <c r="P1528" s="5" t="str">
        <f t="shared" si="40"/>
        <v/>
      </c>
      <c r="Q1528" s="5"/>
      <c r="R1528" s="5"/>
    </row>
    <row r="1529" spans="2:18" x14ac:dyDescent="0.25">
      <c r="B1529" s="19" t="s">
        <v>2018</v>
      </c>
      <c r="C1529" s="16" t="s">
        <v>9275</v>
      </c>
      <c r="D1529" s="16" t="s">
        <v>29</v>
      </c>
      <c r="E1529" s="16" t="s">
        <v>1712</v>
      </c>
      <c r="F1529" s="16" t="s">
        <v>1711</v>
      </c>
      <c r="G1529" s="16" t="s">
        <v>35</v>
      </c>
      <c r="H1529" s="16"/>
      <c r="I1529" s="16"/>
      <c r="J1529" s="16"/>
      <c r="K1529" s="16"/>
      <c r="L1529" s="16"/>
      <c r="M1529" s="16"/>
      <c r="N1529" s="16"/>
      <c r="O1529" s="17"/>
      <c r="P1529" s="5" t="str">
        <f t="shared" si="40"/>
        <v>Truncate table FDO001;</v>
      </c>
      <c r="Q1529" s="5"/>
      <c r="R1529" s="5"/>
    </row>
    <row r="1530" spans="2:18" x14ac:dyDescent="0.25">
      <c r="B1530" s="19" t="s">
        <v>2019</v>
      </c>
      <c r="C1530" s="16" t="s">
        <v>9276</v>
      </c>
      <c r="D1530" s="16" t="s">
        <v>29</v>
      </c>
      <c r="E1530" s="16" t="s">
        <v>1712</v>
      </c>
      <c r="F1530" s="16" t="s">
        <v>1711</v>
      </c>
      <c r="G1530" s="16" t="s">
        <v>35</v>
      </c>
      <c r="H1530" s="16"/>
      <c r="I1530" s="16"/>
      <c r="J1530" s="16"/>
      <c r="K1530" s="16"/>
      <c r="L1530" s="16"/>
      <c r="M1530" s="16"/>
      <c r="N1530" s="16"/>
      <c r="O1530" s="17"/>
      <c r="P1530" s="5" t="str">
        <f t="shared" si="40"/>
        <v>Truncate table FDO002;</v>
      </c>
      <c r="Q1530" s="5"/>
      <c r="R1530" s="5"/>
    </row>
    <row r="1531" spans="2:18" x14ac:dyDescent="0.25">
      <c r="B1531" s="19" t="s">
        <v>2020</v>
      </c>
      <c r="C1531" s="16" t="s">
        <v>9277</v>
      </c>
      <c r="D1531" s="16" t="s">
        <v>29</v>
      </c>
      <c r="E1531" s="16" t="s">
        <v>1712</v>
      </c>
      <c r="F1531" s="16" t="s">
        <v>1711</v>
      </c>
      <c r="G1531" s="16" t="s">
        <v>35</v>
      </c>
      <c r="H1531" s="16"/>
      <c r="I1531" s="16"/>
      <c r="J1531" s="16"/>
      <c r="K1531" s="16"/>
      <c r="L1531" s="16"/>
      <c r="M1531" s="16"/>
      <c r="N1531" s="16"/>
      <c r="O1531" s="17"/>
      <c r="P1531" s="5" t="str">
        <f t="shared" si="40"/>
        <v>Truncate table FECW01;</v>
      </c>
      <c r="Q1531" s="5"/>
      <c r="R1531" s="5"/>
    </row>
    <row r="1532" spans="2:18" x14ac:dyDescent="0.25">
      <c r="B1532" s="19" t="s">
        <v>2021</v>
      </c>
      <c r="C1532" s="16" t="s">
        <v>9278</v>
      </c>
      <c r="D1532" s="16" t="s">
        <v>29</v>
      </c>
      <c r="E1532" s="16" t="s">
        <v>1712</v>
      </c>
      <c r="F1532" s="16" t="s">
        <v>1711</v>
      </c>
      <c r="G1532" s="16" t="s">
        <v>35</v>
      </c>
      <c r="H1532" s="16"/>
      <c r="I1532" s="16"/>
      <c r="J1532" s="16"/>
      <c r="K1532" s="16"/>
      <c r="L1532" s="16"/>
      <c r="M1532" s="16"/>
      <c r="N1532" s="16"/>
      <c r="O1532" s="17"/>
      <c r="P1532" s="5" t="str">
        <f t="shared" si="40"/>
        <v>Truncate table FECW02;</v>
      </c>
      <c r="Q1532" s="5"/>
      <c r="R1532" s="5"/>
    </row>
    <row r="1533" spans="2:18" x14ac:dyDescent="0.25">
      <c r="B1533" s="19" t="s">
        <v>2022</v>
      </c>
      <c r="C1533" s="16" t="s">
        <v>9279</v>
      </c>
      <c r="D1533" s="16" t="s">
        <v>29</v>
      </c>
      <c r="E1533" s="16" t="s">
        <v>1712</v>
      </c>
      <c r="F1533" s="16" t="s">
        <v>1711</v>
      </c>
      <c r="G1533" s="16" t="s">
        <v>35</v>
      </c>
      <c r="H1533" s="16"/>
      <c r="I1533" s="16"/>
      <c r="J1533" s="16"/>
      <c r="K1533" s="16"/>
      <c r="L1533" s="16"/>
      <c r="M1533" s="16"/>
      <c r="N1533" s="16"/>
      <c r="O1533" s="17"/>
      <c r="P1533" s="5" t="str">
        <f t="shared" si="40"/>
        <v>Truncate table FECW03;</v>
      </c>
      <c r="Q1533" s="5"/>
      <c r="R1533" s="5"/>
    </row>
    <row r="1534" spans="2:18" x14ac:dyDescent="0.25">
      <c r="B1534" s="19" t="s">
        <v>2023</v>
      </c>
      <c r="C1534" s="16" t="s">
        <v>9280</v>
      </c>
      <c r="D1534" s="16" t="s">
        <v>29</v>
      </c>
      <c r="E1534" s="16" t="s">
        <v>1712</v>
      </c>
      <c r="F1534" s="16" t="s">
        <v>1711</v>
      </c>
      <c r="G1534" s="16" t="s">
        <v>35</v>
      </c>
      <c r="H1534" s="16"/>
      <c r="I1534" s="16"/>
      <c r="J1534" s="16"/>
      <c r="K1534" s="16"/>
      <c r="L1534" s="16"/>
      <c r="M1534" s="16"/>
      <c r="N1534" s="16"/>
      <c r="O1534" s="17"/>
      <c r="P1534" s="5" t="str">
        <f t="shared" si="40"/>
        <v>Truncate table FECW04;</v>
      </c>
      <c r="Q1534" s="5"/>
      <c r="R1534" s="5"/>
    </row>
    <row r="1535" spans="2:18" x14ac:dyDescent="0.25">
      <c r="B1535" s="19" t="s">
        <v>2024</v>
      </c>
      <c r="C1535" s="16" t="s">
        <v>9281</v>
      </c>
      <c r="D1535" s="16" t="s">
        <v>29</v>
      </c>
      <c r="E1535" s="16" t="s">
        <v>1712</v>
      </c>
      <c r="F1535" s="16" t="s">
        <v>1711</v>
      </c>
      <c r="G1535" s="16" t="s">
        <v>35</v>
      </c>
      <c r="H1535" s="16"/>
      <c r="I1535" s="16"/>
      <c r="J1535" s="16"/>
      <c r="K1535" s="16"/>
      <c r="L1535" s="16"/>
      <c r="M1535" s="16"/>
      <c r="N1535" s="16"/>
      <c r="O1535" s="17"/>
      <c r="P1535" s="5" t="str">
        <f t="shared" si="40"/>
        <v>Truncate table FECW05;</v>
      </c>
      <c r="Q1535" s="5"/>
      <c r="R1535" s="5"/>
    </row>
    <row r="1536" spans="2:18" x14ac:dyDescent="0.25">
      <c r="B1536" s="19" t="s">
        <v>2025</v>
      </c>
      <c r="C1536" s="16" t="s">
        <v>2026</v>
      </c>
      <c r="D1536" s="16" t="s">
        <v>29</v>
      </c>
      <c r="E1536" s="16" t="s">
        <v>151</v>
      </c>
      <c r="F1536" s="16" t="s">
        <v>1941</v>
      </c>
      <c r="G1536" s="16" t="s">
        <v>35</v>
      </c>
      <c r="H1536" s="16" t="s">
        <v>36</v>
      </c>
      <c r="I1536" s="16"/>
      <c r="J1536" s="16"/>
      <c r="K1536" s="16"/>
      <c r="L1536" s="16"/>
      <c r="M1536" s="16"/>
      <c r="N1536" s="16"/>
      <c r="O1536" s="17" t="s">
        <v>38</v>
      </c>
      <c r="P1536" s="5" t="str">
        <f t="shared" si="40"/>
        <v>Truncate table FECW06;</v>
      </c>
      <c r="Q1536" s="5"/>
      <c r="R1536" s="5"/>
    </row>
    <row r="1537" spans="2:18" x14ac:dyDescent="0.25">
      <c r="B1537" s="19" t="s">
        <v>2027</v>
      </c>
      <c r="C1537" s="16" t="s">
        <v>9282</v>
      </c>
      <c r="D1537" s="16" t="s">
        <v>29</v>
      </c>
      <c r="E1537" s="16" t="s">
        <v>1712</v>
      </c>
      <c r="F1537" s="16" t="s">
        <v>1711</v>
      </c>
      <c r="G1537" s="16" t="s">
        <v>35</v>
      </c>
      <c r="H1537" s="16"/>
      <c r="I1537" s="16"/>
      <c r="J1537" s="16"/>
      <c r="K1537" s="16"/>
      <c r="L1537" s="16"/>
      <c r="M1537" s="16"/>
      <c r="N1537" s="16"/>
      <c r="O1537" s="17"/>
      <c r="P1537" s="5" t="str">
        <f t="shared" si="40"/>
        <v>Truncate table FECW07;</v>
      </c>
      <c r="Q1537" s="5"/>
      <c r="R1537" s="5"/>
    </row>
    <row r="1538" spans="2:18" x14ac:dyDescent="0.25">
      <c r="B1538" s="19" t="s">
        <v>2028</v>
      </c>
      <c r="C1538" s="16" t="s">
        <v>2026</v>
      </c>
      <c r="D1538" s="16" t="s">
        <v>29</v>
      </c>
      <c r="E1538" s="16" t="s">
        <v>151</v>
      </c>
      <c r="F1538" s="16" t="s">
        <v>1941</v>
      </c>
      <c r="G1538" s="16" t="s">
        <v>35</v>
      </c>
      <c r="H1538" s="16" t="s">
        <v>36</v>
      </c>
      <c r="I1538" s="16"/>
      <c r="J1538" s="16"/>
      <c r="K1538" s="16"/>
      <c r="L1538" s="16"/>
      <c r="M1538" s="16"/>
      <c r="N1538" s="16"/>
      <c r="O1538" s="17" t="s">
        <v>38</v>
      </c>
      <c r="P1538" s="5" t="str">
        <f t="shared" si="40"/>
        <v>Truncate table FECW08;</v>
      </c>
      <c r="Q1538" s="5"/>
      <c r="R1538" s="5"/>
    </row>
    <row r="1539" spans="2:18" x14ac:dyDescent="0.25">
      <c r="B1539" s="19" t="s">
        <v>2029</v>
      </c>
      <c r="C1539" s="16" t="s">
        <v>2026</v>
      </c>
      <c r="D1539" s="16" t="s">
        <v>29</v>
      </c>
      <c r="E1539" s="16" t="s">
        <v>151</v>
      </c>
      <c r="F1539" s="16" t="s">
        <v>1941</v>
      </c>
      <c r="G1539" s="16" t="s">
        <v>35</v>
      </c>
      <c r="H1539" s="16" t="s">
        <v>36</v>
      </c>
      <c r="I1539" s="16"/>
      <c r="J1539" s="16"/>
      <c r="K1539" s="16"/>
      <c r="L1539" s="16"/>
      <c r="M1539" s="16"/>
      <c r="N1539" s="16"/>
      <c r="O1539" s="17" t="s">
        <v>38</v>
      </c>
      <c r="P1539" s="5" t="str">
        <f t="shared" si="40"/>
        <v>Truncate table FECW09;</v>
      </c>
      <c r="Q1539" s="5"/>
      <c r="R1539" s="5"/>
    </row>
    <row r="1540" spans="2:18" x14ac:dyDescent="0.25">
      <c r="B1540" s="19" t="s">
        <v>2030</v>
      </c>
      <c r="C1540" t="s">
        <v>10035</v>
      </c>
      <c r="D1540" s="16" t="s">
        <v>29</v>
      </c>
      <c r="E1540" s="16" t="s">
        <v>1712</v>
      </c>
      <c r="F1540" s="16" t="s">
        <v>1711</v>
      </c>
      <c r="G1540" s="16" t="s">
        <v>35</v>
      </c>
      <c r="H1540" s="16"/>
      <c r="I1540" s="16"/>
      <c r="J1540" s="16"/>
      <c r="K1540" s="16"/>
      <c r="L1540" s="16"/>
      <c r="M1540" s="16"/>
      <c r="N1540" s="16"/>
      <c r="O1540" s="17"/>
      <c r="P1540" s="5" t="str">
        <f t="shared" si="40"/>
        <v>Truncate table FEX000;</v>
      </c>
      <c r="Q1540" s="5"/>
      <c r="R1540" s="5"/>
    </row>
    <row r="1541" spans="2:18" x14ac:dyDescent="0.25">
      <c r="B1541" s="19" t="s">
        <v>2031</v>
      </c>
      <c r="C1541" s="16" t="s">
        <v>9283</v>
      </c>
      <c r="D1541" s="16" t="s">
        <v>29</v>
      </c>
      <c r="E1541" s="16"/>
      <c r="F1541" s="5"/>
      <c r="G1541" s="16" t="s">
        <v>35</v>
      </c>
      <c r="H1541" s="16"/>
      <c r="I1541" s="16"/>
      <c r="J1541" s="16"/>
      <c r="K1541" s="16"/>
      <c r="L1541" s="16"/>
      <c r="M1541" s="16"/>
      <c r="N1541" s="16"/>
      <c r="O1541" s="17"/>
      <c r="P1541" s="5" t="str">
        <f t="shared" si="40"/>
        <v>Truncate table FEX001;</v>
      </c>
      <c r="Q1541" s="5"/>
      <c r="R1541" s="5"/>
    </row>
    <row r="1542" spans="2:18" x14ac:dyDescent="0.25">
      <c r="B1542" s="19" t="s">
        <v>2032</v>
      </c>
      <c r="C1542" s="16" t="s">
        <v>9284</v>
      </c>
      <c r="D1542" s="16" t="s">
        <v>29</v>
      </c>
      <c r="E1542" s="16"/>
      <c r="F1542" s="5"/>
      <c r="G1542" s="16" t="s">
        <v>35</v>
      </c>
      <c r="H1542" s="16"/>
      <c r="I1542" s="16"/>
      <c r="J1542" s="16"/>
      <c r="K1542" s="16"/>
      <c r="L1542" s="16"/>
      <c r="M1542" s="16"/>
      <c r="N1542" s="16"/>
      <c r="O1542" s="17"/>
      <c r="P1542" s="5" t="str">
        <f t="shared" si="40"/>
        <v>Truncate table FEX003;</v>
      </c>
      <c r="Q1542" s="5"/>
      <c r="R1542" s="5"/>
    </row>
    <row r="1543" spans="2:18" x14ac:dyDescent="0.25">
      <c r="B1543" s="19" t="s">
        <v>2033</v>
      </c>
      <c r="C1543" s="16" t="s">
        <v>9285</v>
      </c>
      <c r="D1543" s="16" t="s">
        <v>29</v>
      </c>
      <c r="E1543" s="16"/>
      <c r="F1543" s="5"/>
      <c r="G1543" s="16" t="s">
        <v>35</v>
      </c>
      <c r="H1543" s="16"/>
      <c r="I1543" s="16"/>
      <c r="J1543" s="16"/>
      <c r="K1543" s="16"/>
      <c r="L1543" s="16"/>
      <c r="M1543" s="16"/>
      <c r="N1543" s="16"/>
      <c r="O1543" s="17"/>
      <c r="P1543" s="5" t="str">
        <f t="shared" si="40"/>
        <v>Truncate table FEX004;</v>
      </c>
      <c r="Q1543" s="5"/>
      <c r="R1543" s="5"/>
    </row>
    <row r="1544" spans="2:18" x14ac:dyDescent="0.25">
      <c r="B1544" s="19" t="s">
        <v>2034</v>
      </c>
      <c r="C1544" s="16" t="s">
        <v>9286</v>
      </c>
      <c r="D1544" s="16" t="s">
        <v>29</v>
      </c>
      <c r="E1544" s="16"/>
      <c r="F1544" s="5"/>
      <c r="G1544" s="16" t="s">
        <v>35</v>
      </c>
      <c r="H1544" s="16"/>
      <c r="I1544" s="16"/>
      <c r="J1544" s="16"/>
      <c r="K1544" s="16"/>
      <c r="L1544" s="16"/>
      <c r="M1544" s="16"/>
      <c r="N1544" s="16"/>
      <c r="O1544" s="17"/>
      <c r="P1544" s="5" t="str">
        <f t="shared" si="40"/>
        <v>Truncate table FEX005;</v>
      </c>
      <c r="Q1544" s="5"/>
      <c r="R1544" s="5"/>
    </row>
    <row r="1545" spans="2:18" x14ac:dyDescent="0.25">
      <c r="B1545" s="19" t="s">
        <v>2035</v>
      </c>
      <c r="C1545" s="16" t="s">
        <v>9287</v>
      </c>
      <c r="D1545" s="16" t="s">
        <v>29</v>
      </c>
      <c r="E1545" s="16"/>
      <c r="F1545" s="5"/>
      <c r="G1545" s="16" t="s">
        <v>35</v>
      </c>
      <c r="H1545" s="16"/>
      <c r="I1545" s="16"/>
      <c r="J1545" s="16"/>
      <c r="K1545" s="16"/>
      <c r="L1545" s="16"/>
      <c r="M1545" s="16"/>
      <c r="N1545" s="16"/>
      <c r="O1545" s="17"/>
      <c r="P1545" s="5" t="str">
        <f t="shared" si="40"/>
        <v>Truncate table FEX006;</v>
      </c>
      <c r="Q1545" s="5"/>
      <c r="R1545" s="5"/>
    </row>
    <row r="1546" spans="2:18" x14ac:dyDescent="0.25">
      <c r="B1546" s="19" t="s">
        <v>2036</v>
      </c>
      <c r="C1546" s="16" t="s">
        <v>9288</v>
      </c>
      <c r="D1546" s="16" t="s">
        <v>29</v>
      </c>
      <c r="E1546" s="16"/>
      <c r="F1546" s="5"/>
      <c r="G1546" s="16" t="s">
        <v>35</v>
      </c>
      <c r="H1546" s="16"/>
      <c r="I1546" s="16"/>
      <c r="J1546" s="16"/>
      <c r="K1546" s="16"/>
      <c r="L1546" s="16"/>
      <c r="M1546" s="16"/>
      <c r="N1546" s="16"/>
      <c r="O1546" s="17"/>
      <c r="P1546" s="5" t="str">
        <f t="shared" si="40"/>
        <v>Truncate table FEX007;</v>
      </c>
      <c r="Q1546" s="5"/>
      <c r="R1546" s="5"/>
    </row>
    <row r="1547" spans="2:18" x14ac:dyDescent="0.25">
      <c r="B1547" s="19" t="s">
        <v>2037</v>
      </c>
      <c r="C1547" s="16" t="s">
        <v>9289</v>
      </c>
      <c r="D1547" s="16" t="s">
        <v>29</v>
      </c>
      <c r="E1547" s="16"/>
      <c r="F1547" s="5"/>
      <c r="G1547" s="16" t="s">
        <v>35</v>
      </c>
      <c r="H1547" s="16"/>
      <c r="I1547" s="16"/>
      <c r="J1547" s="16"/>
      <c r="K1547" s="16"/>
      <c r="L1547" s="16"/>
      <c r="M1547" s="16"/>
      <c r="N1547" s="16"/>
      <c r="O1547" s="17"/>
      <c r="P1547" s="5" t="str">
        <f t="shared" si="40"/>
        <v>Truncate table FEX008;</v>
      </c>
      <c r="Q1547" s="5"/>
      <c r="R1547" s="5"/>
    </row>
    <row r="1548" spans="2:18" x14ac:dyDescent="0.25">
      <c r="B1548" s="19" t="s">
        <v>2038</v>
      </c>
      <c r="C1548" s="16" t="s">
        <v>9290</v>
      </c>
      <c r="D1548" s="16" t="s">
        <v>29</v>
      </c>
      <c r="E1548" s="16"/>
      <c r="F1548" s="5"/>
      <c r="G1548" s="16" t="s">
        <v>35</v>
      </c>
      <c r="H1548" s="16"/>
      <c r="I1548" s="16"/>
      <c r="J1548" s="16"/>
      <c r="K1548" s="16"/>
      <c r="L1548" s="16"/>
      <c r="M1548" s="16"/>
      <c r="N1548" s="16"/>
      <c r="O1548" s="17"/>
      <c r="P1548" s="5" t="str">
        <f t="shared" si="40"/>
        <v>Truncate table FEX022;</v>
      </c>
      <c r="Q1548" s="5"/>
      <c r="R1548" s="5"/>
    </row>
    <row r="1549" spans="2:18" x14ac:dyDescent="0.25">
      <c r="B1549" s="19" t="s">
        <v>2039</v>
      </c>
      <c r="C1549" s="16" t="s">
        <v>9291</v>
      </c>
      <c r="D1549" s="16" t="s">
        <v>29</v>
      </c>
      <c r="E1549" s="16"/>
      <c r="F1549" s="5"/>
      <c r="G1549" s="16" t="s">
        <v>35</v>
      </c>
      <c r="H1549" s="16"/>
      <c r="I1549" s="16"/>
      <c r="J1549" s="16"/>
      <c r="K1549" s="16"/>
      <c r="L1549" s="16"/>
      <c r="M1549" s="16"/>
      <c r="N1549" s="16"/>
      <c r="O1549" s="17"/>
      <c r="P1549" s="5" t="str">
        <f t="shared" si="40"/>
        <v>Truncate table FEX045;</v>
      </c>
      <c r="Q1549" s="5"/>
      <c r="R1549" s="5"/>
    </row>
    <row r="1550" spans="2:18" x14ac:dyDescent="0.25">
      <c r="B1550" s="19" t="s">
        <v>2040</v>
      </c>
      <c r="C1550" s="16" t="s">
        <v>9292</v>
      </c>
      <c r="D1550" s="16" t="s">
        <v>29</v>
      </c>
      <c r="E1550" s="16"/>
      <c r="F1550" s="5"/>
      <c r="G1550" s="16" t="s">
        <v>35</v>
      </c>
      <c r="H1550" s="16"/>
      <c r="I1550" s="16"/>
      <c r="J1550" s="16"/>
      <c r="K1550" s="16"/>
      <c r="L1550" s="16"/>
      <c r="M1550" s="16"/>
      <c r="N1550" s="16"/>
      <c r="O1550" s="17"/>
      <c r="P1550" s="5" t="str">
        <f t="shared" si="40"/>
        <v>Truncate table FEX051;</v>
      </c>
      <c r="Q1550" s="5"/>
      <c r="R1550" s="5"/>
    </row>
    <row r="1551" spans="2:18" x14ac:dyDescent="0.25">
      <c r="B1551" s="19" t="s">
        <v>2041</v>
      </c>
      <c r="C1551" s="16" t="s">
        <v>9293</v>
      </c>
      <c r="D1551" s="16" t="s">
        <v>29</v>
      </c>
      <c r="E1551" s="16"/>
      <c r="F1551" s="5"/>
      <c r="G1551" s="16" t="s">
        <v>35</v>
      </c>
      <c r="H1551" s="16"/>
      <c r="I1551" s="16"/>
      <c r="J1551" s="16"/>
      <c r="K1551" s="16"/>
      <c r="L1551" s="16"/>
      <c r="M1551" s="16"/>
      <c r="N1551" s="16"/>
      <c r="O1551" s="17"/>
      <c r="P1551" s="5" t="str">
        <f t="shared" si="40"/>
        <v>Truncate table FEX102;</v>
      </c>
      <c r="Q1551" s="5"/>
      <c r="R1551" s="5"/>
    </row>
    <row r="1552" spans="2:18" x14ac:dyDescent="0.25">
      <c r="B1552" s="19" t="s">
        <v>2042</v>
      </c>
      <c r="C1552" s="16" t="s">
        <v>9294</v>
      </c>
      <c r="D1552" s="16" t="s">
        <v>29</v>
      </c>
      <c r="E1552" s="16"/>
      <c r="F1552" s="5"/>
      <c r="G1552" s="16" t="s">
        <v>35</v>
      </c>
      <c r="H1552" s="16"/>
      <c r="I1552" s="16"/>
      <c r="J1552" s="16"/>
      <c r="K1552" s="16"/>
      <c r="L1552" s="16"/>
      <c r="M1552" s="16"/>
      <c r="N1552" s="16"/>
      <c r="O1552" s="17"/>
      <c r="P1552" s="5" t="str">
        <f t="shared" si="40"/>
        <v>Truncate table FEX103;</v>
      </c>
      <c r="Q1552" s="5"/>
      <c r="R1552" s="5"/>
    </row>
    <row r="1553" spans="2:18" x14ac:dyDescent="0.25">
      <c r="B1553" s="19" t="s">
        <v>2043</v>
      </c>
      <c r="C1553" s="16" t="s">
        <v>9295</v>
      </c>
      <c r="D1553" s="16" t="s">
        <v>29</v>
      </c>
      <c r="E1553" s="16"/>
      <c r="F1553" s="5"/>
      <c r="G1553" s="16" t="s">
        <v>35</v>
      </c>
      <c r="H1553" s="16"/>
      <c r="I1553" s="16"/>
      <c r="J1553" s="16"/>
      <c r="K1553" s="16"/>
      <c r="L1553" s="16"/>
      <c r="M1553" s="16"/>
      <c r="N1553" s="16"/>
      <c r="O1553" s="17"/>
      <c r="P1553" s="5" t="str">
        <f t="shared" si="40"/>
        <v>Truncate table FEX900;</v>
      </c>
      <c r="Q1553" s="5"/>
      <c r="R1553" s="5"/>
    </row>
    <row r="1554" spans="2:18" x14ac:dyDescent="0.25">
      <c r="B1554" s="19" t="s">
        <v>2044</v>
      </c>
      <c r="C1554" s="16" t="s">
        <v>2045</v>
      </c>
      <c r="D1554" s="16" t="s">
        <v>8152</v>
      </c>
      <c r="E1554" s="16" t="s">
        <v>1712</v>
      </c>
      <c r="F1554" s="16" t="s">
        <v>1941</v>
      </c>
      <c r="G1554" s="16" t="s">
        <v>35</v>
      </c>
      <c r="H1554" s="16"/>
      <c r="I1554" s="16"/>
      <c r="J1554" s="16"/>
      <c r="K1554" s="16"/>
      <c r="L1554" s="16"/>
      <c r="M1554" s="16"/>
      <c r="N1554" s="16"/>
      <c r="O1554" s="17" t="s">
        <v>38</v>
      </c>
      <c r="P1554" s="5" t="str">
        <f t="shared" si="40"/>
        <v/>
      </c>
      <c r="Q1554" s="5"/>
      <c r="R1554" s="5"/>
    </row>
    <row r="1555" spans="2:18" x14ac:dyDescent="0.25">
      <c r="B1555" s="19" t="s">
        <v>2046</v>
      </c>
      <c r="C1555" s="16" t="s">
        <v>2047</v>
      </c>
      <c r="D1555" s="16" t="s">
        <v>8152</v>
      </c>
      <c r="E1555" s="16" t="s">
        <v>1712</v>
      </c>
      <c r="F1555" s="16" t="s">
        <v>1941</v>
      </c>
      <c r="G1555" s="16" t="s">
        <v>35</v>
      </c>
      <c r="H1555" s="16"/>
      <c r="I1555" s="16"/>
      <c r="J1555" s="16"/>
      <c r="K1555" s="16"/>
      <c r="L1555" s="16"/>
      <c r="M1555" s="16"/>
      <c r="N1555" s="16"/>
      <c r="O1555" s="17" t="s">
        <v>38</v>
      </c>
      <c r="P1555" s="5" t="str">
        <f t="shared" si="40"/>
        <v/>
      </c>
      <c r="Q1555" s="5"/>
      <c r="R1555" s="5"/>
    </row>
    <row r="1556" spans="2:18" x14ac:dyDescent="0.25">
      <c r="B1556" s="19" t="s">
        <v>2048</v>
      </c>
      <c r="C1556" s="16" t="s">
        <v>2049</v>
      </c>
      <c r="D1556" s="16" t="s">
        <v>29</v>
      </c>
      <c r="E1556" s="16" t="s">
        <v>1712</v>
      </c>
      <c r="F1556" s="16" t="s">
        <v>1941</v>
      </c>
      <c r="G1556" s="16" t="s">
        <v>35</v>
      </c>
      <c r="H1556" s="16"/>
      <c r="I1556" s="16"/>
      <c r="J1556" s="16"/>
      <c r="K1556" s="16"/>
      <c r="L1556" s="16"/>
      <c r="M1556" s="16"/>
      <c r="N1556" s="16"/>
      <c r="O1556" s="17" t="s">
        <v>38</v>
      </c>
      <c r="P1556" s="5" t="str">
        <f t="shared" si="40"/>
        <v>Truncate table FFXMAB;</v>
      </c>
      <c r="Q1556" s="5"/>
      <c r="R1556" s="5"/>
    </row>
    <row r="1557" spans="2:18" x14ac:dyDescent="0.25">
      <c r="B1557" s="19" t="s">
        <v>2050</v>
      </c>
      <c r="C1557" t="s">
        <v>10036</v>
      </c>
      <c r="D1557" s="16" t="s">
        <v>29</v>
      </c>
      <c r="E1557" s="16"/>
      <c r="F1557" s="5"/>
      <c r="G1557" s="16" t="s">
        <v>35</v>
      </c>
      <c r="H1557" s="16"/>
      <c r="I1557" s="16"/>
      <c r="J1557" s="16"/>
      <c r="K1557" s="16"/>
      <c r="L1557" s="16"/>
      <c r="M1557" s="16"/>
      <c r="N1557" s="16"/>
      <c r="O1557" s="17"/>
      <c r="P1557" s="5" t="str">
        <f t="shared" si="40"/>
        <v>Truncate table FHA020;</v>
      </c>
      <c r="Q1557" s="5"/>
      <c r="R1557" s="5"/>
    </row>
    <row r="1558" spans="2:18" x14ac:dyDescent="0.25">
      <c r="B1558" s="19" t="s">
        <v>2051</v>
      </c>
      <c r="C1558" s="16" t="s">
        <v>9296</v>
      </c>
      <c r="D1558" s="16" t="s">
        <v>29</v>
      </c>
      <c r="E1558" s="16"/>
      <c r="F1558" s="5"/>
      <c r="G1558" s="16" t="s">
        <v>35</v>
      </c>
      <c r="H1558" s="16"/>
      <c r="I1558" s="16"/>
      <c r="J1558" s="16"/>
      <c r="K1558" s="16"/>
      <c r="L1558" s="16"/>
      <c r="M1558" s="16"/>
      <c r="N1558" s="16"/>
      <c r="O1558" s="17"/>
      <c r="P1558" s="5" t="str">
        <f t="shared" si="40"/>
        <v>Truncate table FHA021;</v>
      </c>
      <c r="Q1558" s="5"/>
      <c r="R1558" s="5"/>
    </row>
    <row r="1559" spans="2:18" x14ac:dyDescent="0.25">
      <c r="B1559" s="19" t="s">
        <v>2052</v>
      </c>
      <c r="C1559" s="16" t="s">
        <v>9297</v>
      </c>
      <c r="D1559" s="16" t="s">
        <v>29</v>
      </c>
      <c r="E1559" s="16"/>
      <c r="F1559" s="5"/>
      <c r="G1559" s="16" t="s">
        <v>35</v>
      </c>
      <c r="H1559" s="16"/>
      <c r="I1559" s="16"/>
      <c r="J1559" s="16"/>
      <c r="K1559" s="16"/>
      <c r="L1559" s="16"/>
      <c r="M1559" s="16"/>
      <c r="N1559" s="16"/>
      <c r="O1559" s="17"/>
      <c r="P1559" s="5" t="str">
        <f t="shared" ref="P1559:P1626" si="41">IF(D1559="Datos","Truncate table "&amp; B1559&amp; ";","")</f>
        <v>Truncate table FHA030;</v>
      </c>
      <c r="Q1559" s="5"/>
      <c r="R1559" s="5"/>
    </row>
    <row r="1560" spans="2:18" x14ac:dyDescent="0.25">
      <c r="B1560" s="19" t="s">
        <v>2053</v>
      </c>
      <c r="C1560" t="s">
        <v>10037</v>
      </c>
      <c r="D1560" s="16" t="s">
        <v>29</v>
      </c>
      <c r="E1560" s="16"/>
      <c r="F1560" s="5"/>
      <c r="G1560" s="16" t="s">
        <v>35</v>
      </c>
      <c r="H1560" s="16"/>
      <c r="I1560" s="16"/>
      <c r="J1560" s="16"/>
      <c r="K1560" s="16"/>
      <c r="L1560" s="16"/>
      <c r="M1560" s="16"/>
      <c r="N1560" s="16"/>
      <c r="O1560" s="17"/>
      <c r="P1560" s="5" t="str">
        <f t="shared" si="41"/>
        <v>Truncate table FHA120;</v>
      </c>
      <c r="Q1560" s="5"/>
      <c r="R1560" s="5"/>
    </row>
    <row r="1561" spans="2:18" x14ac:dyDescent="0.25">
      <c r="B1561" s="19" t="s">
        <v>2054</v>
      </c>
      <c r="C1561" s="16" t="s">
        <v>9298</v>
      </c>
      <c r="D1561" s="16" t="s">
        <v>29</v>
      </c>
      <c r="E1561" s="16"/>
      <c r="F1561" s="5"/>
      <c r="G1561" s="16" t="s">
        <v>35</v>
      </c>
      <c r="H1561" s="16"/>
      <c r="I1561" s="16"/>
      <c r="J1561" s="16"/>
      <c r="K1561" s="16"/>
      <c r="L1561" s="16"/>
      <c r="M1561" s="16"/>
      <c r="N1561" s="16"/>
      <c r="O1561" s="17"/>
      <c r="P1561" s="5" t="str">
        <f t="shared" si="41"/>
        <v>Truncate table FHA121;</v>
      </c>
      <c r="Q1561" s="5"/>
      <c r="R1561" s="5"/>
    </row>
    <row r="1562" spans="2:18" x14ac:dyDescent="0.25">
      <c r="B1562" s="19" t="s">
        <v>2055</v>
      </c>
      <c r="C1562" s="16" t="s">
        <v>9297</v>
      </c>
      <c r="D1562" s="16" t="s">
        <v>29</v>
      </c>
      <c r="E1562" s="16"/>
      <c r="F1562" s="5"/>
      <c r="G1562" s="16" t="s">
        <v>35</v>
      </c>
      <c r="H1562" s="16"/>
      <c r="I1562" s="16"/>
      <c r="J1562" s="16"/>
      <c r="K1562" s="16"/>
      <c r="L1562" s="16"/>
      <c r="M1562" s="16"/>
      <c r="N1562" s="16"/>
      <c r="O1562" s="17"/>
      <c r="P1562" s="5" t="str">
        <f t="shared" si="41"/>
        <v>Truncate table FHA130;</v>
      </c>
      <c r="Q1562" s="5"/>
      <c r="R1562" s="5"/>
    </row>
    <row r="1563" spans="2:18" x14ac:dyDescent="0.25">
      <c r="B1563" s="19" t="s">
        <v>2056</v>
      </c>
      <c r="C1563" s="16" t="s">
        <v>9299</v>
      </c>
      <c r="D1563" s="16" t="s">
        <v>29</v>
      </c>
      <c r="E1563" s="16" t="s">
        <v>1712</v>
      </c>
      <c r="F1563" s="16" t="s">
        <v>1941</v>
      </c>
      <c r="G1563" s="16" t="s">
        <v>35</v>
      </c>
      <c r="H1563" s="16"/>
      <c r="I1563" s="16"/>
      <c r="J1563" s="16"/>
      <c r="K1563" s="16"/>
      <c r="L1563" s="16"/>
      <c r="M1563" s="16"/>
      <c r="N1563" s="16"/>
      <c r="O1563" s="17" t="s">
        <v>38</v>
      </c>
      <c r="P1563" s="5" t="str">
        <f t="shared" si="41"/>
        <v>Truncate table FHD020;</v>
      </c>
      <c r="Q1563" s="5"/>
      <c r="R1563" s="5"/>
    </row>
    <row r="1564" spans="2:18" x14ac:dyDescent="0.25">
      <c r="B1564" s="19" t="s">
        <v>2057</v>
      </c>
      <c r="C1564" s="16" t="s">
        <v>9300</v>
      </c>
      <c r="D1564" s="16" t="s">
        <v>29</v>
      </c>
      <c r="E1564" s="16"/>
      <c r="F1564" s="5"/>
      <c r="G1564" s="16" t="s">
        <v>35</v>
      </c>
      <c r="H1564" s="16"/>
      <c r="I1564" s="16"/>
      <c r="J1564" s="16"/>
      <c r="K1564" s="16"/>
      <c r="L1564" s="16"/>
      <c r="M1564" s="16"/>
      <c r="N1564" s="16"/>
      <c r="O1564" s="17"/>
      <c r="P1564" s="5" t="str">
        <f t="shared" si="41"/>
        <v>Truncate table FHD021;</v>
      </c>
      <c r="Q1564" s="5"/>
      <c r="R1564" s="5"/>
    </row>
    <row r="1565" spans="2:18" x14ac:dyDescent="0.25">
      <c r="B1565" s="19" t="s">
        <v>2058</v>
      </c>
      <c r="C1565" s="16" t="s">
        <v>9301</v>
      </c>
      <c r="D1565" s="16" t="s">
        <v>29</v>
      </c>
      <c r="E1565" s="16" t="s">
        <v>1712</v>
      </c>
      <c r="F1565" s="16" t="s">
        <v>1941</v>
      </c>
      <c r="G1565" s="16" t="s">
        <v>35</v>
      </c>
      <c r="H1565" s="16"/>
      <c r="I1565" s="16"/>
      <c r="J1565" s="16"/>
      <c r="K1565" s="16"/>
      <c r="L1565" s="16"/>
      <c r="M1565" s="16"/>
      <c r="N1565" s="16"/>
      <c r="O1565" s="17" t="s">
        <v>38</v>
      </c>
      <c r="P1565" s="5" t="str">
        <f t="shared" si="41"/>
        <v>Truncate table FHD030;</v>
      </c>
      <c r="Q1565" s="5"/>
      <c r="R1565" s="5"/>
    </row>
    <row r="1566" spans="2:18" x14ac:dyDescent="0.25">
      <c r="B1566" s="19" t="s">
        <v>2059</v>
      </c>
      <c r="C1566" s="16" t="s">
        <v>9302</v>
      </c>
      <c r="D1566" s="16" t="s">
        <v>29</v>
      </c>
      <c r="E1566" s="16"/>
      <c r="F1566" s="5"/>
      <c r="G1566" s="16" t="s">
        <v>35</v>
      </c>
      <c r="H1566" s="16"/>
      <c r="I1566" s="16"/>
      <c r="J1566" s="16"/>
      <c r="K1566" s="16"/>
      <c r="L1566" s="16"/>
      <c r="M1566" s="16"/>
      <c r="N1566" s="16"/>
      <c r="O1566" s="17"/>
      <c r="P1566" s="5" t="str">
        <f t="shared" si="41"/>
        <v>Truncate table FHD110;</v>
      </c>
      <c r="Q1566" s="5"/>
      <c r="R1566" s="5"/>
    </row>
    <row r="1567" spans="2:18" x14ac:dyDescent="0.25">
      <c r="B1567" s="19" t="s">
        <v>2060</v>
      </c>
      <c r="C1567" s="16" t="s">
        <v>9303</v>
      </c>
      <c r="D1567" s="16" t="s">
        <v>29</v>
      </c>
      <c r="E1567" s="16" t="s">
        <v>1712</v>
      </c>
      <c r="F1567" s="16" t="s">
        <v>1941</v>
      </c>
      <c r="G1567" s="16" t="s">
        <v>35</v>
      </c>
      <c r="H1567" s="16"/>
      <c r="I1567" s="16"/>
      <c r="J1567" s="16"/>
      <c r="K1567" s="16"/>
      <c r="L1567" s="16"/>
      <c r="M1567" s="16"/>
      <c r="N1567" s="16"/>
      <c r="O1567" s="17" t="s">
        <v>38</v>
      </c>
      <c r="P1567" s="5" t="str">
        <f t="shared" si="41"/>
        <v>Truncate table FHD120;</v>
      </c>
      <c r="Q1567" s="5"/>
      <c r="R1567" s="5"/>
    </row>
    <row r="1568" spans="2:18" x14ac:dyDescent="0.25">
      <c r="B1568" s="19" t="s">
        <v>2061</v>
      </c>
      <c r="C1568" s="16" t="s">
        <v>9304</v>
      </c>
      <c r="D1568" s="16" t="s">
        <v>29</v>
      </c>
      <c r="E1568" s="16"/>
      <c r="F1568" s="5"/>
      <c r="G1568" s="16" t="s">
        <v>35</v>
      </c>
      <c r="H1568" s="16"/>
      <c r="I1568" s="16"/>
      <c r="J1568" s="16"/>
      <c r="K1568" s="16"/>
      <c r="L1568" s="16"/>
      <c r="M1568" s="16"/>
      <c r="N1568" s="16"/>
      <c r="O1568" s="17"/>
      <c r="P1568" s="5" t="str">
        <f t="shared" si="41"/>
        <v>Truncate table FHD121;</v>
      </c>
      <c r="Q1568" s="5"/>
      <c r="R1568" s="5"/>
    </row>
    <row r="1569" spans="2:18" x14ac:dyDescent="0.25">
      <c r="B1569" s="19" t="s">
        <v>2062</v>
      </c>
      <c r="C1569" s="16" t="s">
        <v>9305</v>
      </c>
      <c r="D1569" s="16" t="s">
        <v>29</v>
      </c>
      <c r="E1569" s="16" t="s">
        <v>1712</v>
      </c>
      <c r="F1569" s="16" t="s">
        <v>1941</v>
      </c>
      <c r="G1569" s="16" t="s">
        <v>35</v>
      </c>
      <c r="H1569" s="16"/>
      <c r="I1569" s="16"/>
      <c r="J1569" s="16"/>
      <c r="K1569" s="16"/>
      <c r="L1569" s="16"/>
      <c r="M1569" s="16"/>
      <c r="N1569" s="16"/>
      <c r="O1569" s="17" t="s">
        <v>38</v>
      </c>
      <c r="P1569" s="5" t="str">
        <f t="shared" si="41"/>
        <v>Truncate table FHD130;</v>
      </c>
      <c r="Q1569" s="5"/>
      <c r="R1569" s="5"/>
    </row>
    <row r="1570" spans="2:18" x14ac:dyDescent="0.25">
      <c r="B1570" s="19" t="s">
        <v>2063</v>
      </c>
      <c r="C1570" s="16" t="s">
        <v>9306</v>
      </c>
      <c r="D1570" s="16" t="s">
        <v>29</v>
      </c>
      <c r="E1570" s="16"/>
      <c r="F1570" s="5"/>
      <c r="G1570" s="16" t="s">
        <v>35</v>
      </c>
      <c r="H1570" s="16"/>
      <c r="I1570" s="16"/>
      <c r="J1570" s="16"/>
      <c r="K1570" s="16"/>
      <c r="L1570" s="16"/>
      <c r="M1570" s="16"/>
      <c r="N1570" s="16"/>
      <c r="O1570" s="17"/>
      <c r="P1570" s="5" t="str">
        <f t="shared" si="41"/>
        <v>Truncate table FHD140;</v>
      </c>
      <c r="Q1570" s="5"/>
      <c r="R1570" s="5"/>
    </row>
    <row r="1571" spans="2:18" x14ac:dyDescent="0.25">
      <c r="B1571" s="19" t="s">
        <v>2064</v>
      </c>
      <c r="C1571" t="s">
        <v>10038</v>
      </c>
      <c r="D1571" s="16" t="s">
        <v>29</v>
      </c>
      <c r="E1571" s="16" t="s">
        <v>1712</v>
      </c>
      <c r="F1571" s="16" t="s">
        <v>1941</v>
      </c>
      <c r="G1571" s="16" t="s">
        <v>35</v>
      </c>
      <c r="H1571" s="16"/>
      <c r="I1571" s="16"/>
      <c r="J1571" s="16"/>
      <c r="K1571" s="16"/>
      <c r="L1571" s="16"/>
      <c r="M1571" s="16"/>
      <c r="N1571" s="16"/>
      <c r="O1571" s="17" t="s">
        <v>38</v>
      </c>
      <c r="P1571" s="5" t="str">
        <f t="shared" si="41"/>
        <v>Truncate table FHE020;</v>
      </c>
      <c r="Q1571" s="5"/>
      <c r="R1571" s="5"/>
    </row>
    <row r="1572" spans="2:18" x14ac:dyDescent="0.25">
      <c r="B1572" s="19" t="s">
        <v>2065</v>
      </c>
      <c r="C1572" t="s">
        <v>10039</v>
      </c>
      <c r="D1572" s="16" t="s">
        <v>29</v>
      </c>
      <c r="E1572" s="16" t="s">
        <v>1712</v>
      </c>
      <c r="F1572" s="16" t="s">
        <v>1941</v>
      </c>
      <c r="G1572" s="16" t="s">
        <v>35</v>
      </c>
      <c r="H1572" s="16"/>
      <c r="I1572" s="16"/>
      <c r="J1572" s="16"/>
      <c r="K1572" s="16"/>
      <c r="L1572" s="16"/>
      <c r="M1572" s="16"/>
      <c r="N1572" s="16"/>
      <c r="O1572" s="17" t="s">
        <v>38</v>
      </c>
      <c r="P1572" s="5" t="str">
        <f t="shared" si="41"/>
        <v>Truncate table FHF020;</v>
      </c>
      <c r="Q1572" s="5"/>
      <c r="R1572" s="5"/>
    </row>
    <row r="1573" spans="2:18" x14ac:dyDescent="0.25">
      <c r="B1573" s="19" t="s">
        <v>2066</v>
      </c>
      <c r="C1573" s="16" t="s">
        <v>9307</v>
      </c>
      <c r="D1573" s="16" t="s">
        <v>29</v>
      </c>
      <c r="E1573" s="16"/>
      <c r="F1573" s="5"/>
      <c r="G1573" s="16" t="s">
        <v>35</v>
      </c>
      <c r="H1573" s="16"/>
      <c r="I1573" s="16"/>
      <c r="J1573" s="16"/>
      <c r="K1573" s="16"/>
      <c r="L1573" s="16"/>
      <c r="M1573" s="16"/>
      <c r="N1573" s="16"/>
      <c r="O1573" s="17"/>
      <c r="P1573" s="5" t="str">
        <f t="shared" si="41"/>
        <v>Truncate table FHF121;</v>
      </c>
      <c r="Q1573" s="5"/>
      <c r="R1573" s="5"/>
    </row>
    <row r="1574" spans="2:18" x14ac:dyDescent="0.25">
      <c r="B1574" s="19" t="s">
        <v>2067</v>
      </c>
      <c r="C1574" s="16" t="s">
        <v>9308</v>
      </c>
      <c r="D1574" s="16" t="s">
        <v>29</v>
      </c>
      <c r="E1574" s="16" t="s">
        <v>1712</v>
      </c>
      <c r="F1574" s="16" t="s">
        <v>1941</v>
      </c>
      <c r="G1574" s="16" t="s">
        <v>35</v>
      </c>
      <c r="H1574" s="16"/>
      <c r="I1574" s="16"/>
      <c r="J1574" s="16"/>
      <c r="K1574" s="16"/>
      <c r="L1574" s="16"/>
      <c r="M1574" s="16"/>
      <c r="N1574" s="16"/>
      <c r="O1574" s="17" t="s">
        <v>38</v>
      </c>
      <c r="P1574" s="5" t="str">
        <f t="shared" si="41"/>
        <v>Truncate table FHF130;</v>
      </c>
      <c r="Q1574" s="5"/>
      <c r="R1574" s="5"/>
    </row>
    <row r="1575" spans="2:18" x14ac:dyDescent="0.25">
      <c r="B1575" s="19" t="s">
        <v>2068</v>
      </c>
      <c r="C1575" s="16" t="s">
        <v>9309</v>
      </c>
      <c r="D1575" s="16" t="s">
        <v>29</v>
      </c>
      <c r="E1575" s="16" t="s">
        <v>1712</v>
      </c>
      <c r="F1575" s="16" t="s">
        <v>1941</v>
      </c>
      <c r="G1575" s="16" t="s">
        <v>35</v>
      </c>
      <c r="H1575" s="16"/>
      <c r="I1575" s="16"/>
      <c r="J1575" s="16"/>
      <c r="K1575" s="16"/>
      <c r="L1575" s="16"/>
      <c r="M1575" s="16"/>
      <c r="N1575" s="16"/>
      <c r="O1575" s="17" t="s">
        <v>38</v>
      </c>
      <c r="P1575" s="5" t="str">
        <f t="shared" si="41"/>
        <v>Truncate table FHR020;</v>
      </c>
      <c r="Q1575" s="5"/>
      <c r="R1575" s="5"/>
    </row>
    <row r="1576" spans="2:18" x14ac:dyDescent="0.25">
      <c r="B1576" s="19" t="s">
        <v>2069</v>
      </c>
      <c r="C1576" s="16" t="s">
        <v>9310</v>
      </c>
      <c r="D1576" s="16" t="s">
        <v>29</v>
      </c>
      <c r="E1576" s="16"/>
      <c r="F1576" s="5"/>
      <c r="G1576" s="16" t="s">
        <v>35</v>
      </c>
      <c r="H1576" s="16"/>
      <c r="I1576" s="16"/>
      <c r="J1576" s="16"/>
      <c r="K1576" s="16"/>
      <c r="L1576" s="16"/>
      <c r="M1576" s="16"/>
      <c r="N1576" s="16"/>
      <c r="O1576" s="17"/>
      <c r="P1576" s="5" t="str">
        <f t="shared" si="41"/>
        <v>Truncate table FHR021;</v>
      </c>
      <c r="Q1576" s="5"/>
      <c r="R1576" s="5"/>
    </row>
    <row r="1577" spans="2:18" x14ac:dyDescent="0.25">
      <c r="B1577" s="19" t="s">
        <v>2070</v>
      </c>
      <c r="C1577" s="16" t="s">
        <v>9311</v>
      </c>
      <c r="D1577" s="16" t="s">
        <v>29</v>
      </c>
      <c r="E1577" s="16" t="s">
        <v>1712</v>
      </c>
      <c r="F1577" s="16" t="s">
        <v>1941</v>
      </c>
      <c r="G1577" s="16" t="s">
        <v>35</v>
      </c>
      <c r="H1577" s="16"/>
      <c r="I1577" s="16"/>
      <c r="J1577" s="16"/>
      <c r="K1577" s="16"/>
      <c r="L1577" s="16"/>
      <c r="M1577" s="16"/>
      <c r="N1577" s="16"/>
      <c r="O1577" s="17" t="s">
        <v>38</v>
      </c>
      <c r="P1577" s="5" t="str">
        <f t="shared" si="41"/>
        <v>Truncate table FHR030;</v>
      </c>
      <c r="Q1577" s="5"/>
      <c r="R1577" s="5"/>
    </row>
    <row r="1578" spans="2:18" x14ac:dyDescent="0.25">
      <c r="B1578" s="19" t="s">
        <v>2071</v>
      </c>
      <c r="C1578" s="16" t="s">
        <v>9312</v>
      </c>
      <c r="D1578" s="16" t="s">
        <v>29</v>
      </c>
      <c r="E1578" s="16"/>
      <c r="F1578" s="5"/>
      <c r="G1578" s="16" t="s">
        <v>35</v>
      </c>
      <c r="H1578" s="16"/>
      <c r="I1578" s="16"/>
      <c r="J1578" s="16"/>
      <c r="K1578" s="16"/>
      <c r="L1578" s="16"/>
      <c r="M1578" s="16"/>
      <c r="N1578" s="16"/>
      <c r="O1578" s="17"/>
      <c r="P1578" s="5" t="str">
        <f t="shared" si="41"/>
        <v>Truncate table FHR110;</v>
      </c>
      <c r="Q1578" s="5"/>
      <c r="R1578" s="5"/>
    </row>
    <row r="1579" spans="2:18" x14ac:dyDescent="0.25">
      <c r="B1579" s="19" t="s">
        <v>2072</v>
      </c>
      <c r="C1579" s="16" t="s">
        <v>9313</v>
      </c>
      <c r="D1579" s="16" t="s">
        <v>29</v>
      </c>
      <c r="E1579" s="16" t="s">
        <v>1712</v>
      </c>
      <c r="F1579" s="16" t="s">
        <v>1941</v>
      </c>
      <c r="G1579" s="16" t="s">
        <v>35</v>
      </c>
      <c r="H1579" s="16"/>
      <c r="I1579" s="16"/>
      <c r="J1579" s="16"/>
      <c r="K1579" s="16"/>
      <c r="L1579" s="16"/>
      <c r="M1579" s="16"/>
      <c r="N1579" s="16"/>
      <c r="O1579" s="17" t="s">
        <v>38</v>
      </c>
      <c r="P1579" s="5" t="str">
        <f t="shared" si="41"/>
        <v>Truncate table FHR120;</v>
      </c>
      <c r="Q1579" s="5"/>
      <c r="R1579" s="5"/>
    </row>
    <row r="1580" spans="2:18" x14ac:dyDescent="0.25">
      <c r="B1580" s="19" t="s">
        <v>2073</v>
      </c>
      <c r="C1580" s="16" t="s">
        <v>9314</v>
      </c>
      <c r="D1580" s="16" t="s">
        <v>29</v>
      </c>
      <c r="E1580" s="16"/>
      <c r="F1580" s="5"/>
      <c r="G1580" s="16" t="s">
        <v>35</v>
      </c>
      <c r="H1580" s="16"/>
      <c r="I1580" s="16"/>
      <c r="J1580" s="16"/>
      <c r="K1580" s="16"/>
      <c r="L1580" s="16"/>
      <c r="M1580" s="16"/>
      <c r="N1580" s="16"/>
      <c r="O1580" s="17"/>
      <c r="P1580" s="5" t="str">
        <f t="shared" si="41"/>
        <v>Truncate table FHR121;</v>
      </c>
      <c r="Q1580" s="5"/>
      <c r="R1580" s="5"/>
    </row>
    <row r="1581" spans="2:18" x14ac:dyDescent="0.25">
      <c r="B1581" s="19" t="s">
        <v>2074</v>
      </c>
      <c r="C1581" s="16" t="s">
        <v>9315</v>
      </c>
      <c r="D1581" s="16" t="s">
        <v>29</v>
      </c>
      <c r="E1581" s="16" t="s">
        <v>1712</v>
      </c>
      <c r="F1581" s="16" t="s">
        <v>1941</v>
      </c>
      <c r="G1581" s="16" t="s">
        <v>35</v>
      </c>
      <c r="H1581" s="16"/>
      <c r="I1581" s="16"/>
      <c r="J1581" s="16"/>
      <c r="K1581" s="16"/>
      <c r="L1581" s="16"/>
      <c r="M1581" s="16"/>
      <c r="N1581" s="16"/>
      <c r="O1581" s="17" t="s">
        <v>38</v>
      </c>
      <c r="P1581" s="5" t="str">
        <f t="shared" si="41"/>
        <v>Truncate table FHR130;</v>
      </c>
      <c r="Q1581" s="5"/>
      <c r="R1581" s="5"/>
    </row>
    <row r="1582" spans="2:18" x14ac:dyDescent="0.25">
      <c r="B1582" s="19" t="s">
        <v>2075</v>
      </c>
      <c r="C1582" t="s">
        <v>10040</v>
      </c>
      <c r="D1582" s="16" t="s">
        <v>29</v>
      </c>
      <c r="E1582" s="16"/>
      <c r="F1582" s="5"/>
      <c r="G1582" s="16" t="s">
        <v>35</v>
      </c>
      <c r="H1582" s="16"/>
      <c r="I1582" s="16"/>
      <c r="J1582" s="16"/>
      <c r="K1582" s="16"/>
      <c r="L1582" s="16"/>
      <c r="M1582" s="16"/>
      <c r="N1582" s="16"/>
      <c r="O1582" s="17"/>
      <c r="P1582" s="5" t="str">
        <f t="shared" si="41"/>
        <v>Truncate table FHR140;</v>
      </c>
      <c r="Q1582" s="5"/>
      <c r="R1582" s="5"/>
    </row>
    <row r="1583" spans="2:18" x14ac:dyDescent="0.25">
      <c r="B1583" s="19" t="s">
        <v>2076</v>
      </c>
      <c r="C1583" s="16" t="s">
        <v>9316</v>
      </c>
      <c r="D1583" s="16" t="s">
        <v>29</v>
      </c>
      <c r="E1583" s="16"/>
      <c r="F1583" s="5"/>
      <c r="G1583" s="16" t="s">
        <v>35</v>
      </c>
      <c r="H1583" s="16"/>
      <c r="I1583" s="16"/>
      <c r="J1583" s="16"/>
      <c r="K1583" s="16"/>
      <c r="L1583" s="16"/>
      <c r="M1583" s="16"/>
      <c r="N1583" s="16"/>
      <c r="O1583" s="17"/>
      <c r="P1583" s="5" t="str">
        <f t="shared" si="41"/>
        <v>Truncate table FHU021;</v>
      </c>
      <c r="Q1583" s="5"/>
      <c r="R1583" s="5"/>
    </row>
    <row r="1584" spans="2:18" x14ac:dyDescent="0.25">
      <c r="B1584" s="19" t="s">
        <v>2077</v>
      </c>
      <c r="C1584" s="16" t="s">
        <v>9317</v>
      </c>
      <c r="D1584" s="16" t="s">
        <v>29</v>
      </c>
      <c r="E1584" s="16" t="s">
        <v>1712</v>
      </c>
      <c r="F1584" s="16" t="s">
        <v>1941</v>
      </c>
      <c r="G1584" s="16" t="s">
        <v>35</v>
      </c>
      <c r="H1584" s="16"/>
      <c r="I1584" s="16"/>
      <c r="J1584" s="16"/>
      <c r="K1584" s="16"/>
      <c r="L1584" s="16"/>
      <c r="M1584" s="16"/>
      <c r="N1584" s="16"/>
      <c r="O1584" s="17" t="s">
        <v>38</v>
      </c>
      <c r="P1584" s="5" t="str">
        <f t="shared" si="41"/>
        <v>Truncate table FHU030;</v>
      </c>
      <c r="Q1584" s="5"/>
      <c r="R1584" s="5"/>
    </row>
    <row r="1585" spans="1:18" x14ac:dyDescent="0.25">
      <c r="B1585" s="19" t="s">
        <v>2078</v>
      </c>
      <c r="C1585" s="16" t="s">
        <v>9318</v>
      </c>
      <c r="D1585" s="16" t="s">
        <v>29</v>
      </c>
      <c r="E1585" s="16"/>
      <c r="F1585" s="5"/>
      <c r="G1585" s="16" t="s">
        <v>35</v>
      </c>
      <c r="H1585" s="16"/>
      <c r="I1585" s="16"/>
      <c r="J1585" s="16"/>
      <c r="K1585" s="16"/>
      <c r="L1585" s="16"/>
      <c r="M1585" s="16"/>
      <c r="N1585" s="16"/>
      <c r="O1585" s="17"/>
      <c r="P1585" s="5" t="str">
        <f t="shared" si="41"/>
        <v>Truncate table FHU121;</v>
      </c>
      <c r="Q1585" s="5"/>
      <c r="R1585" s="5"/>
    </row>
    <row r="1586" spans="1:18" x14ac:dyDescent="0.25">
      <c r="B1586" s="19" t="s">
        <v>2079</v>
      </c>
      <c r="C1586" s="16" t="s">
        <v>9319</v>
      </c>
      <c r="D1586" s="16" t="s">
        <v>29</v>
      </c>
      <c r="E1586" s="16" t="s">
        <v>1712</v>
      </c>
      <c r="F1586" s="16" t="s">
        <v>1941</v>
      </c>
      <c r="G1586" s="16" t="s">
        <v>35</v>
      </c>
      <c r="H1586" s="16"/>
      <c r="I1586" s="16"/>
      <c r="J1586" s="16"/>
      <c r="K1586" s="16"/>
      <c r="L1586" s="16"/>
      <c r="M1586" s="16"/>
      <c r="N1586" s="16"/>
      <c r="O1586" s="17" t="s">
        <v>38</v>
      </c>
      <c r="P1586" s="5" t="str">
        <f t="shared" si="41"/>
        <v>Truncate table FHU130;</v>
      </c>
      <c r="Q1586" s="5"/>
      <c r="R1586" s="5"/>
    </row>
    <row r="1587" spans="1:18" s="306" customFormat="1" x14ac:dyDescent="0.25">
      <c r="A1587" s="71"/>
      <c r="B1587" s="307" t="s">
        <v>2080</v>
      </c>
      <c r="C1587" s="308"/>
      <c r="D1587" s="308" t="s">
        <v>29</v>
      </c>
      <c r="E1587" s="308"/>
      <c r="F1587" s="308"/>
      <c r="G1587" s="308" t="s">
        <v>35</v>
      </c>
      <c r="H1587" s="308"/>
      <c r="I1587" s="308"/>
      <c r="J1587" s="308"/>
      <c r="K1587" s="308"/>
      <c r="L1587" s="308"/>
      <c r="M1587" s="308"/>
      <c r="N1587" s="308"/>
      <c r="O1587" s="309" t="s">
        <v>38</v>
      </c>
      <c r="P1587" s="308" t="str">
        <f t="shared" si="41"/>
        <v>Truncate table FIDFSD1;</v>
      </c>
      <c r="Q1587" s="308"/>
      <c r="R1587" s="308"/>
    </row>
    <row r="1588" spans="1:18" x14ac:dyDescent="0.25">
      <c r="B1588" s="19" t="s">
        <v>2081</v>
      </c>
      <c r="C1588" s="16" t="s">
        <v>9320</v>
      </c>
      <c r="D1588" s="16" t="s">
        <v>29</v>
      </c>
      <c r="E1588" s="16"/>
      <c r="F1588" s="5"/>
      <c r="G1588" s="16" t="s">
        <v>35</v>
      </c>
      <c r="H1588" s="16"/>
      <c r="I1588" s="16"/>
      <c r="J1588" s="16"/>
      <c r="K1588" s="16"/>
      <c r="L1588" s="16"/>
      <c r="M1588" s="16"/>
      <c r="N1588" s="16"/>
      <c r="O1588" s="17" t="s">
        <v>38</v>
      </c>
      <c r="P1588" s="5" t="str">
        <f t="shared" si="41"/>
        <v>Truncate table FIE001;</v>
      </c>
      <c r="Q1588" s="5"/>
      <c r="R1588" s="5"/>
    </row>
    <row r="1589" spans="1:18" x14ac:dyDescent="0.25">
      <c r="B1589" s="19" t="s">
        <v>2082</v>
      </c>
      <c r="C1589" s="16" t="s">
        <v>2083</v>
      </c>
      <c r="D1589" s="16" t="s">
        <v>29</v>
      </c>
      <c r="E1589" s="16" t="s">
        <v>54</v>
      </c>
      <c r="F1589" s="5" t="s">
        <v>8248</v>
      </c>
      <c r="G1589" s="16" t="s">
        <v>35</v>
      </c>
      <c r="H1589" s="16"/>
      <c r="I1589" s="16"/>
      <c r="J1589" s="16"/>
      <c r="K1589" s="16"/>
      <c r="L1589" s="16"/>
      <c r="M1589" s="16"/>
      <c r="N1589" s="16"/>
      <c r="O1589" s="17" t="s">
        <v>38</v>
      </c>
      <c r="P1589" s="5" t="str">
        <f t="shared" si="41"/>
        <v>Truncate table FIF001;</v>
      </c>
      <c r="Q1589" s="5"/>
      <c r="R1589" s="5"/>
    </row>
    <row r="1590" spans="1:18" x14ac:dyDescent="0.25">
      <c r="B1590" s="19" t="s">
        <v>2084</v>
      </c>
      <c r="C1590" s="16" t="s">
        <v>2083</v>
      </c>
      <c r="D1590" s="16" t="s">
        <v>29</v>
      </c>
      <c r="E1590" s="16" t="s">
        <v>54</v>
      </c>
      <c r="F1590" s="5" t="s">
        <v>8248</v>
      </c>
      <c r="G1590" s="16" t="s">
        <v>35</v>
      </c>
      <c r="H1590" s="16"/>
      <c r="I1590" s="16"/>
      <c r="J1590" s="16"/>
      <c r="K1590" s="16"/>
      <c r="L1590" s="16"/>
      <c r="M1590" s="16"/>
      <c r="N1590" s="16"/>
      <c r="O1590" s="17" t="s">
        <v>38</v>
      </c>
      <c r="P1590" s="5" t="str">
        <f t="shared" si="41"/>
        <v>Truncate table FIF002;</v>
      </c>
      <c r="Q1590" s="5"/>
      <c r="R1590" s="5"/>
    </row>
    <row r="1591" spans="1:18" x14ac:dyDescent="0.25">
      <c r="B1591" s="19" t="s">
        <v>2085</v>
      </c>
      <c r="C1591" s="16" t="s">
        <v>2083</v>
      </c>
      <c r="D1591" s="16" t="s">
        <v>29</v>
      </c>
      <c r="E1591" s="16" t="s">
        <v>54</v>
      </c>
      <c r="F1591" s="5" t="s">
        <v>8248</v>
      </c>
      <c r="G1591" s="16" t="s">
        <v>35</v>
      </c>
      <c r="H1591" s="16"/>
      <c r="I1591" s="16"/>
      <c r="J1591" s="16"/>
      <c r="K1591" s="16"/>
      <c r="L1591" s="16"/>
      <c r="M1591" s="16"/>
      <c r="N1591" s="16"/>
      <c r="O1591" s="17" t="s">
        <v>38</v>
      </c>
      <c r="P1591" s="5" t="str">
        <f t="shared" si="41"/>
        <v>Truncate table FIF003;</v>
      </c>
      <c r="Q1591" s="5"/>
      <c r="R1591" s="5"/>
    </row>
    <row r="1592" spans="1:18" x14ac:dyDescent="0.25">
      <c r="B1592" s="19" t="s">
        <v>2086</v>
      </c>
      <c r="C1592" s="16" t="s">
        <v>8560</v>
      </c>
      <c r="D1592" s="16" t="s">
        <v>29</v>
      </c>
      <c r="E1592" s="16" t="s">
        <v>54</v>
      </c>
      <c r="F1592" s="5" t="s">
        <v>8248</v>
      </c>
      <c r="G1592" s="16" t="s">
        <v>35</v>
      </c>
      <c r="H1592" s="16"/>
      <c r="I1592" s="16"/>
      <c r="J1592" s="16"/>
      <c r="K1592" s="16"/>
      <c r="L1592" s="16"/>
      <c r="M1592" s="16"/>
      <c r="N1592" s="16"/>
      <c r="O1592" s="17" t="s">
        <v>38</v>
      </c>
      <c r="P1592" s="5" t="str">
        <f t="shared" si="41"/>
        <v>Truncate table FIF004;</v>
      </c>
      <c r="Q1592" s="5"/>
      <c r="R1592" s="5"/>
    </row>
    <row r="1593" spans="1:18" x14ac:dyDescent="0.25">
      <c r="B1593" s="19" t="s">
        <v>2087</v>
      </c>
      <c r="C1593" s="16" t="s">
        <v>8559</v>
      </c>
      <c r="D1593" s="16" t="s">
        <v>29</v>
      </c>
      <c r="E1593" s="16" t="s">
        <v>54</v>
      </c>
      <c r="F1593" s="5" t="s">
        <v>8248</v>
      </c>
      <c r="G1593" s="16" t="s">
        <v>35</v>
      </c>
      <c r="H1593" s="16" t="s">
        <v>12</v>
      </c>
      <c r="I1593" s="16"/>
      <c r="J1593" s="16"/>
      <c r="K1593" s="16"/>
      <c r="L1593" s="16"/>
      <c r="M1593" s="16"/>
      <c r="N1593" s="16" t="s">
        <v>8556</v>
      </c>
      <c r="O1593" s="17" t="s">
        <v>38</v>
      </c>
      <c r="P1593" s="5" t="str">
        <f t="shared" si="41"/>
        <v>Truncate table FIF005;</v>
      </c>
      <c r="Q1593" s="5" t="s">
        <v>8129</v>
      </c>
      <c r="R1593" s="5"/>
    </row>
    <row r="1594" spans="1:18" x14ac:dyDescent="0.25">
      <c r="B1594" s="19" t="s">
        <v>2088</v>
      </c>
      <c r="C1594" s="16" t="s">
        <v>8560</v>
      </c>
      <c r="D1594" s="16" t="s">
        <v>29</v>
      </c>
      <c r="E1594" s="16" t="s">
        <v>54</v>
      </c>
      <c r="F1594" s="5" t="s">
        <v>8248</v>
      </c>
      <c r="G1594" s="16" t="s">
        <v>35</v>
      </c>
      <c r="H1594" s="16" t="s">
        <v>12</v>
      </c>
      <c r="I1594" s="16"/>
      <c r="J1594" s="16"/>
      <c r="K1594" s="16"/>
      <c r="L1594" s="16"/>
      <c r="M1594" s="16"/>
      <c r="N1594" s="16" t="s">
        <v>8556</v>
      </c>
      <c r="O1594" s="17" t="s">
        <v>38</v>
      </c>
      <c r="P1594" s="5" t="str">
        <f t="shared" si="41"/>
        <v>Truncate table FIF006;</v>
      </c>
      <c r="Q1594" s="5" t="s">
        <v>8129</v>
      </c>
      <c r="R1594" s="5"/>
    </row>
    <row r="1595" spans="1:18" x14ac:dyDescent="0.25">
      <c r="B1595" s="19" t="s">
        <v>2089</v>
      </c>
      <c r="C1595" s="16" t="s">
        <v>8569</v>
      </c>
      <c r="D1595" s="16" t="s">
        <v>8152</v>
      </c>
      <c r="E1595" s="16" t="s">
        <v>734</v>
      </c>
      <c r="F1595" s="5" t="s">
        <v>8248</v>
      </c>
      <c r="G1595" s="16" t="s">
        <v>35</v>
      </c>
      <c r="H1595" s="16" t="s">
        <v>12</v>
      </c>
      <c r="I1595" s="16"/>
      <c r="J1595" s="16"/>
      <c r="K1595" s="16"/>
      <c r="L1595" s="16"/>
      <c r="M1595" s="16"/>
      <c r="N1595" s="16" t="s">
        <v>8556</v>
      </c>
      <c r="O1595" s="17" t="s">
        <v>38</v>
      </c>
      <c r="P1595" s="5" t="str">
        <f t="shared" si="41"/>
        <v/>
      </c>
      <c r="Q1595" s="5" t="s">
        <v>8129</v>
      </c>
      <c r="R1595" s="5"/>
    </row>
    <row r="1596" spans="1:18" x14ac:dyDescent="0.25">
      <c r="B1596" s="19" t="s">
        <v>2090</v>
      </c>
      <c r="C1596" s="16" t="s">
        <v>8568</v>
      </c>
      <c r="D1596" s="16" t="s">
        <v>8152</v>
      </c>
      <c r="E1596" s="16" t="s">
        <v>734</v>
      </c>
      <c r="F1596" s="5" t="s">
        <v>8248</v>
      </c>
      <c r="G1596" s="16" t="s">
        <v>35</v>
      </c>
      <c r="H1596" s="16" t="s">
        <v>12</v>
      </c>
      <c r="I1596" s="16"/>
      <c r="J1596" s="16"/>
      <c r="K1596" s="16"/>
      <c r="L1596" s="16"/>
      <c r="M1596" s="16"/>
      <c r="N1596" s="16" t="s">
        <v>8556</v>
      </c>
      <c r="O1596" s="17" t="s">
        <v>38</v>
      </c>
      <c r="P1596" s="5" t="str">
        <f t="shared" si="41"/>
        <v/>
      </c>
      <c r="Q1596" s="5" t="s">
        <v>8129</v>
      </c>
      <c r="R1596" s="5"/>
    </row>
    <row r="1597" spans="1:18" x14ac:dyDescent="0.25">
      <c r="B1597" s="19" t="s">
        <v>2091</v>
      </c>
      <c r="C1597" s="16" t="s">
        <v>8570</v>
      </c>
      <c r="D1597" s="16" t="s">
        <v>8152</v>
      </c>
      <c r="E1597" s="16" t="s">
        <v>734</v>
      </c>
      <c r="F1597" s="5" t="s">
        <v>8248</v>
      </c>
      <c r="G1597" s="16" t="s">
        <v>35</v>
      </c>
      <c r="H1597" s="16" t="s">
        <v>12</v>
      </c>
      <c r="I1597" s="16"/>
      <c r="J1597" s="16"/>
      <c r="K1597" s="16"/>
      <c r="L1597" s="16"/>
      <c r="M1597" s="16"/>
      <c r="N1597" s="16" t="s">
        <v>8556</v>
      </c>
      <c r="O1597" s="17" t="s">
        <v>38</v>
      </c>
      <c r="P1597" s="5" t="str">
        <f t="shared" si="41"/>
        <v/>
      </c>
      <c r="Q1597" s="5" t="s">
        <v>8129</v>
      </c>
      <c r="R1597" s="5"/>
    </row>
    <row r="1598" spans="1:18" x14ac:dyDescent="0.25">
      <c r="B1598" s="19" t="s">
        <v>2092</v>
      </c>
      <c r="C1598" s="16" t="s">
        <v>8571</v>
      </c>
      <c r="D1598" s="16" t="s">
        <v>8152</v>
      </c>
      <c r="E1598" s="16" t="s">
        <v>734</v>
      </c>
      <c r="F1598" s="5" t="s">
        <v>8248</v>
      </c>
      <c r="G1598" s="16" t="s">
        <v>35</v>
      </c>
      <c r="H1598" s="16" t="s">
        <v>12</v>
      </c>
      <c r="I1598" s="16"/>
      <c r="J1598" s="16"/>
      <c r="K1598" s="16"/>
      <c r="L1598" s="16"/>
      <c r="M1598" s="16"/>
      <c r="N1598" s="16" t="s">
        <v>8556</v>
      </c>
      <c r="O1598" s="17" t="s">
        <v>38</v>
      </c>
      <c r="P1598" s="5" t="str">
        <f t="shared" si="41"/>
        <v/>
      </c>
      <c r="Q1598" s="5" t="s">
        <v>8129</v>
      </c>
      <c r="R1598" s="5"/>
    </row>
    <row r="1599" spans="1:18" x14ac:dyDescent="0.25">
      <c r="B1599" s="19" t="s">
        <v>2093</v>
      </c>
      <c r="C1599" s="16" t="s">
        <v>8560</v>
      </c>
      <c r="D1599" s="16" t="s">
        <v>29</v>
      </c>
      <c r="E1599" s="16" t="s">
        <v>54</v>
      </c>
      <c r="F1599" s="5" t="s">
        <v>8248</v>
      </c>
      <c r="G1599" s="16" t="s">
        <v>35</v>
      </c>
      <c r="H1599" s="16" t="s">
        <v>12</v>
      </c>
      <c r="I1599" s="16"/>
      <c r="J1599" s="16"/>
      <c r="K1599" s="16"/>
      <c r="L1599" s="16"/>
      <c r="M1599" s="16"/>
      <c r="N1599" s="16" t="s">
        <v>8556</v>
      </c>
      <c r="O1599" s="17" t="s">
        <v>38</v>
      </c>
      <c r="P1599" s="5" t="str">
        <f t="shared" si="41"/>
        <v>Truncate table FIF011;</v>
      </c>
      <c r="Q1599" s="5" t="s">
        <v>8129</v>
      </c>
      <c r="R1599" s="5"/>
    </row>
    <row r="1600" spans="1:18" x14ac:dyDescent="0.25">
      <c r="B1600" s="19" t="s">
        <v>2094</v>
      </c>
      <c r="C1600" s="16" t="s">
        <v>8560</v>
      </c>
      <c r="D1600" s="16" t="s">
        <v>29</v>
      </c>
      <c r="E1600" s="16" t="s">
        <v>54</v>
      </c>
      <c r="F1600" s="5" t="s">
        <v>8248</v>
      </c>
      <c r="G1600" s="16" t="s">
        <v>35</v>
      </c>
      <c r="H1600" s="16" t="s">
        <v>12</v>
      </c>
      <c r="I1600" s="16"/>
      <c r="J1600" s="16"/>
      <c r="K1600" s="16"/>
      <c r="L1600" s="16"/>
      <c r="M1600" s="16"/>
      <c r="N1600" s="16" t="s">
        <v>8556</v>
      </c>
      <c r="O1600" s="17" t="s">
        <v>38</v>
      </c>
      <c r="P1600" s="5" t="str">
        <f t="shared" si="41"/>
        <v>Truncate table FIF012;</v>
      </c>
      <c r="Q1600" s="5" t="s">
        <v>8129</v>
      </c>
      <c r="R1600" s="5"/>
    </row>
    <row r="1601" spans="2:18" x14ac:dyDescent="0.25">
      <c r="B1601" s="19" t="s">
        <v>2095</v>
      </c>
      <c r="C1601" s="16" t="s">
        <v>8560</v>
      </c>
      <c r="D1601" s="16" t="s">
        <v>29</v>
      </c>
      <c r="E1601" s="16" t="s">
        <v>54</v>
      </c>
      <c r="F1601" s="5" t="s">
        <v>8248</v>
      </c>
      <c r="G1601" s="16" t="s">
        <v>35</v>
      </c>
      <c r="H1601" s="16" t="s">
        <v>12</v>
      </c>
      <c r="I1601" s="16"/>
      <c r="J1601" s="16"/>
      <c r="K1601" s="16"/>
      <c r="L1601" s="16"/>
      <c r="M1601" s="16"/>
      <c r="N1601" s="16" t="s">
        <v>8556</v>
      </c>
      <c r="O1601" s="17" t="s">
        <v>38</v>
      </c>
      <c r="P1601" s="5" t="str">
        <f t="shared" si="41"/>
        <v>Truncate table FIF013;</v>
      </c>
      <c r="Q1601" s="5" t="s">
        <v>8129</v>
      </c>
      <c r="R1601" s="5"/>
    </row>
    <row r="1602" spans="2:18" x14ac:dyDescent="0.25">
      <c r="B1602" s="19" t="s">
        <v>2096</v>
      </c>
      <c r="C1602" s="16" t="s">
        <v>8560</v>
      </c>
      <c r="D1602" s="16" t="s">
        <v>29</v>
      </c>
      <c r="E1602" s="16" t="s">
        <v>54</v>
      </c>
      <c r="F1602" s="5" t="s">
        <v>8248</v>
      </c>
      <c r="G1602" s="16" t="s">
        <v>35</v>
      </c>
      <c r="H1602" s="16" t="s">
        <v>12</v>
      </c>
      <c r="I1602" s="16"/>
      <c r="J1602" s="16"/>
      <c r="K1602" s="16"/>
      <c r="L1602" s="16"/>
      <c r="M1602" s="16"/>
      <c r="N1602" s="16" t="s">
        <v>8556</v>
      </c>
      <c r="O1602" s="17" t="s">
        <v>38</v>
      </c>
      <c r="P1602" s="5" t="str">
        <f t="shared" si="41"/>
        <v>Truncate table FIF014;</v>
      </c>
      <c r="Q1602" s="5" t="s">
        <v>8129</v>
      </c>
      <c r="R1602" s="5"/>
    </row>
    <row r="1603" spans="2:18" x14ac:dyDescent="0.25">
      <c r="B1603" s="19" t="s">
        <v>2097</v>
      </c>
      <c r="C1603" s="16" t="s">
        <v>9321</v>
      </c>
      <c r="D1603" s="16" t="s">
        <v>29</v>
      </c>
      <c r="E1603" s="16" t="s">
        <v>54</v>
      </c>
      <c r="F1603" s="5" t="s">
        <v>8248</v>
      </c>
      <c r="G1603" s="16" t="s">
        <v>35</v>
      </c>
      <c r="H1603" s="16" t="s">
        <v>12</v>
      </c>
      <c r="I1603" s="16"/>
      <c r="J1603" s="16"/>
      <c r="K1603" s="16"/>
      <c r="L1603" s="16"/>
      <c r="M1603" s="16"/>
      <c r="N1603" s="16"/>
      <c r="O1603" s="17" t="s">
        <v>38</v>
      </c>
      <c r="P1603" s="5" t="str">
        <f t="shared" si="41"/>
        <v>Truncate table FIF015;</v>
      </c>
      <c r="Q1603" s="5" t="s">
        <v>8129</v>
      </c>
      <c r="R1603" s="5"/>
    </row>
    <row r="1604" spans="2:18" x14ac:dyDescent="0.25">
      <c r="B1604" s="19" t="s">
        <v>2098</v>
      </c>
      <c r="C1604" s="16" t="s">
        <v>9322</v>
      </c>
      <c r="D1604" s="16" t="s">
        <v>29</v>
      </c>
      <c r="E1604" s="16" t="s">
        <v>54</v>
      </c>
      <c r="F1604" s="5" t="s">
        <v>8248</v>
      </c>
      <c r="G1604" s="16" t="s">
        <v>35</v>
      </c>
      <c r="H1604" s="16" t="s">
        <v>12</v>
      </c>
      <c r="I1604" s="16"/>
      <c r="J1604" s="16"/>
      <c r="K1604" s="16"/>
      <c r="L1604" s="16"/>
      <c r="M1604" s="16"/>
      <c r="N1604" s="16"/>
      <c r="O1604" s="17" t="s">
        <v>38</v>
      </c>
      <c r="P1604" s="5" t="str">
        <f t="shared" si="41"/>
        <v>Truncate table FIF016;</v>
      </c>
      <c r="Q1604" s="5" t="s">
        <v>8129</v>
      </c>
      <c r="R1604" s="5"/>
    </row>
    <row r="1605" spans="2:18" x14ac:dyDescent="0.25">
      <c r="B1605" s="19" t="s">
        <v>2099</v>
      </c>
      <c r="C1605" s="16" t="s">
        <v>8560</v>
      </c>
      <c r="D1605" s="16" t="s">
        <v>29</v>
      </c>
      <c r="E1605" s="16" t="s">
        <v>54</v>
      </c>
      <c r="F1605" s="5" t="s">
        <v>8248</v>
      </c>
      <c r="G1605" s="16" t="s">
        <v>35</v>
      </c>
      <c r="H1605" s="16" t="s">
        <v>12</v>
      </c>
      <c r="I1605" s="16"/>
      <c r="J1605" s="16"/>
      <c r="K1605" s="16"/>
      <c r="L1605" s="16"/>
      <c r="M1605" s="16"/>
      <c r="N1605" s="16" t="s">
        <v>8556</v>
      </c>
      <c r="O1605" s="17" t="s">
        <v>38</v>
      </c>
      <c r="P1605" s="5" t="str">
        <f t="shared" si="41"/>
        <v>Truncate table FIF017;</v>
      </c>
      <c r="Q1605" s="5" t="s">
        <v>8129</v>
      </c>
      <c r="R1605" s="5"/>
    </row>
    <row r="1606" spans="2:18" x14ac:dyDescent="0.25">
      <c r="B1606" s="19" t="s">
        <v>2100</v>
      </c>
      <c r="C1606" s="16" t="s">
        <v>8560</v>
      </c>
      <c r="D1606" s="16" t="s">
        <v>29</v>
      </c>
      <c r="E1606" s="16" t="s">
        <v>54</v>
      </c>
      <c r="F1606" s="5" t="s">
        <v>8248</v>
      </c>
      <c r="G1606" s="16" t="s">
        <v>35</v>
      </c>
      <c r="H1606" s="16" t="s">
        <v>12</v>
      </c>
      <c r="I1606" s="16"/>
      <c r="J1606" s="16"/>
      <c r="K1606" s="16"/>
      <c r="L1606" s="16"/>
      <c r="M1606" s="16"/>
      <c r="N1606" s="16" t="s">
        <v>8556</v>
      </c>
      <c r="O1606" s="17" t="s">
        <v>38</v>
      </c>
      <c r="P1606" s="5" t="str">
        <f t="shared" si="41"/>
        <v>Truncate table FIF018;</v>
      </c>
      <c r="Q1606" s="5" t="s">
        <v>8129</v>
      </c>
      <c r="R1606" s="5"/>
    </row>
    <row r="1607" spans="2:18" x14ac:dyDescent="0.25">
      <c r="B1607" s="19" t="s">
        <v>2101</v>
      </c>
      <c r="C1607" s="16" t="s">
        <v>8560</v>
      </c>
      <c r="D1607" s="16" t="s">
        <v>29</v>
      </c>
      <c r="E1607" s="16" t="s">
        <v>54</v>
      </c>
      <c r="F1607" s="5" t="s">
        <v>8248</v>
      </c>
      <c r="G1607" s="16" t="s">
        <v>35</v>
      </c>
      <c r="H1607" s="16" t="s">
        <v>12</v>
      </c>
      <c r="I1607" s="16"/>
      <c r="J1607" s="16"/>
      <c r="K1607" s="16"/>
      <c r="L1607" s="16"/>
      <c r="M1607" s="16"/>
      <c r="N1607" s="16" t="s">
        <v>8556</v>
      </c>
      <c r="O1607" s="17" t="s">
        <v>38</v>
      </c>
      <c r="P1607" s="5" t="str">
        <f t="shared" si="41"/>
        <v>Truncate table FIF019;</v>
      </c>
      <c r="Q1607" s="5" t="s">
        <v>8129</v>
      </c>
      <c r="R1607" s="5"/>
    </row>
    <row r="1608" spans="2:18" x14ac:dyDescent="0.25">
      <c r="B1608" s="19" t="s">
        <v>2102</v>
      </c>
      <c r="C1608" s="16" t="s">
        <v>8560</v>
      </c>
      <c r="D1608" s="16" t="s">
        <v>29</v>
      </c>
      <c r="E1608" s="16" t="s">
        <v>54</v>
      </c>
      <c r="F1608" s="5" t="s">
        <v>8248</v>
      </c>
      <c r="G1608" s="16" t="s">
        <v>35</v>
      </c>
      <c r="H1608" s="16" t="s">
        <v>12</v>
      </c>
      <c r="I1608" s="16"/>
      <c r="J1608" s="16"/>
      <c r="K1608" s="16"/>
      <c r="L1608" s="16"/>
      <c r="M1608" s="16"/>
      <c r="N1608" s="16" t="s">
        <v>8556</v>
      </c>
      <c r="O1608" s="17" t="s">
        <v>38</v>
      </c>
      <c r="P1608" s="5" t="str">
        <f t="shared" si="41"/>
        <v>Truncate table FIF020;</v>
      </c>
      <c r="Q1608" s="5" t="s">
        <v>8129</v>
      </c>
      <c r="R1608" s="5"/>
    </row>
    <row r="1609" spans="2:18" x14ac:dyDescent="0.25">
      <c r="B1609" s="19" t="s">
        <v>2103</v>
      </c>
      <c r="C1609" s="16" t="s">
        <v>8558</v>
      </c>
      <c r="D1609" s="16" t="s">
        <v>8152</v>
      </c>
      <c r="E1609" s="16" t="s">
        <v>734</v>
      </c>
      <c r="F1609" s="5" t="s">
        <v>8248</v>
      </c>
      <c r="G1609" s="16" t="s">
        <v>35</v>
      </c>
      <c r="H1609" s="16" t="s">
        <v>12</v>
      </c>
      <c r="I1609" s="16"/>
      <c r="J1609" s="16"/>
      <c r="K1609" s="16"/>
      <c r="L1609" s="16"/>
      <c r="M1609" s="16"/>
      <c r="N1609" s="16" t="s">
        <v>8556</v>
      </c>
      <c r="O1609" s="17" t="s">
        <v>38</v>
      </c>
      <c r="P1609" s="5" t="str">
        <f t="shared" si="41"/>
        <v/>
      </c>
      <c r="Q1609" s="5" t="s">
        <v>8129</v>
      </c>
      <c r="R1609" s="5"/>
    </row>
    <row r="1610" spans="2:18" x14ac:dyDescent="0.25">
      <c r="B1610" s="19" t="s">
        <v>2104</v>
      </c>
      <c r="C1610" s="16" t="s">
        <v>9323</v>
      </c>
      <c r="D1610" s="16" t="s">
        <v>29</v>
      </c>
      <c r="E1610" s="16" t="s">
        <v>54</v>
      </c>
      <c r="F1610" s="5" t="s">
        <v>8248</v>
      </c>
      <c r="G1610" s="16" t="s">
        <v>35</v>
      </c>
      <c r="H1610" s="16" t="s">
        <v>12</v>
      </c>
      <c r="I1610" s="16"/>
      <c r="J1610" s="16"/>
      <c r="K1610" s="16"/>
      <c r="L1610" s="16"/>
      <c r="M1610" s="16"/>
      <c r="N1610" s="16"/>
      <c r="O1610" s="17"/>
      <c r="P1610" s="5" t="str">
        <f t="shared" si="41"/>
        <v>Truncate table FIF022;</v>
      </c>
      <c r="Q1610" s="5" t="s">
        <v>8129</v>
      </c>
      <c r="R1610" s="5"/>
    </row>
    <row r="1611" spans="2:18" x14ac:dyDescent="0.25">
      <c r="B1611" s="19" t="s">
        <v>2105</v>
      </c>
      <c r="C1611" s="16" t="s">
        <v>8560</v>
      </c>
      <c r="D1611" s="16" t="s">
        <v>29</v>
      </c>
      <c r="E1611" s="16" t="s">
        <v>54</v>
      </c>
      <c r="F1611" s="5" t="s">
        <v>8248</v>
      </c>
      <c r="G1611" s="16" t="s">
        <v>35</v>
      </c>
      <c r="H1611" s="16" t="s">
        <v>12</v>
      </c>
      <c r="I1611" s="16"/>
      <c r="J1611" s="16"/>
      <c r="K1611" s="16"/>
      <c r="L1611" s="16"/>
      <c r="M1611" s="16"/>
      <c r="N1611" s="16" t="s">
        <v>8556</v>
      </c>
      <c r="O1611" s="17" t="s">
        <v>38</v>
      </c>
      <c r="P1611" s="5" t="str">
        <f t="shared" si="41"/>
        <v>Truncate table FIF023;</v>
      </c>
      <c r="Q1611" s="5" t="s">
        <v>8129</v>
      </c>
      <c r="R1611" s="5"/>
    </row>
    <row r="1612" spans="2:18" x14ac:dyDescent="0.25">
      <c r="B1612" s="19" t="s">
        <v>2106</v>
      </c>
      <c r="C1612" s="16" t="s">
        <v>8560</v>
      </c>
      <c r="D1612" s="16" t="s">
        <v>29</v>
      </c>
      <c r="E1612" s="16" t="s">
        <v>54</v>
      </c>
      <c r="F1612" s="5" t="s">
        <v>8248</v>
      </c>
      <c r="G1612" s="16" t="s">
        <v>35</v>
      </c>
      <c r="H1612" s="16" t="s">
        <v>12</v>
      </c>
      <c r="I1612" s="16"/>
      <c r="J1612" s="16"/>
      <c r="K1612" s="16"/>
      <c r="L1612" s="16"/>
      <c r="M1612" s="16"/>
      <c r="N1612" s="16" t="s">
        <v>8556</v>
      </c>
      <c r="O1612" s="17" t="s">
        <v>38</v>
      </c>
      <c r="P1612" s="5" t="str">
        <f t="shared" si="41"/>
        <v>Truncate table FIF024;</v>
      </c>
      <c r="Q1612" s="5" t="s">
        <v>8129</v>
      </c>
      <c r="R1612" s="5"/>
    </row>
    <row r="1613" spans="2:18" x14ac:dyDescent="0.25">
      <c r="B1613" s="19" t="s">
        <v>2107</v>
      </c>
      <c r="C1613" s="16" t="s">
        <v>8560</v>
      </c>
      <c r="D1613" s="16" t="s">
        <v>29</v>
      </c>
      <c r="E1613" s="16" t="s">
        <v>54</v>
      </c>
      <c r="F1613" s="5" t="s">
        <v>8248</v>
      </c>
      <c r="G1613" s="16" t="s">
        <v>35</v>
      </c>
      <c r="H1613" s="16" t="s">
        <v>12</v>
      </c>
      <c r="I1613" s="16"/>
      <c r="J1613" s="16"/>
      <c r="K1613" s="16"/>
      <c r="L1613" s="16"/>
      <c r="M1613" s="16"/>
      <c r="N1613" s="16" t="s">
        <v>8556</v>
      </c>
      <c r="O1613" s="17" t="s">
        <v>38</v>
      </c>
      <c r="P1613" s="5" t="str">
        <f t="shared" si="41"/>
        <v>Truncate table FIF025;</v>
      </c>
      <c r="Q1613" s="5" t="s">
        <v>8129</v>
      </c>
      <c r="R1613" s="5"/>
    </row>
    <row r="1614" spans="2:18" x14ac:dyDescent="0.25">
      <c r="B1614" s="19" t="s">
        <v>2108</v>
      </c>
      <c r="C1614" s="16" t="s">
        <v>8572</v>
      </c>
      <c r="D1614" s="16" t="s">
        <v>29</v>
      </c>
      <c r="E1614" s="16" t="s">
        <v>734</v>
      </c>
      <c r="F1614" s="5" t="s">
        <v>8248</v>
      </c>
      <c r="G1614" s="16" t="s">
        <v>35</v>
      </c>
      <c r="H1614" s="16" t="s">
        <v>12</v>
      </c>
      <c r="I1614" s="16"/>
      <c r="J1614" s="16"/>
      <c r="K1614" s="16"/>
      <c r="L1614" s="16"/>
      <c r="M1614" s="16"/>
      <c r="N1614" s="16" t="s">
        <v>8556</v>
      </c>
      <c r="O1614" s="17" t="s">
        <v>38</v>
      </c>
      <c r="P1614" s="5" t="str">
        <f t="shared" si="41"/>
        <v>Truncate table FIF026;</v>
      </c>
      <c r="Q1614" s="5" t="s">
        <v>8129</v>
      </c>
      <c r="R1614" s="5"/>
    </row>
    <row r="1615" spans="2:18" x14ac:dyDescent="0.25">
      <c r="B1615" s="19" t="s">
        <v>8573</v>
      </c>
      <c r="C1615" s="16" t="s">
        <v>8574</v>
      </c>
      <c r="D1615" s="16" t="s">
        <v>29</v>
      </c>
      <c r="E1615" s="16" t="s">
        <v>734</v>
      </c>
      <c r="F1615" s="5" t="s">
        <v>8248</v>
      </c>
      <c r="G1615" s="16" t="s">
        <v>35</v>
      </c>
      <c r="H1615" s="16" t="s">
        <v>12</v>
      </c>
      <c r="I1615" s="16"/>
      <c r="J1615" s="16"/>
      <c r="K1615" s="16"/>
      <c r="L1615" s="16"/>
      <c r="M1615" s="16"/>
      <c r="N1615" s="16" t="s">
        <v>8556</v>
      </c>
      <c r="O1615" s="17" t="s">
        <v>38</v>
      </c>
      <c r="P1615" s="5" t="str">
        <f t="shared" si="41"/>
        <v>Truncate table FIFE26;</v>
      </c>
      <c r="Q1615" s="5" t="s">
        <v>8129</v>
      </c>
      <c r="R1615" s="5"/>
    </row>
    <row r="1616" spans="2:18" x14ac:dyDescent="0.25">
      <c r="B1616" s="19" t="s">
        <v>2109</v>
      </c>
      <c r="C1616" s="16" t="s">
        <v>8560</v>
      </c>
      <c r="D1616" s="16" t="s">
        <v>29</v>
      </c>
      <c r="E1616" s="16" t="s">
        <v>54</v>
      </c>
      <c r="F1616" s="5" t="s">
        <v>8248</v>
      </c>
      <c r="G1616" s="16" t="s">
        <v>35</v>
      </c>
      <c r="H1616" s="16" t="s">
        <v>12</v>
      </c>
      <c r="I1616" s="16"/>
      <c r="J1616" s="16"/>
      <c r="K1616" s="16"/>
      <c r="L1616" s="16"/>
      <c r="M1616" s="16"/>
      <c r="N1616" s="16" t="s">
        <v>8556</v>
      </c>
      <c r="O1616" s="17" t="s">
        <v>38</v>
      </c>
      <c r="P1616" s="5" t="str">
        <f t="shared" si="41"/>
        <v>Truncate table FIF027;</v>
      </c>
      <c r="Q1616" s="5" t="s">
        <v>8129</v>
      </c>
      <c r="R1616" s="5"/>
    </row>
    <row r="1617" spans="1:18" x14ac:dyDescent="0.25">
      <c r="B1617" s="19" t="s">
        <v>2110</v>
      </c>
      <c r="C1617" s="16" t="s">
        <v>8560</v>
      </c>
      <c r="D1617" s="16" t="s">
        <v>29</v>
      </c>
      <c r="E1617" s="16" t="s">
        <v>54</v>
      </c>
      <c r="F1617" s="5" t="s">
        <v>8248</v>
      </c>
      <c r="G1617" s="16" t="s">
        <v>35</v>
      </c>
      <c r="H1617" s="16" t="s">
        <v>12</v>
      </c>
      <c r="I1617" s="16"/>
      <c r="J1617" s="16"/>
      <c r="K1617" s="16"/>
      <c r="L1617" s="16"/>
      <c r="M1617" s="16"/>
      <c r="N1617" s="16" t="s">
        <v>8556</v>
      </c>
      <c r="O1617" s="17" t="s">
        <v>38</v>
      </c>
      <c r="P1617" s="5" t="str">
        <f t="shared" si="41"/>
        <v>Truncate table FIF028;</v>
      </c>
      <c r="Q1617" s="5" t="s">
        <v>8129</v>
      </c>
      <c r="R1617" s="5"/>
    </row>
    <row r="1618" spans="1:18" x14ac:dyDescent="0.25">
      <c r="B1618" s="19" t="s">
        <v>2111</v>
      </c>
      <c r="C1618" s="16" t="s">
        <v>8560</v>
      </c>
      <c r="D1618" s="16" t="s">
        <v>29</v>
      </c>
      <c r="E1618" s="16" t="s">
        <v>54</v>
      </c>
      <c r="F1618" s="5" t="s">
        <v>8248</v>
      </c>
      <c r="G1618" s="16" t="s">
        <v>35</v>
      </c>
      <c r="H1618" s="16" t="s">
        <v>12</v>
      </c>
      <c r="I1618" s="16"/>
      <c r="J1618" s="16"/>
      <c r="K1618" s="16"/>
      <c r="L1618" s="16"/>
      <c r="M1618" s="16"/>
      <c r="N1618" s="16" t="s">
        <v>8556</v>
      </c>
      <c r="O1618" s="17" t="s">
        <v>38</v>
      </c>
      <c r="P1618" s="5" t="str">
        <f t="shared" si="41"/>
        <v>Truncate table FIF029;</v>
      </c>
      <c r="Q1618" s="5" t="s">
        <v>8129</v>
      </c>
      <c r="R1618" s="5"/>
    </row>
    <row r="1619" spans="1:18" x14ac:dyDescent="0.25">
      <c r="B1619" s="19" t="s">
        <v>2112</v>
      </c>
      <c r="C1619" s="16" t="s">
        <v>8560</v>
      </c>
      <c r="D1619" s="16" t="s">
        <v>29</v>
      </c>
      <c r="E1619" s="16" t="s">
        <v>54</v>
      </c>
      <c r="F1619" s="5" t="s">
        <v>8248</v>
      </c>
      <c r="G1619" s="16" t="s">
        <v>35</v>
      </c>
      <c r="H1619" s="16" t="s">
        <v>12</v>
      </c>
      <c r="I1619" s="16"/>
      <c r="J1619" s="16"/>
      <c r="K1619" s="16"/>
      <c r="L1619" s="16"/>
      <c r="M1619" s="16"/>
      <c r="N1619" s="16" t="s">
        <v>8556</v>
      </c>
      <c r="O1619" s="17" t="s">
        <v>38</v>
      </c>
      <c r="P1619" s="5" t="str">
        <f t="shared" si="41"/>
        <v>Truncate table FIF030;</v>
      </c>
      <c r="Q1619" s="5" t="s">
        <v>8129</v>
      </c>
      <c r="R1619" s="5"/>
    </row>
    <row r="1620" spans="1:18" x14ac:dyDescent="0.25">
      <c r="B1620" s="19" t="s">
        <v>2113</v>
      </c>
      <c r="C1620" s="16" t="s">
        <v>8560</v>
      </c>
      <c r="D1620" s="16" t="s">
        <v>29</v>
      </c>
      <c r="E1620" s="16" t="s">
        <v>54</v>
      </c>
      <c r="F1620" s="5" t="s">
        <v>8248</v>
      </c>
      <c r="G1620" s="16" t="s">
        <v>35</v>
      </c>
      <c r="H1620" s="16" t="s">
        <v>12</v>
      </c>
      <c r="I1620" s="16"/>
      <c r="J1620" s="16"/>
      <c r="K1620" s="16"/>
      <c r="L1620" s="16"/>
      <c r="M1620" s="16"/>
      <c r="N1620" s="16" t="s">
        <v>8556</v>
      </c>
      <c r="O1620" s="17" t="s">
        <v>38</v>
      </c>
      <c r="P1620" s="5" t="str">
        <f t="shared" si="41"/>
        <v>Truncate table FIF031;</v>
      </c>
      <c r="Q1620" s="5" t="s">
        <v>8129</v>
      </c>
      <c r="R1620" s="5"/>
    </row>
    <row r="1621" spans="1:18" s="306" customFormat="1" x14ac:dyDescent="0.25">
      <c r="A1621" s="71"/>
      <c r="B1621" s="307" t="s">
        <v>2114</v>
      </c>
      <c r="C1621" s="308"/>
      <c r="D1621" s="308" t="s">
        <v>29</v>
      </c>
      <c r="E1621" s="308" t="s">
        <v>54</v>
      </c>
      <c r="F1621" s="308" t="s">
        <v>8248</v>
      </c>
      <c r="G1621" s="308" t="s">
        <v>35</v>
      </c>
      <c r="H1621" s="308"/>
      <c r="I1621" s="308"/>
      <c r="J1621" s="308"/>
      <c r="K1621" s="308"/>
      <c r="L1621" s="308"/>
      <c r="M1621" s="308"/>
      <c r="N1621" s="308"/>
      <c r="O1621" s="309"/>
      <c r="P1621" s="308" t="str">
        <f t="shared" si="41"/>
        <v>Truncate table FIF032;</v>
      </c>
      <c r="Q1621" s="308"/>
      <c r="R1621" s="308"/>
    </row>
    <row r="1622" spans="1:18" x14ac:dyDescent="0.25">
      <c r="B1622" s="19" t="s">
        <v>2115</v>
      </c>
      <c r="C1622" s="16" t="s">
        <v>8560</v>
      </c>
      <c r="D1622" s="16" t="s">
        <v>29</v>
      </c>
      <c r="E1622" s="16" t="s">
        <v>54</v>
      </c>
      <c r="F1622" s="5" t="s">
        <v>8248</v>
      </c>
      <c r="G1622" s="16" t="s">
        <v>35</v>
      </c>
      <c r="H1622" s="16" t="s">
        <v>12</v>
      </c>
      <c r="I1622" s="16"/>
      <c r="J1622" s="16"/>
      <c r="K1622" s="16"/>
      <c r="L1622" s="16"/>
      <c r="M1622" s="16"/>
      <c r="N1622" s="16" t="s">
        <v>8556</v>
      </c>
      <c r="O1622" s="17" t="s">
        <v>38</v>
      </c>
      <c r="P1622" s="5" t="str">
        <f t="shared" si="41"/>
        <v>Truncate table FIF033;</v>
      </c>
      <c r="Q1622" s="5" t="s">
        <v>8129</v>
      </c>
      <c r="R1622" s="5"/>
    </row>
    <row r="1623" spans="1:18" x14ac:dyDescent="0.25">
      <c r="B1623" s="19" t="s">
        <v>2116</v>
      </c>
      <c r="C1623" s="16" t="s">
        <v>8560</v>
      </c>
      <c r="D1623" s="16" t="s">
        <v>29</v>
      </c>
      <c r="E1623" s="16" t="s">
        <v>54</v>
      </c>
      <c r="F1623" s="5" t="s">
        <v>8248</v>
      </c>
      <c r="G1623" s="16" t="s">
        <v>35</v>
      </c>
      <c r="H1623" s="16" t="s">
        <v>12</v>
      </c>
      <c r="I1623" s="16"/>
      <c r="J1623" s="16"/>
      <c r="K1623" s="16"/>
      <c r="L1623" s="16"/>
      <c r="M1623" s="16"/>
      <c r="N1623" s="16" t="s">
        <v>8556</v>
      </c>
      <c r="O1623" s="17" t="s">
        <v>38</v>
      </c>
      <c r="P1623" s="5" t="str">
        <f t="shared" si="41"/>
        <v>Truncate table FIF034;</v>
      </c>
      <c r="Q1623" s="5" t="s">
        <v>8129</v>
      </c>
      <c r="R1623" s="5"/>
    </row>
    <row r="1624" spans="1:18" s="306" customFormat="1" x14ac:dyDescent="0.25">
      <c r="A1624" s="71"/>
      <c r="B1624" s="307" t="s">
        <v>2117</v>
      </c>
      <c r="C1624" s="308"/>
      <c r="D1624" s="308" t="s">
        <v>29</v>
      </c>
      <c r="E1624" s="308" t="s">
        <v>54</v>
      </c>
      <c r="F1624" s="308" t="s">
        <v>8248</v>
      </c>
      <c r="G1624" s="308" t="s">
        <v>35</v>
      </c>
      <c r="H1624" s="308"/>
      <c r="I1624" s="308"/>
      <c r="J1624" s="308"/>
      <c r="K1624" s="308"/>
      <c r="L1624" s="308"/>
      <c r="M1624" s="308"/>
      <c r="N1624" s="308"/>
      <c r="O1624" s="309"/>
      <c r="P1624" s="308" t="str">
        <f t="shared" si="41"/>
        <v>Truncate table FIF035;</v>
      </c>
      <c r="Q1624" s="308"/>
      <c r="R1624" s="308"/>
    </row>
    <row r="1625" spans="1:18" x14ac:dyDescent="0.25">
      <c r="B1625" s="19" t="s">
        <v>2118</v>
      </c>
      <c r="C1625" s="16" t="s">
        <v>9324</v>
      </c>
      <c r="D1625" s="16" t="s">
        <v>29</v>
      </c>
      <c r="E1625" s="16" t="s">
        <v>54</v>
      </c>
      <c r="F1625" s="5" t="s">
        <v>8248</v>
      </c>
      <c r="G1625" s="16" t="s">
        <v>35</v>
      </c>
      <c r="H1625" s="16"/>
      <c r="I1625" s="16"/>
      <c r="J1625" s="16"/>
      <c r="K1625" s="16"/>
      <c r="L1625" s="16"/>
      <c r="M1625" s="16"/>
      <c r="N1625" s="16"/>
      <c r="O1625" s="17"/>
      <c r="P1625" s="5" t="str">
        <f t="shared" si="41"/>
        <v>Truncate table FIF040;</v>
      </c>
      <c r="Q1625" s="5"/>
      <c r="R1625" s="5"/>
    </row>
    <row r="1626" spans="1:18" x14ac:dyDescent="0.25">
      <c r="B1626" s="19" t="s">
        <v>2119</v>
      </c>
      <c r="C1626" s="16" t="s">
        <v>9325</v>
      </c>
      <c r="D1626" s="16" t="s">
        <v>29</v>
      </c>
      <c r="E1626" s="16" t="s">
        <v>54</v>
      </c>
      <c r="F1626" s="5" t="s">
        <v>8248</v>
      </c>
      <c r="G1626" s="16" t="s">
        <v>35</v>
      </c>
      <c r="H1626" s="16"/>
      <c r="I1626" s="16"/>
      <c r="J1626" s="16"/>
      <c r="K1626" s="16"/>
      <c r="L1626" s="16"/>
      <c r="M1626" s="16"/>
      <c r="N1626" s="16"/>
      <c r="O1626" s="17"/>
      <c r="P1626" s="5" t="str">
        <f t="shared" si="41"/>
        <v>Truncate table FIF041;</v>
      </c>
      <c r="Q1626" s="5"/>
      <c r="R1626" s="5"/>
    </row>
    <row r="1627" spans="1:18" s="306" customFormat="1" x14ac:dyDescent="0.25">
      <c r="A1627" s="240"/>
      <c r="B1627" s="307" t="s">
        <v>7675</v>
      </c>
      <c r="C1627" s="308"/>
      <c r="D1627" s="308" t="s">
        <v>29</v>
      </c>
      <c r="E1627" s="308"/>
      <c r="F1627" s="308"/>
      <c r="G1627" s="308"/>
      <c r="H1627" s="308"/>
      <c r="I1627" s="308"/>
      <c r="J1627" s="308"/>
      <c r="K1627" s="308"/>
      <c r="L1627" s="308"/>
      <c r="M1627" s="308"/>
      <c r="N1627" s="308"/>
      <c r="O1627" s="309"/>
      <c r="P1627" s="308"/>
      <c r="Q1627" s="308"/>
      <c r="R1627" s="308"/>
    </row>
    <row r="1628" spans="1:18" x14ac:dyDescent="0.25">
      <c r="B1628" s="19" t="s">
        <v>8562</v>
      </c>
      <c r="C1628" s="16" t="s">
        <v>8563</v>
      </c>
      <c r="D1628" s="16" t="s">
        <v>29</v>
      </c>
      <c r="E1628" s="16" t="s">
        <v>734</v>
      </c>
      <c r="F1628" s="5" t="s">
        <v>8248</v>
      </c>
      <c r="G1628" s="16" t="s">
        <v>35</v>
      </c>
      <c r="H1628" s="16" t="s">
        <v>12</v>
      </c>
      <c r="I1628" s="16"/>
      <c r="J1628" s="16"/>
      <c r="K1628" s="16" t="s">
        <v>8565</v>
      </c>
      <c r="L1628" s="16" t="s">
        <v>8566</v>
      </c>
      <c r="M1628" s="16"/>
      <c r="N1628" s="16" t="s">
        <v>8556</v>
      </c>
      <c r="O1628" s="17" t="s">
        <v>38</v>
      </c>
      <c r="P1628" s="5" t="str">
        <f t="shared" ref="P1628:P1659" si="42">IF(D1628="Datos","Truncate table "&amp; B1628&amp; ";","")</f>
        <v>Truncate table FIF056;</v>
      </c>
      <c r="Q1628" s="5" t="s">
        <v>8129</v>
      </c>
      <c r="R1628" s="5"/>
    </row>
    <row r="1629" spans="1:18" x14ac:dyDescent="0.25">
      <c r="B1629" s="19" t="s">
        <v>2120</v>
      </c>
      <c r="C1629" s="16" t="s">
        <v>8557</v>
      </c>
      <c r="D1629" s="16" t="s">
        <v>8152</v>
      </c>
      <c r="E1629" s="16" t="s">
        <v>734</v>
      </c>
      <c r="F1629" s="5" t="s">
        <v>8248</v>
      </c>
      <c r="G1629" s="16" t="s">
        <v>35</v>
      </c>
      <c r="H1629" s="16" t="s">
        <v>12</v>
      </c>
      <c r="I1629" s="16"/>
      <c r="J1629" s="16"/>
      <c r="K1629" s="16"/>
      <c r="L1629" s="16"/>
      <c r="M1629" s="16"/>
      <c r="N1629" s="16" t="s">
        <v>8556</v>
      </c>
      <c r="O1629" s="17" t="s">
        <v>38</v>
      </c>
      <c r="P1629" s="5" t="str">
        <f t="shared" si="42"/>
        <v/>
      </c>
      <c r="Q1629" s="5" t="s">
        <v>8129</v>
      </c>
      <c r="R1629" s="5"/>
    </row>
    <row r="1630" spans="1:18" x14ac:dyDescent="0.25">
      <c r="B1630" s="19" t="s">
        <v>2121</v>
      </c>
      <c r="C1630" s="16" t="s">
        <v>9326</v>
      </c>
      <c r="D1630" s="16" t="s">
        <v>29</v>
      </c>
      <c r="E1630" s="16" t="s">
        <v>54</v>
      </c>
      <c r="F1630" s="5" t="s">
        <v>8248</v>
      </c>
      <c r="G1630" s="16" t="s">
        <v>35</v>
      </c>
      <c r="H1630" s="16"/>
      <c r="I1630" s="16"/>
      <c r="J1630" s="16"/>
      <c r="K1630" s="16"/>
      <c r="L1630" s="16"/>
      <c r="M1630" s="16"/>
      <c r="N1630" s="16"/>
      <c r="O1630" s="17"/>
      <c r="P1630" s="5" t="str">
        <f t="shared" si="42"/>
        <v>Truncate table FIF150;</v>
      </c>
      <c r="Q1630" s="5"/>
      <c r="R1630" s="5"/>
    </row>
    <row r="1631" spans="1:18" x14ac:dyDescent="0.25">
      <c r="B1631" s="19" t="s">
        <v>8564</v>
      </c>
      <c r="C1631" s="16" t="s">
        <v>8563</v>
      </c>
      <c r="D1631" s="16" t="s">
        <v>29</v>
      </c>
      <c r="E1631" s="16" t="s">
        <v>734</v>
      </c>
      <c r="F1631" s="5" t="s">
        <v>8248</v>
      </c>
      <c r="G1631" s="16" t="s">
        <v>35</v>
      </c>
      <c r="H1631" s="16" t="s">
        <v>12</v>
      </c>
      <c r="I1631" s="16"/>
      <c r="J1631" s="16"/>
      <c r="K1631" s="16" t="s">
        <v>8565</v>
      </c>
      <c r="L1631" s="16" t="s">
        <v>8566</v>
      </c>
      <c r="M1631" s="16"/>
      <c r="N1631" s="16" t="s">
        <v>8556</v>
      </c>
      <c r="O1631" s="17" t="s">
        <v>38</v>
      </c>
      <c r="P1631" s="5" t="str">
        <f t="shared" si="42"/>
        <v>Truncate table FIF656;</v>
      </c>
      <c r="Q1631" s="5" t="s">
        <v>8129</v>
      </c>
      <c r="R1631" s="5"/>
    </row>
    <row r="1632" spans="1:18" s="306" customFormat="1" x14ac:dyDescent="0.25">
      <c r="A1632" s="71"/>
      <c r="B1632" s="307" t="s">
        <v>2122</v>
      </c>
      <c r="C1632" s="308"/>
      <c r="D1632" s="308" t="s">
        <v>29</v>
      </c>
      <c r="E1632" s="308" t="s">
        <v>54</v>
      </c>
      <c r="F1632" s="308" t="s">
        <v>8248</v>
      </c>
      <c r="G1632" s="308" t="s">
        <v>35</v>
      </c>
      <c r="H1632" s="308"/>
      <c r="I1632" s="308"/>
      <c r="J1632" s="308"/>
      <c r="K1632" s="308"/>
      <c r="L1632" s="308"/>
      <c r="M1632" s="308"/>
      <c r="N1632" s="308"/>
      <c r="O1632" s="309"/>
      <c r="P1632" s="308" t="str">
        <f t="shared" si="42"/>
        <v>Truncate table FIF550;</v>
      </c>
      <c r="Q1632" s="308"/>
      <c r="R1632" s="308"/>
    </row>
    <row r="1633" spans="1:18" x14ac:dyDescent="0.25">
      <c r="B1633" s="19" t="s">
        <v>2123</v>
      </c>
      <c r="C1633" s="16" t="s">
        <v>2083</v>
      </c>
      <c r="D1633" s="16" t="s">
        <v>29</v>
      </c>
      <c r="E1633" s="16" t="s">
        <v>54</v>
      </c>
      <c r="F1633" s="5" t="s">
        <v>8248</v>
      </c>
      <c r="G1633" s="16" t="s">
        <v>35</v>
      </c>
      <c r="H1633" s="16"/>
      <c r="I1633" s="16"/>
      <c r="J1633" s="16"/>
      <c r="K1633" s="16"/>
      <c r="L1633" s="16"/>
      <c r="M1633" s="16"/>
      <c r="N1633" s="16"/>
      <c r="O1633" s="17" t="s">
        <v>38</v>
      </c>
      <c r="P1633" s="5" t="str">
        <f t="shared" si="42"/>
        <v>Truncate table FIFM01;</v>
      </c>
      <c r="Q1633" s="5"/>
      <c r="R1633" s="5"/>
    </row>
    <row r="1634" spans="1:18" s="306" customFormat="1" x14ac:dyDescent="0.25">
      <c r="A1634" s="71"/>
      <c r="B1634" s="307" t="s">
        <v>2124</v>
      </c>
      <c r="C1634" s="308"/>
      <c r="D1634" s="308" t="s">
        <v>29</v>
      </c>
      <c r="E1634" s="308" t="s">
        <v>54</v>
      </c>
      <c r="F1634" s="308" t="s">
        <v>8248</v>
      </c>
      <c r="G1634" s="308" t="s">
        <v>35</v>
      </c>
      <c r="H1634" s="308"/>
      <c r="I1634" s="308"/>
      <c r="J1634" s="308"/>
      <c r="K1634" s="308"/>
      <c r="L1634" s="308"/>
      <c r="M1634" s="308"/>
      <c r="N1634" s="308"/>
      <c r="O1634" s="309"/>
      <c r="P1634" s="308" t="str">
        <f t="shared" si="42"/>
        <v>Truncate table FIFM02;</v>
      </c>
      <c r="Q1634" s="308"/>
      <c r="R1634" s="308"/>
    </row>
    <row r="1635" spans="1:18" x14ac:dyDescent="0.25">
      <c r="B1635" s="19" t="s">
        <v>2125</v>
      </c>
      <c r="C1635" s="16" t="s">
        <v>9327</v>
      </c>
      <c r="D1635" s="16" t="s">
        <v>29</v>
      </c>
      <c r="E1635" s="16" t="s">
        <v>54</v>
      </c>
      <c r="F1635" s="5" t="s">
        <v>8248</v>
      </c>
      <c r="G1635" s="16" t="s">
        <v>35</v>
      </c>
      <c r="H1635" s="16"/>
      <c r="I1635" s="16"/>
      <c r="J1635" s="16"/>
      <c r="K1635" s="16"/>
      <c r="L1635" s="16"/>
      <c r="M1635" s="16"/>
      <c r="N1635" s="16"/>
      <c r="O1635" s="17"/>
      <c r="P1635" s="5" t="str">
        <f t="shared" si="42"/>
        <v>Truncate table FIFS01;</v>
      </c>
      <c r="Q1635" s="5"/>
      <c r="R1635" s="5"/>
    </row>
    <row r="1636" spans="1:18" x14ac:dyDescent="0.25">
      <c r="B1636" s="19" t="s">
        <v>2126</v>
      </c>
      <c r="C1636" s="16" t="s">
        <v>9328</v>
      </c>
      <c r="D1636" s="16" t="s">
        <v>29</v>
      </c>
      <c r="E1636" s="16" t="s">
        <v>54</v>
      </c>
      <c r="F1636" s="5" t="s">
        <v>8248</v>
      </c>
      <c r="G1636" s="16" t="s">
        <v>35</v>
      </c>
      <c r="H1636" s="16"/>
      <c r="I1636" s="16"/>
      <c r="J1636" s="16"/>
      <c r="K1636" s="16"/>
      <c r="L1636" s="16"/>
      <c r="M1636" s="16"/>
      <c r="N1636" s="16"/>
      <c r="O1636" s="17"/>
      <c r="P1636" s="5" t="str">
        <f t="shared" si="42"/>
        <v>Truncate table FIFS02;</v>
      </c>
      <c r="Q1636" s="5"/>
      <c r="R1636" s="5"/>
    </row>
    <row r="1637" spans="1:18" x14ac:dyDescent="0.25">
      <c r="B1637" s="19" t="s">
        <v>2127</v>
      </c>
      <c r="C1637" s="16" t="s">
        <v>9329</v>
      </c>
      <c r="D1637" s="16" t="s">
        <v>29</v>
      </c>
      <c r="E1637" s="16" t="s">
        <v>54</v>
      </c>
      <c r="F1637" s="5" t="s">
        <v>8248</v>
      </c>
      <c r="G1637" s="16" t="s">
        <v>35</v>
      </c>
      <c r="H1637" s="16"/>
      <c r="I1637" s="16"/>
      <c r="J1637" s="16"/>
      <c r="K1637" s="16"/>
      <c r="L1637" s="16"/>
      <c r="M1637" s="16"/>
      <c r="N1637" s="16"/>
      <c r="O1637" s="17"/>
      <c r="P1637" s="5" t="str">
        <f t="shared" si="42"/>
        <v>Truncate table FIFS03;</v>
      </c>
      <c r="Q1637" s="5"/>
      <c r="R1637" s="5"/>
    </row>
    <row r="1638" spans="1:18" x14ac:dyDescent="0.25">
      <c r="B1638" s="19" t="s">
        <v>2128</v>
      </c>
      <c r="C1638" s="16" t="s">
        <v>9330</v>
      </c>
      <c r="D1638" s="16" t="s">
        <v>29</v>
      </c>
      <c r="E1638" s="16" t="s">
        <v>54</v>
      </c>
      <c r="F1638" s="5" t="s">
        <v>8248</v>
      </c>
      <c r="G1638" s="16" t="s">
        <v>35</v>
      </c>
      <c r="H1638" s="16"/>
      <c r="I1638" s="16"/>
      <c r="J1638" s="16"/>
      <c r="K1638" s="16"/>
      <c r="L1638" s="16"/>
      <c r="M1638" s="16"/>
      <c r="N1638" s="16"/>
      <c r="O1638" s="17"/>
      <c r="P1638" s="5" t="str">
        <f t="shared" si="42"/>
        <v>Truncate table FIFS04;</v>
      </c>
      <c r="Q1638" s="5"/>
      <c r="R1638" s="5"/>
    </row>
    <row r="1639" spans="1:18" x14ac:dyDescent="0.25">
      <c r="B1639" s="19" t="s">
        <v>2129</v>
      </c>
      <c r="C1639" s="16" t="s">
        <v>9331</v>
      </c>
      <c r="D1639" s="16" t="s">
        <v>29</v>
      </c>
      <c r="E1639" s="16" t="s">
        <v>54</v>
      </c>
      <c r="F1639" s="5" t="s">
        <v>8248</v>
      </c>
      <c r="G1639" s="16" t="s">
        <v>35</v>
      </c>
      <c r="H1639" s="16"/>
      <c r="I1639" s="16"/>
      <c r="J1639" s="16"/>
      <c r="K1639" s="16"/>
      <c r="L1639" s="16"/>
      <c r="M1639" s="16"/>
      <c r="N1639" s="16"/>
      <c r="O1639" s="17"/>
      <c r="P1639" s="5" t="str">
        <f t="shared" si="42"/>
        <v>Truncate table FIFS05;</v>
      </c>
      <c r="Q1639" s="5"/>
      <c r="R1639" s="5"/>
    </row>
    <row r="1640" spans="1:18" x14ac:dyDescent="0.25">
      <c r="B1640" s="19" t="s">
        <v>2130</v>
      </c>
      <c r="C1640" s="16" t="s">
        <v>9332</v>
      </c>
      <c r="D1640" s="16" t="s">
        <v>29</v>
      </c>
      <c r="E1640" s="16" t="s">
        <v>54</v>
      </c>
      <c r="F1640" s="5" t="s">
        <v>8248</v>
      </c>
      <c r="G1640" s="16" t="s">
        <v>35</v>
      </c>
      <c r="H1640" s="16"/>
      <c r="I1640" s="16"/>
      <c r="J1640" s="16"/>
      <c r="K1640" s="16"/>
      <c r="L1640" s="16"/>
      <c r="M1640" s="16"/>
      <c r="N1640" s="16"/>
      <c r="O1640" s="17"/>
      <c r="P1640" s="5" t="str">
        <f t="shared" si="42"/>
        <v>Truncate table FIFS06;</v>
      </c>
      <c r="Q1640" s="5"/>
      <c r="R1640" s="5"/>
    </row>
    <row r="1641" spans="1:18" x14ac:dyDescent="0.25">
      <c r="B1641" s="19" t="s">
        <v>2131</v>
      </c>
      <c r="C1641" s="16" t="s">
        <v>9333</v>
      </c>
      <c r="D1641" s="16" t="s">
        <v>29</v>
      </c>
      <c r="E1641" s="16" t="s">
        <v>54</v>
      </c>
      <c r="F1641" s="5" t="s">
        <v>8248</v>
      </c>
      <c r="G1641" s="16" t="s">
        <v>35</v>
      </c>
      <c r="H1641" s="16"/>
      <c r="I1641" s="16"/>
      <c r="J1641" s="16"/>
      <c r="K1641" s="16"/>
      <c r="L1641" s="16"/>
      <c r="M1641" s="16"/>
      <c r="N1641" s="16"/>
      <c r="O1641" s="17"/>
      <c r="P1641" s="5" t="str">
        <f t="shared" si="42"/>
        <v>Truncate table FIFS07;</v>
      </c>
      <c r="Q1641" s="5"/>
      <c r="R1641" s="5"/>
    </row>
    <row r="1642" spans="1:18" x14ac:dyDescent="0.25">
      <c r="B1642" s="19" t="s">
        <v>2132</v>
      </c>
      <c r="C1642" s="16" t="s">
        <v>9334</v>
      </c>
      <c r="D1642" s="16" t="s">
        <v>29</v>
      </c>
      <c r="E1642" s="16" t="s">
        <v>54</v>
      </c>
      <c r="F1642" s="5" t="s">
        <v>8248</v>
      </c>
      <c r="G1642" s="16" t="s">
        <v>35</v>
      </c>
      <c r="H1642" s="16"/>
      <c r="I1642" s="16"/>
      <c r="J1642" s="16"/>
      <c r="K1642" s="16"/>
      <c r="L1642" s="16"/>
      <c r="M1642" s="16"/>
      <c r="N1642" s="16"/>
      <c r="O1642" s="17"/>
      <c r="P1642" s="5" t="str">
        <f t="shared" si="42"/>
        <v>Truncate table FIFS08;</v>
      </c>
      <c r="Q1642" s="5"/>
      <c r="R1642" s="5"/>
    </row>
    <row r="1643" spans="1:18" x14ac:dyDescent="0.25">
      <c r="B1643" s="19" t="s">
        <v>2133</v>
      </c>
      <c r="C1643" s="16" t="s">
        <v>9335</v>
      </c>
      <c r="D1643" s="16" t="s">
        <v>29</v>
      </c>
      <c r="E1643" s="16" t="s">
        <v>54</v>
      </c>
      <c r="F1643" s="5" t="s">
        <v>8248</v>
      </c>
      <c r="G1643" s="16" t="s">
        <v>35</v>
      </c>
      <c r="H1643" s="16"/>
      <c r="I1643" s="16"/>
      <c r="J1643" s="16"/>
      <c r="K1643" s="16"/>
      <c r="L1643" s="16"/>
      <c r="M1643" s="16"/>
      <c r="N1643" s="16"/>
      <c r="O1643" s="17"/>
      <c r="P1643" s="5" t="str">
        <f t="shared" si="42"/>
        <v>Truncate table FIFS09;</v>
      </c>
      <c r="Q1643" s="5"/>
      <c r="R1643" s="5"/>
    </row>
    <row r="1644" spans="1:18" x14ac:dyDescent="0.25">
      <c r="B1644" s="19" t="s">
        <v>2134</v>
      </c>
      <c r="C1644" s="16" t="s">
        <v>9336</v>
      </c>
      <c r="D1644" s="16" t="s">
        <v>29</v>
      </c>
      <c r="E1644" s="16" t="s">
        <v>54</v>
      </c>
      <c r="F1644" s="5" t="s">
        <v>8248</v>
      </c>
      <c r="G1644" s="16" t="s">
        <v>35</v>
      </c>
      <c r="H1644" s="16"/>
      <c r="I1644" s="16"/>
      <c r="J1644" s="16"/>
      <c r="K1644" s="16"/>
      <c r="L1644" s="16"/>
      <c r="M1644" s="16"/>
      <c r="N1644" s="16"/>
      <c r="O1644" s="17"/>
      <c r="P1644" s="5" t="str">
        <f t="shared" si="42"/>
        <v>Truncate table FIFS10;</v>
      </c>
      <c r="Q1644" s="5"/>
      <c r="R1644" s="5"/>
    </row>
    <row r="1645" spans="1:18" x14ac:dyDescent="0.25">
      <c r="B1645" s="19" t="s">
        <v>2135</v>
      </c>
      <c r="C1645" s="16" t="s">
        <v>9337</v>
      </c>
      <c r="D1645" s="16" t="s">
        <v>29</v>
      </c>
      <c r="E1645" s="16" t="s">
        <v>54</v>
      </c>
      <c r="F1645" s="5" t="s">
        <v>8248</v>
      </c>
      <c r="G1645" s="16" t="s">
        <v>35</v>
      </c>
      <c r="H1645" s="16"/>
      <c r="I1645" s="16"/>
      <c r="J1645" s="16"/>
      <c r="K1645" s="16"/>
      <c r="L1645" s="16"/>
      <c r="M1645" s="16"/>
      <c r="N1645" s="16"/>
      <c r="O1645" s="17"/>
      <c r="P1645" s="5" t="str">
        <f t="shared" si="42"/>
        <v>Truncate table FIFS11;</v>
      </c>
      <c r="Q1645" s="5"/>
      <c r="R1645" s="5"/>
    </row>
    <row r="1646" spans="1:18" x14ac:dyDescent="0.25">
      <c r="B1646" s="19" t="s">
        <v>2136</v>
      </c>
      <c r="C1646" s="16" t="s">
        <v>9338</v>
      </c>
      <c r="D1646" s="16" t="s">
        <v>29</v>
      </c>
      <c r="E1646" s="16" t="s">
        <v>54</v>
      </c>
      <c r="F1646" s="5" t="s">
        <v>8248</v>
      </c>
      <c r="G1646" s="16" t="s">
        <v>35</v>
      </c>
      <c r="H1646" s="16"/>
      <c r="I1646" s="16"/>
      <c r="J1646" s="16"/>
      <c r="K1646" s="16"/>
      <c r="L1646" s="16"/>
      <c r="M1646" s="16"/>
      <c r="N1646" s="16"/>
      <c r="O1646" s="17"/>
      <c r="P1646" s="5" t="str">
        <f t="shared" si="42"/>
        <v>Truncate table FIFS21;</v>
      </c>
      <c r="Q1646" s="5"/>
      <c r="R1646" s="5"/>
    </row>
    <row r="1647" spans="1:18" x14ac:dyDescent="0.25">
      <c r="B1647" s="19" t="s">
        <v>2137</v>
      </c>
      <c r="C1647" s="16" t="s">
        <v>9339</v>
      </c>
      <c r="D1647" s="16" t="s">
        <v>29</v>
      </c>
      <c r="E1647" s="16" t="s">
        <v>54</v>
      </c>
      <c r="F1647" s="5" t="s">
        <v>8248</v>
      </c>
      <c r="G1647" s="16" t="s">
        <v>35</v>
      </c>
      <c r="H1647" s="16"/>
      <c r="I1647" s="16"/>
      <c r="J1647" s="16"/>
      <c r="K1647" s="16"/>
      <c r="L1647" s="16"/>
      <c r="M1647" s="16"/>
      <c r="N1647" s="16"/>
      <c r="O1647" s="17"/>
      <c r="P1647" s="5" t="str">
        <f t="shared" si="42"/>
        <v>Truncate table FIFS22;</v>
      </c>
      <c r="Q1647" s="5"/>
      <c r="R1647" s="5"/>
    </row>
    <row r="1648" spans="1:18" x14ac:dyDescent="0.25">
      <c r="B1648" s="19" t="s">
        <v>2138</v>
      </c>
      <c r="C1648" s="16" t="s">
        <v>9340</v>
      </c>
      <c r="D1648" s="16" t="s">
        <v>29</v>
      </c>
      <c r="E1648" s="16" t="s">
        <v>54</v>
      </c>
      <c r="F1648" s="5" t="s">
        <v>8248</v>
      </c>
      <c r="G1648" s="16" t="s">
        <v>35</v>
      </c>
      <c r="H1648" s="16"/>
      <c r="I1648" s="16"/>
      <c r="J1648" s="16"/>
      <c r="K1648" s="16"/>
      <c r="L1648" s="16"/>
      <c r="M1648" s="16"/>
      <c r="N1648" s="16"/>
      <c r="O1648" s="17"/>
      <c r="P1648" s="5" t="str">
        <f t="shared" si="42"/>
        <v>Truncate table FIFS23;</v>
      </c>
      <c r="Q1648" s="5"/>
      <c r="R1648" s="5"/>
    </row>
    <row r="1649" spans="1:18" x14ac:dyDescent="0.25">
      <c r="B1649" s="19" t="s">
        <v>2139</v>
      </c>
      <c r="C1649" s="16" t="s">
        <v>9341</v>
      </c>
      <c r="D1649" s="16" t="s">
        <v>29</v>
      </c>
      <c r="E1649" s="16" t="s">
        <v>54</v>
      </c>
      <c r="F1649" s="5" t="s">
        <v>8248</v>
      </c>
      <c r="G1649" s="16" t="s">
        <v>35</v>
      </c>
      <c r="H1649" s="16"/>
      <c r="I1649" s="16"/>
      <c r="J1649" s="16"/>
      <c r="K1649" s="16"/>
      <c r="L1649" s="16"/>
      <c r="M1649" s="16"/>
      <c r="N1649" s="16"/>
      <c r="O1649" s="17"/>
      <c r="P1649" s="5" t="str">
        <f t="shared" si="42"/>
        <v>Truncate table FIFS24;</v>
      </c>
      <c r="Q1649" s="5"/>
      <c r="R1649" s="5"/>
    </row>
    <row r="1650" spans="1:18" x14ac:dyDescent="0.25">
      <c r="B1650" s="19" t="s">
        <v>2140</v>
      </c>
      <c r="C1650" s="16" t="s">
        <v>9342</v>
      </c>
      <c r="D1650" s="16" t="s">
        <v>29</v>
      </c>
      <c r="E1650" s="16" t="s">
        <v>54</v>
      </c>
      <c r="F1650" s="5" t="s">
        <v>8248</v>
      </c>
      <c r="G1650" s="16" t="s">
        <v>35</v>
      </c>
      <c r="H1650" s="16"/>
      <c r="I1650" s="16"/>
      <c r="J1650" s="16"/>
      <c r="K1650" s="16"/>
      <c r="L1650" s="16"/>
      <c r="M1650" s="16"/>
      <c r="N1650" s="16"/>
      <c r="O1650" s="17"/>
      <c r="P1650" s="5" t="str">
        <f t="shared" si="42"/>
        <v>Truncate table FIFS25;</v>
      </c>
      <c r="Q1650" s="5"/>
      <c r="R1650" s="5"/>
    </row>
    <row r="1651" spans="1:18" s="306" customFormat="1" x14ac:dyDescent="0.25">
      <c r="A1651" s="71"/>
      <c r="B1651" s="307" t="s">
        <v>2141</v>
      </c>
      <c r="C1651" s="308"/>
      <c r="D1651" s="308" t="s">
        <v>29</v>
      </c>
      <c r="E1651" s="308" t="s">
        <v>54</v>
      </c>
      <c r="F1651" s="308" t="s">
        <v>8248</v>
      </c>
      <c r="G1651" s="308" t="s">
        <v>35</v>
      </c>
      <c r="H1651" s="308"/>
      <c r="I1651" s="308"/>
      <c r="J1651" s="308"/>
      <c r="K1651" s="308"/>
      <c r="L1651" s="308"/>
      <c r="M1651" s="308"/>
      <c r="N1651" s="308"/>
      <c r="O1651" s="309"/>
      <c r="P1651" s="308" t="str">
        <f t="shared" si="42"/>
        <v>Truncate table FIFS26;</v>
      </c>
      <c r="Q1651" s="308"/>
      <c r="R1651" s="308"/>
    </row>
    <row r="1652" spans="1:18" x14ac:dyDescent="0.25">
      <c r="B1652" s="19" t="s">
        <v>2142</v>
      </c>
      <c r="C1652" s="16" t="s">
        <v>9343</v>
      </c>
      <c r="D1652" s="16" t="s">
        <v>29</v>
      </c>
      <c r="E1652" s="16" t="s">
        <v>54</v>
      </c>
      <c r="F1652" s="5" t="s">
        <v>8248</v>
      </c>
      <c r="G1652" s="16" t="s">
        <v>35</v>
      </c>
      <c r="H1652" s="16"/>
      <c r="I1652" s="16"/>
      <c r="J1652" s="16"/>
      <c r="K1652" s="16"/>
      <c r="L1652" s="16"/>
      <c r="M1652" s="16"/>
      <c r="N1652" s="16"/>
      <c r="O1652" s="17"/>
      <c r="P1652" s="5" t="str">
        <f t="shared" si="42"/>
        <v>Truncate table FIFSA1;</v>
      </c>
      <c r="Q1652" s="5"/>
      <c r="R1652" s="5"/>
    </row>
    <row r="1653" spans="1:18" x14ac:dyDescent="0.25">
      <c r="B1653" s="19" t="s">
        <v>2143</v>
      </c>
      <c r="C1653" s="16" t="s">
        <v>9345</v>
      </c>
      <c r="D1653" s="16" t="s">
        <v>29</v>
      </c>
      <c r="E1653" s="16" t="s">
        <v>54</v>
      </c>
      <c r="F1653" s="5" t="s">
        <v>8248</v>
      </c>
      <c r="G1653" s="16" t="s">
        <v>35</v>
      </c>
      <c r="H1653" s="16"/>
      <c r="I1653" s="16"/>
      <c r="J1653" s="16"/>
      <c r="K1653" s="16"/>
      <c r="L1653" s="16"/>
      <c r="M1653" s="16"/>
      <c r="N1653" s="16"/>
      <c r="O1653" s="17"/>
      <c r="P1653" s="5" t="str">
        <f t="shared" si="42"/>
        <v>Truncate table FIFSS00;</v>
      </c>
      <c r="Q1653" s="5"/>
      <c r="R1653" s="5"/>
    </row>
    <row r="1654" spans="1:18" x14ac:dyDescent="0.25">
      <c r="B1654" s="19" t="s">
        <v>2144</v>
      </c>
      <c r="C1654" s="16" t="s">
        <v>9344</v>
      </c>
      <c r="D1654" s="16" t="s">
        <v>29</v>
      </c>
      <c r="E1654" s="16" t="s">
        <v>54</v>
      </c>
      <c r="F1654" s="5" t="s">
        <v>8248</v>
      </c>
      <c r="G1654" s="16" t="s">
        <v>35</v>
      </c>
      <c r="H1654" s="16"/>
      <c r="I1654" s="16"/>
      <c r="J1654" s="16"/>
      <c r="K1654" s="16"/>
      <c r="L1654" s="16"/>
      <c r="M1654" s="16"/>
      <c r="N1654" s="16"/>
      <c r="O1654" s="17"/>
      <c r="P1654" s="5" t="str">
        <f t="shared" si="42"/>
        <v>Truncate table FIFTD0;</v>
      </c>
      <c r="Q1654" s="5"/>
      <c r="R1654" s="5"/>
    </row>
    <row r="1655" spans="1:18" s="306" customFormat="1" x14ac:dyDescent="0.25">
      <c r="A1655" s="71"/>
      <c r="B1655" s="307" t="s">
        <v>2145</v>
      </c>
      <c r="C1655" s="308"/>
      <c r="D1655" s="308" t="s">
        <v>29</v>
      </c>
      <c r="E1655" s="308"/>
      <c r="F1655" s="308"/>
      <c r="G1655" s="308" t="s">
        <v>35</v>
      </c>
      <c r="H1655" s="308"/>
      <c r="I1655" s="308"/>
      <c r="J1655" s="308"/>
      <c r="K1655" s="308"/>
      <c r="L1655" s="308"/>
      <c r="M1655" s="308"/>
      <c r="N1655" s="308"/>
      <c r="O1655" s="309"/>
      <c r="P1655" s="308" t="str">
        <f t="shared" si="42"/>
        <v>Truncate table FJAPR1;</v>
      </c>
      <c r="Q1655" s="308"/>
      <c r="R1655" s="308"/>
    </row>
    <row r="1656" spans="1:18" x14ac:dyDescent="0.25">
      <c r="B1656" s="19" t="s">
        <v>2146</v>
      </c>
      <c r="C1656" s="16" t="s">
        <v>9346</v>
      </c>
      <c r="D1656" s="16" t="s">
        <v>29</v>
      </c>
      <c r="E1656" s="16"/>
      <c r="F1656" s="5"/>
      <c r="G1656" s="16" t="s">
        <v>35</v>
      </c>
      <c r="H1656" s="16"/>
      <c r="I1656" s="16"/>
      <c r="J1656" s="16"/>
      <c r="K1656" s="16"/>
      <c r="L1656" s="16"/>
      <c r="M1656" s="16"/>
      <c r="N1656" s="16"/>
      <c r="O1656" s="17"/>
      <c r="P1656" s="5" t="str">
        <f t="shared" si="42"/>
        <v>Truncate table FJMBTD1;</v>
      </c>
      <c r="Q1656" s="5"/>
      <c r="R1656" s="5"/>
    </row>
    <row r="1657" spans="1:18" x14ac:dyDescent="0.25">
      <c r="B1657" s="19" t="s">
        <v>2147</v>
      </c>
      <c r="C1657" s="16" t="s">
        <v>9347</v>
      </c>
      <c r="D1657" s="16" t="s">
        <v>29</v>
      </c>
      <c r="E1657" s="16"/>
      <c r="F1657" s="5"/>
      <c r="G1657" s="16" t="s">
        <v>35</v>
      </c>
      <c r="H1657" s="16"/>
      <c r="I1657" s="16"/>
      <c r="J1657" s="16"/>
      <c r="K1657" s="16"/>
      <c r="L1657" s="16"/>
      <c r="M1657" s="16"/>
      <c r="N1657" s="16"/>
      <c r="O1657" s="17"/>
      <c r="P1657" s="5" t="str">
        <f t="shared" si="42"/>
        <v>Truncate table FLAV00;</v>
      </c>
      <c r="Q1657" s="5"/>
      <c r="R1657" s="5"/>
    </row>
    <row r="1658" spans="1:18" x14ac:dyDescent="0.25">
      <c r="B1658" s="19" t="s">
        <v>2148</v>
      </c>
      <c r="C1658" s="16" t="s">
        <v>9348</v>
      </c>
      <c r="D1658" s="16" t="s">
        <v>29</v>
      </c>
      <c r="E1658" s="16"/>
      <c r="F1658" s="5"/>
      <c r="G1658" s="16" t="s">
        <v>35</v>
      </c>
      <c r="H1658" s="16"/>
      <c r="I1658" s="16"/>
      <c r="J1658" s="16"/>
      <c r="K1658" s="16"/>
      <c r="L1658" s="16"/>
      <c r="M1658" s="16"/>
      <c r="N1658" s="16"/>
      <c r="O1658" s="17"/>
      <c r="P1658" s="5" t="str">
        <f t="shared" si="42"/>
        <v>Truncate table FLAV01;</v>
      </c>
      <c r="Q1658" s="5"/>
      <c r="R1658" s="5"/>
    </row>
    <row r="1659" spans="1:18" x14ac:dyDescent="0.25">
      <c r="B1659" s="19" t="s">
        <v>2149</v>
      </c>
      <c r="C1659" s="16" t="s">
        <v>9349</v>
      </c>
      <c r="D1659" s="16" t="s">
        <v>29</v>
      </c>
      <c r="E1659" s="16"/>
      <c r="F1659" s="5"/>
      <c r="G1659" s="16" t="s">
        <v>35</v>
      </c>
      <c r="H1659" s="16"/>
      <c r="I1659" s="16"/>
      <c r="J1659" s="16"/>
      <c r="K1659" s="16"/>
      <c r="L1659" s="16"/>
      <c r="M1659" s="16"/>
      <c r="N1659" s="16"/>
      <c r="O1659" s="17"/>
      <c r="P1659" s="5" t="str">
        <f t="shared" si="42"/>
        <v>Truncate table FLAV02;</v>
      </c>
      <c r="Q1659" s="5"/>
      <c r="R1659" s="5"/>
    </row>
    <row r="1660" spans="1:18" x14ac:dyDescent="0.25">
      <c r="B1660" s="19" t="s">
        <v>2150</v>
      </c>
      <c r="C1660" s="16" t="s">
        <v>9350</v>
      </c>
      <c r="D1660" s="16" t="s">
        <v>29</v>
      </c>
      <c r="E1660" s="16"/>
      <c r="F1660" s="5"/>
      <c r="G1660" s="16" t="s">
        <v>35</v>
      </c>
      <c r="H1660" s="16"/>
      <c r="I1660" s="16"/>
      <c r="J1660" s="16"/>
      <c r="K1660" s="16"/>
      <c r="L1660" s="16"/>
      <c r="M1660" s="16"/>
      <c r="N1660" s="16"/>
      <c r="O1660" s="17"/>
      <c r="P1660" s="5" t="str">
        <f t="shared" ref="P1660:P1691" si="43">IF(D1660="Datos","Truncate table "&amp; B1660&amp; ";","")</f>
        <v>Truncate table FLC001;</v>
      </c>
      <c r="Q1660" s="5"/>
      <c r="R1660" s="5"/>
    </row>
    <row r="1661" spans="1:18" x14ac:dyDescent="0.25">
      <c r="B1661" s="19" t="s">
        <v>2151</v>
      </c>
      <c r="C1661" t="s">
        <v>10041</v>
      </c>
      <c r="D1661" s="16" t="s">
        <v>29</v>
      </c>
      <c r="E1661" s="16"/>
      <c r="F1661" s="5"/>
      <c r="G1661" s="16" t="s">
        <v>35</v>
      </c>
      <c r="H1661" s="16"/>
      <c r="I1661" s="16"/>
      <c r="J1661" s="16"/>
      <c r="K1661" s="16"/>
      <c r="L1661" s="16"/>
      <c r="M1661" s="16"/>
      <c r="N1661" s="16"/>
      <c r="O1661" s="17"/>
      <c r="P1661" s="5" t="str">
        <f t="shared" si="43"/>
        <v>Truncate table FMA020;</v>
      </c>
      <c r="Q1661" s="5"/>
      <c r="R1661" s="5"/>
    </row>
    <row r="1662" spans="1:18" x14ac:dyDescent="0.25">
      <c r="B1662" s="19" t="s">
        <v>2152</v>
      </c>
      <c r="C1662" s="16" t="s">
        <v>9351</v>
      </c>
      <c r="D1662" s="16" t="s">
        <v>29</v>
      </c>
      <c r="E1662" s="16"/>
      <c r="F1662" s="5"/>
      <c r="G1662" s="16" t="s">
        <v>35</v>
      </c>
      <c r="H1662" s="16"/>
      <c r="I1662" s="16"/>
      <c r="J1662" s="16"/>
      <c r="K1662" s="16"/>
      <c r="L1662" s="16"/>
      <c r="M1662" s="16"/>
      <c r="N1662" s="16"/>
      <c r="O1662" s="17"/>
      <c r="P1662" s="5" t="str">
        <f t="shared" si="43"/>
        <v>Truncate table FMA021;</v>
      </c>
      <c r="Q1662" s="5"/>
      <c r="R1662" s="5"/>
    </row>
    <row r="1663" spans="1:18" x14ac:dyDescent="0.25">
      <c r="B1663" s="19" t="s">
        <v>2153</v>
      </c>
      <c r="C1663" s="16" t="s">
        <v>9352</v>
      </c>
      <c r="D1663" s="16" t="s">
        <v>29</v>
      </c>
      <c r="E1663" s="16"/>
      <c r="F1663" s="5"/>
      <c r="G1663" s="16" t="s">
        <v>35</v>
      </c>
      <c r="H1663" s="16"/>
      <c r="I1663" s="16"/>
      <c r="J1663" s="16"/>
      <c r="K1663" s="16"/>
      <c r="L1663" s="16"/>
      <c r="M1663" s="16"/>
      <c r="N1663" s="16"/>
      <c r="O1663" s="17"/>
      <c r="P1663" s="5" t="str">
        <f t="shared" si="43"/>
        <v>Truncate table FMA030;</v>
      </c>
      <c r="Q1663" s="5"/>
      <c r="R1663" s="5"/>
    </row>
    <row r="1664" spans="1:18" x14ac:dyDescent="0.25">
      <c r="B1664" s="19" t="s">
        <v>2154</v>
      </c>
      <c r="C1664" t="s">
        <v>10042</v>
      </c>
      <c r="D1664" s="16" t="s">
        <v>29</v>
      </c>
      <c r="E1664" s="16"/>
      <c r="F1664" s="5"/>
      <c r="G1664" s="16" t="s">
        <v>35</v>
      </c>
      <c r="H1664" s="16"/>
      <c r="I1664" s="16"/>
      <c r="J1664" s="16"/>
      <c r="K1664" s="16"/>
      <c r="L1664" s="16"/>
      <c r="M1664" s="16"/>
      <c r="N1664" s="16"/>
      <c r="O1664" s="17"/>
      <c r="P1664" s="5" t="str">
        <f t="shared" si="43"/>
        <v>Truncate table FMA120;</v>
      </c>
      <c r="Q1664" s="5"/>
      <c r="R1664" s="5"/>
    </row>
    <row r="1665" spans="2:22" x14ac:dyDescent="0.25">
      <c r="B1665" s="19" t="s">
        <v>2155</v>
      </c>
      <c r="C1665" s="16" t="s">
        <v>9353</v>
      </c>
      <c r="D1665" s="16" t="s">
        <v>29</v>
      </c>
      <c r="E1665" s="16"/>
      <c r="F1665" s="5"/>
      <c r="G1665" s="16" t="s">
        <v>35</v>
      </c>
      <c r="H1665" s="16"/>
      <c r="I1665" s="16"/>
      <c r="J1665" s="16"/>
      <c r="K1665" s="16"/>
      <c r="L1665" s="16"/>
      <c r="M1665" s="16"/>
      <c r="N1665" s="16"/>
      <c r="O1665" s="17"/>
      <c r="P1665" s="5" t="str">
        <f t="shared" si="43"/>
        <v>Truncate table FMA121;</v>
      </c>
      <c r="Q1665" s="5"/>
      <c r="R1665" s="5"/>
    </row>
    <row r="1666" spans="2:22" x14ac:dyDescent="0.25">
      <c r="B1666" s="19" t="s">
        <v>2156</v>
      </c>
      <c r="C1666" s="16" t="s">
        <v>9354</v>
      </c>
      <c r="D1666" s="16" t="s">
        <v>29</v>
      </c>
      <c r="E1666" s="16"/>
      <c r="F1666" s="5"/>
      <c r="G1666" s="16" t="s">
        <v>35</v>
      </c>
      <c r="H1666" s="16"/>
      <c r="I1666" s="16"/>
      <c r="J1666" s="16"/>
      <c r="K1666" s="16"/>
      <c r="L1666" s="16"/>
      <c r="M1666" s="16"/>
      <c r="N1666" s="16"/>
      <c r="O1666" s="17"/>
      <c r="P1666" s="5" t="str">
        <f t="shared" si="43"/>
        <v>Truncate table FMA130;</v>
      </c>
      <c r="Q1666" s="5"/>
      <c r="R1666" s="5"/>
    </row>
    <row r="1667" spans="2:22" x14ac:dyDescent="0.25">
      <c r="B1667" s="19" t="s">
        <v>2157</v>
      </c>
      <c r="C1667" s="16" t="s">
        <v>9355</v>
      </c>
      <c r="D1667" s="16" t="s">
        <v>29</v>
      </c>
      <c r="E1667" s="16"/>
      <c r="F1667" s="5"/>
      <c r="G1667" s="16" t="s">
        <v>35</v>
      </c>
      <c r="H1667" s="16"/>
      <c r="I1667" s="16"/>
      <c r="J1667" s="16"/>
      <c r="K1667" s="16"/>
      <c r="L1667" s="16"/>
      <c r="M1667" s="16"/>
      <c r="N1667" s="16"/>
      <c r="O1667" s="17"/>
      <c r="P1667" s="5" t="str">
        <f t="shared" si="43"/>
        <v>Truncate table FMA999;</v>
      </c>
      <c r="Q1667" s="5"/>
      <c r="R1667" s="5"/>
    </row>
    <row r="1668" spans="2:22" x14ac:dyDescent="0.25">
      <c r="B1668" s="19" t="s">
        <v>2158</v>
      </c>
      <c r="C1668" s="16" t="s">
        <v>9356</v>
      </c>
      <c r="D1668" s="16" t="s">
        <v>29</v>
      </c>
      <c r="E1668" s="16" t="s">
        <v>1712</v>
      </c>
      <c r="F1668" s="16" t="s">
        <v>1941</v>
      </c>
      <c r="G1668" s="16" t="s">
        <v>35</v>
      </c>
      <c r="H1668" s="16"/>
      <c r="I1668" s="16"/>
      <c r="J1668" s="16"/>
      <c r="K1668" s="16"/>
      <c r="L1668" s="16"/>
      <c r="M1668" s="16"/>
      <c r="N1668" s="16"/>
      <c r="O1668" s="17" t="s">
        <v>38</v>
      </c>
      <c r="P1668" s="5" t="str">
        <f t="shared" si="43"/>
        <v>Truncate table FMD020;</v>
      </c>
      <c r="Q1668" s="5"/>
      <c r="R1668" s="5"/>
    </row>
    <row r="1669" spans="2:22" x14ac:dyDescent="0.25">
      <c r="B1669" s="19" t="s">
        <v>2159</v>
      </c>
      <c r="C1669" s="16" t="s">
        <v>9357</v>
      </c>
      <c r="D1669" s="16" t="s">
        <v>29</v>
      </c>
      <c r="E1669" s="16"/>
      <c r="F1669" s="5"/>
      <c r="G1669" s="16" t="s">
        <v>35</v>
      </c>
      <c r="H1669" s="16"/>
      <c r="I1669" s="16"/>
      <c r="J1669" s="16"/>
      <c r="K1669" s="16"/>
      <c r="L1669" s="16"/>
      <c r="M1669" s="16"/>
      <c r="N1669" s="16"/>
      <c r="O1669" s="17"/>
      <c r="P1669" s="5" t="str">
        <f t="shared" si="43"/>
        <v>Truncate table FMD021;</v>
      </c>
      <c r="Q1669" s="5"/>
      <c r="R1669" s="5"/>
    </row>
    <row r="1670" spans="2:22" x14ac:dyDescent="0.25">
      <c r="B1670" s="19" t="s">
        <v>2160</v>
      </c>
      <c r="C1670" s="16" t="s">
        <v>2161</v>
      </c>
      <c r="D1670" s="16" t="s">
        <v>29</v>
      </c>
      <c r="E1670" s="16" t="s">
        <v>1712</v>
      </c>
      <c r="F1670" s="16" t="s">
        <v>1941</v>
      </c>
      <c r="G1670" s="16" t="s">
        <v>35</v>
      </c>
      <c r="H1670" s="16"/>
      <c r="I1670" s="16"/>
      <c r="J1670" s="16"/>
      <c r="K1670" s="16"/>
      <c r="L1670" s="16"/>
      <c r="M1670" s="16"/>
      <c r="N1670" s="16"/>
      <c r="O1670" s="17" t="s">
        <v>38</v>
      </c>
      <c r="P1670" s="5" t="str">
        <f t="shared" si="43"/>
        <v>Truncate table FMD030;</v>
      </c>
      <c r="Q1670" s="5"/>
      <c r="R1670" s="5"/>
    </row>
    <row r="1671" spans="2:22" x14ac:dyDescent="0.25">
      <c r="B1671" s="19" t="s">
        <v>2162</v>
      </c>
      <c r="C1671" s="16" t="s">
        <v>9358</v>
      </c>
      <c r="D1671" s="16" t="s">
        <v>29</v>
      </c>
      <c r="E1671" s="16"/>
      <c r="F1671" s="5"/>
      <c r="G1671" s="16" t="s">
        <v>35</v>
      </c>
      <c r="H1671" s="16"/>
      <c r="I1671" s="16"/>
      <c r="J1671" s="16"/>
      <c r="K1671" s="16"/>
      <c r="L1671" s="16"/>
      <c r="M1671" s="16"/>
      <c r="N1671" s="16"/>
      <c r="O1671" s="17"/>
      <c r="P1671" s="5" t="str">
        <f t="shared" si="43"/>
        <v>Truncate table FMD110;</v>
      </c>
      <c r="Q1671" s="5"/>
      <c r="R1671" s="5"/>
    </row>
    <row r="1672" spans="2:22" x14ac:dyDescent="0.25">
      <c r="B1672" s="19" t="s">
        <v>2163</v>
      </c>
      <c r="C1672" s="16" t="s">
        <v>9359</v>
      </c>
      <c r="D1672" s="16" t="s">
        <v>29</v>
      </c>
      <c r="E1672" s="16" t="s">
        <v>1712</v>
      </c>
      <c r="F1672" s="16" t="s">
        <v>1941</v>
      </c>
      <c r="G1672" s="16" t="s">
        <v>35</v>
      </c>
      <c r="H1672" s="16"/>
      <c r="I1672" s="16"/>
      <c r="J1672" s="16"/>
      <c r="K1672" s="16"/>
      <c r="L1672" s="16"/>
      <c r="M1672" s="16"/>
      <c r="N1672" s="16"/>
      <c r="O1672" s="17" t="s">
        <v>38</v>
      </c>
      <c r="P1672" s="5" t="str">
        <f t="shared" si="43"/>
        <v>Truncate table FMD120;</v>
      </c>
      <c r="Q1672" s="5"/>
      <c r="R1672" s="5"/>
    </row>
    <row r="1673" spans="2:22" x14ac:dyDescent="0.25">
      <c r="B1673" s="19" t="s">
        <v>2164</v>
      </c>
      <c r="C1673" s="16" t="s">
        <v>9360</v>
      </c>
      <c r="D1673" s="16" t="s">
        <v>29</v>
      </c>
      <c r="E1673" s="16"/>
      <c r="F1673" s="5"/>
      <c r="G1673" s="16" t="s">
        <v>35</v>
      </c>
      <c r="H1673" s="16"/>
      <c r="I1673" s="16"/>
      <c r="J1673" s="16"/>
      <c r="K1673" s="16"/>
      <c r="L1673" s="16"/>
      <c r="M1673" s="16"/>
      <c r="N1673" s="16"/>
      <c r="O1673" s="17"/>
      <c r="P1673" s="5" t="str">
        <f t="shared" si="43"/>
        <v>Truncate table FMD121;</v>
      </c>
      <c r="Q1673" s="60"/>
      <c r="R1673" s="60"/>
    </row>
    <row r="1674" spans="2:22" x14ac:dyDescent="0.25">
      <c r="B1674" s="19" t="s">
        <v>2165</v>
      </c>
      <c r="C1674" s="16" t="s">
        <v>9361</v>
      </c>
      <c r="D1674" s="16" t="s">
        <v>29</v>
      </c>
      <c r="E1674" s="16" t="s">
        <v>1712</v>
      </c>
      <c r="F1674" s="16" t="s">
        <v>1941</v>
      </c>
      <c r="G1674" s="16" t="s">
        <v>35</v>
      </c>
      <c r="H1674" s="16"/>
      <c r="I1674" s="16"/>
      <c r="J1674" s="16"/>
      <c r="K1674" s="16"/>
      <c r="L1674" s="16"/>
      <c r="M1674" s="16"/>
      <c r="N1674" s="16"/>
      <c r="O1674" s="17" t="s">
        <v>38</v>
      </c>
      <c r="P1674" s="5" t="str">
        <f t="shared" si="43"/>
        <v>Truncate table FMD130;</v>
      </c>
      <c r="Q1674" s="5"/>
      <c r="R1674" s="5"/>
    </row>
    <row r="1675" spans="2:22" x14ac:dyDescent="0.25">
      <c r="B1675" s="19" t="s">
        <v>2166</v>
      </c>
      <c r="C1675" s="16" t="s">
        <v>9362</v>
      </c>
      <c r="D1675" s="16" t="s">
        <v>29</v>
      </c>
      <c r="E1675" s="16"/>
      <c r="F1675" s="5"/>
      <c r="G1675" s="16" t="s">
        <v>35</v>
      </c>
      <c r="H1675" s="16"/>
      <c r="I1675" s="16"/>
      <c r="J1675" s="16"/>
      <c r="K1675" s="16"/>
      <c r="L1675" s="16"/>
      <c r="M1675" s="16"/>
      <c r="N1675" s="16"/>
      <c r="O1675" s="17"/>
      <c r="P1675" s="5" t="str">
        <f t="shared" si="43"/>
        <v>Truncate table FMD140;</v>
      </c>
      <c r="Q1675" s="5"/>
      <c r="R1675" s="5"/>
    </row>
    <row r="1676" spans="2:22" x14ac:dyDescent="0.25">
      <c r="B1676" s="19" t="s">
        <v>2167</v>
      </c>
      <c r="C1676" s="16" t="s">
        <v>9363</v>
      </c>
      <c r="D1676" s="16" t="s">
        <v>29</v>
      </c>
      <c r="E1676" s="16" t="s">
        <v>1712</v>
      </c>
      <c r="F1676" s="16" t="s">
        <v>1941</v>
      </c>
      <c r="G1676" s="16" t="s">
        <v>35</v>
      </c>
      <c r="H1676" s="16"/>
      <c r="I1676" s="16"/>
      <c r="J1676" s="16"/>
      <c r="K1676" s="16"/>
      <c r="L1676" s="16"/>
      <c r="M1676" s="16"/>
      <c r="N1676" s="16"/>
      <c r="O1676" s="17" t="s">
        <v>38</v>
      </c>
      <c r="P1676" s="5" t="str">
        <f t="shared" si="43"/>
        <v>Truncate table FMD999;</v>
      </c>
      <c r="Q1676" s="5"/>
      <c r="R1676" s="5"/>
    </row>
    <row r="1677" spans="2:22" x14ac:dyDescent="0.25">
      <c r="B1677" s="19" t="s">
        <v>2168</v>
      </c>
      <c r="C1677" s="118" t="s">
        <v>9778</v>
      </c>
      <c r="D1677" s="16" t="s">
        <v>29</v>
      </c>
      <c r="E1677" s="16" t="s">
        <v>1712</v>
      </c>
      <c r="F1677" s="16" t="s">
        <v>1941</v>
      </c>
      <c r="G1677" s="16" t="s">
        <v>35</v>
      </c>
      <c r="H1677" s="16" t="s">
        <v>36</v>
      </c>
      <c r="I1677" s="16"/>
      <c r="J1677" s="16"/>
      <c r="K1677" s="16"/>
      <c r="L1677" s="16"/>
      <c r="M1677" s="16"/>
      <c r="N1677" s="16"/>
      <c r="O1677" s="17" t="s">
        <v>38</v>
      </c>
      <c r="P1677" s="16" t="str">
        <f t="shared" si="43"/>
        <v>Truncate table FME020;</v>
      </c>
      <c r="Q1677" s="16"/>
      <c r="R1677" s="16"/>
      <c r="S1677"/>
      <c r="T1677"/>
      <c r="U1677"/>
      <c r="V1677"/>
    </row>
    <row r="1678" spans="2:22" x14ac:dyDescent="0.25">
      <c r="B1678" s="19" t="s">
        <v>2169</v>
      </c>
      <c r="C1678" s="16" t="s">
        <v>9364</v>
      </c>
      <c r="D1678" s="16" t="s">
        <v>29</v>
      </c>
      <c r="E1678" s="16" t="s">
        <v>1712</v>
      </c>
      <c r="F1678" s="16" t="s">
        <v>1941</v>
      </c>
      <c r="G1678" s="16" t="s">
        <v>35</v>
      </c>
      <c r="H1678" s="16"/>
      <c r="I1678" s="16"/>
      <c r="J1678" s="16"/>
      <c r="K1678" s="16"/>
      <c r="L1678" s="16"/>
      <c r="M1678" s="16"/>
      <c r="N1678" s="16"/>
      <c r="O1678" s="17" t="s">
        <v>38</v>
      </c>
      <c r="P1678" s="5" t="str">
        <f t="shared" si="43"/>
        <v>Truncate table FME999;</v>
      </c>
      <c r="Q1678" s="5"/>
      <c r="R1678" s="5"/>
    </row>
    <row r="1679" spans="2:22" x14ac:dyDescent="0.25">
      <c r="B1679" s="19" t="s">
        <v>2170</v>
      </c>
      <c r="C1679" s="16" t="s">
        <v>9365</v>
      </c>
      <c r="D1679" s="16" t="s">
        <v>29</v>
      </c>
      <c r="E1679" s="16" t="s">
        <v>1712</v>
      </c>
      <c r="F1679" s="16" t="s">
        <v>1941</v>
      </c>
      <c r="G1679" s="16" t="s">
        <v>35</v>
      </c>
      <c r="H1679" s="16"/>
      <c r="I1679" s="16"/>
      <c r="J1679" s="16"/>
      <c r="K1679" s="16"/>
      <c r="L1679" s="16"/>
      <c r="M1679" s="16"/>
      <c r="N1679" s="16"/>
      <c r="O1679" s="17" t="s">
        <v>38</v>
      </c>
      <c r="P1679" s="5" t="str">
        <f t="shared" si="43"/>
        <v>Truncate table FMF020;</v>
      </c>
      <c r="Q1679" s="5"/>
      <c r="R1679" s="5"/>
    </row>
    <row r="1680" spans="2:22" x14ac:dyDescent="0.25">
      <c r="B1680" s="19" t="s">
        <v>2171</v>
      </c>
      <c r="C1680" s="16" t="s">
        <v>9366</v>
      </c>
      <c r="D1680" s="16" t="s">
        <v>29</v>
      </c>
      <c r="E1680" s="16"/>
      <c r="F1680" s="5"/>
      <c r="G1680" s="16" t="s">
        <v>35</v>
      </c>
      <c r="H1680" s="16"/>
      <c r="I1680" s="16"/>
      <c r="J1680" s="16"/>
      <c r="K1680" s="16"/>
      <c r="L1680" s="16"/>
      <c r="M1680" s="16"/>
      <c r="N1680" s="16"/>
      <c r="O1680" s="17"/>
      <c r="P1680" s="5" t="str">
        <f t="shared" si="43"/>
        <v>Truncate table FMF121;</v>
      </c>
      <c r="Q1680" s="5"/>
      <c r="R1680" s="5"/>
    </row>
    <row r="1681" spans="1:18" x14ac:dyDescent="0.25">
      <c r="B1681" s="19" t="s">
        <v>2172</v>
      </c>
      <c r="C1681" s="16" t="s">
        <v>9367</v>
      </c>
      <c r="D1681" s="16" t="s">
        <v>29</v>
      </c>
      <c r="E1681" s="16" t="s">
        <v>1712</v>
      </c>
      <c r="F1681" s="16" t="s">
        <v>1941</v>
      </c>
      <c r="G1681" s="16" t="s">
        <v>35</v>
      </c>
      <c r="H1681" s="16"/>
      <c r="I1681" s="16"/>
      <c r="J1681" s="16"/>
      <c r="K1681" s="16"/>
      <c r="L1681" s="16"/>
      <c r="M1681" s="16"/>
      <c r="N1681" s="16"/>
      <c r="O1681" s="17" t="s">
        <v>38</v>
      </c>
      <c r="P1681" s="5" t="str">
        <f t="shared" si="43"/>
        <v>Truncate table FMF130;</v>
      </c>
      <c r="Q1681" s="5"/>
      <c r="R1681" s="5"/>
    </row>
    <row r="1682" spans="1:18" x14ac:dyDescent="0.25">
      <c r="B1682" s="19" t="s">
        <v>2173</v>
      </c>
      <c r="C1682" s="16" t="s">
        <v>9368</v>
      </c>
      <c r="D1682" s="16" t="s">
        <v>29</v>
      </c>
      <c r="E1682" s="16" t="s">
        <v>1712</v>
      </c>
      <c r="F1682" s="16" t="s">
        <v>1941</v>
      </c>
      <c r="G1682" s="16" t="s">
        <v>35</v>
      </c>
      <c r="H1682" s="16"/>
      <c r="I1682" s="16"/>
      <c r="J1682" s="16"/>
      <c r="K1682" s="16"/>
      <c r="L1682" s="16"/>
      <c r="M1682" s="16"/>
      <c r="N1682" s="16"/>
      <c r="O1682" s="17" t="s">
        <v>38</v>
      </c>
      <c r="P1682" s="5" t="str">
        <f t="shared" si="43"/>
        <v>Truncate table FMF999;</v>
      </c>
      <c r="Q1682" s="5"/>
      <c r="R1682" s="5"/>
    </row>
    <row r="1683" spans="1:18" x14ac:dyDescent="0.25">
      <c r="B1683" s="19" t="s">
        <v>2174</v>
      </c>
      <c r="C1683" s="16" t="s">
        <v>9369</v>
      </c>
      <c r="D1683" s="16" t="s">
        <v>29</v>
      </c>
      <c r="E1683" s="16" t="s">
        <v>1712</v>
      </c>
      <c r="F1683" s="16" t="s">
        <v>1941</v>
      </c>
      <c r="G1683" s="16" t="s">
        <v>35</v>
      </c>
      <c r="H1683" s="16"/>
      <c r="I1683" s="16"/>
      <c r="J1683" s="16"/>
      <c r="K1683" s="16"/>
      <c r="L1683" s="16"/>
      <c r="M1683" s="16"/>
      <c r="N1683" s="16"/>
      <c r="O1683" s="17" t="s">
        <v>38</v>
      </c>
      <c r="P1683" s="5" t="str">
        <f t="shared" si="43"/>
        <v>Truncate table FMR020;</v>
      </c>
      <c r="Q1683" s="5"/>
      <c r="R1683" s="5"/>
    </row>
    <row r="1684" spans="1:18" x14ac:dyDescent="0.25">
      <c r="B1684" s="19" t="s">
        <v>2175</v>
      </c>
      <c r="C1684" s="16" t="s">
        <v>9370</v>
      </c>
      <c r="D1684" s="16" t="s">
        <v>29</v>
      </c>
      <c r="E1684" s="16"/>
      <c r="F1684" s="5"/>
      <c r="G1684" s="16" t="s">
        <v>35</v>
      </c>
      <c r="H1684" s="16"/>
      <c r="I1684" s="16"/>
      <c r="J1684" s="16"/>
      <c r="K1684" s="16"/>
      <c r="L1684" s="16"/>
      <c r="M1684" s="16"/>
      <c r="N1684" s="16"/>
      <c r="O1684" s="17"/>
      <c r="P1684" s="5" t="str">
        <f t="shared" si="43"/>
        <v>Truncate table FMR021;</v>
      </c>
      <c r="Q1684" s="5"/>
      <c r="R1684" s="5"/>
    </row>
    <row r="1685" spans="1:18" x14ac:dyDescent="0.25">
      <c r="B1685" s="19" t="s">
        <v>2176</v>
      </c>
      <c r="C1685" s="16" t="s">
        <v>2177</v>
      </c>
      <c r="D1685" s="16" t="s">
        <v>29</v>
      </c>
      <c r="E1685" s="16" t="s">
        <v>1712</v>
      </c>
      <c r="F1685" s="16" t="s">
        <v>1941</v>
      </c>
      <c r="G1685" s="16" t="s">
        <v>35</v>
      </c>
      <c r="H1685" s="16"/>
      <c r="I1685" s="16"/>
      <c r="J1685" s="16"/>
      <c r="K1685" s="16"/>
      <c r="L1685" s="16"/>
      <c r="M1685" s="16"/>
      <c r="N1685" s="16"/>
      <c r="O1685" s="17" t="s">
        <v>38</v>
      </c>
      <c r="P1685" s="5" t="str">
        <f t="shared" si="43"/>
        <v>Truncate table FMR030;</v>
      </c>
      <c r="Q1685" s="5"/>
      <c r="R1685" s="5"/>
    </row>
    <row r="1686" spans="1:18" x14ac:dyDescent="0.25">
      <c r="B1686" s="19" t="s">
        <v>2178</v>
      </c>
      <c r="C1686" s="16" t="s">
        <v>9371</v>
      </c>
      <c r="D1686" s="16" t="s">
        <v>29</v>
      </c>
      <c r="E1686" s="16"/>
      <c r="F1686" s="5"/>
      <c r="G1686" s="16" t="s">
        <v>35</v>
      </c>
      <c r="H1686" s="16"/>
      <c r="I1686" s="16"/>
      <c r="J1686" s="16"/>
      <c r="K1686" s="16"/>
      <c r="L1686" s="16"/>
      <c r="M1686" s="16"/>
      <c r="N1686" s="16"/>
      <c r="O1686" s="17"/>
      <c r="P1686" s="5" t="str">
        <f t="shared" si="43"/>
        <v>Truncate table FMR110;</v>
      </c>
      <c r="Q1686" s="5"/>
      <c r="R1686" s="5"/>
    </row>
    <row r="1687" spans="1:18" x14ac:dyDescent="0.25">
      <c r="B1687" s="19" t="s">
        <v>2179</v>
      </c>
      <c r="C1687" s="16" t="s">
        <v>9372</v>
      </c>
      <c r="D1687" s="16" t="s">
        <v>29</v>
      </c>
      <c r="E1687" s="16" t="s">
        <v>1712</v>
      </c>
      <c r="F1687" s="16" t="s">
        <v>1941</v>
      </c>
      <c r="G1687" s="16" t="s">
        <v>35</v>
      </c>
      <c r="H1687" s="16"/>
      <c r="I1687" s="16"/>
      <c r="J1687" s="16"/>
      <c r="K1687" s="16"/>
      <c r="L1687" s="16"/>
      <c r="M1687" s="16"/>
      <c r="N1687" s="16"/>
      <c r="O1687" s="17" t="s">
        <v>38</v>
      </c>
      <c r="P1687" s="5" t="str">
        <f t="shared" si="43"/>
        <v>Truncate table FMR120;</v>
      </c>
      <c r="Q1687" s="5"/>
      <c r="R1687" s="5"/>
    </row>
    <row r="1688" spans="1:18" x14ac:dyDescent="0.25">
      <c r="B1688" s="19" t="s">
        <v>2180</v>
      </c>
      <c r="C1688" s="16" t="s">
        <v>9373</v>
      </c>
      <c r="D1688" s="16" t="s">
        <v>29</v>
      </c>
      <c r="E1688" s="16"/>
      <c r="F1688" s="5"/>
      <c r="G1688" s="16" t="s">
        <v>35</v>
      </c>
      <c r="H1688" s="16"/>
      <c r="I1688" s="16"/>
      <c r="J1688" s="16"/>
      <c r="K1688" s="16"/>
      <c r="L1688" s="16"/>
      <c r="M1688" s="16"/>
      <c r="N1688" s="16"/>
      <c r="O1688" s="17"/>
      <c r="P1688" s="5" t="str">
        <f t="shared" si="43"/>
        <v>Truncate table FMR121;</v>
      </c>
      <c r="Q1688" s="5"/>
      <c r="R1688" s="5"/>
    </row>
    <row r="1689" spans="1:18" x14ac:dyDescent="0.25">
      <c r="B1689" s="19" t="s">
        <v>2181</v>
      </c>
      <c r="C1689" s="16" t="s">
        <v>9374</v>
      </c>
      <c r="D1689" s="16" t="s">
        <v>29</v>
      </c>
      <c r="E1689" s="16" t="s">
        <v>1712</v>
      </c>
      <c r="F1689" s="16" t="s">
        <v>1941</v>
      </c>
      <c r="G1689" s="16" t="s">
        <v>35</v>
      </c>
      <c r="H1689" s="16"/>
      <c r="I1689" s="16"/>
      <c r="J1689" s="16"/>
      <c r="K1689" s="16"/>
      <c r="L1689" s="16"/>
      <c r="M1689" s="16"/>
      <c r="N1689" s="16"/>
      <c r="O1689" s="17" t="s">
        <v>38</v>
      </c>
      <c r="P1689" s="5" t="str">
        <f t="shared" si="43"/>
        <v>Truncate table FMR130;</v>
      </c>
      <c r="Q1689" s="5"/>
      <c r="R1689" s="5"/>
    </row>
    <row r="1690" spans="1:18" x14ac:dyDescent="0.25">
      <c r="B1690" s="19" t="s">
        <v>2182</v>
      </c>
      <c r="C1690" t="s">
        <v>10043</v>
      </c>
      <c r="D1690" s="16" t="s">
        <v>29</v>
      </c>
      <c r="E1690" s="16"/>
      <c r="F1690" s="5"/>
      <c r="G1690" s="16" t="s">
        <v>35</v>
      </c>
      <c r="H1690" s="16"/>
      <c r="I1690" s="16"/>
      <c r="J1690" s="16"/>
      <c r="K1690" s="16"/>
      <c r="L1690" s="16"/>
      <c r="M1690" s="16"/>
      <c r="N1690" s="16"/>
      <c r="O1690" s="17"/>
      <c r="P1690" s="5" t="str">
        <f t="shared" si="43"/>
        <v>Truncate table FMR140;</v>
      </c>
      <c r="Q1690" s="5"/>
      <c r="R1690" s="5"/>
    </row>
    <row r="1691" spans="1:18" x14ac:dyDescent="0.25">
      <c r="B1691" s="19" t="s">
        <v>2183</v>
      </c>
      <c r="C1691" s="16" t="s">
        <v>9375</v>
      </c>
      <c r="D1691" s="16" t="s">
        <v>29</v>
      </c>
      <c r="E1691" s="16" t="s">
        <v>1712</v>
      </c>
      <c r="F1691" s="16" t="s">
        <v>1941</v>
      </c>
      <c r="G1691" s="16" t="s">
        <v>35</v>
      </c>
      <c r="H1691" s="16"/>
      <c r="I1691" s="16"/>
      <c r="J1691" s="16"/>
      <c r="K1691" s="16"/>
      <c r="L1691" s="16"/>
      <c r="M1691" s="16"/>
      <c r="N1691" s="16"/>
      <c r="O1691" s="17" t="s">
        <v>38</v>
      </c>
      <c r="P1691" s="5" t="str">
        <f t="shared" si="43"/>
        <v>Truncate table FMR999;</v>
      </c>
      <c r="Q1691" s="5"/>
      <c r="R1691" s="5"/>
    </row>
    <row r="1692" spans="1:18" s="306" customFormat="1" x14ac:dyDescent="0.25">
      <c r="A1692" s="71"/>
      <c r="B1692" s="307" t="s">
        <v>2184</v>
      </c>
      <c r="C1692" s="308"/>
      <c r="D1692" s="308" t="s">
        <v>29</v>
      </c>
      <c r="E1692" s="308"/>
      <c r="F1692" s="308"/>
      <c r="G1692" s="308" t="s">
        <v>35</v>
      </c>
      <c r="H1692" s="308"/>
      <c r="I1692" s="308"/>
      <c r="J1692" s="308"/>
      <c r="K1692" s="308"/>
      <c r="L1692" s="308"/>
      <c r="M1692" s="308"/>
      <c r="N1692" s="308"/>
      <c r="O1692" s="309"/>
      <c r="P1692" s="308" t="str">
        <f t="shared" ref="P1692:P1723" si="44">IF(D1692="Datos","Truncate table "&amp; B1692&amp; ";","")</f>
        <v>Truncate table FMTO0114;</v>
      </c>
      <c r="Q1692" s="308"/>
      <c r="R1692" s="308"/>
    </row>
    <row r="1693" spans="1:18" x14ac:dyDescent="0.25">
      <c r="B1693" s="19" t="s">
        <v>2185</v>
      </c>
      <c r="C1693" s="16" t="s">
        <v>9376</v>
      </c>
      <c r="D1693" s="16" t="s">
        <v>29</v>
      </c>
      <c r="E1693" s="16"/>
      <c r="F1693" s="5"/>
      <c r="G1693" s="16" t="s">
        <v>35</v>
      </c>
      <c r="H1693" s="16"/>
      <c r="I1693" s="16"/>
      <c r="J1693" s="16"/>
      <c r="K1693" s="16"/>
      <c r="L1693" s="16"/>
      <c r="M1693" s="16"/>
      <c r="N1693" s="16"/>
      <c r="O1693" s="17"/>
      <c r="P1693" s="5" t="str">
        <f t="shared" si="44"/>
        <v>Truncate table FMU021;</v>
      </c>
      <c r="Q1693" s="5"/>
      <c r="R1693" s="5"/>
    </row>
    <row r="1694" spans="1:18" x14ac:dyDescent="0.25">
      <c r="B1694" s="19" t="s">
        <v>2186</v>
      </c>
      <c r="C1694" s="16" t="s">
        <v>2187</v>
      </c>
      <c r="D1694" s="16" t="s">
        <v>29</v>
      </c>
      <c r="E1694" s="16" t="s">
        <v>1712</v>
      </c>
      <c r="F1694" s="16" t="s">
        <v>1941</v>
      </c>
      <c r="G1694" s="16" t="s">
        <v>35</v>
      </c>
      <c r="H1694" s="16"/>
      <c r="I1694" s="16"/>
      <c r="J1694" s="16"/>
      <c r="K1694" s="16"/>
      <c r="L1694" s="16"/>
      <c r="M1694" s="16"/>
      <c r="N1694" s="16"/>
      <c r="O1694" s="17" t="s">
        <v>38</v>
      </c>
      <c r="P1694" s="5" t="str">
        <f t="shared" si="44"/>
        <v>Truncate table FMU030;</v>
      </c>
      <c r="Q1694" s="5"/>
      <c r="R1694" s="5"/>
    </row>
    <row r="1695" spans="1:18" x14ac:dyDescent="0.25">
      <c r="B1695" s="19" t="s">
        <v>2188</v>
      </c>
      <c r="C1695" s="16" t="s">
        <v>9377</v>
      </c>
      <c r="D1695" s="16" t="s">
        <v>29</v>
      </c>
      <c r="E1695" s="16"/>
      <c r="F1695" s="5"/>
      <c r="G1695" s="16" t="s">
        <v>35</v>
      </c>
      <c r="H1695" s="16"/>
      <c r="I1695" s="16"/>
      <c r="J1695" s="16"/>
      <c r="K1695" s="16"/>
      <c r="L1695" s="16"/>
      <c r="M1695" s="16"/>
      <c r="N1695" s="16"/>
      <c r="O1695" s="17"/>
      <c r="P1695" s="5" t="str">
        <f t="shared" si="44"/>
        <v>Truncate table FMU121;</v>
      </c>
      <c r="Q1695" s="5"/>
      <c r="R1695" s="5"/>
    </row>
    <row r="1696" spans="1:18" x14ac:dyDescent="0.25">
      <c r="B1696" s="19" t="s">
        <v>2189</v>
      </c>
      <c r="C1696" s="16" t="s">
        <v>2190</v>
      </c>
      <c r="D1696" s="16" t="s">
        <v>29</v>
      </c>
      <c r="E1696" s="16" t="s">
        <v>1712</v>
      </c>
      <c r="F1696" s="16" t="s">
        <v>1941</v>
      </c>
      <c r="G1696" s="16" t="s">
        <v>35</v>
      </c>
      <c r="H1696" s="16"/>
      <c r="I1696" s="16"/>
      <c r="J1696" s="16"/>
      <c r="K1696" s="16"/>
      <c r="L1696" s="16"/>
      <c r="M1696" s="16"/>
      <c r="N1696" s="16"/>
      <c r="O1696" s="17" t="s">
        <v>38</v>
      </c>
      <c r="P1696" s="5" t="str">
        <f t="shared" si="44"/>
        <v>Truncate table FMU130;</v>
      </c>
      <c r="Q1696" s="5"/>
      <c r="R1696" s="5"/>
    </row>
    <row r="1697" spans="2:18" x14ac:dyDescent="0.25">
      <c r="B1697" s="19" t="s">
        <v>2191</v>
      </c>
      <c r="C1697" s="16" t="s">
        <v>2192</v>
      </c>
      <c r="D1697" s="16" t="s">
        <v>29</v>
      </c>
      <c r="E1697" s="16" t="s">
        <v>1712</v>
      </c>
      <c r="F1697" s="16" t="s">
        <v>1941</v>
      </c>
      <c r="G1697" s="16" t="s">
        <v>35</v>
      </c>
      <c r="H1697" s="16"/>
      <c r="I1697" s="16"/>
      <c r="J1697" s="16"/>
      <c r="K1697" s="16"/>
      <c r="L1697" s="16"/>
      <c r="M1697" s="16"/>
      <c r="N1697" s="16"/>
      <c r="O1697" s="17" t="s">
        <v>38</v>
      </c>
      <c r="P1697" s="5" t="str">
        <f t="shared" si="44"/>
        <v>Truncate table FMU999;</v>
      </c>
      <c r="Q1697" s="5"/>
      <c r="R1697" s="5"/>
    </row>
    <row r="1698" spans="2:18" x14ac:dyDescent="0.25">
      <c r="B1698" s="19" t="s">
        <v>2193</v>
      </c>
      <c r="C1698" s="16" t="s">
        <v>9378</v>
      </c>
      <c r="D1698" s="16" t="s">
        <v>8152</v>
      </c>
      <c r="E1698" s="16" t="s">
        <v>1712</v>
      </c>
      <c r="F1698" s="16" t="s">
        <v>1941</v>
      </c>
      <c r="G1698" s="16" t="s">
        <v>35</v>
      </c>
      <c r="H1698" s="16"/>
      <c r="I1698" s="16"/>
      <c r="J1698" s="16"/>
      <c r="K1698" s="16"/>
      <c r="L1698" s="16"/>
      <c r="M1698" s="16"/>
      <c r="N1698" s="16"/>
      <c r="O1698" s="17" t="s">
        <v>38</v>
      </c>
      <c r="P1698" s="5" t="str">
        <f t="shared" si="44"/>
        <v/>
      </c>
      <c r="Q1698" s="5"/>
      <c r="R1698" s="5"/>
    </row>
    <row r="1699" spans="2:18" x14ac:dyDescent="0.25">
      <c r="B1699" s="19" t="s">
        <v>2194</v>
      </c>
      <c r="C1699" s="16" t="s">
        <v>2195</v>
      </c>
      <c r="D1699" s="16" t="s">
        <v>8152</v>
      </c>
      <c r="E1699" s="16" t="s">
        <v>1712</v>
      </c>
      <c r="F1699" s="16" t="s">
        <v>1941</v>
      </c>
      <c r="G1699" s="16" t="s">
        <v>35</v>
      </c>
      <c r="H1699" s="16"/>
      <c r="I1699" s="16"/>
      <c r="J1699" s="16"/>
      <c r="K1699" s="16"/>
      <c r="L1699" s="16"/>
      <c r="M1699" s="16"/>
      <c r="N1699" s="16"/>
      <c r="O1699" s="17"/>
      <c r="P1699" s="5" t="str">
        <f t="shared" si="44"/>
        <v/>
      </c>
      <c r="Q1699" s="5"/>
      <c r="R1699" s="5"/>
    </row>
    <row r="1700" spans="2:18" x14ac:dyDescent="0.25">
      <c r="B1700" s="19" t="s">
        <v>2196</v>
      </c>
      <c r="C1700" s="16" t="s">
        <v>9379</v>
      </c>
      <c r="D1700" s="16" t="s">
        <v>29</v>
      </c>
      <c r="E1700" s="16" t="s">
        <v>1712</v>
      </c>
      <c r="F1700" s="16" t="s">
        <v>1941</v>
      </c>
      <c r="G1700" s="16" t="s">
        <v>35</v>
      </c>
      <c r="H1700" s="16"/>
      <c r="I1700" s="16"/>
      <c r="J1700" s="16"/>
      <c r="K1700" s="16"/>
      <c r="L1700" s="16"/>
      <c r="M1700" s="16"/>
      <c r="N1700" s="16"/>
      <c r="O1700" s="17" t="s">
        <v>38</v>
      </c>
      <c r="P1700" s="5" t="str">
        <f t="shared" si="44"/>
        <v>Truncate table FOC010;</v>
      </c>
      <c r="Q1700" s="5"/>
      <c r="R1700" s="5"/>
    </row>
    <row r="1701" spans="2:18" x14ac:dyDescent="0.25">
      <c r="B1701" s="19" t="s">
        <v>2197</v>
      </c>
      <c r="C1701" s="16" t="s">
        <v>8546</v>
      </c>
      <c r="D1701" s="16" t="s">
        <v>8152</v>
      </c>
      <c r="E1701" s="16" t="s">
        <v>8230</v>
      </c>
      <c r="F1701" s="16" t="s">
        <v>8219</v>
      </c>
      <c r="G1701" s="16" t="s">
        <v>35</v>
      </c>
      <c r="H1701" s="16" t="s">
        <v>36</v>
      </c>
      <c r="I1701" s="16"/>
      <c r="J1701" s="16"/>
      <c r="K1701" s="16"/>
      <c r="L1701" s="16"/>
      <c r="M1701" s="16"/>
      <c r="N1701" s="16"/>
      <c r="O1701" s="17" t="s">
        <v>38</v>
      </c>
      <c r="P1701" s="5" t="str">
        <f t="shared" si="44"/>
        <v/>
      </c>
      <c r="Q1701" s="5"/>
      <c r="R1701" s="5"/>
    </row>
    <row r="1702" spans="2:18" x14ac:dyDescent="0.25">
      <c r="B1702" s="19" t="s">
        <v>2198</v>
      </c>
      <c r="C1702" s="5" t="s">
        <v>2195</v>
      </c>
      <c r="D1702" s="16" t="s">
        <v>29</v>
      </c>
      <c r="E1702" s="16" t="s">
        <v>1712</v>
      </c>
      <c r="F1702" s="16" t="s">
        <v>1941</v>
      </c>
      <c r="G1702" s="16" t="s">
        <v>35</v>
      </c>
      <c r="H1702" s="16"/>
      <c r="I1702" s="16"/>
      <c r="J1702" s="16"/>
      <c r="K1702" s="16"/>
      <c r="L1702" s="16"/>
      <c r="M1702" s="16"/>
      <c r="N1702" s="16"/>
      <c r="O1702" s="17"/>
      <c r="P1702" s="5" t="str">
        <f t="shared" si="44"/>
        <v>Truncate table FOC015;</v>
      </c>
      <c r="Q1702" s="5"/>
      <c r="R1702" s="5"/>
    </row>
    <row r="1703" spans="2:18" x14ac:dyDescent="0.25">
      <c r="B1703" s="19" t="s">
        <v>2199</v>
      </c>
      <c r="C1703" s="5" t="s">
        <v>2195</v>
      </c>
      <c r="D1703" s="16" t="s">
        <v>8152</v>
      </c>
      <c r="E1703" s="16" t="s">
        <v>1712</v>
      </c>
      <c r="F1703" s="16" t="s">
        <v>1941</v>
      </c>
      <c r="G1703" s="16" t="s">
        <v>35</v>
      </c>
      <c r="H1703" s="16"/>
      <c r="I1703" s="16"/>
      <c r="J1703" s="16"/>
      <c r="K1703" s="16"/>
      <c r="L1703" s="16"/>
      <c r="M1703" s="16"/>
      <c r="N1703" s="16"/>
      <c r="O1703" s="17"/>
      <c r="P1703" s="5" t="str">
        <f t="shared" si="44"/>
        <v/>
      </c>
      <c r="Q1703" s="5"/>
      <c r="R1703" s="5"/>
    </row>
    <row r="1704" spans="2:18" ht="40.5" x14ac:dyDescent="0.25">
      <c r="B1704" s="4" t="s">
        <v>2200</v>
      </c>
      <c r="C1704" s="5" t="s">
        <v>2201</v>
      </c>
      <c r="D1704" s="25" t="s">
        <v>8152</v>
      </c>
      <c r="E1704" s="16" t="s">
        <v>1712</v>
      </c>
      <c r="F1704" s="5" t="s">
        <v>1711</v>
      </c>
      <c r="G1704" s="16" t="s">
        <v>35</v>
      </c>
      <c r="H1704" s="16" t="s">
        <v>36</v>
      </c>
      <c r="I1704" s="5" t="s">
        <v>2202</v>
      </c>
      <c r="J1704" s="5" t="s">
        <v>2203</v>
      </c>
      <c r="K1704" s="5" t="s">
        <v>2204</v>
      </c>
      <c r="L1704" s="5"/>
      <c r="M1704" s="5"/>
      <c r="N1704" s="5"/>
      <c r="O1704" s="17"/>
      <c r="P1704" s="5" t="str">
        <f t="shared" si="44"/>
        <v/>
      </c>
      <c r="Q1704" s="5"/>
      <c r="R1704" s="5"/>
    </row>
    <row r="1705" spans="2:18" ht="40.5" x14ac:dyDescent="0.25">
      <c r="B1705" s="4" t="s">
        <v>2205</v>
      </c>
      <c r="C1705" s="5" t="s">
        <v>2206</v>
      </c>
      <c r="D1705" s="16" t="s">
        <v>8152</v>
      </c>
      <c r="E1705" s="16" t="s">
        <v>1712</v>
      </c>
      <c r="F1705" s="5" t="s">
        <v>1711</v>
      </c>
      <c r="G1705" s="16" t="s">
        <v>35</v>
      </c>
      <c r="H1705" s="16" t="s">
        <v>36</v>
      </c>
      <c r="I1705" s="5" t="s">
        <v>2207</v>
      </c>
      <c r="J1705" s="5" t="s">
        <v>2208</v>
      </c>
      <c r="K1705" s="5" t="s">
        <v>2204</v>
      </c>
      <c r="L1705" s="5"/>
      <c r="M1705" s="5"/>
      <c r="N1705" s="5" t="s">
        <v>2209</v>
      </c>
      <c r="O1705" s="17"/>
      <c r="P1705" s="5" t="str">
        <f t="shared" si="44"/>
        <v/>
      </c>
      <c r="Q1705" s="5"/>
      <c r="R1705" s="5"/>
    </row>
    <row r="1706" spans="2:18" x14ac:dyDescent="0.25">
      <c r="B1706" s="19" t="s">
        <v>2210</v>
      </c>
      <c r="C1706" s="5" t="s">
        <v>2195</v>
      </c>
      <c r="D1706" s="16" t="s">
        <v>29</v>
      </c>
      <c r="E1706" s="16" t="s">
        <v>1712</v>
      </c>
      <c r="F1706" s="16" t="s">
        <v>1941</v>
      </c>
      <c r="G1706" s="16" t="s">
        <v>35</v>
      </c>
      <c r="H1706" s="16"/>
      <c r="I1706" s="16"/>
      <c r="J1706" s="16"/>
      <c r="K1706" s="16"/>
      <c r="L1706" s="16"/>
      <c r="M1706" s="16"/>
      <c r="N1706" s="16"/>
      <c r="O1706" s="17"/>
      <c r="P1706" s="5" t="str">
        <f t="shared" si="44"/>
        <v>Truncate table FOC040;</v>
      </c>
      <c r="Q1706" s="5"/>
      <c r="R1706" s="5"/>
    </row>
    <row r="1707" spans="2:18" x14ac:dyDescent="0.25">
      <c r="B1707" s="19" t="s">
        <v>2211</v>
      </c>
      <c r="C1707" s="5" t="s">
        <v>2195</v>
      </c>
      <c r="D1707" s="16" t="s">
        <v>29</v>
      </c>
      <c r="E1707" s="16" t="s">
        <v>1712</v>
      </c>
      <c r="F1707" s="16" t="s">
        <v>1941</v>
      </c>
      <c r="G1707" s="16" t="s">
        <v>35</v>
      </c>
      <c r="H1707" s="16"/>
      <c r="I1707" s="16"/>
      <c r="J1707" s="16"/>
      <c r="K1707" s="16"/>
      <c r="L1707" s="16"/>
      <c r="M1707" s="16"/>
      <c r="N1707" s="16"/>
      <c r="O1707" s="17"/>
      <c r="P1707" s="5" t="str">
        <f t="shared" si="44"/>
        <v>Truncate table FOC531;</v>
      </c>
      <c r="Q1707" s="5"/>
      <c r="R1707" s="5"/>
    </row>
    <row r="1708" spans="2:18" x14ac:dyDescent="0.25">
      <c r="B1708" s="19" t="s">
        <v>2212</v>
      </c>
      <c r="C1708" s="5" t="s">
        <v>2195</v>
      </c>
      <c r="D1708" s="16" t="s">
        <v>29</v>
      </c>
      <c r="E1708" s="16" t="s">
        <v>1712</v>
      </c>
      <c r="F1708" s="16" t="s">
        <v>1941</v>
      </c>
      <c r="G1708" s="16" t="s">
        <v>35</v>
      </c>
      <c r="H1708" s="16"/>
      <c r="I1708" s="16"/>
      <c r="J1708" s="16"/>
      <c r="K1708" s="16"/>
      <c r="L1708" s="16"/>
      <c r="M1708" s="16"/>
      <c r="N1708" s="16"/>
      <c r="O1708" s="17"/>
      <c r="P1708" s="5" t="str">
        <f t="shared" si="44"/>
        <v>Truncate table FOC532;</v>
      </c>
      <c r="Q1708" s="5"/>
      <c r="R1708" s="5"/>
    </row>
    <row r="1709" spans="2:18" x14ac:dyDescent="0.25">
      <c r="B1709" s="19" t="s">
        <v>2213</v>
      </c>
      <c r="C1709" s="5" t="s">
        <v>2195</v>
      </c>
      <c r="D1709" s="16" t="s">
        <v>29</v>
      </c>
      <c r="E1709" s="16" t="s">
        <v>1712</v>
      </c>
      <c r="F1709" s="16" t="s">
        <v>1941</v>
      </c>
      <c r="G1709" s="16" t="s">
        <v>35</v>
      </c>
      <c r="H1709" s="16"/>
      <c r="I1709" s="16"/>
      <c r="J1709" s="16"/>
      <c r="K1709" s="16"/>
      <c r="L1709" s="16"/>
      <c r="M1709" s="16"/>
      <c r="N1709" s="16"/>
      <c r="O1709" s="17"/>
      <c r="P1709" s="5" t="str">
        <f t="shared" si="44"/>
        <v>Truncate table FOC533;</v>
      </c>
      <c r="Q1709" s="5"/>
      <c r="R1709" s="5"/>
    </row>
    <row r="1710" spans="2:18" x14ac:dyDescent="0.25">
      <c r="B1710" s="19" t="s">
        <v>2214</v>
      </c>
      <c r="C1710" s="5" t="s">
        <v>2195</v>
      </c>
      <c r="D1710" s="16" t="s">
        <v>29</v>
      </c>
      <c r="E1710" s="16" t="s">
        <v>1712</v>
      </c>
      <c r="F1710" s="16" t="s">
        <v>1941</v>
      </c>
      <c r="G1710" s="16" t="s">
        <v>35</v>
      </c>
      <c r="H1710" s="16"/>
      <c r="I1710" s="16"/>
      <c r="J1710" s="16"/>
      <c r="K1710" s="16"/>
      <c r="L1710" s="16"/>
      <c r="M1710" s="16"/>
      <c r="N1710" s="16"/>
      <c r="O1710" s="17"/>
      <c r="P1710" s="5" t="str">
        <f t="shared" si="44"/>
        <v>Truncate table FOC534;</v>
      </c>
      <c r="Q1710" s="5"/>
      <c r="R1710" s="5"/>
    </row>
    <row r="1711" spans="2:18" x14ac:dyDescent="0.25">
      <c r="B1711" s="19" t="s">
        <v>2215</v>
      </c>
      <c r="C1711" s="5" t="s">
        <v>2195</v>
      </c>
      <c r="D1711" s="16" t="s">
        <v>29</v>
      </c>
      <c r="E1711" s="16" t="s">
        <v>1712</v>
      </c>
      <c r="F1711" s="16" t="s">
        <v>1941</v>
      </c>
      <c r="G1711" s="16" t="s">
        <v>35</v>
      </c>
      <c r="H1711" s="16"/>
      <c r="I1711" s="16"/>
      <c r="J1711" s="16"/>
      <c r="K1711" s="16"/>
      <c r="L1711" s="16"/>
      <c r="M1711" s="16"/>
      <c r="N1711" s="16"/>
      <c r="O1711" s="17"/>
      <c r="P1711" s="5" t="str">
        <f t="shared" si="44"/>
        <v>Truncate table FOC536;</v>
      </c>
      <c r="Q1711" s="5"/>
      <c r="R1711" s="5"/>
    </row>
    <row r="1712" spans="2:18" x14ac:dyDescent="0.25">
      <c r="B1712" s="19" t="s">
        <v>2216</v>
      </c>
      <c r="C1712" s="5" t="s">
        <v>2195</v>
      </c>
      <c r="D1712" s="16" t="s">
        <v>29</v>
      </c>
      <c r="E1712" s="16" t="s">
        <v>1712</v>
      </c>
      <c r="F1712" s="16" t="s">
        <v>1941</v>
      </c>
      <c r="G1712" s="16" t="s">
        <v>35</v>
      </c>
      <c r="H1712" s="16"/>
      <c r="I1712" s="16"/>
      <c r="J1712" s="16"/>
      <c r="K1712" s="16"/>
      <c r="L1712" s="16"/>
      <c r="M1712" s="16"/>
      <c r="N1712" s="16"/>
      <c r="O1712" s="17"/>
      <c r="P1712" s="5" t="str">
        <f t="shared" si="44"/>
        <v>Truncate table FOC537;</v>
      </c>
      <c r="Q1712" s="5"/>
      <c r="R1712" s="5"/>
    </row>
    <row r="1713" spans="2:18" x14ac:dyDescent="0.25">
      <c r="B1713" s="19" t="s">
        <v>2217</v>
      </c>
      <c r="C1713" s="5" t="s">
        <v>2195</v>
      </c>
      <c r="D1713" s="16" t="s">
        <v>29</v>
      </c>
      <c r="E1713" s="16" t="s">
        <v>1712</v>
      </c>
      <c r="F1713" s="16" t="s">
        <v>1941</v>
      </c>
      <c r="G1713" s="16" t="s">
        <v>35</v>
      </c>
      <c r="H1713" s="16"/>
      <c r="I1713" s="16"/>
      <c r="J1713" s="16"/>
      <c r="K1713" s="16"/>
      <c r="L1713" s="16"/>
      <c r="M1713" s="16"/>
      <c r="N1713" s="16"/>
      <c r="O1713" s="17"/>
      <c r="P1713" s="5" t="str">
        <f t="shared" si="44"/>
        <v>Truncate table FOC540;</v>
      </c>
      <c r="Q1713" s="5"/>
      <c r="R1713" s="5"/>
    </row>
    <row r="1714" spans="2:18" x14ac:dyDescent="0.25">
      <c r="B1714" s="19" t="s">
        <v>2218</v>
      </c>
      <c r="C1714" s="5" t="s">
        <v>2195</v>
      </c>
      <c r="D1714" s="16" t="s">
        <v>29</v>
      </c>
      <c r="E1714" s="16" t="s">
        <v>1712</v>
      </c>
      <c r="F1714" s="16" t="s">
        <v>1941</v>
      </c>
      <c r="G1714" s="16" t="s">
        <v>35</v>
      </c>
      <c r="H1714" s="16"/>
      <c r="I1714" s="16"/>
      <c r="J1714" s="16"/>
      <c r="K1714" s="16"/>
      <c r="L1714" s="16"/>
      <c r="M1714" s="16"/>
      <c r="N1714" s="16"/>
      <c r="O1714" s="17"/>
      <c r="P1714" s="5" t="str">
        <f t="shared" si="44"/>
        <v>Truncate table FOC541;</v>
      </c>
      <c r="Q1714" s="5"/>
      <c r="R1714" s="5"/>
    </row>
    <row r="1715" spans="2:18" x14ac:dyDescent="0.25">
      <c r="B1715" s="19" t="s">
        <v>2219</v>
      </c>
      <c r="C1715" s="5" t="s">
        <v>2195</v>
      </c>
      <c r="D1715" s="16" t="s">
        <v>29</v>
      </c>
      <c r="E1715" s="16" t="s">
        <v>1712</v>
      </c>
      <c r="F1715" s="16" t="s">
        <v>1941</v>
      </c>
      <c r="G1715" s="16" t="s">
        <v>35</v>
      </c>
      <c r="H1715" s="16"/>
      <c r="I1715" s="16"/>
      <c r="J1715" s="16"/>
      <c r="K1715" s="16"/>
      <c r="L1715" s="16"/>
      <c r="M1715" s="16"/>
      <c r="N1715" s="16"/>
      <c r="O1715" s="17"/>
      <c r="P1715" s="5" t="str">
        <f t="shared" si="44"/>
        <v>Truncate table FOC550;</v>
      </c>
      <c r="Q1715" s="5"/>
      <c r="R1715" s="5"/>
    </row>
    <row r="1716" spans="2:18" x14ac:dyDescent="0.25">
      <c r="B1716" s="19" t="s">
        <v>2220</v>
      </c>
      <c r="C1716" s="16" t="s">
        <v>9380</v>
      </c>
      <c r="D1716" s="16" t="s">
        <v>29</v>
      </c>
      <c r="E1716" s="16" t="s">
        <v>1712</v>
      </c>
      <c r="F1716" s="16" t="s">
        <v>1941</v>
      </c>
      <c r="G1716" s="16" t="s">
        <v>35</v>
      </c>
      <c r="H1716" s="16"/>
      <c r="I1716" s="16"/>
      <c r="J1716" s="16"/>
      <c r="K1716" s="16"/>
      <c r="L1716" s="16"/>
      <c r="M1716" s="16"/>
      <c r="N1716" s="16"/>
      <c r="O1716" s="17" t="s">
        <v>38</v>
      </c>
      <c r="P1716" s="5" t="str">
        <f t="shared" si="44"/>
        <v>Truncate table FOC551;</v>
      </c>
      <c r="Q1716" s="5"/>
      <c r="R1716" s="5"/>
    </row>
    <row r="1717" spans="2:18" x14ac:dyDescent="0.25">
      <c r="B1717" s="19" t="s">
        <v>2221</v>
      </c>
      <c r="C1717" s="16" t="s">
        <v>2195</v>
      </c>
      <c r="D1717" s="16" t="s">
        <v>29</v>
      </c>
      <c r="E1717" s="16" t="s">
        <v>1712</v>
      </c>
      <c r="F1717" s="16" t="s">
        <v>1941</v>
      </c>
      <c r="G1717" s="16" t="s">
        <v>35</v>
      </c>
      <c r="H1717" s="16"/>
      <c r="I1717" s="16"/>
      <c r="J1717" s="16"/>
      <c r="K1717" s="16"/>
      <c r="L1717" s="16"/>
      <c r="M1717" s="16"/>
      <c r="N1717" s="16"/>
      <c r="O1717" s="17"/>
      <c r="P1717" s="5" t="str">
        <f t="shared" si="44"/>
        <v>Truncate table FOC552;</v>
      </c>
      <c r="Q1717" s="5"/>
      <c r="R1717" s="5"/>
    </row>
    <row r="1718" spans="2:18" x14ac:dyDescent="0.25">
      <c r="B1718" s="19" t="s">
        <v>2222</v>
      </c>
      <c r="C1718" s="16" t="s">
        <v>2195</v>
      </c>
      <c r="D1718" s="16" t="s">
        <v>29</v>
      </c>
      <c r="E1718" s="16" t="s">
        <v>1712</v>
      </c>
      <c r="F1718" s="16" t="s">
        <v>1941</v>
      </c>
      <c r="G1718" s="16" t="s">
        <v>35</v>
      </c>
      <c r="H1718" s="16"/>
      <c r="I1718" s="16"/>
      <c r="J1718" s="16"/>
      <c r="K1718" s="16"/>
      <c r="L1718" s="16"/>
      <c r="M1718" s="16"/>
      <c r="N1718" s="16"/>
      <c r="O1718" s="17"/>
      <c r="P1718" s="5" t="str">
        <f t="shared" si="44"/>
        <v>Truncate table FOC553;</v>
      </c>
      <c r="Q1718" s="5"/>
      <c r="R1718" s="5"/>
    </row>
    <row r="1719" spans="2:18" x14ac:dyDescent="0.25">
      <c r="B1719" s="19" t="s">
        <v>2223</v>
      </c>
      <c r="C1719" s="16" t="s">
        <v>2195</v>
      </c>
      <c r="D1719" s="16" t="s">
        <v>29</v>
      </c>
      <c r="E1719" s="16" t="s">
        <v>1712</v>
      </c>
      <c r="F1719" s="16" t="s">
        <v>1941</v>
      </c>
      <c r="G1719" s="16" t="s">
        <v>35</v>
      </c>
      <c r="H1719" s="16"/>
      <c r="I1719" s="16"/>
      <c r="J1719" s="16"/>
      <c r="K1719" s="16"/>
      <c r="L1719" s="16"/>
      <c r="M1719" s="16"/>
      <c r="N1719" s="16"/>
      <c r="O1719" s="17"/>
      <c r="P1719" s="5" t="str">
        <f t="shared" si="44"/>
        <v>Truncate table FOC555;</v>
      </c>
      <c r="Q1719" s="5"/>
      <c r="R1719" s="5"/>
    </row>
    <row r="1720" spans="2:18" x14ac:dyDescent="0.25">
      <c r="B1720" s="19" t="s">
        <v>2224</v>
      </c>
      <c r="C1720" s="16" t="s">
        <v>2195</v>
      </c>
      <c r="D1720" s="16" t="s">
        <v>29</v>
      </c>
      <c r="E1720" s="16" t="s">
        <v>1712</v>
      </c>
      <c r="F1720" s="16" t="s">
        <v>1941</v>
      </c>
      <c r="G1720" s="16" t="s">
        <v>35</v>
      </c>
      <c r="H1720" s="16"/>
      <c r="I1720" s="16"/>
      <c r="J1720" s="16"/>
      <c r="K1720" s="16"/>
      <c r="L1720" s="16"/>
      <c r="M1720" s="16"/>
      <c r="N1720" s="16"/>
      <c r="O1720" s="17"/>
      <c r="P1720" s="5" t="str">
        <f t="shared" si="44"/>
        <v>Truncate table FOC556;</v>
      </c>
      <c r="Q1720" s="5"/>
      <c r="R1720" s="5"/>
    </row>
    <row r="1721" spans="2:18" x14ac:dyDescent="0.25">
      <c r="B1721" s="19" t="s">
        <v>2225</v>
      </c>
      <c r="C1721" s="16" t="s">
        <v>2195</v>
      </c>
      <c r="D1721" s="16" t="s">
        <v>29</v>
      </c>
      <c r="E1721" s="16" t="s">
        <v>1712</v>
      </c>
      <c r="F1721" s="16" t="s">
        <v>1941</v>
      </c>
      <c r="G1721" s="16" t="s">
        <v>35</v>
      </c>
      <c r="H1721" s="16"/>
      <c r="I1721" s="16"/>
      <c r="J1721" s="16"/>
      <c r="K1721" s="16"/>
      <c r="L1721" s="16"/>
      <c r="M1721" s="16"/>
      <c r="N1721" s="16"/>
      <c r="O1721" s="17"/>
      <c r="P1721" s="5" t="str">
        <f t="shared" si="44"/>
        <v>Truncate table FOC557;</v>
      </c>
      <c r="Q1721" s="5"/>
      <c r="R1721" s="5"/>
    </row>
    <row r="1722" spans="2:18" x14ac:dyDescent="0.25">
      <c r="B1722" s="19" t="s">
        <v>2226</v>
      </c>
      <c r="C1722" s="16" t="s">
        <v>2195</v>
      </c>
      <c r="D1722" s="16" t="s">
        <v>29</v>
      </c>
      <c r="E1722" s="16" t="s">
        <v>1712</v>
      </c>
      <c r="F1722" s="16" t="s">
        <v>1941</v>
      </c>
      <c r="G1722" s="16" t="s">
        <v>35</v>
      </c>
      <c r="H1722" s="16"/>
      <c r="I1722" s="16"/>
      <c r="J1722" s="16"/>
      <c r="K1722" s="16"/>
      <c r="L1722" s="16"/>
      <c r="M1722" s="16"/>
      <c r="N1722" s="16"/>
      <c r="O1722" s="17"/>
      <c r="P1722" s="5" t="str">
        <f t="shared" si="44"/>
        <v>Truncate table FOC558;</v>
      </c>
      <c r="Q1722" s="5"/>
      <c r="R1722" s="5"/>
    </row>
    <row r="1723" spans="2:18" x14ac:dyDescent="0.25">
      <c r="B1723" s="19" t="s">
        <v>2227</v>
      </c>
      <c r="C1723" s="16" t="s">
        <v>2195</v>
      </c>
      <c r="D1723" s="16" t="s">
        <v>29</v>
      </c>
      <c r="E1723" s="16" t="s">
        <v>1712</v>
      </c>
      <c r="F1723" s="16" t="s">
        <v>1941</v>
      </c>
      <c r="G1723" s="16" t="s">
        <v>35</v>
      </c>
      <c r="H1723" s="16"/>
      <c r="I1723" s="16"/>
      <c r="J1723" s="16"/>
      <c r="K1723" s="16"/>
      <c r="L1723" s="16"/>
      <c r="M1723" s="16"/>
      <c r="N1723" s="16"/>
      <c r="O1723" s="17"/>
      <c r="P1723" s="5" t="str">
        <f t="shared" si="44"/>
        <v>Truncate table FOC559;</v>
      </c>
      <c r="Q1723" s="5"/>
      <c r="R1723" s="5"/>
    </row>
    <row r="1724" spans="2:18" x14ac:dyDescent="0.25">
      <c r="B1724" s="19" t="s">
        <v>2228</v>
      </c>
      <c r="C1724" s="16" t="s">
        <v>2195</v>
      </c>
      <c r="D1724" s="16" t="s">
        <v>29</v>
      </c>
      <c r="E1724" s="16" t="s">
        <v>1712</v>
      </c>
      <c r="F1724" s="16" t="s">
        <v>1941</v>
      </c>
      <c r="G1724" s="16" t="s">
        <v>35</v>
      </c>
      <c r="H1724" s="16"/>
      <c r="I1724" s="16"/>
      <c r="J1724" s="16"/>
      <c r="K1724" s="16"/>
      <c r="L1724" s="16"/>
      <c r="M1724" s="16"/>
      <c r="N1724" s="16"/>
      <c r="O1724" s="17"/>
      <c r="P1724" s="5" t="str">
        <f t="shared" ref="P1724:P1759" si="45">IF(D1724="Datos","Truncate table "&amp; B1724&amp; ";","")</f>
        <v>Truncate table FOC560;</v>
      </c>
      <c r="Q1724" s="5"/>
      <c r="R1724" s="5"/>
    </row>
    <row r="1725" spans="2:18" x14ac:dyDescent="0.25">
      <c r="B1725" s="19" t="s">
        <v>2229</v>
      </c>
      <c r="C1725" s="16" t="s">
        <v>2195</v>
      </c>
      <c r="D1725" s="16" t="s">
        <v>29</v>
      </c>
      <c r="E1725" s="16" t="s">
        <v>1712</v>
      </c>
      <c r="F1725" s="16" t="s">
        <v>1941</v>
      </c>
      <c r="G1725" s="16" t="s">
        <v>35</v>
      </c>
      <c r="H1725" s="16"/>
      <c r="I1725" s="16"/>
      <c r="J1725" s="16"/>
      <c r="K1725" s="16"/>
      <c r="L1725" s="16"/>
      <c r="M1725" s="16"/>
      <c r="N1725" s="16"/>
      <c r="O1725" s="17"/>
      <c r="P1725" s="5" t="str">
        <f t="shared" si="45"/>
        <v>Truncate table FOC561;</v>
      </c>
      <c r="Q1725" s="5"/>
      <c r="R1725" s="5"/>
    </row>
    <row r="1726" spans="2:18" x14ac:dyDescent="0.25">
      <c r="B1726" s="19" t="s">
        <v>2230</v>
      </c>
      <c r="C1726" s="16" t="s">
        <v>9381</v>
      </c>
      <c r="D1726" s="16" t="s">
        <v>29</v>
      </c>
      <c r="E1726" s="16" t="s">
        <v>1712</v>
      </c>
      <c r="F1726" s="16" t="s">
        <v>1941</v>
      </c>
      <c r="G1726" s="16" t="s">
        <v>35</v>
      </c>
      <c r="H1726" s="16"/>
      <c r="I1726" s="16"/>
      <c r="J1726" s="16"/>
      <c r="K1726" s="16"/>
      <c r="L1726" s="16"/>
      <c r="M1726" s="16"/>
      <c r="N1726" s="16"/>
      <c r="O1726" s="17" t="s">
        <v>38</v>
      </c>
      <c r="P1726" s="5" t="str">
        <f t="shared" si="45"/>
        <v>Truncate table FOC562;</v>
      </c>
      <c r="Q1726" s="5"/>
      <c r="R1726" s="5"/>
    </row>
    <row r="1727" spans="2:18" x14ac:dyDescent="0.25">
      <c r="B1727" s="19" t="s">
        <v>2231</v>
      </c>
      <c r="C1727" s="16" t="s">
        <v>9382</v>
      </c>
      <c r="D1727" s="16" t="s">
        <v>29</v>
      </c>
      <c r="E1727" s="16" t="s">
        <v>1712</v>
      </c>
      <c r="F1727" s="16" t="s">
        <v>1941</v>
      </c>
      <c r="G1727" s="16" t="s">
        <v>35</v>
      </c>
      <c r="H1727" s="16"/>
      <c r="I1727" s="16"/>
      <c r="J1727" s="16"/>
      <c r="K1727" s="16"/>
      <c r="L1727" s="16"/>
      <c r="M1727" s="16"/>
      <c r="N1727" s="16"/>
      <c r="O1727" s="17" t="s">
        <v>38</v>
      </c>
      <c r="P1727" s="5" t="str">
        <f t="shared" si="45"/>
        <v>Truncate table FOC563;</v>
      </c>
      <c r="Q1727" s="5"/>
      <c r="R1727" s="5"/>
    </row>
    <row r="1728" spans="2:18" x14ac:dyDescent="0.25">
      <c r="B1728" s="19" t="s">
        <v>2232</v>
      </c>
      <c r="C1728" s="16" t="s">
        <v>9383</v>
      </c>
      <c r="D1728" s="16" t="s">
        <v>29</v>
      </c>
      <c r="E1728" s="16" t="s">
        <v>1712</v>
      </c>
      <c r="F1728" s="16" t="s">
        <v>1941</v>
      </c>
      <c r="G1728" s="16" t="s">
        <v>35</v>
      </c>
      <c r="H1728" s="16"/>
      <c r="I1728" s="16"/>
      <c r="J1728" s="16"/>
      <c r="K1728" s="16"/>
      <c r="L1728" s="16"/>
      <c r="M1728" s="16"/>
      <c r="N1728" s="16"/>
      <c r="O1728" s="17" t="s">
        <v>38</v>
      </c>
      <c r="P1728" s="5" t="str">
        <f t="shared" si="45"/>
        <v>Truncate table FOC564;</v>
      </c>
      <c r="Q1728" s="5"/>
      <c r="R1728" s="5"/>
    </row>
    <row r="1729" spans="2:18" x14ac:dyDescent="0.25">
      <c r="B1729" s="19" t="s">
        <v>2233</v>
      </c>
      <c r="C1729" s="16" t="s">
        <v>9384</v>
      </c>
      <c r="D1729" s="16" t="s">
        <v>29</v>
      </c>
      <c r="E1729" s="16" t="s">
        <v>1712</v>
      </c>
      <c r="F1729" s="16" t="s">
        <v>1941</v>
      </c>
      <c r="G1729" s="16" t="s">
        <v>35</v>
      </c>
      <c r="H1729" s="16"/>
      <c r="I1729" s="16"/>
      <c r="J1729" s="16"/>
      <c r="K1729" s="16"/>
      <c r="L1729" s="16"/>
      <c r="M1729" s="16"/>
      <c r="N1729" s="16"/>
      <c r="O1729" s="17" t="s">
        <v>38</v>
      </c>
      <c r="P1729" s="5" t="str">
        <f t="shared" si="45"/>
        <v>Truncate table FOC565;</v>
      </c>
      <c r="Q1729" s="5"/>
      <c r="R1729" s="5"/>
    </row>
    <row r="1730" spans="2:18" x14ac:dyDescent="0.25">
      <c r="B1730" s="19" t="s">
        <v>2234</v>
      </c>
      <c r="C1730" s="16" t="s">
        <v>2195</v>
      </c>
      <c r="D1730" s="16" t="s">
        <v>29</v>
      </c>
      <c r="E1730" s="16" t="s">
        <v>1712</v>
      </c>
      <c r="F1730" s="16" t="s">
        <v>1941</v>
      </c>
      <c r="G1730" s="16" t="s">
        <v>35</v>
      </c>
      <c r="H1730" s="16"/>
      <c r="I1730" s="16"/>
      <c r="J1730" s="16"/>
      <c r="K1730" s="16"/>
      <c r="L1730" s="16"/>
      <c r="M1730" s="16"/>
      <c r="N1730" s="16"/>
      <c r="O1730" s="17"/>
      <c r="P1730" s="5" t="str">
        <f t="shared" si="45"/>
        <v>Truncate table FOC566;</v>
      </c>
      <c r="Q1730" s="5"/>
      <c r="R1730" s="5"/>
    </row>
    <row r="1731" spans="2:18" x14ac:dyDescent="0.25">
      <c r="B1731" s="19" t="s">
        <v>2235</v>
      </c>
      <c r="C1731" s="16" t="s">
        <v>2195</v>
      </c>
      <c r="D1731" s="16" t="s">
        <v>29</v>
      </c>
      <c r="E1731" s="16" t="s">
        <v>1712</v>
      </c>
      <c r="F1731" s="16" t="s">
        <v>1941</v>
      </c>
      <c r="G1731" s="16" t="s">
        <v>35</v>
      </c>
      <c r="H1731" s="16"/>
      <c r="I1731" s="16"/>
      <c r="J1731" s="16"/>
      <c r="K1731" s="16"/>
      <c r="L1731" s="16"/>
      <c r="M1731" s="16"/>
      <c r="N1731" s="16"/>
      <c r="O1731" s="17"/>
      <c r="P1731" s="5" t="str">
        <f t="shared" si="45"/>
        <v>Truncate table FOC580;</v>
      </c>
      <c r="Q1731" s="5"/>
      <c r="R1731" s="5"/>
    </row>
    <row r="1732" spans="2:18" x14ac:dyDescent="0.25">
      <c r="B1732" s="19" t="s">
        <v>2236</v>
      </c>
      <c r="C1732" s="16" t="s">
        <v>2195</v>
      </c>
      <c r="D1732" s="16" t="s">
        <v>29</v>
      </c>
      <c r="E1732" s="16" t="s">
        <v>1712</v>
      </c>
      <c r="F1732" s="16" t="s">
        <v>1941</v>
      </c>
      <c r="G1732" s="16" t="s">
        <v>35</v>
      </c>
      <c r="H1732" s="16"/>
      <c r="I1732" s="16"/>
      <c r="J1732" s="16"/>
      <c r="K1732" s="16"/>
      <c r="L1732" s="16"/>
      <c r="M1732" s="16"/>
      <c r="N1732" s="16"/>
      <c r="O1732" s="17"/>
      <c r="P1732" s="5" t="str">
        <f t="shared" si="45"/>
        <v>Truncate table FOC581;</v>
      </c>
      <c r="Q1732" s="5"/>
      <c r="R1732" s="5"/>
    </row>
    <row r="1733" spans="2:18" x14ac:dyDescent="0.25">
      <c r="B1733" s="19" t="s">
        <v>2237</v>
      </c>
      <c r="C1733" s="16" t="s">
        <v>2195</v>
      </c>
      <c r="D1733" s="16" t="s">
        <v>29</v>
      </c>
      <c r="E1733" s="16" t="s">
        <v>1712</v>
      </c>
      <c r="F1733" s="16" t="s">
        <v>1941</v>
      </c>
      <c r="G1733" s="16" t="s">
        <v>35</v>
      </c>
      <c r="H1733" s="16"/>
      <c r="I1733" s="16"/>
      <c r="J1733" s="16"/>
      <c r="K1733" s="16"/>
      <c r="L1733" s="16"/>
      <c r="M1733" s="16"/>
      <c r="N1733" s="16"/>
      <c r="O1733" s="17"/>
      <c r="P1733" s="5" t="str">
        <f t="shared" si="45"/>
        <v>Truncate table FOC582;</v>
      </c>
      <c r="Q1733" s="5"/>
      <c r="R1733" s="5"/>
    </row>
    <row r="1734" spans="2:18" x14ac:dyDescent="0.25">
      <c r="B1734" s="19" t="s">
        <v>2238</v>
      </c>
      <c r="C1734" s="16" t="s">
        <v>2195</v>
      </c>
      <c r="D1734" s="16" t="s">
        <v>29</v>
      </c>
      <c r="E1734" s="16" t="s">
        <v>1712</v>
      </c>
      <c r="F1734" s="16" t="s">
        <v>1941</v>
      </c>
      <c r="G1734" s="16" t="s">
        <v>35</v>
      </c>
      <c r="H1734" s="16"/>
      <c r="I1734" s="16"/>
      <c r="J1734" s="16"/>
      <c r="K1734" s="16"/>
      <c r="L1734" s="16"/>
      <c r="M1734" s="16"/>
      <c r="N1734" s="16"/>
      <c r="O1734" s="17"/>
      <c r="P1734" s="5" t="str">
        <f t="shared" si="45"/>
        <v>Truncate table FOC583;</v>
      </c>
      <c r="Q1734" s="5"/>
      <c r="R1734" s="5"/>
    </row>
    <row r="1735" spans="2:18" x14ac:dyDescent="0.25">
      <c r="B1735" s="19" t="s">
        <v>2239</v>
      </c>
      <c r="C1735" s="16" t="s">
        <v>2195</v>
      </c>
      <c r="D1735" s="16" t="s">
        <v>29</v>
      </c>
      <c r="E1735" s="16" t="s">
        <v>1712</v>
      </c>
      <c r="F1735" s="16" t="s">
        <v>1941</v>
      </c>
      <c r="G1735" s="16" t="s">
        <v>35</v>
      </c>
      <c r="H1735" s="16"/>
      <c r="I1735" s="16"/>
      <c r="J1735" s="16"/>
      <c r="K1735" s="16"/>
      <c r="L1735" s="16"/>
      <c r="M1735" s="16"/>
      <c r="N1735" s="16"/>
      <c r="O1735" s="17"/>
      <c r="P1735" s="5" t="str">
        <f t="shared" si="45"/>
        <v>Truncate table FOC584;</v>
      </c>
      <c r="Q1735" s="5"/>
      <c r="R1735" s="5"/>
    </row>
    <row r="1736" spans="2:18" x14ac:dyDescent="0.25">
      <c r="B1736" s="19" t="s">
        <v>2240</v>
      </c>
      <c r="C1736" s="16" t="s">
        <v>9385</v>
      </c>
      <c r="D1736" s="16" t="s">
        <v>29</v>
      </c>
      <c r="E1736" s="16" t="s">
        <v>1712</v>
      </c>
      <c r="F1736" s="16" t="s">
        <v>1941</v>
      </c>
      <c r="G1736" s="16" t="s">
        <v>35</v>
      </c>
      <c r="H1736" s="16"/>
      <c r="I1736" s="16"/>
      <c r="J1736" s="16"/>
      <c r="K1736" s="16"/>
      <c r="L1736" s="16"/>
      <c r="M1736" s="16"/>
      <c r="N1736" s="16"/>
      <c r="O1736" s="17" t="s">
        <v>38</v>
      </c>
      <c r="P1736" s="5" t="str">
        <f t="shared" si="45"/>
        <v>Truncate table FOC601;</v>
      </c>
      <c r="Q1736" s="5"/>
      <c r="R1736" s="5"/>
    </row>
    <row r="1737" spans="2:18" x14ac:dyDescent="0.25">
      <c r="B1737" s="19" t="s">
        <v>2241</v>
      </c>
      <c r="C1737" s="16" t="s">
        <v>9386</v>
      </c>
      <c r="D1737" s="16" t="s">
        <v>29</v>
      </c>
      <c r="E1737" s="16" t="s">
        <v>1712</v>
      </c>
      <c r="F1737" s="16" t="s">
        <v>1941</v>
      </c>
      <c r="G1737" s="16" t="s">
        <v>35</v>
      </c>
      <c r="H1737" s="16"/>
      <c r="I1737" s="16"/>
      <c r="J1737" s="16"/>
      <c r="K1737" s="16"/>
      <c r="L1737" s="16"/>
      <c r="M1737" s="16"/>
      <c r="N1737" s="16"/>
      <c r="O1737" s="17" t="s">
        <v>38</v>
      </c>
      <c r="P1737" s="5" t="str">
        <f t="shared" si="45"/>
        <v>Truncate table FOC602;</v>
      </c>
      <c r="Q1737" s="5"/>
      <c r="R1737" s="5"/>
    </row>
    <row r="1738" spans="2:18" x14ac:dyDescent="0.25">
      <c r="B1738" s="19" t="s">
        <v>2242</v>
      </c>
      <c r="C1738" s="16" t="s">
        <v>540</v>
      </c>
      <c r="D1738" s="16" t="s">
        <v>29</v>
      </c>
      <c r="E1738" s="16" t="s">
        <v>1712</v>
      </c>
      <c r="F1738" s="16" t="s">
        <v>1941</v>
      </c>
      <c r="G1738" s="16" t="s">
        <v>35</v>
      </c>
      <c r="H1738" s="16"/>
      <c r="I1738" s="16"/>
      <c r="J1738" s="16"/>
      <c r="K1738" s="16"/>
      <c r="L1738" s="16"/>
      <c r="M1738" s="16"/>
      <c r="N1738" s="16"/>
      <c r="O1738" s="17" t="s">
        <v>38</v>
      </c>
      <c r="P1738" s="5" t="str">
        <f t="shared" si="45"/>
        <v>Truncate table FOC603;</v>
      </c>
      <c r="Q1738" s="5"/>
      <c r="R1738" s="5"/>
    </row>
    <row r="1739" spans="2:18" x14ac:dyDescent="0.25">
      <c r="B1739" s="19" t="s">
        <v>2243</v>
      </c>
      <c r="C1739" s="16" t="s">
        <v>8668</v>
      </c>
      <c r="D1739" s="16" t="s">
        <v>29</v>
      </c>
      <c r="E1739" s="16" t="s">
        <v>1712</v>
      </c>
      <c r="F1739" s="16" t="s">
        <v>1941</v>
      </c>
      <c r="G1739" s="16" t="s">
        <v>35</v>
      </c>
      <c r="H1739" s="16"/>
      <c r="I1739" s="16"/>
      <c r="J1739" s="16"/>
      <c r="K1739" s="16"/>
      <c r="L1739" s="16"/>
      <c r="M1739" s="16"/>
      <c r="N1739" s="16"/>
      <c r="O1739" s="17" t="s">
        <v>38</v>
      </c>
      <c r="P1739" s="5" t="str">
        <f t="shared" si="45"/>
        <v>Truncate table FOC604;</v>
      </c>
      <c r="Q1739" s="5"/>
      <c r="R1739" s="5"/>
    </row>
    <row r="1740" spans="2:18" ht="40.5" x14ac:dyDescent="0.25">
      <c r="B1740" s="4" t="s">
        <v>2244</v>
      </c>
      <c r="C1740" s="16" t="s">
        <v>2245</v>
      </c>
      <c r="D1740" s="16" t="s">
        <v>29</v>
      </c>
      <c r="E1740" s="16" t="s">
        <v>1712</v>
      </c>
      <c r="F1740" s="16" t="s">
        <v>1941</v>
      </c>
      <c r="G1740" s="16" t="s">
        <v>35</v>
      </c>
      <c r="H1740" s="16" t="s">
        <v>36</v>
      </c>
      <c r="I1740" s="5" t="s">
        <v>2246</v>
      </c>
      <c r="J1740" s="5" t="s">
        <v>2247</v>
      </c>
      <c r="K1740" s="5" t="s">
        <v>2248</v>
      </c>
      <c r="L1740" s="5" t="s">
        <v>2249</v>
      </c>
      <c r="M1740" s="5"/>
      <c r="N1740" s="5"/>
      <c r="O1740" s="17"/>
      <c r="P1740" s="5" t="str">
        <f t="shared" si="45"/>
        <v>Truncate table FOC605;</v>
      </c>
      <c r="Q1740" s="5"/>
      <c r="R1740" s="5"/>
    </row>
    <row r="1741" spans="2:18" x14ac:dyDescent="0.25">
      <c r="B1741" s="19" t="s">
        <v>2250</v>
      </c>
      <c r="C1741" s="16" t="s">
        <v>2195</v>
      </c>
      <c r="D1741" s="16" t="s">
        <v>29</v>
      </c>
      <c r="E1741" s="16" t="s">
        <v>1712</v>
      </c>
      <c r="F1741" s="16" t="s">
        <v>1941</v>
      </c>
      <c r="G1741" s="16" t="s">
        <v>35</v>
      </c>
      <c r="H1741" s="16"/>
      <c r="I1741" s="16"/>
      <c r="J1741" s="16"/>
      <c r="K1741" s="16"/>
      <c r="L1741" s="16"/>
      <c r="M1741" s="16"/>
      <c r="N1741" s="16"/>
      <c r="O1741" s="17"/>
      <c r="P1741" s="5" t="str">
        <f t="shared" si="45"/>
        <v>Truncate table FOC991;</v>
      </c>
      <c r="Q1741" s="5"/>
      <c r="R1741" s="5"/>
    </row>
    <row r="1742" spans="2:18" x14ac:dyDescent="0.25">
      <c r="B1742" s="19" t="s">
        <v>2251</v>
      </c>
      <c r="C1742" s="16" t="s">
        <v>9387</v>
      </c>
      <c r="D1742" s="16" t="s">
        <v>29</v>
      </c>
      <c r="E1742" s="16" t="s">
        <v>1712</v>
      </c>
      <c r="F1742" s="16" t="s">
        <v>1941</v>
      </c>
      <c r="G1742" s="16" t="s">
        <v>35</v>
      </c>
      <c r="H1742" s="16"/>
      <c r="I1742" s="16"/>
      <c r="J1742" s="16"/>
      <c r="K1742" s="16"/>
      <c r="L1742" s="16"/>
      <c r="M1742" s="16"/>
      <c r="N1742" s="16"/>
      <c r="O1742" s="17" t="s">
        <v>38</v>
      </c>
      <c r="P1742" s="5" t="str">
        <f t="shared" si="45"/>
        <v>Truncate table FOC992;</v>
      </c>
      <c r="Q1742" s="5"/>
      <c r="R1742" s="5"/>
    </row>
    <row r="1743" spans="2:18" x14ac:dyDescent="0.25">
      <c r="B1743" s="19" t="s">
        <v>2252</v>
      </c>
      <c r="C1743" s="16" t="s">
        <v>9388</v>
      </c>
      <c r="D1743" s="16" t="s">
        <v>29</v>
      </c>
      <c r="E1743" s="16" t="s">
        <v>1712</v>
      </c>
      <c r="F1743" s="16" t="s">
        <v>1941</v>
      </c>
      <c r="G1743" s="16" t="s">
        <v>35</v>
      </c>
      <c r="H1743" s="16"/>
      <c r="I1743" s="16"/>
      <c r="J1743" s="16"/>
      <c r="K1743" s="16"/>
      <c r="L1743" s="16"/>
      <c r="M1743" s="16"/>
      <c r="N1743" s="16"/>
      <c r="O1743" s="17" t="s">
        <v>38</v>
      </c>
      <c r="P1743" s="5" t="str">
        <f t="shared" si="45"/>
        <v>Truncate table FOC993;</v>
      </c>
      <c r="Q1743" s="5"/>
      <c r="R1743" s="5"/>
    </row>
    <row r="1744" spans="2:18" x14ac:dyDescent="0.25">
      <c r="B1744" s="19" t="s">
        <v>2253</v>
      </c>
      <c r="C1744" s="16" t="s">
        <v>9389</v>
      </c>
      <c r="D1744" s="16" t="s">
        <v>29</v>
      </c>
      <c r="E1744" s="16" t="s">
        <v>1712</v>
      </c>
      <c r="F1744" s="16" t="s">
        <v>1941</v>
      </c>
      <c r="G1744" s="16" t="s">
        <v>35</v>
      </c>
      <c r="H1744" s="16"/>
      <c r="I1744" s="16"/>
      <c r="J1744" s="16"/>
      <c r="K1744" s="16"/>
      <c r="L1744" s="16"/>
      <c r="M1744" s="16"/>
      <c r="N1744" s="16"/>
      <c r="O1744" s="17" t="s">
        <v>38</v>
      </c>
      <c r="P1744" s="5" t="str">
        <f t="shared" si="45"/>
        <v>Truncate table FOC994;</v>
      </c>
      <c r="Q1744" s="5"/>
      <c r="R1744" s="5"/>
    </row>
    <row r="1745" spans="1:18" x14ac:dyDescent="0.25">
      <c r="B1745" s="19" t="s">
        <v>2254</v>
      </c>
      <c r="C1745" s="16" t="s">
        <v>2195</v>
      </c>
      <c r="D1745" s="16" t="s">
        <v>29</v>
      </c>
      <c r="E1745" s="16" t="s">
        <v>1712</v>
      </c>
      <c r="F1745" s="16" t="s">
        <v>1941</v>
      </c>
      <c r="G1745" s="16" t="s">
        <v>35</v>
      </c>
      <c r="H1745" s="16"/>
      <c r="I1745" s="16"/>
      <c r="J1745" s="16"/>
      <c r="K1745" s="16"/>
      <c r="L1745" s="16"/>
      <c r="M1745" s="16"/>
      <c r="N1745" s="16"/>
      <c r="O1745" s="17"/>
      <c r="P1745" s="5" t="str">
        <f t="shared" si="45"/>
        <v>Truncate table FOC995;</v>
      </c>
      <c r="Q1745" s="5"/>
      <c r="R1745" s="5"/>
    </row>
    <row r="1746" spans="1:18" x14ac:dyDescent="0.25">
      <c r="B1746" s="19" t="s">
        <v>2255</v>
      </c>
      <c r="C1746" s="16" t="s">
        <v>8546</v>
      </c>
      <c r="D1746" s="16" t="s">
        <v>29</v>
      </c>
      <c r="E1746" s="16" t="s">
        <v>8230</v>
      </c>
      <c r="F1746" s="5" t="s">
        <v>8219</v>
      </c>
      <c r="G1746" s="16" t="s">
        <v>35</v>
      </c>
      <c r="H1746" s="16" t="s">
        <v>36</v>
      </c>
      <c r="I1746" s="16"/>
      <c r="J1746" s="16"/>
      <c r="K1746" s="16"/>
      <c r="L1746" s="16"/>
      <c r="M1746" s="16"/>
      <c r="N1746" s="16"/>
      <c r="O1746" s="17"/>
      <c r="P1746" s="5" t="str">
        <f t="shared" si="45"/>
        <v>Truncate table FOCA01;</v>
      </c>
      <c r="Q1746" s="5"/>
      <c r="R1746" s="5"/>
    </row>
    <row r="1747" spans="1:18" x14ac:dyDescent="0.25">
      <c r="B1747" s="37" t="s">
        <v>2256</v>
      </c>
      <c r="C1747" s="16" t="s">
        <v>8546</v>
      </c>
      <c r="D1747" s="16" t="s">
        <v>29</v>
      </c>
      <c r="E1747" s="16" t="s">
        <v>8230</v>
      </c>
      <c r="F1747" s="5" t="s">
        <v>8219</v>
      </c>
      <c r="G1747" s="16" t="s">
        <v>35</v>
      </c>
      <c r="H1747" s="16" t="s">
        <v>36</v>
      </c>
      <c r="I1747" s="16"/>
      <c r="J1747" s="16"/>
      <c r="K1747" s="16"/>
      <c r="L1747" s="16"/>
      <c r="M1747" s="16"/>
      <c r="N1747" s="16"/>
      <c r="O1747" s="17"/>
      <c r="P1747" s="5" t="str">
        <f t="shared" si="45"/>
        <v>Truncate table FOCA02;</v>
      </c>
      <c r="Q1747" s="5"/>
      <c r="R1747" s="5"/>
    </row>
    <row r="1748" spans="1:18" ht="136.5" customHeight="1" x14ac:dyDescent="0.25">
      <c r="B1748" s="224" t="s">
        <v>8552</v>
      </c>
      <c r="C1748" s="16" t="s">
        <v>9564</v>
      </c>
      <c r="D1748" s="16" t="s">
        <v>29</v>
      </c>
      <c r="E1748" s="16" t="s">
        <v>8230</v>
      </c>
      <c r="F1748" s="5" t="s">
        <v>8219</v>
      </c>
      <c r="G1748" s="16" t="s">
        <v>35</v>
      </c>
      <c r="H1748" s="16" t="s">
        <v>36</v>
      </c>
      <c r="I1748" s="16"/>
      <c r="J1748" s="16"/>
      <c r="K1748" s="16" t="s">
        <v>9565</v>
      </c>
      <c r="L1748" s="16" t="s">
        <v>9566</v>
      </c>
      <c r="M1748" s="16"/>
      <c r="N1748" s="16" t="s">
        <v>9567</v>
      </c>
      <c r="O1748" s="17"/>
      <c r="P1748" s="5" t="str">
        <f t="shared" si="45"/>
        <v>Truncate table FOCA03;</v>
      </c>
      <c r="Q1748" s="5"/>
      <c r="R1748" s="5"/>
    </row>
    <row r="1749" spans="1:18" x14ac:dyDescent="0.25">
      <c r="B1749" s="224" t="s">
        <v>8553</v>
      </c>
      <c r="C1749" s="16" t="s">
        <v>8546</v>
      </c>
      <c r="D1749" s="16" t="s">
        <v>29</v>
      </c>
      <c r="E1749" s="16" t="s">
        <v>8230</v>
      </c>
      <c r="F1749" s="5" t="s">
        <v>8219</v>
      </c>
      <c r="G1749" s="16" t="s">
        <v>35</v>
      </c>
      <c r="H1749" s="16" t="s">
        <v>36</v>
      </c>
      <c r="I1749" s="16"/>
      <c r="J1749" s="16"/>
      <c r="K1749" s="16"/>
      <c r="L1749" s="16"/>
      <c r="M1749" s="16"/>
      <c r="N1749" s="16"/>
      <c r="O1749" s="17"/>
      <c r="P1749" s="5" t="str">
        <f t="shared" si="45"/>
        <v>Truncate table FOCA04;</v>
      </c>
      <c r="Q1749" s="5"/>
      <c r="R1749" s="5"/>
    </row>
    <row r="1750" spans="1:18" x14ac:dyDescent="0.25">
      <c r="B1750" s="49" t="s">
        <v>2257</v>
      </c>
      <c r="C1750" s="16" t="s">
        <v>9390</v>
      </c>
      <c r="D1750" s="16" t="s">
        <v>29</v>
      </c>
      <c r="E1750" s="16"/>
      <c r="F1750" s="5"/>
      <c r="G1750" s="16" t="s">
        <v>35</v>
      </c>
      <c r="H1750" s="16"/>
      <c r="I1750" s="16"/>
      <c r="J1750" s="16"/>
      <c r="K1750" s="16"/>
      <c r="L1750" s="16"/>
      <c r="M1750" s="16"/>
      <c r="N1750" s="16"/>
      <c r="O1750" s="17"/>
      <c r="P1750" s="5" t="str">
        <f t="shared" si="45"/>
        <v>Truncate table FOCA47;</v>
      </c>
      <c r="Q1750" s="5"/>
      <c r="R1750" s="5"/>
    </row>
    <row r="1751" spans="1:18" x14ac:dyDescent="0.25">
      <c r="B1751" s="19" t="s">
        <v>2258</v>
      </c>
      <c r="C1751" s="16" t="s">
        <v>9391</v>
      </c>
      <c r="D1751" s="16" t="s">
        <v>29</v>
      </c>
      <c r="E1751" s="16"/>
      <c r="F1751" s="5"/>
      <c r="G1751" s="16" t="s">
        <v>35</v>
      </c>
      <c r="H1751" s="16"/>
      <c r="I1751" s="16"/>
      <c r="J1751" s="16"/>
      <c r="K1751" s="16"/>
      <c r="L1751" s="16"/>
      <c r="M1751" s="16"/>
      <c r="N1751" s="16"/>
      <c r="O1751" s="17"/>
      <c r="P1751" s="5" t="str">
        <f t="shared" si="45"/>
        <v>Truncate table FOCACC;</v>
      </c>
      <c r="Q1751" s="5"/>
      <c r="R1751" s="5"/>
    </row>
    <row r="1752" spans="1:18" x14ac:dyDescent="0.25">
      <c r="B1752" s="19" t="s">
        <v>2259</v>
      </c>
      <c r="C1752" s="16" t="s">
        <v>9392</v>
      </c>
      <c r="D1752" s="16" t="s">
        <v>29</v>
      </c>
      <c r="E1752" s="16"/>
      <c r="F1752" s="5"/>
      <c r="G1752" s="16" t="s">
        <v>35</v>
      </c>
      <c r="H1752" s="16"/>
      <c r="I1752" s="16"/>
      <c r="J1752" s="16"/>
      <c r="K1752" s="16"/>
      <c r="L1752" s="16"/>
      <c r="M1752" s="16"/>
      <c r="N1752" s="16"/>
      <c r="O1752" s="17"/>
      <c r="P1752" s="5" t="str">
        <f t="shared" si="45"/>
        <v>Truncate table FOCACE;</v>
      </c>
      <c r="Q1752" s="5"/>
      <c r="R1752" s="5"/>
    </row>
    <row r="1753" spans="1:18" x14ac:dyDescent="0.25">
      <c r="B1753" s="19" t="s">
        <v>2260</v>
      </c>
      <c r="C1753" s="16" t="s">
        <v>9393</v>
      </c>
      <c r="D1753" s="16" t="s">
        <v>29</v>
      </c>
      <c r="E1753" s="16"/>
      <c r="F1753" s="5"/>
      <c r="G1753" s="16" t="s">
        <v>35</v>
      </c>
      <c r="H1753" s="16"/>
      <c r="I1753" s="16"/>
      <c r="J1753" s="16"/>
      <c r="K1753" s="16"/>
      <c r="L1753" s="16"/>
      <c r="M1753" s="16"/>
      <c r="N1753" s="16"/>
      <c r="O1753" s="17"/>
      <c r="P1753" s="5" t="str">
        <f t="shared" si="45"/>
        <v>Truncate table FOCACU;</v>
      </c>
      <c r="Q1753" s="5"/>
      <c r="R1753" s="5"/>
    </row>
    <row r="1754" spans="1:18" x14ac:dyDescent="0.25">
      <c r="B1754" s="19" t="s">
        <v>2261</v>
      </c>
      <c r="C1754" s="16" t="s">
        <v>9394</v>
      </c>
      <c r="D1754" s="16" t="s">
        <v>29</v>
      </c>
      <c r="E1754" s="16" t="s">
        <v>1712</v>
      </c>
      <c r="F1754" s="16" t="s">
        <v>1941</v>
      </c>
      <c r="G1754" s="16" t="s">
        <v>35</v>
      </c>
      <c r="H1754" s="16"/>
      <c r="I1754" s="16"/>
      <c r="J1754" s="16"/>
      <c r="K1754" s="16"/>
      <c r="L1754" s="16"/>
      <c r="M1754" s="16"/>
      <c r="N1754" s="16"/>
      <c r="O1754" s="17" t="s">
        <v>38</v>
      </c>
      <c r="P1754" s="5" t="str">
        <f t="shared" si="45"/>
        <v>Truncate table FOCAE0;</v>
      </c>
      <c r="Q1754" s="5"/>
      <c r="R1754" s="5"/>
    </row>
    <row r="1755" spans="1:18" x14ac:dyDescent="0.25">
      <c r="B1755" s="19" t="s">
        <v>2262</v>
      </c>
      <c r="C1755" s="16" t="s">
        <v>9395</v>
      </c>
      <c r="D1755" s="16" t="s">
        <v>29</v>
      </c>
      <c r="E1755" s="16"/>
      <c r="F1755" s="5"/>
      <c r="G1755" s="16" t="s">
        <v>35</v>
      </c>
      <c r="H1755" s="16"/>
      <c r="I1755" s="16"/>
      <c r="J1755" s="16"/>
      <c r="K1755" s="16"/>
      <c r="L1755" s="16"/>
      <c r="M1755" s="16"/>
      <c r="N1755" s="16"/>
      <c r="O1755" s="17"/>
      <c r="P1755" s="5" t="str">
        <f t="shared" si="45"/>
        <v>Truncate table FOCAE1;</v>
      </c>
      <c r="Q1755" s="5"/>
      <c r="R1755" s="5"/>
    </row>
    <row r="1756" spans="1:18" x14ac:dyDescent="0.25">
      <c r="B1756" s="19" t="s">
        <v>2263</v>
      </c>
      <c r="C1756" s="16" t="s">
        <v>9396</v>
      </c>
      <c r="D1756" s="16" t="s">
        <v>29</v>
      </c>
      <c r="E1756" s="16"/>
      <c r="F1756" s="5"/>
      <c r="G1756" s="16" t="s">
        <v>35</v>
      </c>
      <c r="H1756" s="16"/>
      <c r="I1756" s="16"/>
      <c r="J1756" s="16"/>
      <c r="K1756" s="16"/>
      <c r="L1756" s="16"/>
      <c r="M1756" s="16"/>
      <c r="N1756" s="16"/>
      <c r="O1756" s="17"/>
      <c r="P1756" s="5" t="str">
        <f t="shared" si="45"/>
        <v>Truncate table FOCAE2;</v>
      </c>
      <c r="Q1756" s="5"/>
      <c r="R1756" s="5"/>
    </row>
    <row r="1757" spans="1:18" x14ac:dyDescent="0.25">
      <c r="B1757" s="19" t="s">
        <v>2264</v>
      </c>
      <c r="C1757" s="16" t="s">
        <v>9397</v>
      </c>
      <c r="D1757" s="16" t="s">
        <v>29</v>
      </c>
      <c r="E1757" s="16"/>
      <c r="F1757" s="5"/>
      <c r="G1757" s="16" t="s">
        <v>35</v>
      </c>
      <c r="H1757" s="16"/>
      <c r="I1757" s="16"/>
      <c r="J1757" s="16"/>
      <c r="K1757" s="16"/>
      <c r="L1757" s="16"/>
      <c r="M1757" s="16"/>
      <c r="N1757" s="16"/>
      <c r="O1757" s="17"/>
      <c r="P1757" s="5" t="str">
        <f t="shared" si="45"/>
        <v>Truncate table FOCAE3;</v>
      </c>
      <c r="Q1757" s="5"/>
      <c r="R1757" s="5"/>
    </row>
    <row r="1758" spans="1:18" ht="24.75" customHeight="1" x14ac:dyDescent="0.25">
      <c r="B1758" s="19" t="s">
        <v>2265</v>
      </c>
      <c r="C1758" s="16" t="s">
        <v>9398</v>
      </c>
      <c r="D1758" s="16" t="s">
        <v>29</v>
      </c>
      <c r="E1758" s="16"/>
      <c r="F1758" s="5"/>
      <c r="G1758" s="16" t="s">
        <v>35</v>
      </c>
      <c r="H1758" s="16"/>
      <c r="I1758" s="16"/>
      <c r="J1758" s="16"/>
      <c r="K1758" s="16"/>
      <c r="L1758" s="16"/>
      <c r="M1758" s="16"/>
      <c r="N1758" s="16"/>
      <c r="O1758" s="17"/>
      <c r="P1758" s="5" t="str">
        <f t="shared" si="45"/>
        <v>Truncate table FOCAE4;</v>
      </c>
      <c r="Q1758" s="5"/>
      <c r="R1758" s="5"/>
    </row>
    <row r="1759" spans="1:18" x14ac:dyDescent="0.25">
      <c r="B1759" s="19" t="s">
        <v>2266</v>
      </c>
      <c r="C1759" s="16" t="s">
        <v>9399</v>
      </c>
      <c r="D1759" s="16" t="s">
        <v>29</v>
      </c>
      <c r="E1759" s="16"/>
      <c r="F1759" s="5"/>
      <c r="G1759" s="16" t="s">
        <v>35</v>
      </c>
      <c r="H1759" s="16"/>
      <c r="I1759" s="16"/>
      <c r="J1759" s="16"/>
      <c r="K1759" s="16"/>
      <c r="L1759" s="16"/>
      <c r="M1759" s="16"/>
      <c r="N1759" s="16"/>
      <c r="O1759" s="17"/>
      <c r="P1759" s="5" t="str">
        <f t="shared" si="45"/>
        <v>Truncate table FOCAE5;</v>
      </c>
      <c r="Q1759" s="5"/>
      <c r="R1759" s="5"/>
    </row>
    <row r="1760" spans="1:18" x14ac:dyDescent="0.25">
      <c r="A1760" s="240"/>
      <c r="B1760" s="19" t="s">
        <v>9504</v>
      </c>
      <c r="C1760" s="16" t="s">
        <v>10044</v>
      </c>
      <c r="D1760" s="16" t="s">
        <v>29</v>
      </c>
      <c r="E1760" s="16"/>
      <c r="F1760" s="5"/>
      <c r="G1760" s="16"/>
      <c r="H1760" s="16"/>
      <c r="I1760" s="16"/>
      <c r="J1760" s="16"/>
      <c r="K1760" s="16"/>
      <c r="L1760" s="16"/>
      <c r="M1760" s="16"/>
      <c r="N1760" s="16"/>
      <c r="O1760" s="17"/>
      <c r="P1760" s="5"/>
      <c r="Q1760" s="5"/>
      <c r="R1760" s="5"/>
    </row>
    <row r="1761" spans="1:18" x14ac:dyDescent="0.25">
      <c r="B1761" s="19" t="s">
        <v>2267</v>
      </c>
      <c r="C1761" s="16" t="s">
        <v>9400</v>
      </c>
      <c r="D1761" s="16" t="s">
        <v>29</v>
      </c>
      <c r="E1761" s="16"/>
      <c r="F1761" s="5"/>
      <c r="G1761" s="16" t="s">
        <v>35</v>
      </c>
      <c r="H1761" s="16"/>
      <c r="I1761" s="16"/>
      <c r="J1761" s="16"/>
      <c r="K1761" s="16"/>
      <c r="L1761" s="16"/>
      <c r="M1761" s="16"/>
      <c r="N1761" s="16"/>
      <c r="O1761" s="17"/>
      <c r="P1761" s="5" t="str">
        <f>IF(D1761="Datos","Truncate table "&amp; B1761&amp; ";","")</f>
        <v>Truncate table FOCAEB;</v>
      </c>
      <c r="Q1761" s="5"/>
      <c r="R1761" s="5"/>
    </row>
    <row r="1762" spans="1:18" x14ac:dyDescent="0.25">
      <c r="A1762" s="240"/>
      <c r="B1762" s="19" t="s">
        <v>9505</v>
      </c>
      <c r="C1762" t="s">
        <v>10045</v>
      </c>
      <c r="D1762" s="16" t="s">
        <v>29</v>
      </c>
      <c r="E1762" s="16"/>
      <c r="F1762" s="5"/>
      <c r="G1762" s="16"/>
      <c r="H1762" s="16"/>
      <c r="I1762" s="16"/>
      <c r="J1762" s="16"/>
      <c r="K1762" s="16"/>
      <c r="L1762" s="16"/>
      <c r="M1762" s="16"/>
      <c r="N1762" s="16"/>
      <c r="O1762" s="17"/>
      <c r="P1762" s="5"/>
      <c r="Q1762" s="5"/>
      <c r="R1762" s="5"/>
    </row>
    <row r="1763" spans="1:18" x14ac:dyDescent="0.25">
      <c r="A1763" s="240"/>
      <c r="B1763" s="19" t="s">
        <v>9506</v>
      </c>
      <c r="C1763" t="s">
        <v>10046</v>
      </c>
      <c r="D1763" s="16" t="s">
        <v>29</v>
      </c>
      <c r="E1763" s="16"/>
      <c r="F1763" s="5"/>
      <c r="G1763" s="16"/>
      <c r="H1763" s="16"/>
      <c r="I1763" s="16"/>
      <c r="J1763" s="16"/>
      <c r="K1763" s="16"/>
      <c r="L1763" s="16"/>
      <c r="M1763" s="16"/>
      <c r="N1763" s="16"/>
      <c r="O1763" s="17"/>
      <c r="P1763" s="5"/>
      <c r="Q1763" s="5"/>
      <c r="R1763" s="5"/>
    </row>
    <row r="1764" spans="1:18" x14ac:dyDescent="0.25">
      <c r="A1764" s="240"/>
      <c r="B1764" s="19" t="s">
        <v>9507</v>
      </c>
      <c r="C1764" t="s">
        <v>10047</v>
      </c>
      <c r="D1764" s="16" t="s">
        <v>29</v>
      </c>
      <c r="E1764" s="16"/>
      <c r="F1764" s="5"/>
      <c r="G1764" s="16"/>
      <c r="H1764" s="16"/>
      <c r="I1764" s="16"/>
      <c r="J1764" s="16"/>
      <c r="K1764" s="16"/>
      <c r="L1764" s="16"/>
      <c r="M1764" s="16"/>
      <c r="N1764" s="16"/>
      <c r="O1764" s="17"/>
      <c r="P1764" s="5"/>
      <c r="Q1764" s="5"/>
      <c r="R1764" s="5"/>
    </row>
    <row r="1765" spans="1:18" x14ac:dyDescent="0.25">
      <c r="B1765" s="19" t="s">
        <v>2268</v>
      </c>
      <c r="C1765" s="16" t="s">
        <v>9401</v>
      </c>
      <c r="D1765" s="16" t="s">
        <v>29</v>
      </c>
      <c r="E1765" s="16"/>
      <c r="F1765" s="5"/>
      <c r="G1765" s="16" t="s">
        <v>35</v>
      </c>
      <c r="H1765" s="16"/>
      <c r="I1765" s="16"/>
      <c r="J1765" s="16"/>
      <c r="K1765" s="16"/>
      <c r="L1765" s="16"/>
      <c r="M1765" s="16"/>
      <c r="N1765" s="16"/>
      <c r="O1765" s="17"/>
      <c r="P1765" s="5" t="str">
        <f t="shared" ref="P1765:P1796" si="46">IF(D1765="Datos","Truncate table "&amp; B1765&amp; ";","")</f>
        <v>Truncate table FOCAOC;</v>
      </c>
      <c r="Q1765" s="5"/>
      <c r="R1765" s="5"/>
    </row>
    <row r="1766" spans="1:18" x14ac:dyDescent="0.25">
      <c r="B1766" s="19" t="s">
        <v>2269</v>
      </c>
      <c r="C1766" s="16" t="s">
        <v>9402</v>
      </c>
      <c r="D1766" s="16" t="s">
        <v>29</v>
      </c>
      <c r="E1766" s="16"/>
      <c r="F1766" s="5"/>
      <c r="G1766" s="16" t="s">
        <v>35</v>
      </c>
      <c r="H1766" s="16"/>
      <c r="I1766" s="16"/>
      <c r="J1766" s="16"/>
      <c r="K1766" s="16"/>
      <c r="L1766" s="16"/>
      <c r="M1766" s="16"/>
      <c r="N1766" s="16"/>
      <c r="O1766" s="17"/>
      <c r="P1766" s="5" t="str">
        <f t="shared" si="46"/>
        <v>Truncate table FOCAOE;</v>
      </c>
      <c r="Q1766" s="5"/>
      <c r="R1766" s="5"/>
    </row>
    <row r="1767" spans="1:18" x14ac:dyDescent="0.25">
      <c r="A1767" s="240"/>
      <c r="B1767" s="19" t="s">
        <v>9528</v>
      </c>
      <c r="C1767" t="s">
        <v>10048</v>
      </c>
      <c r="D1767" s="16" t="s">
        <v>29</v>
      </c>
      <c r="E1767" s="16"/>
      <c r="F1767" s="5"/>
      <c r="G1767" s="16"/>
      <c r="H1767" s="16"/>
      <c r="I1767" s="16"/>
      <c r="J1767" s="16"/>
      <c r="K1767" s="16"/>
      <c r="L1767" s="16"/>
      <c r="M1767" s="16"/>
      <c r="N1767" s="16"/>
      <c r="O1767" s="17"/>
      <c r="P1767" s="5" t="str">
        <f t="shared" si="46"/>
        <v>Truncate table FOCAOX;</v>
      </c>
      <c r="Q1767" s="5"/>
      <c r="R1767" s="5"/>
    </row>
    <row r="1768" spans="1:18" x14ac:dyDescent="0.25">
      <c r="B1768" s="19" t="s">
        <v>2270</v>
      </c>
      <c r="C1768" s="16" t="s">
        <v>9403</v>
      </c>
      <c r="D1768" s="16" t="s">
        <v>29</v>
      </c>
      <c r="E1768" s="16"/>
      <c r="F1768" s="5"/>
      <c r="G1768" s="16" t="s">
        <v>35</v>
      </c>
      <c r="H1768" s="16"/>
      <c r="I1768" s="16"/>
      <c r="J1768" s="16"/>
      <c r="K1768" s="16"/>
      <c r="L1768" s="16"/>
      <c r="M1768" s="16"/>
      <c r="N1768" s="16"/>
      <c r="O1768" s="17"/>
      <c r="P1768" s="5" t="str">
        <f t="shared" si="46"/>
        <v>Truncate table FOCATA;</v>
      </c>
      <c r="Q1768" s="5"/>
      <c r="R1768" s="5"/>
    </row>
    <row r="1769" spans="1:18" x14ac:dyDescent="0.25">
      <c r="B1769" s="19" t="s">
        <v>2271</v>
      </c>
      <c r="C1769" s="16" t="s">
        <v>9404</v>
      </c>
      <c r="D1769" s="16" t="s">
        <v>29</v>
      </c>
      <c r="E1769" s="16"/>
      <c r="F1769" s="5"/>
      <c r="G1769" s="16" t="s">
        <v>35</v>
      </c>
      <c r="H1769" s="16"/>
      <c r="I1769" s="16"/>
      <c r="J1769" s="16"/>
      <c r="K1769" s="16"/>
      <c r="L1769" s="16"/>
      <c r="M1769" s="16"/>
      <c r="N1769" s="16"/>
      <c r="O1769" s="17"/>
      <c r="P1769" s="5" t="str">
        <f t="shared" si="46"/>
        <v>Truncate table FOCC01;</v>
      </c>
      <c r="Q1769" s="5"/>
      <c r="R1769" s="5"/>
    </row>
    <row r="1770" spans="1:18" x14ac:dyDescent="0.25">
      <c r="B1770" s="19" t="s">
        <v>2272</v>
      </c>
      <c r="C1770" s="16" t="s">
        <v>9405</v>
      </c>
      <c r="D1770" s="16" t="s">
        <v>29</v>
      </c>
      <c r="E1770" s="16"/>
      <c r="F1770" s="5"/>
      <c r="G1770" s="16" t="s">
        <v>35</v>
      </c>
      <c r="H1770" s="16"/>
      <c r="I1770" s="16"/>
      <c r="J1770" s="16"/>
      <c r="K1770" s="16"/>
      <c r="L1770" s="16"/>
      <c r="M1770" s="16"/>
      <c r="N1770" s="16"/>
      <c r="O1770" s="17"/>
      <c r="P1770" s="5" t="str">
        <f t="shared" si="46"/>
        <v>Truncate table FOCC02;</v>
      </c>
      <c r="Q1770" s="5"/>
      <c r="R1770" s="5"/>
    </row>
    <row r="1771" spans="1:18" x14ac:dyDescent="0.25">
      <c r="B1771" s="19" t="s">
        <v>2273</v>
      </c>
      <c r="C1771" s="16" t="s">
        <v>9406</v>
      </c>
      <c r="D1771" s="16" t="s">
        <v>29</v>
      </c>
      <c r="E1771" s="16"/>
      <c r="F1771" s="5"/>
      <c r="G1771" s="16" t="s">
        <v>35</v>
      </c>
      <c r="H1771" s="16"/>
      <c r="I1771" s="16"/>
      <c r="J1771" s="16"/>
      <c r="K1771" s="16"/>
      <c r="L1771" s="16"/>
      <c r="M1771" s="16"/>
      <c r="N1771" s="16"/>
      <c r="O1771" s="17"/>
      <c r="P1771" s="5" t="str">
        <f t="shared" si="46"/>
        <v>Truncate table FOCC03;</v>
      </c>
      <c r="Q1771" s="5"/>
      <c r="R1771" s="5"/>
    </row>
    <row r="1772" spans="1:18" x14ac:dyDescent="0.25">
      <c r="B1772" s="19" t="s">
        <v>2274</v>
      </c>
      <c r="C1772" s="16" t="s">
        <v>9407</v>
      </c>
      <c r="D1772" s="16" t="s">
        <v>29</v>
      </c>
      <c r="E1772" s="16"/>
      <c r="F1772" s="5"/>
      <c r="G1772" s="16" t="s">
        <v>35</v>
      </c>
      <c r="H1772" s="16"/>
      <c r="I1772" s="16"/>
      <c r="J1772" s="16"/>
      <c r="K1772" s="16"/>
      <c r="L1772" s="16"/>
      <c r="M1772" s="16"/>
      <c r="N1772" s="16"/>
      <c r="O1772" s="17"/>
      <c r="P1772" s="5" t="str">
        <f t="shared" si="46"/>
        <v>Truncate table FOCC04;</v>
      </c>
      <c r="Q1772" s="5"/>
      <c r="R1772" s="5"/>
    </row>
    <row r="1773" spans="1:18" x14ac:dyDescent="0.25">
      <c r="B1773" s="19" t="s">
        <v>2275</v>
      </c>
      <c r="C1773" s="16" t="s">
        <v>9408</v>
      </c>
      <c r="D1773" s="16" t="s">
        <v>29</v>
      </c>
      <c r="E1773" s="16"/>
      <c r="F1773" s="5"/>
      <c r="G1773" s="16" t="s">
        <v>35</v>
      </c>
      <c r="H1773" s="16"/>
      <c r="I1773" s="16"/>
      <c r="J1773" s="16"/>
      <c r="K1773" s="16"/>
      <c r="L1773" s="16"/>
      <c r="M1773" s="16"/>
      <c r="N1773" s="16"/>
      <c r="O1773" s="17"/>
      <c r="P1773" s="5" t="str">
        <f t="shared" si="46"/>
        <v>Truncate table FOCC05;</v>
      </c>
      <c r="Q1773" s="5"/>
      <c r="R1773" s="5"/>
    </row>
    <row r="1774" spans="1:18" x14ac:dyDescent="0.25">
      <c r="B1774" s="19" t="s">
        <v>2276</v>
      </c>
      <c r="C1774" s="16" t="s">
        <v>9409</v>
      </c>
      <c r="D1774" s="16" t="s">
        <v>29</v>
      </c>
      <c r="E1774" s="16"/>
      <c r="F1774" s="5"/>
      <c r="G1774" s="16" t="s">
        <v>35</v>
      </c>
      <c r="H1774" s="16"/>
      <c r="I1774" s="16"/>
      <c r="J1774" s="16"/>
      <c r="K1774" s="16"/>
      <c r="L1774" s="16"/>
      <c r="M1774" s="16"/>
      <c r="N1774" s="16"/>
      <c r="O1774" s="17"/>
      <c r="P1774" s="5" t="str">
        <f t="shared" si="46"/>
        <v>Truncate table FOCC06;</v>
      </c>
      <c r="Q1774" s="5"/>
      <c r="R1774" s="5"/>
    </row>
    <row r="1775" spans="1:18" x14ac:dyDescent="0.25">
      <c r="B1775" s="19" t="s">
        <v>2277</v>
      </c>
      <c r="C1775" s="16" t="s">
        <v>9410</v>
      </c>
      <c r="D1775" s="16" t="s">
        <v>29</v>
      </c>
      <c r="E1775" s="16"/>
      <c r="F1775" s="5"/>
      <c r="G1775" s="16" t="s">
        <v>35</v>
      </c>
      <c r="H1775" s="16"/>
      <c r="I1775" s="16"/>
      <c r="J1775" s="16"/>
      <c r="K1775" s="16"/>
      <c r="L1775" s="16"/>
      <c r="M1775" s="16"/>
      <c r="N1775" s="16"/>
      <c r="O1775" s="17"/>
      <c r="P1775" s="5" t="str">
        <f t="shared" si="46"/>
        <v>Truncate table FOCC07;</v>
      </c>
      <c r="Q1775" s="5"/>
      <c r="R1775" s="5"/>
    </row>
    <row r="1776" spans="1:18" x14ac:dyDescent="0.25">
      <c r="B1776" s="19" t="s">
        <v>2278</v>
      </c>
      <c r="C1776" s="16" t="s">
        <v>9411</v>
      </c>
      <c r="D1776" s="16" t="s">
        <v>29</v>
      </c>
      <c r="E1776" s="16"/>
      <c r="F1776" s="5"/>
      <c r="G1776" s="16" t="s">
        <v>35</v>
      </c>
      <c r="H1776" s="16"/>
      <c r="I1776" s="16"/>
      <c r="J1776" s="16"/>
      <c r="K1776" s="16"/>
      <c r="L1776" s="16"/>
      <c r="M1776" s="16"/>
      <c r="N1776" s="16"/>
      <c r="O1776" s="17"/>
      <c r="P1776" s="5" t="str">
        <f t="shared" si="46"/>
        <v>Truncate table FOCC08;</v>
      </c>
      <c r="Q1776" s="5"/>
      <c r="R1776" s="5"/>
    </row>
    <row r="1777" spans="2:18" x14ac:dyDescent="0.25">
      <c r="B1777" s="19" t="s">
        <v>2279</v>
      </c>
      <c r="C1777" s="16" t="s">
        <v>9412</v>
      </c>
      <c r="D1777" s="16" t="s">
        <v>29</v>
      </c>
      <c r="E1777" s="16"/>
      <c r="F1777" s="5"/>
      <c r="G1777" s="16" t="s">
        <v>35</v>
      </c>
      <c r="H1777" s="16"/>
      <c r="I1777" s="16"/>
      <c r="J1777" s="16"/>
      <c r="K1777" s="16"/>
      <c r="L1777" s="16"/>
      <c r="M1777" s="16"/>
      <c r="N1777" s="16"/>
      <c r="O1777" s="17"/>
      <c r="P1777" s="5" t="str">
        <f t="shared" si="46"/>
        <v>Truncate table FOCC09;</v>
      </c>
      <c r="Q1777" s="5"/>
      <c r="R1777" s="5"/>
    </row>
    <row r="1778" spans="2:18" x14ac:dyDescent="0.25">
      <c r="B1778" s="19" t="s">
        <v>2280</v>
      </c>
      <c r="C1778" s="16" t="s">
        <v>9413</v>
      </c>
      <c r="D1778" s="16" t="s">
        <v>29</v>
      </c>
      <c r="E1778" s="16"/>
      <c r="F1778" s="5"/>
      <c r="G1778" s="16" t="s">
        <v>35</v>
      </c>
      <c r="H1778" s="16"/>
      <c r="I1778" s="16"/>
      <c r="J1778" s="16"/>
      <c r="K1778" s="16"/>
      <c r="L1778" s="16"/>
      <c r="M1778" s="16"/>
      <c r="N1778" s="16"/>
      <c r="O1778" s="17"/>
      <c r="P1778" s="5" t="str">
        <f t="shared" si="46"/>
        <v>Truncate table FOCC10;</v>
      </c>
      <c r="Q1778" s="5"/>
      <c r="R1778" s="5"/>
    </row>
    <row r="1779" spans="2:18" x14ac:dyDescent="0.25">
      <c r="B1779" s="19" t="s">
        <v>2281</v>
      </c>
      <c r="C1779" s="16" t="s">
        <v>9414</v>
      </c>
      <c r="D1779" s="16" t="s">
        <v>29</v>
      </c>
      <c r="E1779" s="16"/>
      <c r="F1779" s="5"/>
      <c r="G1779" s="16" t="s">
        <v>35</v>
      </c>
      <c r="H1779" s="16"/>
      <c r="I1779" s="16"/>
      <c r="J1779" s="16"/>
      <c r="K1779" s="16"/>
      <c r="L1779" s="16"/>
      <c r="M1779" s="16"/>
      <c r="N1779" s="16"/>
      <c r="O1779" s="17"/>
      <c r="P1779" s="5" t="str">
        <f t="shared" si="46"/>
        <v>Truncate table FOCF00;</v>
      </c>
      <c r="Q1779" s="5"/>
      <c r="R1779" s="5"/>
    </row>
    <row r="1780" spans="2:18" x14ac:dyDescent="0.25">
      <c r="B1780" s="19" t="s">
        <v>2282</v>
      </c>
      <c r="C1780" s="16" t="s">
        <v>9415</v>
      </c>
      <c r="D1780" s="16" t="s">
        <v>29</v>
      </c>
      <c r="E1780" s="16"/>
      <c r="F1780" s="5"/>
      <c r="G1780" s="16" t="s">
        <v>35</v>
      </c>
      <c r="H1780" s="16"/>
      <c r="I1780" s="16"/>
      <c r="J1780" s="16"/>
      <c r="K1780" s="16"/>
      <c r="L1780" s="16"/>
      <c r="M1780" s="16"/>
      <c r="N1780" s="16"/>
      <c r="O1780" s="17"/>
      <c r="P1780" s="5" t="str">
        <f t="shared" si="46"/>
        <v>Truncate table FOCF0B;</v>
      </c>
      <c r="Q1780" s="5"/>
      <c r="R1780" s="5"/>
    </row>
    <row r="1781" spans="2:18" x14ac:dyDescent="0.25">
      <c r="B1781" s="19" t="s">
        <v>2283</v>
      </c>
      <c r="C1781" s="16" t="s">
        <v>9416</v>
      </c>
      <c r="D1781" s="16" t="s">
        <v>29</v>
      </c>
      <c r="E1781" s="16"/>
      <c r="F1781" s="5"/>
      <c r="G1781" s="16" t="s">
        <v>35</v>
      </c>
      <c r="H1781" s="16"/>
      <c r="I1781" s="16"/>
      <c r="J1781" s="16"/>
      <c r="K1781" s="16"/>
      <c r="L1781" s="16"/>
      <c r="M1781" s="16"/>
      <c r="N1781" s="16"/>
      <c r="O1781" s="17"/>
      <c r="P1781" s="5" t="str">
        <f t="shared" si="46"/>
        <v>Truncate table FOCFNU;</v>
      </c>
      <c r="Q1781" s="5"/>
      <c r="R1781" s="5"/>
    </row>
    <row r="1782" spans="2:18" x14ac:dyDescent="0.25">
      <c r="B1782" s="19" t="s">
        <v>2284</v>
      </c>
      <c r="C1782" s="16" t="s">
        <v>9417</v>
      </c>
      <c r="D1782" s="16" t="s">
        <v>29</v>
      </c>
      <c r="E1782" s="16"/>
      <c r="F1782" s="5"/>
      <c r="G1782" s="16" t="s">
        <v>35</v>
      </c>
      <c r="H1782" s="16"/>
      <c r="I1782" s="16"/>
      <c r="J1782" s="16"/>
      <c r="K1782" s="16"/>
      <c r="L1782" s="16"/>
      <c r="M1782" s="16"/>
      <c r="N1782" s="16"/>
      <c r="O1782" s="17"/>
      <c r="P1782" s="5" t="str">
        <f t="shared" si="46"/>
        <v>Truncate table FOCGILG;</v>
      </c>
      <c r="Q1782" s="5"/>
      <c r="R1782" s="5"/>
    </row>
    <row r="1783" spans="2:18" x14ac:dyDescent="0.25">
      <c r="B1783" s="19" t="s">
        <v>2285</v>
      </c>
      <c r="C1783" s="16" t="s">
        <v>9418</v>
      </c>
      <c r="D1783" s="16" t="s">
        <v>29</v>
      </c>
      <c r="E1783" s="16"/>
      <c r="F1783" s="5"/>
      <c r="G1783" s="16" t="s">
        <v>35</v>
      </c>
      <c r="H1783" s="16"/>
      <c r="I1783" s="16"/>
      <c r="J1783" s="16"/>
      <c r="K1783" s="16"/>
      <c r="L1783" s="16"/>
      <c r="M1783" s="16"/>
      <c r="N1783" s="16"/>
      <c r="O1783" s="17"/>
      <c r="P1783" s="5" t="str">
        <f t="shared" si="46"/>
        <v>Truncate table FOCGLG;</v>
      </c>
      <c r="Q1783" s="5"/>
      <c r="R1783" s="5"/>
    </row>
    <row r="1784" spans="2:18" x14ac:dyDescent="0.25">
      <c r="B1784" s="19" t="s">
        <v>2286</v>
      </c>
      <c r="C1784" s="16" t="s">
        <v>9419</v>
      </c>
      <c r="D1784" s="16" t="s">
        <v>29</v>
      </c>
      <c r="E1784" s="16"/>
      <c r="F1784" s="5"/>
      <c r="G1784" s="16" t="s">
        <v>35</v>
      </c>
      <c r="H1784" s="16"/>
      <c r="I1784" s="16"/>
      <c r="J1784" s="16"/>
      <c r="K1784" s="16"/>
      <c r="L1784" s="16"/>
      <c r="M1784" s="16"/>
      <c r="N1784" s="16"/>
      <c r="O1784" s="17"/>
      <c r="P1784" s="5" t="str">
        <f t="shared" si="46"/>
        <v>Truncate table FOCLDS;</v>
      </c>
      <c r="Q1784" s="5"/>
      <c r="R1784" s="5"/>
    </row>
    <row r="1785" spans="2:18" x14ac:dyDescent="0.25">
      <c r="B1785" s="19" t="s">
        <v>2287</v>
      </c>
      <c r="C1785" s="16" t="s">
        <v>9420</v>
      </c>
      <c r="D1785" s="16" t="s">
        <v>29</v>
      </c>
      <c r="E1785" s="16"/>
      <c r="F1785" s="5"/>
      <c r="G1785" s="16" t="s">
        <v>35</v>
      </c>
      <c r="H1785" s="16"/>
      <c r="I1785" s="16"/>
      <c r="J1785" s="16"/>
      <c r="K1785" s="16"/>
      <c r="L1785" s="16"/>
      <c r="M1785" s="16"/>
      <c r="N1785" s="16"/>
      <c r="O1785" s="17"/>
      <c r="P1785" s="5" t="str">
        <f t="shared" si="46"/>
        <v>Truncate table FOCLST;</v>
      </c>
      <c r="Q1785" s="5"/>
      <c r="R1785" s="5"/>
    </row>
    <row r="1786" spans="2:18" x14ac:dyDescent="0.25">
      <c r="B1786" s="19" t="s">
        <v>2288</v>
      </c>
      <c r="C1786" s="16" t="s">
        <v>2195</v>
      </c>
      <c r="D1786" s="16" t="s">
        <v>29</v>
      </c>
      <c r="E1786" s="16" t="s">
        <v>1712</v>
      </c>
      <c r="F1786" s="16" t="s">
        <v>1941</v>
      </c>
      <c r="G1786" s="16" t="s">
        <v>35</v>
      </c>
      <c r="H1786" s="16"/>
      <c r="I1786" s="16"/>
      <c r="J1786" s="16"/>
      <c r="K1786" s="16"/>
      <c r="L1786" s="16"/>
      <c r="M1786" s="16"/>
      <c r="N1786" s="16"/>
      <c r="O1786" s="17"/>
      <c r="P1786" s="5" t="str">
        <f t="shared" si="46"/>
        <v>Truncate table FOCPEN;</v>
      </c>
      <c r="Q1786" s="5"/>
      <c r="R1786" s="5"/>
    </row>
    <row r="1787" spans="2:18" x14ac:dyDescent="0.25">
      <c r="B1787" s="19" t="s">
        <v>2289</v>
      </c>
      <c r="C1787" s="16" t="s">
        <v>2290</v>
      </c>
      <c r="D1787" s="16" t="s">
        <v>29</v>
      </c>
      <c r="E1787" s="16" t="s">
        <v>54</v>
      </c>
      <c r="F1787" s="5" t="s">
        <v>216</v>
      </c>
      <c r="G1787" s="16" t="s">
        <v>28</v>
      </c>
      <c r="H1787" s="16" t="s">
        <v>36</v>
      </c>
      <c r="I1787" s="16"/>
      <c r="J1787" s="16"/>
      <c r="K1787" s="16"/>
      <c r="L1787" s="16"/>
      <c r="M1787" s="16"/>
      <c r="N1787" s="16" t="s">
        <v>2291</v>
      </c>
      <c r="O1787" s="7" t="s">
        <v>38</v>
      </c>
      <c r="P1787" s="5" t="str">
        <f t="shared" si="46"/>
        <v>Truncate table FPAE01;</v>
      </c>
      <c r="Q1787" s="5"/>
      <c r="R1787" s="5"/>
    </row>
    <row r="1788" spans="2:18" x14ac:dyDescent="0.25">
      <c r="B1788" s="19" t="s">
        <v>2292</v>
      </c>
      <c r="C1788" s="16" t="s">
        <v>2290</v>
      </c>
      <c r="D1788" s="16" t="s">
        <v>29</v>
      </c>
      <c r="E1788" s="16" t="s">
        <v>54</v>
      </c>
      <c r="F1788" s="5" t="s">
        <v>216</v>
      </c>
      <c r="G1788" s="16" t="s">
        <v>28</v>
      </c>
      <c r="H1788" s="16" t="s">
        <v>36</v>
      </c>
      <c r="I1788" s="16"/>
      <c r="J1788" s="16"/>
      <c r="K1788" s="16"/>
      <c r="L1788" s="16"/>
      <c r="M1788" s="16"/>
      <c r="N1788" s="16" t="s">
        <v>2291</v>
      </c>
      <c r="O1788" s="7" t="s">
        <v>38</v>
      </c>
      <c r="P1788" s="5" t="str">
        <f t="shared" si="46"/>
        <v>Truncate table FPAE02;</v>
      </c>
      <c r="Q1788" s="5"/>
      <c r="R1788" s="5"/>
    </row>
    <row r="1789" spans="2:18" x14ac:dyDescent="0.25">
      <c r="B1789" s="19" t="s">
        <v>2293</v>
      </c>
      <c r="C1789" s="16" t="s">
        <v>2290</v>
      </c>
      <c r="D1789" s="16" t="s">
        <v>29</v>
      </c>
      <c r="E1789" s="16" t="s">
        <v>54</v>
      </c>
      <c r="F1789" s="5" t="s">
        <v>216</v>
      </c>
      <c r="G1789" s="16" t="s">
        <v>28</v>
      </c>
      <c r="H1789" s="16" t="s">
        <v>36</v>
      </c>
      <c r="I1789" s="16"/>
      <c r="J1789" s="16"/>
      <c r="K1789" s="16"/>
      <c r="L1789" s="16"/>
      <c r="M1789" s="16"/>
      <c r="N1789" s="16" t="s">
        <v>2291</v>
      </c>
      <c r="O1789" s="7" t="s">
        <v>38</v>
      </c>
      <c r="P1789" s="5" t="str">
        <f t="shared" si="46"/>
        <v>Truncate table FPAE03;</v>
      </c>
      <c r="Q1789" s="5"/>
      <c r="R1789" s="5"/>
    </row>
    <row r="1790" spans="2:18" x14ac:dyDescent="0.25">
      <c r="B1790" s="19" t="s">
        <v>2294</v>
      </c>
      <c r="C1790" s="16" t="s">
        <v>2290</v>
      </c>
      <c r="D1790" s="16" t="s">
        <v>29</v>
      </c>
      <c r="E1790" s="16" t="s">
        <v>54</v>
      </c>
      <c r="F1790" s="5" t="s">
        <v>216</v>
      </c>
      <c r="G1790" s="16" t="s">
        <v>28</v>
      </c>
      <c r="H1790" s="16" t="s">
        <v>36</v>
      </c>
      <c r="I1790" s="16"/>
      <c r="J1790" s="16"/>
      <c r="K1790" s="16"/>
      <c r="L1790" s="16"/>
      <c r="M1790" s="16"/>
      <c r="N1790" s="16" t="s">
        <v>2291</v>
      </c>
      <c r="O1790" s="7" t="s">
        <v>38</v>
      </c>
      <c r="P1790" s="5" t="str">
        <f t="shared" si="46"/>
        <v>Truncate table FPAE04;</v>
      </c>
      <c r="Q1790" s="5"/>
      <c r="R1790" s="5"/>
    </row>
    <row r="1791" spans="2:18" x14ac:dyDescent="0.25">
      <c r="B1791" s="19" t="s">
        <v>2295</v>
      </c>
      <c r="C1791" s="16" t="s">
        <v>2290</v>
      </c>
      <c r="D1791" s="16" t="s">
        <v>29</v>
      </c>
      <c r="E1791" s="16" t="s">
        <v>54</v>
      </c>
      <c r="F1791" s="5" t="s">
        <v>216</v>
      </c>
      <c r="G1791" s="16" t="s">
        <v>28</v>
      </c>
      <c r="H1791" s="16" t="s">
        <v>36</v>
      </c>
      <c r="I1791" s="16"/>
      <c r="J1791" s="16"/>
      <c r="K1791" s="16"/>
      <c r="L1791" s="16"/>
      <c r="M1791" s="16"/>
      <c r="N1791" s="16" t="s">
        <v>2291</v>
      </c>
      <c r="O1791" s="7" t="s">
        <v>38</v>
      </c>
      <c r="P1791" s="5" t="str">
        <f t="shared" si="46"/>
        <v>Truncate table FPAE05;</v>
      </c>
      <c r="Q1791" s="5"/>
      <c r="R1791" s="5"/>
    </row>
    <row r="1792" spans="2:18" x14ac:dyDescent="0.25">
      <c r="B1792" s="19" t="s">
        <v>2296</v>
      </c>
      <c r="C1792" s="16" t="s">
        <v>2290</v>
      </c>
      <c r="D1792" s="16" t="s">
        <v>29</v>
      </c>
      <c r="E1792" s="16" t="s">
        <v>54</v>
      </c>
      <c r="F1792" s="5" t="s">
        <v>216</v>
      </c>
      <c r="G1792" s="16" t="s">
        <v>28</v>
      </c>
      <c r="H1792" s="16" t="s">
        <v>36</v>
      </c>
      <c r="I1792" s="16"/>
      <c r="J1792" s="16"/>
      <c r="K1792" s="16"/>
      <c r="L1792" s="16"/>
      <c r="M1792" s="16"/>
      <c r="N1792" s="16" t="s">
        <v>2291</v>
      </c>
      <c r="O1792" s="7" t="s">
        <v>38</v>
      </c>
      <c r="P1792" s="5" t="str">
        <f t="shared" si="46"/>
        <v>Truncate table FPAE06;</v>
      </c>
      <c r="Q1792" s="5"/>
      <c r="R1792" s="5"/>
    </row>
    <row r="1793" spans="2:18" x14ac:dyDescent="0.25">
      <c r="B1793" s="19" t="s">
        <v>2297</v>
      </c>
      <c r="C1793" s="16" t="s">
        <v>2290</v>
      </c>
      <c r="D1793" s="16" t="s">
        <v>29</v>
      </c>
      <c r="E1793" s="16" t="s">
        <v>54</v>
      </c>
      <c r="F1793" s="5" t="s">
        <v>216</v>
      </c>
      <c r="G1793" s="16" t="s">
        <v>28</v>
      </c>
      <c r="H1793" s="16" t="s">
        <v>36</v>
      </c>
      <c r="I1793" s="16"/>
      <c r="J1793" s="16"/>
      <c r="K1793" s="16"/>
      <c r="L1793" s="16"/>
      <c r="M1793" s="16"/>
      <c r="N1793" s="16" t="s">
        <v>2291</v>
      </c>
      <c r="O1793" s="7" t="s">
        <v>38</v>
      </c>
      <c r="P1793" s="5" t="str">
        <f t="shared" si="46"/>
        <v>Truncate table FPAE07;</v>
      </c>
      <c r="Q1793" s="5"/>
      <c r="R1793" s="5"/>
    </row>
    <row r="1794" spans="2:18" x14ac:dyDescent="0.25">
      <c r="B1794" s="19" t="s">
        <v>2298</v>
      </c>
      <c r="C1794" s="16" t="s">
        <v>2290</v>
      </c>
      <c r="D1794" s="16" t="s">
        <v>29</v>
      </c>
      <c r="E1794" s="16" t="s">
        <v>54</v>
      </c>
      <c r="F1794" s="5" t="s">
        <v>216</v>
      </c>
      <c r="G1794" s="16" t="s">
        <v>28</v>
      </c>
      <c r="H1794" s="16" t="s">
        <v>36</v>
      </c>
      <c r="I1794" s="16"/>
      <c r="J1794" s="16"/>
      <c r="K1794" s="16"/>
      <c r="L1794" s="16"/>
      <c r="M1794" s="16"/>
      <c r="N1794" s="16" t="s">
        <v>2291</v>
      </c>
      <c r="O1794" s="7" t="s">
        <v>38</v>
      </c>
      <c r="P1794" s="5" t="str">
        <f t="shared" si="46"/>
        <v>Truncate table FPAE08;</v>
      </c>
      <c r="Q1794" s="5"/>
      <c r="R1794" s="5"/>
    </row>
    <row r="1795" spans="2:18" x14ac:dyDescent="0.25">
      <c r="B1795" s="19" t="s">
        <v>2299</v>
      </c>
      <c r="C1795" s="16" t="s">
        <v>2290</v>
      </c>
      <c r="D1795" s="16" t="s">
        <v>29</v>
      </c>
      <c r="E1795" s="16" t="s">
        <v>54</v>
      </c>
      <c r="F1795" s="5" t="s">
        <v>216</v>
      </c>
      <c r="G1795" s="16" t="s">
        <v>28</v>
      </c>
      <c r="H1795" s="16" t="s">
        <v>36</v>
      </c>
      <c r="I1795" s="16"/>
      <c r="J1795" s="16"/>
      <c r="K1795" s="16"/>
      <c r="L1795" s="16"/>
      <c r="M1795" s="16"/>
      <c r="N1795" s="16" t="s">
        <v>2291</v>
      </c>
      <c r="O1795" s="7" t="s">
        <v>38</v>
      </c>
      <c r="P1795" s="5" t="str">
        <f t="shared" si="46"/>
        <v>Truncate table FPAE09;</v>
      </c>
      <c r="Q1795" s="5"/>
      <c r="R1795" s="5"/>
    </row>
    <row r="1796" spans="2:18" x14ac:dyDescent="0.25">
      <c r="B1796" s="19" t="s">
        <v>2300</v>
      </c>
      <c r="C1796" s="16" t="s">
        <v>2290</v>
      </c>
      <c r="D1796" s="16" t="s">
        <v>29</v>
      </c>
      <c r="E1796" s="16" t="s">
        <v>54</v>
      </c>
      <c r="F1796" s="5" t="s">
        <v>216</v>
      </c>
      <c r="G1796" s="16" t="s">
        <v>28</v>
      </c>
      <c r="H1796" s="16" t="s">
        <v>36</v>
      </c>
      <c r="I1796" s="16"/>
      <c r="J1796" s="16"/>
      <c r="K1796" s="16"/>
      <c r="L1796" s="16"/>
      <c r="M1796" s="16"/>
      <c r="N1796" s="16" t="s">
        <v>2291</v>
      </c>
      <c r="O1796" s="7" t="s">
        <v>38</v>
      </c>
      <c r="P1796" s="5" t="str">
        <f t="shared" si="46"/>
        <v>Truncate table FPAE10;</v>
      </c>
      <c r="Q1796" s="5"/>
      <c r="R1796" s="5"/>
    </row>
    <row r="1797" spans="2:18" x14ac:dyDescent="0.25">
      <c r="B1797" s="19" t="s">
        <v>2301</v>
      </c>
      <c r="C1797" s="16" t="s">
        <v>2290</v>
      </c>
      <c r="D1797" s="16" t="s">
        <v>29</v>
      </c>
      <c r="E1797" s="16" t="s">
        <v>54</v>
      </c>
      <c r="F1797" s="5" t="s">
        <v>216</v>
      </c>
      <c r="G1797" s="16" t="s">
        <v>28</v>
      </c>
      <c r="H1797" s="16" t="s">
        <v>36</v>
      </c>
      <c r="I1797" s="16"/>
      <c r="J1797" s="16"/>
      <c r="K1797" s="16"/>
      <c r="L1797" s="16"/>
      <c r="M1797" s="16"/>
      <c r="N1797" s="16" t="s">
        <v>2291</v>
      </c>
      <c r="O1797" s="7" t="s">
        <v>38</v>
      </c>
      <c r="P1797" s="5" t="str">
        <f t="shared" ref="P1797:P1828" si="47">IF(D1797="Datos","Truncate table "&amp; B1797&amp; ";","")</f>
        <v>Truncate table FPAE11;</v>
      </c>
      <c r="Q1797" s="5"/>
      <c r="R1797" s="5"/>
    </row>
    <row r="1798" spans="2:18" x14ac:dyDescent="0.25">
      <c r="B1798" s="19" t="s">
        <v>2302</v>
      </c>
      <c r="C1798" s="16" t="s">
        <v>2290</v>
      </c>
      <c r="D1798" s="16" t="s">
        <v>29</v>
      </c>
      <c r="E1798" s="16" t="s">
        <v>54</v>
      </c>
      <c r="F1798" s="5" t="s">
        <v>216</v>
      </c>
      <c r="G1798" s="16" t="s">
        <v>28</v>
      </c>
      <c r="H1798" s="16" t="s">
        <v>36</v>
      </c>
      <c r="I1798" s="16"/>
      <c r="J1798" s="16"/>
      <c r="K1798" s="16"/>
      <c r="L1798" s="16"/>
      <c r="M1798" s="16"/>
      <c r="N1798" s="16" t="s">
        <v>2291</v>
      </c>
      <c r="O1798" s="7" t="s">
        <v>38</v>
      </c>
      <c r="P1798" s="5" t="str">
        <f t="shared" si="47"/>
        <v>Truncate table FPAE12;</v>
      </c>
      <c r="Q1798" s="5"/>
      <c r="R1798" s="5"/>
    </row>
    <row r="1799" spans="2:18" x14ac:dyDescent="0.25">
      <c r="B1799" s="19" t="s">
        <v>2303</v>
      </c>
      <c r="C1799" s="16" t="s">
        <v>2290</v>
      </c>
      <c r="D1799" s="16" t="s">
        <v>29</v>
      </c>
      <c r="E1799" s="16" t="s">
        <v>54</v>
      </c>
      <c r="F1799" s="5" t="s">
        <v>216</v>
      </c>
      <c r="G1799" s="16" t="s">
        <v>28</v>
      </c>
      <c r="H1799" s="16" t="s">
        <v>36</v>
      </c>
      <c r="I1799" s="16"/>
      <c r="J1799" s="16"/>
      <c r="K1799" s="16"/>
      <c r="L1799" s="16"/>
      <c r="M1799" s="16"/>
      <c r="N1799" s="16" t="s">
        <v>2291</v>
      </c>
      <c r="O1799" s="7" t="s">
        <v>38</v>
      </c>
      <c r="P1799" s="5" t="str">
        <f t="shared" si="47"/>
        <v>Truncate table FPAE13;</v>
      </c>
      <c r="Q1799" s="5"/>
      <c r="R1799" s="5"/>
    </row>
    <row r="1800" spans="2:18" x14ac:dyDescent="0.25">
      <c r="B1800" s="19" t="s">
        <v>2304</v>
      </c>
      <c r="C1800" s="16" t="s">
        <v>2290</v>
      </c>
      <c r="D1800" s="16" t="s">
        <v>29</v>
      </c>
      <c r="E1800" s="16" t="s">
        <v>54</v>
      </c>
      <c r="F1800" s="5" t="s">
        <v>216</v>
      </c>
      <c r="G1800" s="16" t="s">
        <v>28</v>
      </c>
      <c r="H1800" s="16" t="s">
        <v>36</v>
      </c>
      <c r="I1800" s="16"/>
      <c r="J1800" s="16"/>
      <c r="K1800" s="16"/>
      <c r="L1800" s="16"/>
      <c r="M1800" s="16"/>
      <c r="N1800" s="16" t="s">
        <v>2291</v>
      </c>
      <c r="O1800" s="7" t="s">
        <v>38</v>
      </c>
      <c r="P1800" s="5" t="str">
        <f t="shared" si="47"/>
        <v>Truncate table FPAE14;</v>
      </c>
      <c r="Q1800" s="5"/>
      <c r="R1800" s="5"/>
    </row>
    <row r="1801" spans="2:18" x14ac:dyDescent="0.25">
      <c r="B1801" s="19" t="s">
        <v>2305</v>
      </c>
      <c r="C1801" s="16" t="s">
        <v>2290</v>
      </c>
      <c r="D1801" s="16" t="s">
        <v>29</v>
      </c>
      <c r="E1801" s="16" t="s">
        <v>54</v>
      </c>
      <c r="F1801" s="5" t="s">
        <v>216</v>
      </c>
      <c r="G1801" s="16" t="s">
        <v>28</v>
      </c>
      <c r="H1801" s="16" t="s">
        <v>36</v>
      </c>
      <c r="I1801" s="16"/>
      <c r="J1801" s="16"/>
      <c r="K1801" s="16"/>
      <c r="L1801" s="16"/>
      <c r="M1801" s="16"/>
      <c r="N1801" s="16" t="s">
        <v>2291</v>
      </c>
      <c r="O1801" s="7" t="s">
        <v>38</v>
      </c>
      <c r="P1801" s="5" t="str">
        <f t="shared" si="47"/>
        <v>Truncate table FPAE15;</v>
      </c>
      <c r="Q1801" s="5"/>
      <c r="R1801" s="5"/>
    </row>
    <row r="1802" spans="2:18" x14ac:dyDescent="0.25">
      <c r="B1802" s="19" t="s">
        <v>2306</v>
      </c>
      <c r="C1802" s="16" t="s">
        <v>2290</v>
      </c>
      <c r="D1802" s="16" t="s">
        <v>29</v>
      </c>
      <c r="E1802" s="16" t="s">
        <v>54</v>
      </c>
      <c r="F1802" s="5" t="s">
        <v>216</v>
      </c>
      <c r="G1802" s="16" t="s">
        <v>28</v>
      </c>
      <c r="H1802" s="16" t="s">
        <v>36</v>
      </c>
      <c r="I1802" s="16"/>
      <c r="J1802" s="16"/>
      <c r="K1802" s="16"/>
      <c r="L1802" s="16"/>
      <c r="M1802" s="16"/>
      <c r="N1802" s="16" t="s">
        <v>2291</v>
      </c>
      <c r="O1802" s="7" t="s">
        <v>38</v>
      </c>
      <c r="P1802" s="5" t="str">
        <f t="shared" si="47"/>
        <v>Truncate table FPAE16;</v>
      </c>
      <c r="Q1802" s="5"/>
      <c r="R1802" s="5"/>
    </row>
    <row r="1803" spans="2:18" x14ac:dyDescent="0.25">
      <c r="B1803" s="19" t="s">
        <v>2307</v>
      </c>
      <c r="C1803" s="16" t="s">
        <v>2290</v>
      </c>
      <c r="D1803" s="16" t="s">
        <v>29</v>
      </c>
      <c r="E1803" s="16" t="s">
        <v>54</v>
      </c>
      <c r="F1803" s="5" t="s">
        <v>216</v>
      </c>
      <c r="G1803" s="16" t="s">
        <v>28</v>
      </c>
      <c r="H1803" s="16" t="s">
        <v>36</v>
      </c>
      <c r="I1803" s="16"/>
      <c r="J1803" s="16"/>
      <c r="K1803" s="16"/>
      <c r="L1803" s="16"/>
      <c r="M1803" s="16"/>
      <c r="N1803" s="16" t="s">
        <v>2291</v>
      </c>
      <c r="O1803" s="7" t="s">
        <v>38</v>
      </c>
      <c r="P1803" s="5" t="str">
        <f t="shared" si="47"/>
        <v>Truncate table FPAE17;</v>
      </c>
      <c r="Q1803" s="5"/>
      <c r="R1803" s="5"/>
    </row>
    <row r="1804" spans="2:18" x14ac:dyDescent="0.25">
      <c r="B1804" s="19" t="s">
        <v>2308</v>
      </c>
      <c r="C1804" s="16" t="s">
        <v>2309</v>
      </c>
      <c r="D1804" s="16" t="s">
        <v>8152</v>
      </c>
      <c r="E1804" s="16" t="s">
        <v>54</v>
      </c>
      <c r="F1804" s="5" t="s">
        <v>216</v>
      </c>
      <c r="G1804" s="16" t="s">
        <v>35</v>
      </c>
      <c r="H1804" s="16" t="s">
        <v>36</v>
      </c>
      <c r="I1804" s="16"/>
      <c r="J1804" s="16"/>
      <c r="K1804" s="16"/>
      <c r="L1804" s="16"/>
      <c r="M1804" s="16"/>
      <c r="N1804" s="16" t="s">
        <v>2291</v>
      </c>
      <c r="O1804" s="7" t="s">
        <v>38</v>
      </c>
      <c r="P1804" s="5" t="str">
        <f t="shared" si="47"/>
        <v/>
      </c>
      <c r="Q1804" s="5"/>
      <c r="R1804" s="5"/>
    </row>
    <row r="1805" spans="2:18" x14ac:dyDescent="0.25">
      <c r="B1805" s="19" t="s">
        <v>2310</v>
      </c>
      <c r="C1805" s="16" t="s">
        <v>2311</v>
      </c>
      <c r="D1805" s="16" t="s">
        <v>8152</v>
      </c>
      <c r="E1805" s="16" t="s">
        <v>54</v>
      </c>
      <c r="F1805" s="5" t="s">
        <v>216</v>
      </c>
      <c r="G1805" s="16" t="s">
        <v>35</v>
      </c>
      <c r="H1805" s="16" t="s">
        <v>36</v>
      </c>
      <c r="I1805" s="16"/>
      <c r="J1805" s="16"/>
      <c r="K1805" s="16"/>
      <c r="L1805" s="16"/>
      <c r="M1805" s="16"/>
      <c r="N1805" s="16" t="s">
        <v>2291</v>
      </c>
      <c r="O1805" s="7" t="s">
        <v>38</v>
      </c>
      <c r="P1805" s="5" t="str">
        <f t="shared" si="47"/>
        <v/>
      </c>
      <c r="Q1805" s="5"/>
      <c r="R1805" s="5"/>
    </row>
    <row r="1806" spans="2:18" x14ac:dyDescent="0.25">
      <c r="B1806" s="19" t="s">
        <v>2312</v>
      </c>
      <c r="C1806" s="16" t="s">
        <v>2313</v>
      </c>
      <c r="D1806" s="16" t="s">
        <v>8152</v>
      </c>
      <c r="E1806" s="16" t="s">
        <v>54</v>
      </c>
      <c r="F1806" s="5" t="s">
        <v>216</v>
      </c>
      <c r="G1806" s="16" t="s">
        <v>35</v>
      </c>
      <c r="H1806" s="16" t="s">
        <v>36</v>
      </c>
      <c r="I1806" s="16"/>
      <c r="J1806" s="16"/>
      <c r="K1806" s="16"/>
      <c r="L1806" s="16"/>
      <c r="M1806" s="16"/>
      <c r="N1806" s="16" t="s">
        <v>2291</v>
      </c>
      <c r="O1806" s="7" t="s">
        <v>38</v>
      </c>
      <c r="P1806" s="5" t="str">
        <f t="shared" si="47"/>
        <v/>
      </c>
      <c r="Q1806" s="5"/>
      <c r="R1806" s="5"/>
    </row>
    <row r="1807" spans="2:18" x14ac:dyDescent="0.25">
      <c r="B1807" s="19" t="s">
        <v>2314</v>
      </c>
      <c r="C1807" s="16" t="s">
        <v>2315</v>
      </c>
      <c r="D1807" s="16" t="s">
        <v>8152</v>
      </c>
      <c r="E1807" s="16" t="s">
        <v>54</v>
      </c>
      <c r="F1807" s="5" t="s">
        <v>216</v>
      </c>
      <c r="G1807" s="16" t="s">
        <v>35</v>
      </c>
      <c r="H1807" s="16" t="s">
        <v>36</v>
      </c>
      <c r="I1807" s="16"/>
      <c r="J1807" s="16"/>
      <c r="K1807" s="16"/>
      <c r="L1807" s="16"/>
      <c r="M1807" s="16"/>
      <c r="N1807" s="16" t="s">
        <v>2291</v>
      </c>
      <c r="O1807" s="7" t="s">
        <v>38</v>
      </c>
      <c r="P1807" s="5" t="str">
        <f t="shared" si="47"/>
        <v/>
      </c>
      <c r="Q1807" s="5"/>
      <c r="R1807" s="5"/>
    </row>
    <row r="1808" spans="2:18" x14ac:dyDescent="0.25">
      <c r="B1808" s="19" t="s">
        <v>2316</v>
      </c>
      <c r="C1808" s="16" t="s">
        <v>2317</v>
      </c>
      <c r="D1808" s="16" t="s">
        <v>8152</v>
      </c>
      <c r="E1808" s="16" t="s">
        <v>54</v>
      </c>
      <c r="F1808" s="5" t="s">
        <v>216</v>
      </c>
      <c r="G1808" s="16" t="s">
        <v>35</v>
      </c>
      <c r="H1808" s="16" t="s">
        <v>36</v>
      </c>
      <c r="I1808" s="16"/>
      <c r="J1808" s="16"/>
      <c r="K1808" s="16"/>
      <c r="L1808" s="16"/>
      <c r="M1808" s="16"/>
      <c r="N1808" s="16" t="s">
        <v>2291</v>
      </c>
      <c r="O1808" s="7" t="s">
        <v>38</v>
      </c>
      <c r="P1808" s="5" t="str">
        <f t="shared" si="47"/>
        <v/>
      </c>
      <c r="Q1808" s="5"/>
      <c r="R1808" s="5"/>
    </row>
    <row r="1809" spans="2:18" x14ac:dyDescent="0.25">
      <c r="B1809" s="19" t="s">
        <v>2318</v>
      </c>
      <c r="C1809" s="16" t="s">
        <v>2319</v>
      </c>
      <c r="D1809" s="16" t="s">
        <v>8152</v>
      </c>
      <c r="E1809" s="16" t="s">
        <v>54</v>
      </c>
      <c r="F1809" s="5" t="s">
        <v>216</v>
      </c>
      <c r="G1809" s="16" t="s">
        <v>35</v>
      </c>
      <c r="H1809" s="16" t="s">
        <v>36</v>
      </c>
      <c r="I1809" s="16"/>
      <c r="J1809" s="16"/>
      <c r="K1809" s="16"/>
      <c r="L1809" s="16"/>
      <c r="M1809" s="16"/>
      <c r="N1809" s="16" t="s">
        <v>2291</v>
      </c>
      <c r="O1809" s="7" t="s">
        <v>38</v>
      </c>
      <c r="P1809" s="5" t="str">
        <f t="shared" si="47"/>
        <v/>
      </c>
      <c r="Q1809" s="5"/>
      <c r="R1809" s="5"/>
    </row>
    <row r="1810" spans="2:18" x14ac:dyDescent="0.25">
      <c r="B1810" s="19" t="s">
        <v>2320</v>
      </c>
      <c r="C1810" s="16" t="s">
        <v>2321</v>
      </c>
      <c r="D1810" s="16" t="s">
        <v>8152</v>
      </c>
      <c r="E1810" s="16" t="s">
        <v>54</v>
      </c>
      <c r="F1810" s="5" t="s">
        <v>216</v>
      </c>
      <c r="G1810" s="16" t="s">
        <v>35</v>
      </c>
      <c r="H1810" s="16" t="s">
        <v>36</v>
      </c>
      <c r="I1810" s="16"/>
      <c r="J1810" s="16"/>
      <c r="K1810" s="16"/>
      <c r="L1810" s="16"/>
      <c r="M1810" s="16"/>
      <c r="N1810" s="16" t="s">
        <v>2291</v>
      </c>
      <c r="O1810" s="7" t="s">
        <v>38</v>
      </c>
      <c r="P1810" s="5" t="str">
        <f t="shared" si="47"/>
        <v/>
      </c>
      <c r="Q1810" s="5"/>
      <c r="R1810" s="5"/>
    </row>
    <row r="1811" spans="2:18" x14ac:dyDescent="0.25">
      <c r="B1811" s="19" t="s">
        <v>2322</v>
      </c>
      <c r="C1811" s="16" t="s">
        <v>2323</v>
      </c>
      <c r="D1811" s="16" t="s">
        <v>8152</v>
      </c>
      <c r="E1811" s="16" t="s">
        <v>54</v>
      </c>
      <c r="F1811" s="5" t="s">
        <v>216</v>
      </c>
      <c r="G1811" s="16" t="s">
        <v>35</v>
      </c>
      <c r="H1811" s="16" t="s">
        <v>36</v>
      </c>
      <c r="I1811" s="16"/>
      <c r="J1811" s="16"/>
      <c r="K1811" s="16"/>
      <c r="L1811" s="16"/>
      <c r="M1811" s="16"/>
      <c r="N1811" s="16" t="s">
        <v>2291</v>
      </c>
      <c r="O1811" s="7" t="s">
        <v>38</v>
      </c>
      <c r="P1811" s="5" t="str">
        <f t="shared" si="47"/>
        <v/>
      </c>
      <c r="Q1811" s="5"/>
      <c r="R1811" s="5"/>
    </row>
    <row r="1812" spans="2:18" x14ac:dyDescent="0.25">
      <c r="B1812" s="19" t="s">
        <v>2324</v>
      </c>
      <c r="C1812" s="16" t="s">
        <v>2325</v>
      </c>
      <c r="D1812" s="16" t="s">
        <v>8152</v>
      </c>
      <c r="E1812" s="16" t="s">
        <v>54</v>
      </c>
      <c r="F1812" s="5" t="s">
        <v>216</v>
      </c>
      <c r="G1812" s="16" t="s">
        <v>35</v>
      </c>
      <c r="H1812" s="16" t="s">
        <v>36</v>
      </c>
      <c r="I1812" s="16"/>
      <c r="J1812" s="16"/>
      <c r="K1812" s="16"/>
      <c r="L1812" s="16"/>
      <c r="M1812" s="16"/>
      <c r="N1812" s="16" t="s">
        <v>2291</v>
      </c>
      <c r="O1812" s="7" t="s">
        <v>38</v>
      </c>
      <c r="P1812" s="5" t="str">
        <f t="shared" si="47"/>
        <v/>
      </c>
      <c r="Q1812" s="5"/>
      <c r="R1812" s="5"/>
    </row>
    <row r="1813" spans="2:18" x14ac:dyDescent="0.25">
      <c r="B1813" s="19" t="s">
        <v>2326</v>
      </c>
      <c r="C1813" s="16" t="s">
        <v>2327</v>
      </c>
      <c r="D1813" s="16" t="s">
        <v>8152</v>
      </c>
      <c r="E1813" s="16" t="s">
        <v>54</v>
      </c>
      <c r="F1813" s="5" t="s">
        <v>216</v>
      </c>
      <c r="G1813" s="16" t="s">
        <v>35</v>
      </c>
      <c r="H1813" s="16" t="s">
        <v>36</v>
      </c>
      <c r="I1813" s="16"/>
      <c r="J1813" s="16"/>
      <c r="K1813" s="16"/>
      <c r="L1813" s="16"/>
      <c r="M1813" s="16"/>
      <c r="N1813" s="16" t="s">
        <v>2291</v>
      </c>
      <c r="O1813" s="7" t="s">
        <v>38</v>
      </c>
      <c r="P1813" s="5" t="str">
        <f t="shared" si="47"/>
        <v/>
      </c>
      <c r="Q1813" s="5"/>
      <c r="R1813" s="5"/>
    </row>
    <row r="1814" spans="2:18" x14ac:dyDescent="0.25">
      <c r="B1814" s="19" t="s">
        <v>2328</v>
      </c>
      <c r="C1814" s="16" t="s">
        <v>2329</v>
      </c>
      <c r="D1814" s="16" t="s">
        <v>8152</v>
      </c>
      <c r="E1814" s="16" t="s">
        <v>54</v>
      </c>
      <c r="F1814" s="5" t="s">
        <v>216</v>
      </c>
      <c r="G1814" s="16" t="s">
        <v>35</v>
      </c>
      <c r="H1814" s="16" t="s">
        <v>36</v>
      </c>
      <c r="I1814" s="16"/>
      <c r="J1814" s="16"/>
      <c r="K1814" s="16"/>
      <c r="L1814" s="16"/>
      <c r="M1814" s="16"/>
      <c r="N1814" s="16" t="s">
        <v>2291</v>
      </c>
      <c r="O1814" s="7" t="s">
        <v>38</v>
      </c>
      <c r="P1814" s="5" t="str">
        <f t="shared" si="47"/>
        <v/>
      </c>
      <c r="Q1814" s="5"/>
      <c r="R1814" s="5"/>
    </row>
    <row r="1815" spans="2:18" x14ac:dyDescent="0.25">
      <c r="B1815" s="19" t="s">
        <v>2330</v>
      </c>
      <c r="C1815" s="16" t="s">
        <v>2331</v>
      </c>
      <c r="D1815" s="16" t="s">
        <v>29</v>
      </c>
      <c r="E1815" s="16" t="s">
        <v>54</v>
      </c>
      <c r="F1815" s="5" t="s">
        <v>216</v>
      </c>
      <c r="G1815" s="16" t="s">
        <v>35</v>
      </c>
      <c r="H1815" s="16" t="s">
        <v>36</v>
      </c>
      <c r="I1815" s="16"/>
      <c r="J1815" s="16"/>
      <c r="K1815" s="16"/>
      <c r="L1815" s="16"/>
      <c r="M1815" s="16"/>
      <c r="N1815" s="16" t="s">
        <v>2291</v>
      </c>
      <c r="O1815" s="7" t="s">
        <v>38</v>
      </c>
      <c r="P1815" s="5" t="str">
        <f t="shared" si="47"/>
        <v>Truncate table FPAE70;</v>
      </c>
      <c r="Q1815" s="5"/>
      <c r="R1815" s="5"/>
    </row>
    <row r="1816" spans="2:18" x14ac:dyDescent="0.25">
      <c r="B1816" s="19" t="s">
        <v>2332</v>
      </c>
      <c r="C1816" s="16" t="s">
        <v>2333</v>
      </c>
      <c r="D1816" s="16" t="s">
        <v>29</v>
      </c>
      <c r="E1816" s="16" t="s">
        <v>54</v>
      </c>
      <c r="F1816" s="5" t="s">
        <v>216</v>
      </c>
      <c r="G1816" s="16" t="s">
        <v>35</v>
      </c>
      <c r="H1816" s="16" t="s">
        <v>36</v>
      </c>
      <c r="I1816" s="16"/>
      <c r="J1816" s="16"/>
      <c r="K1816" s="16"/>
      <c r="L1816" s="16"/>
      <c r="M1816" s="16"/>
      <c r="N1816" s="16" t="s">
        <v>2291</v>
      </c>
      <c r="O1816" s="7" t="s">
        <v>38</v>
      </c>
      <c r="P1816" s="5" t="str">
        <f t="shared" si="47"/>
        <v>Truncate table FPAE71;</v>
      </c>
      <c r="Q1816" s="5"/>
      <c r="R1816" s="5"/>
    </row>
    <row r="1817" spans="2:18" x14ac:dyDescent="0.25">
      <c r="B1817" s="19" t="s">
        <v>2334</v>
      </c>
      <c r="C1817" s="16" t="s">
        <v>2335</v>
      </c>
      <c r="D1817" s="16" t="s">
        <v>29</v>
      </c>
      <c r="E1817" s="16" t="s">
        <v>54</v>
      </c>
      <c r="F1817" s="5" t="s">
        <v>216</v>
      </c>
      <c r="G1817" s="16" t="s">
        <v>35</v>
      </c>
      <c r="H1817" s="16" t="s">
        <v>36</v>
      </c>
      <c r="I1817" s="16"/>
      <c r="J1817" s="16"/>
      <c r="K1817" s="16"/>
      <c r="L1817" s="16"/>
      <c r="M1817" s="16"/>
      <c r="N1817" s="16" t="s">
        <v>2291</v>
      </c>
      <c r="O1817" s="7" t="s">
        <v>38</v>
      </c>
      <c r="P1817" s="5" t="str">
        <f t="shared" si="47"/>
        <v>Truncate table FPAE72;</v>
      </c>
      <c r="Q1817" s="5"/>
      <c r="R1817" s="5"/>
    </row>
    <row r="1818" spans="2:18" x14ac:dyDescent="0.25">
      <c r="B1818" s="19" t="s">
        <v>2336</v>
      </c>
      <c r="C1818" s="16" t="s">
        <v>2337</v>
      </c>
      <c r="D1818" s="16" t="s">
        <v>29</v>
      </c>
      <c r="E1818" s="16" t="s">
        <v>54</v>
      </c>
      <c r="F1818" s="5" t="s">
        <v>216</v>
      </c>
      <c r="G1818" s="16" t="s">
        <v>35</v>
      </c>
      <c r="H1818" s="16" t="s">
        <v>36</v>
      </c>
      <c r="I1818" s="16"/>
      <c r="J1818" s="16"/>
      <c r="K1818" s="16"/>
      <c r="L1818" s="16"/>
      <c r="M1818" s="16"/>
      <c r="N1818" s="16" t="s">
        <v>2291</v>
      </c>
      <c r="O1818" s="7" t="s">
        <v>38</v>
      </c>
      <c r="P1818" s="5" t="str">
        <f t="shared" si="47"/>
        <v>Truncate table FPAE73;</v>
      </c>
      <c r="Q1818" s="5"/>
      <c r="R1818" s="5"/>
    </row>
    <row r="1819" spans="2:18" x14ac:dyDescent="0.25">
      <c r="B1819" s="19" t="s">
        <v>2338</v>
      </c>
      <c r="C1819" s="16" t="s">
        <v>2339</v>
      </c>
      <c r="D1819" s="16" t="s">
        <v>8152</v>
      </c>
      <c r="E1819" s="16" t="s">
        <v>54</v>
      </c>
      <c r="F1819" s="5" t="s">
        <v>216</v>
      </c>
      <c r="G1819" s="16" t="s">
        <v>35</v>
      </c>
      <c r="H1819" s="16" t="s">
        <v>36</v>
      </c>
      <c r="I1819" s="16"/>
      <c r="J1819" s="16"/>
      <c r="K1819" s="16"/>
      <c r="L1819" s="16"/>
      <c r="M1819" s="16"/>
      <c r="N1819" s="16" t="s">
        <v>2291</v>
      </c>
      <c r="O1819" s="7" t="s">
        <v>38</v>
      </c>
      <c r="P1819" s="5" t="str">
        <f t="shared" si="47"/>
        <v/>
      </c>
      <c r="Q1819" s="5"/>
      <c r="R1819" s="5"/>
    </row>
    <row r="1820" spans="2:18" x14ac:dyDescent="0.25">
      <c r="B1820" s="19" t="s">
        <v>2340</v>
      </c>
      <c r="C1820" s="16" t="s">
        <v>2341</v>
      </c>
      <c r="D1820" s="16" t="s">
        <v>8152</v>
      </c>
      <c r="E1820" s="16" t="s">
        <v>54</v>
      </c>
      <c r="F1820" s="5" t="s">
        <v>216</v>
      </c>
      <c r="G1820" s="16" t="s">
        <v>35</v>
      </c>
      <c r="H1820" s="16" t="s">
        <v>36</v>
      </c>
      <c r="I1820" s="16"/>
      <c r="J1820" s="16"/>
      <c r="K1820" s="16"/>
      <c r="L1820" s="16"/>
      <c r="M1820" s="16"/>
      <c r="N1820" s="16" t="s">
        <v>2291</v>
      </c>
      <c r="O1820" s="7" t="s">
        <v>38</v>
      </c>
      <c r="P1820" s="5" t="str">
        <f t="shared" si="47"/>
        <v/>
      </c>
      <c r="Q1820" s="5"/>
      <c r="R1820" s="5"/>
    </row>
    <row r="1821" spans="2:18" x14ac:dyDescent="0.25">
      <c r="B1821" s="19" t="s">
        <v>2342</v>
      </c>
      <c r="C1821" s="16" t="s">
        <v>2343</v>
      </c>
      <c r="D1821" s="16" t="s">
        <v>8152</v>
      </c>
      <c r="E1821" s="16" t="s">
        <v>54</v>
      </c>
      <c r="F1821" s="5" t="s">
        <v>216</v>
      </c>
      <c r="G1821" s="16" t="s">
        <v>35</v>
      </c>
      <c r="H1821" s="16" t="s">
        <v>36</v>
      </c>
      <c r="I1821" s="16"/>
      <c r="J1821" s="16"/>
      <c r="K1821" s="16"/>
      <c r="L1821" s="16"/>
      <c r="M1821" s="16"/>
      <c r="N1821" s="16" t="s">
        <v>2291</v>
      </c>
      <c r="O1821" s="7" t="s">
        <v>38</v>
      </c>
      <c r="P1821" s="5" t="str">
        <f t="shared" si="47"/>
        <v/>
      </c>
      <c r="Q1821" s="5"/>
      <c r="R1821" s="5"/>
    </row>
    <row r="1822" spans="2:18" x14ac:dyDescent="0.25">
      <c r="B1822" s="19" t="s">
        <v>2344</v>
      </c>
      <c r="C1822" s="16" t="s">
        <v>2343</v>
      </c>
      <c r="D1822" s="16" t="s">
        <v>8152</v>
      </c>
      <c r="E1822" s="16" t="s">
        <v>54</v>
      </c>
      <c r="F1822" s="5" t="s">
        <v>216</v>
      </c>
      <c r="G1822" s="16" t="s">
        <v>35</v>
      </c>
      <c r="H1822" s="16" t="s">
        <v>36</v>
      </c>
      <c r="I1822" s="16"/>
      <c r="J1822" s="16"/>
      <c r="K1822" s="16"/>
      <c r="L1822" s="16"/>
      <c r="M1822" s="16"/>
      <c r="N1822" s="16" t="s">
        <v>2291</v>
      </c>
      <c r="O1822" s="7" t="s">
        <v>38</v>
      </c>
      <c r="P1822" s="5" t="str">
        <f t="shared" si="47"/>
        <v/>
      </c>
      <c r="Q1822" s="5"/>
      <c r="R1822" s="5"/>
    </row>
    <row r="1823" spans="2:18" x14ac:dyDescent="0.25">
      <c r="B1823" s="19" t="s">
        <v>2345</v>
      </c>
      <c r="C1823" s="16" t="s">
        <v>2346</v>
      </c>
      <c r="D1823" s="16" t="s">
        <v>8152</v>
      </c>
      <c r="E1823" s="16" t="s">
        <v>54</v>
      </c>
      <c r="F1823" s="5" t="s">
        <v>216</v>
      </c>
      <c r="G1823" s="16" t="s">
        <v>35</v>
      </c>
      <c r="H1823" s="16" t="s">
        <v>36</v>
      </c>
      <c r="I1823" s="16"/>
      <c r="J1823" s="16"/>
      <c r="K1823" s="16"/>
      <c r="L1823" s="16"/>
      <c r="M1823" s="16"/>
      <c r="N1823" s="16" t="s">
        <v>2291</v>
      </c>
      <c r="O1823" s="7" t="s">
        <v>38</v>
      </c>
      <c r="P1823" s="5" t="str">
        <f t="shared" si="47"/>
        <v/>
      </c>
      <c r="Q1823" s="5"/>
      <c r="R1823" s="5"/>
    </row>
    <row r="1824" spans="2:18" x14ac:dyDescent="0.25">
      <c r="B1824" s="19" t="s">
        <v>2347</v>
      </c>
      <c r="C1824" s="16" t="s">
        <v>2348</v>
      </c>
      <c r="D1824" s="16" t="s">
        <v>8152</v>
      </c>
      <c r="E1824" s="16" t="s">
        <v>54</v>
      </c>
      <c r="F1824" s="5" t="s">
        <v>216</v>
      </c>
      <c r="G1824" s="16" t="s">
        <v>35</v>
      </c>
      <c r="H1824" s="16" t="s">
        <v>36</v>
      </c>
      <c r="I1824" s="16"/>
      <c r="J1824" s="16"/>
      <c r="K1824" s="16"/>
      <c r="L1824" s="16"/>
      <c r="M1824" s="16"/>
      <c r="N1824" s="16" t="s">
        <v>2291</v>
      </c>
      <c r="O1824" s="7" t="s">
        <v>38</v>
      </c>
      <c r="P1824" s="5" t="str">
        <f t="shared" si="47"/>
        <v/>
      </c>
      <c r="Q1824" s="5"/>
      <c r="R1824" s="5"/>
    </row>
    <row r="1825" spans="2:22" x14ac:dyDescent="0.25">
      <c r="B1825" s="19" t="s">
        <v>2349</v>
      </c>
      <c r="C1825" s="16" t="s">
        <v>2350</v>
      </c>
      <c r="D1825" s="16" t="s">
        <v>8152</v>
      </c>
      <c r="E1825" s="16" t="s">
        <v>54</v>
      </c>
      <c r="F1825" s="5" t="s">
        <v>216</v>
      </c>
      <c r="G1825" s="16" t="s">
        <v>35</v>
      </c>
      <c r="H1825" s="16" t="s">
        <v>36</v>
      </c>
      <c r="I1825" s="16"/>
      <c r="J1825" s="16"/>
      <c r="K1825" s="16"/>
      <c r="L1825" s="16"/>
      <c r="M1825" s="16"/>
      <c r="N1825" s="16" t="s">
        <v>2291</v>
      </c>
      <c r="O1825" s="7" t="s">
        <v>38</v>
      </c>
      <c r="P1825" s="5" t="str">
        <f t="shared" si="47"/>
        <v/>
      </c>
      <c r="Q1825" s="5"/>
      <c r="R1825" s="5"/>
    </row>
    <row r="1826" spans="2:22" x14ac:dyDescent="0.25">
      <c r="B1826" s="19" t="s">
        <v>2351</v>
      </c>
      <c r="C1826" s="16" t="s">
        <v>2352</v>
      </c>
      <c r="D1826" s="16" t="s">
        <v>8152</v>
      </c>
      <c r="E1826" s="16" t="s">
        <v>54</v>
      </c>
      <c r="F1826" s="5" t="s">
        <v>216</v>
      </c>
      <c r="G1826" s="16" t="s">
        <v>35</v>
      </c>
      <c r="H1826" s="16" t="s">
        <v>36</v>
      </c>
      <c r="I1826" s="16"/>
      <c r="J1826" s="16"/>
      <c r="K1826" s="16"/>
      <c r="L1826" s="16"/>
      <c r="M1826" s="16"/>
      <c r="N1826" s="16" t="s">
        <v>2291</v>
      </c>
      <c r="O1826" s="7" t="s">
        <v>38</v>
      </c>
      <c r="P1826" s="5" t="str">
        <f t="shared" si="47"/>
        <v/>
      </c>
      <c r="Q1826" s="5"/>
      <c r="R1826" s="5"/>
    </row>
    <row r="1827" spans="2:22" x14ac:dyDescent="0.25">
      <c r="B1827" s="19" t="s">
        <v>2353</v>
      </c>
      <c r="C1827" s="16" t="s">
        <v>2354</v>
      </c>
      <c r="D1827" s="16" t="s">
        <v>8152</v>
      </c>
      <c r="E1827" s="16" t="s">
        <v>54</v>
      </c>
      <c r="F1827" s="5" t="s">
        <v>216</v>
      </c>
      <c r="G1827" s="16" t="s">
        <v>35</v>
      </c>
      <c r="H1827" s="16" t="s">
        <v>36</v>
      </c>
      <c r="I1827" s="16"/>
      <c r="J1827" s="16"/>
      <c r="K1827" s="16"/>
      <c r="L1827" s="16"/>
      <c r="M1827" s="16"/>
      <c r="N1827" s="16" t="s">
        <v>2291</v>
      </c>
      <c r="O1827" s="7" t="s">
        <v>38</v>
      </c>
      <c r="P1827" s="5" t="str">
        <f t="shared" si="47"/>
        <v/>
      </c>
      <c r="Q1827" s="5"/>
      <c r="R1827" s="5"/>
    </row>
    <row r="1828" spans="2:22" ht="15.75" customHeight="1" x14ac:dyDescent="0.3">
      <c r="B1828" s="19" t="s">
        <v>2355</v>
      </c>
      <c r="C1828" s="331" t="s">
        <v>10049</v>
      </c>
      <c r="D1828" s="16" t="s">
        <v>29</v>
      </c>
      <c r="E1828" s="16"/>
      <c r="F1828" s="5"/>
      <c r="G1828" s="16" t="s">
        <v>35</v>
      </c>
      <c r="H1828" s="16" t="s">
        <v>4630</v>
      </c>
      <c r="I1828" s="16"/>
      <c r="J1828" s="16"/>
      <c r="K1828" s="16"/>
      <c r="L1828" s="16"/>
      <c r="M1828" s="16"/>
      <c r="N1828" s="16"/>
      <c r="O1828" s="17"/>
      <c r="P1828" s="5" t="str">
        <f t="shared" si="47"/>
        <v>Truncate table FPCG002;</v>
      </c>
      <c r="Q1828" s="5"/>
      <c r="R1828" s="5"/>
    </row>
    <row r="1829" spans="2:22" x14ac:dyDescent="0.25">
      <c r="B1829" s="19" t="s">
        <v>2356</v>
      </c>
      <c r="C1829" s="21" t="s">
        <v>2357</v>
      </c>
      <c r="D1829" s="16" t="s">
        <v>29</v>
      </c>
      <c r="E1829" s="16" t="s">
        <v>1096</v>
      </c>
      <c r="F1829" s="16" t="s">
        <v>184</v>
      </c>
      <c r="G1829" s="16" t="s">
        <v>35</v>
      </c>
      <c r="H1829" s="16" t="s">
        <v>36</v>
      </c>
      <c r="I1829" s="16"/>
      <c r="J1829" s="16"/>
      <c r="K1829" s="16"/>
      <c r="L1829" s="16"/>
      <c r="M1829" s="16"/>
      <c r="N1829" s="16"/>
      <c r="O1829" s="17" t="s">
        <v>38</v>
      </c>
      <c r="P1829" s="16" t="str">
        <f t="shared" ref="P1829:P1860" si="48">IF(D1829="Datos","Truncate table "&amp; B1829&amp; ";","")</f>
        <v>Truncate table FPP001;</v>
      </c>
      <c r="Q1829" s="16"/>
      <c r="R1829" s="16"/>
      <c r="S1829"/>
      <c r="T1829"/>
      <c r="U1829"/>
      <c r="V1829"/>
    </row>
    <row r="1830" spans="2:22" x14ac:dyDescent="0.25">
      <c r="B1830" s="19" t="s">
        <v>2358</v>
      </c>
      <c r="C1830" s="16" t="s">
        <v>2359</v>
      </c>
      <c r="D1830" s="16" t="s">
        <v>29</v>
      </c>
      <c r="E1830" s="16" t="s">
        <v>1096</v>
      </c>
      <c r="F1830" s="16" t="s">
        <v>184</v>
      </c>
      <c r="G1830" s="16" t="s">
        <v>35</v>
      </c>
      <c r="H1830" s="16" t="s">
        <v>36</v>
      </c>
      <c r="I1830" s="16"/>
      <c r="J1830" s="16"/>
      <c r="K1830" s="16"/>
      <c r="L1830" s="16"/>
      <c r="M1830" s="16"/>
      <c r="N1830" s="16"/>
      <c r="O1830" s="17" t="s">
        <v>38</v>
      </c>
      <c r="P1830" s="16" t="str">
        <f t="shared" si="48"/>
        <v>Truncate table FPP002;</v>
      </c>
      <c r="Q1830" s="16"/>
      <c r="R1830" s="16"/>
      <c r="S1830"/>
      <c r="T1830"/>
      <c r="U1830"/>
      <c r="V1830"/>
    </row>
    <row r="1831" spans="2:22" x14ac:dyDescent="0.25">
      <c r="B1831" s="19" t="s">
        <v>2360</v>
      </c>
      <c r="C1831" s="16" t="s">
        <v>2359</v>
      </c>
      <c r="D1831" s="16" t="s">
        <v>29</v>
      </c>
      <c r="E1831" s="16" t="s">
        <v>1096</v>
      </c>
      <c r="F1831" s="16" t="s">
        <v>184</v>
      </c>
      <c r="G1831" s="16" t="s">
        <v>35</v>
      </c>
      <c r="H1831" s="16" t="s">
        <v>36</v>
      </c>
      <c r="I1831" s="16"/>
      <c r="J1831" s="16"/>
      <c r="K1831" s="16"/>
      <c r="L1831" s="16"/>
      <c r="M1831" s="16"/>
      <c r="N1831" s="16"/>
      <c r="O1831" s="17" t="s">
        <v>38</v>
      </c>
      <c r="P1831" s="16" t="str">
        <f t="shared" si="48"/>
        <v>Truncate table FPP003;</v>
      </c>
      <c r="Q1831" s="16"/>
      <c r="R1831" s="16"/>
      <c r="S1831"/>
      <c r="T1831"/>
      <c r="U1831"/>
      <c r="V1831"/>
    </row>
    <row r="1832" spans="2:22" x14ac:dyDescent="0.25">
      <c r="B1832" s="19" t="s">
        <v>2361</v>
      </c>
      <c r="C1832" s="16" t="s">
        <v>2362</v>
      </c>
      <c r="D1832" s="16" t="s">
        <v>29</v>
      </c>
      <c r="E1832" s="16" t="s">
        <v>1096</v>
      </c>
      <c r="F1832" s="16" t="s">
        <v>184</v>
      </c>
      <c r="G1832" s="16" t="s">
        <v>35</v>
      </c>
      <c r="H1832" s="16" t="s">
        <v>36</v>
      </c>
      <c r="I1832" s="16"/>
      <c r="J1832" s="16"/>
      <c r="K1832" s="16"/>
      <c r="L1832" s="16"/>
      <c r="M1832" s="16"/>
      <c r="N1832" s="16"/>
      <c r="O1832" s="17" t="s">
        <v>38</v>
      </c>
      <c r="P1832" s="16" t="str">
        <f t="shared" si="48"/>
        <v>Truncate table FPP004;</v>
      </c>
      <c r="Q1832" s="16"/>
      <c r="R1832" s="16"/>
      <c r="S1832"/>
      <c r="T1832"/>
      <c r="U1832"/>
      <c r="V1832"/>
    </row>
    <row r="1833" spans="2:22" x14ac:dyDescent="0.25">
      <c r="B1833" s="19" t="s">
        <v>2363</v>
      </c>
      <c r="C1833" s="16" t="s">
        <v>2364</v>
      </c>
      <c r="D1833" s="16" t="s">
        <v>29</v>
      </c>
      <c r="E1833" s="16" t="s">
        <v>1096</v>
      </c>
      <c r="F1833" s="16" t="s">
        <v>184</v>
      </c>
      <c r="G1833" s="16" t="s">
        <v>35</v>
      </c>
      <c r="H1833" s="16" t="s">
        <v>36</v>
      </c>
      <c r="I1833" s="16"/>
      <c r="J1833" s="16"/>
      <c r="K1833" s="16"/>
      <c r="L1833" s="16"/>
      <c r="M1833" s="16"/>
      <c r="N1833" s="16"/>
      <c r="O1833" s="17" t="s">
        <v>38</v>
      </c>
      <c r="P1833" s="16" t="str">
        <f t="shared" si="48"/>
        <v>Truncate table FPP005;</v>
      </c>
      <c r="Q1833" s="16"/>
      <c r="R1833" s="16"/>
      <c r="S1833"/>
      <c r="T1833"/>
      <c r="U1833"/>
      <c r="V1833"/>
    </row>
    <row r="1834" spans="2:22" x14ac:dyDescent="0.25">
      <c r="B1834" s="19" t="s">
        <v>2365</v>
      </c>
      <c r="C1834" s="16" t="s">
        <v>2366</v>
      </c>
      <c r="D1834" s="16" t="s">
        <v>29</v>
      </c>
      <c r="E1834" s="16" t="s">
        <v>1096</v>
      </c>
      <c r="F1834" s="16" t="s">
        <v>184</v>
      </c>
      <c r="G1834" s="16" t="s">
        <v>35</v>
      </c>
      <c r="H1834" s="16" t="s">
        <v>36</v>
      </c>
      <c r="I1834" s="16"/>
      <c r="J1834" s="16"/>
      <c r="K1834" s="16"/>
      <c r="L1834" s="16"/>
      <c r="M1834" s="16"/>
      <c r="N1834" s="16"/>
      <c r="O1834" s="17" t="s">
        <v>38</v>
      </c>
      <c r="P1834" s="16" t="str">
        <f t="shared" si="48"/>
        <v>Truncate table FPP006;</v>
      </c>
      <c r="Q1834" s="16"/>
      <c r="R1834" s="16"/>
      <c r="S1834"/>
      <c r="T1834"/>
      <c r="U1834"/>
      <c r="V1834"/>
    </row>
    <row r="1835" spans="2:22" x14ac:dyDescent="0.25">
      <c r="B1835" s="19" t="s">
        <v>2367</v>
      </c>
      <c r="C1835" s="21" t="s">
        <v>2368</v>
      </c>
      <c r="D1835" s="16" t="s">
        <v>8152</v>
      </c>
      <c r="E1835" s="16" t="s">
        <v>1096</v>
      </c>
      <c r="F1835" s="16" t="s">
        <v>184</v>
      </c>
      <c r="G1835" s="16" t="s">
        <v>35</v>
      </c>
      <c r="H1835" s="16" t="s">
        <v>36</v>
      </c>
      <c r="I1835" s="16"/>
      <c r="J1835" s="16"/>
      <c r="K1835" s="16"/>
      <c r="L1835" s="16"/>
      <c r="M1835" s="16" t="s">
        <v>38</v>
      </c>
      <c r="N1835" s="16"/>
      <c r="O1835" s="17" t="s">
        <v>38</v>
      </c>
      <c r="P1835" s="16" t="str">
        <f t="shared" si="48"/>
        <v/>
      </c>
      <c r="Q1835" s="16"/>
      <c r="R1835" s="16"/>
      <c r="S1835"/>
      <c r="T1835"/>
      <c r="U1835"/>
      <c r="V1835"/>
    </row>
    <row r="1836" spans="2:22" x14ac:dyDescent="0.25">
      <c r="B1836" s="19" t="s">
        <v>2369</v>
      </c>
      <c r="C1836" s="16" t="s">
        <v>2370</v>
      </c>
      <c r="D1836" s="16" t="s">
        <v>8152</v>
      </c>
      <c r="E1836" s="16" t="s">
        <v>1096</v>
      </c>
      <c r="F1836" s="16" t="s">
        <v>184</v>
      </c>
      <c r="G1836" s="16" t="s">
        <v>35</v>
      </c>
      <c r="H1836" s="16" t="s">
        <v>36</v>
      </c>
      <c r="I1836" s="16"/>
      <c r="J1836" s="16"/>
      <c r="K1836" s="16"/>
      <c r="L1836" s="16"/>
      <c r="M1836" s="16" t="s">
        <v>38</v>
      </c>
      <c r="N1836" s="16"/>
      <c r="O1836" s="17" t="s">
        <v>38</v>
      </c>
      <c r="P1836" s="16" t="str">
        <f t="shared" si="48"/>
        <v/>
      </c>
      <c r="Q1836" s="16"/>
      <c r="R1836" s="16"/>
      <c r="S1836"/>
      <c r="T1836"/>
      <c r="U1836"/>
      <c r="V1836"/>
    </row>
    <row r="1837" spans="2:22" x14ac:dyDescent="0.25">
      <c r="B1837" s="19" t="s">
        <v>2371</v>
      </c>
      <c r="C1837" s="16" t="s">
        <v>2372</v>
      </c>
      <c r="D1837" s="16" t="s">
        <v>8152</v>
      </c>
      <c r="E1837" s="16" t="s">
        <v>1096</v>
      </c>
      <c r="F1837" s="16" t="s">
        <v>184</v>
      </c>
      <c r="G1837" s="16" t="s">
        <v>35</v>
      </c>
      <c r="H1837" s="16" t="s">
        <v>36</v>
      </c>
      <c r="I1837" s="16"/>
      <c r="J1837" s="16"/>
      <c r="K1837" s="16"/>
      <c r="L1837" s="16"/>
      <c r="M1837" s="16" t="s">
        <v>38</v>
      </c>
      <c r="N1837" s="16"/>
      <c r="O1837" s="17" t="s">
        <v>38</v>
      </c>
      <c r="P1837" s="16" t="str">
        <f t="shared" si="48"/>
        <v/>
      </c>
      <c r="Q1837" s="16"/>
      <c r="R1837" s="16"/>
      <c r="S1837"/>
      <c r="T1837"/>
      <c r="U1837"/>
      <c r="V1837"/>
    </row>
    <row r="1838" spans="2:22" ht="27" customHeight="1" x14ac:dyDescent="0.25">
      <c r="B1838" s="19" t="s">
        <v>2373</v>
      </c>
      <c r="C1838" s="21" t="s">
        <v>2374</v>
      </c>
      <c r="D1838" s="16" t="s">
        <v>8152</v>
      </c>
      <c r="E1838" s="16" t="s">
        <v>1096</v>
      </c>
      <c r="F1838" s="16" t="s">
        <v>184</v>
      </c>
      <c r="G1838" s="16" t="s">
        <v>35</v>
      </c>
      <c r="H1838" s="16" t="s">
        <v>36</v>
      </c>
      <c r="I1838" s="16"/>
      <c r="J1838" s="16"/>
      <c r="K1838" s="16"/>
      <c r="L1838" s="16"/>
      <c r="M1838" s="16" t="s">
        <v>38</v>
      </c>
      <c r="N1838" s="16"/>
      <c r="O1838" s="17" t="s">
        <v>38</v>
      </c>
      <c r="P1838" s="16" t="str">
        <f t="shared" si="48"/>
        <v/>
      </c>
      <c r="Q1838" s="16"/>
      <c r="R1838" s="16"/>
      <c r="S1838"/>
      <c r="T1838"/>
      <c r="U1838"/>
      <c r="V1838"/>
    </row>
    <row r="1839" spans="2:22" ht="28.5" customHeight="1" x14ac:dyDescent="0.25">
      <c r="B1839" s="19" t="s">
        <v>2375</v>
      </c>
      <c r="C1839" s="16" t="s">
        <v>2376</v>
      </c>
      <c r="D1839" s="16" t="s">
        <v>8152</v>
      </c>
      <c r="E1839" s="16" t="s">
        <v>1096</v>
      </c>
      <c r="F1839" s="16" t="s">
        <v>184</v>
      </c>
      <c r="G1839" s="16" t="s">
        <v>35</v>
      </c>
      <c r="H1839" s="16" t="s">
        <v>36</v>
      </c>
      <c r="I1839" s="16"/>
      <c r="J1839" s="16"/>
      <c r="K1839" s="16"/>
      <c r="L1839" s="16"/>
      <c r="M1839" s="16" t="s">
        <v>38</v>
      </c>
      <c r="N1839" s="16"/>
      <c r="O1839" s="17" t="s">
        <v>38</v>
      </c>
      <c r="P1839" s="16" t="str">
        <f t="shared" si="48"/>
        <v/>
      </c>
      <c r="Q1839" s="16"/>
      <c r="R1839" s="16"/>
      <c r="S1839"/>
      <c r="T1839"/>
      <c r="U1839"/>
      <c r="V1839"/>
    </row>
    <row r="1840" spans="2:22" x14ac:dyDescent="0.25">
      <c r="B1840" s="19" t="s">
        <v>2377</v>
      </c>
      <c r="C1840" s="16" t="s">
        <v>2378</v>
      </c>
      <c r="D1840" s="16" t="s">
        <v>8152</v>
      </c>
      <c r="E1840" s="16" t="s">
        <v>1096</v>
      </c>
      <c r="F1840" s="16" t="s">
        <v>184</v>
      </c>
      <c r="G1840" s="16" t="s">
        <v>35</v>
      </c>
      <c r="H1840" s="16" t="s">
        <v>36</v>
      </c>
      <c r="I1840" s="16"/>
      <c r="J1840" s="16"/>
      <c r="K1840" s="16"/>
      <c r="L1840" s="16"/>
      <c r="M1840" s="16" t="s">
        <v>38</v>
      </c>
      <c r="N1840" s="16"/>
      <c r="O1840" s="17" t="s">
        <v>38</v>
      </c>
      <c r="P1840" s="16" t="str">
        <f t="shared" si="48"/>
        <v/>
      </c>
      <c r="Q1840" s="16"/>
      <c r="R1840" s="16"/>
      <c r="S1840"/>
      <c r="T1840"/>
      <c r="U1840"/>
      <c r="V1840"/>
    </row>
    <row r="1841" spans="2:22" ht="26.25" customHeight="1" x14ac:dyDescent="0.25">
      <c r="B1841" s="19" t="s">
        <v>2379</v>
      </c>
      <c r="C1841" s="16" t="s">
        <v>2380</v>
      </c>
      <c r="D1841" s="16" t="s">
        <v>8152</v>
      </c>
      <c r="E1841" s="16" t="s">
        <v>1096</v>
      </c>
      <c r="F1841" s="16" t="s">
        <v>184</v>
      </c>
      <c r="G1841" s="16" t="s">
        <v>35</v>
      </c>
      <c r="H1841" s="16" t="s">
        <v>36</v>
      </c>
      <c r="I1841" s="16"/>
      <c r="J1841" s="16"/>
      <c r="K1841" s="16"/>
      <c r="L1841" s="16"/>
      <c r="M1841" s="16" t="s">
        <v>38</v>
      </c>
      <c r="N1841" s="16"/>
      <c r="O1841" s="17" t="s">
        <v>38</v>
      </c>
      <c r="P1841" s="16" t="str">
        <f t="shared" si="48"/>
        <v/>
      </c>
      <c r="Q1841" s="16"/>
      <c r="R1841" s="16"/>
      <c r="S1841"/>
      <c r="T1841"/>
      <c r="U1841"/>
      <c r="V1841"/>
    </row>
    <row r="1842" spans="2:22" x14ac:dyDescent="0.25">
      <c r="B1842" s="19" t="s">
        <v>2381</v>
      </c>
      <c r="C1842" s="16" t="s">
        <v>2382</v>
      </c>
      <c r="D1842" s="16" t="s">
        <v>8152</v>
      </c>
      <c r="E1842" s="16" t="s">
        <v>1096</v>
      </c>
      <c r="F1842" s="16" t="s">
        <v>184</v>
      </c>
      <c r="G1842" s="16" t="s">
        <v>35</v>
      </c>
      <c r="H1842" s="16" t="s">
        <v>36</v>
      </c>
      <c r="I1842" s="16"/>
      <c r="J1842" s="16"/>
      <c r="K1842" s="16"/>
      <c r="L1842" s="16"/>
      <c r="M1842" s="16" t="s">
        <v>38</v>
      </c>
      <c r="N1842" s="16"/>
      <c r="O1842" s="17" t="s">
        <v>38</v>
      </c>
      <c r="P1842" s="16" t="str">
        <f t="shared" si="48"/>
        <v/>
      </c>
      <c r="Q1842" s="16"/>
      <c r="R1842" s="16"/>
      <c r="S1842"/>
      <c r="T1842"/>
      <c r="U1842"/>
      <c r="V1842"/>
    </row>
    <row r="1843" spans="2:22" x14ac:dyDescent="0.25">
      <c r="B1843" s="19" t="s">
        <v>2383</v>
      </c>
      <c r="C1843" s="16" t="s">
        <v>2384</v>
      </c>
      <c r="D1843" s="16" t="s">
        <v>8152</v>
      </c>
      <c r="E1843" s="16" t="s">
        <v>1096</v>
      </c>
      <c r="F1843" s="16" t="s">
        <v>184</v>
      </c>
      <c r="G1843" s="16" t="s">
        <v>35</v>
      </c>
      <c r="H1843" s="16" t="s">
        <v>36</v>
      </c>
      <c r="I1843" s="16"/>
      <c r="J1843" s="16"/>
      <c r="K1843" s="16"/>
      <c r="L1843" s="16"/>
      <c r="M1843" s="16" t="s">
        <v>38</v>
      </c>
      <c r="N1843" s="16"/>
      <c r="O1843" s="17" t="s">
        <v>38</v>
      </c>
      <c r="P1843" s="16" t="str">
        <f t="shared" si="48"/>
        <v/>
      </c>
      <c r="Q1843" s="16"/>
      <c r="R1843" s="16"/>
      <c r="S1843"/>
      <c r="T1843"/>
      <c r="U1843"/>
      <c r="V1843"/>
    </row>
    <row r="1844" spans="2:22" ht="31.5" customHeight="1" x14ac:dyDescent="0.25">
      <c r="B1844" s="19" t="s">
        <v>2385</v>
      </c>
      <c r="C1844" s="21" t="s">
        <v>2386</v>
      </c>
      <c r="D1844" s="16" t="s">
        <v>8152</v>
      </c>
      <c r="E1844" s="16" t="s">
        <v>1096</v>
      </c>
      <c r="F1844" s="16" t="s">
        <v>184</v>
      </c>
      <c r="G1844" s="16" t="s">
        <v>35</v>
      </c>
      <c r="H1844" s="16" t="s">
        <v>36</v>
      </c>
      <c r="I1844" s="16"/>
      <c r="J1844" s="16"/>
      <c r="K1844" s="16"/>
      <c r="L1844" s="16"/>
      <c r="M1844" s="16" t="s">
        <v>38</v>
      </c>
      <c r="N1844" s="16"/>
      <c r="O1844" s="17" t="s">
        <v>38</v>
      </c>
      <c r="P1844" s="16" t="str">
        <f t="shared" si="48"/>
        <v/>
      </c>
      <c r="Q1844" s="16"/>
      <c r="R1844" s="16"/>
      <c r="S1844"/>
      <c r="T1844"/>
      <c r="U1844"/>
      <c r="V1844"/>
    </row>
    <row r="1845" spans="2:22" x14ac:dyDescent="0.25">
      <c r="B1845" s="19" t="s">
        <v>2387</v>
      </c>
      <c r="C1845" s="16" t="s">
        <v>2388</v>
      </c>
      <c r="D1845" s="16" t="s">
        <v>8152</v>
      </c>
      <c r="E1845" s="16" t="s">
        <v>1096</v>
      </c>
      <c r="F1845" s="16" t="s">
        <v>184</v>
      </c>
      <c r="G1845" s="16" t="s">
        <v>35</v>
      </c>
      <c r="H1845" s="16" t="s">
        <v>36</v>
      </c>
      <c r="I1845" s="16"/>
      <c r="J1845" s="16"/>
      <c r="K1845" s="16"/>
      <c r="L1845" s="16"/>
      <c r="M1845" s="16" t="s">
        <v>38</v>
      </c>
      <c r="N1845" s="16"/>
      <c r="O1845" s="17" t="s">
        <v>38</v>
      </c>
      <c r="P1845" s="16" t="str">
        <f t="shared" si="48"/>
        <v/>
      </c>
      <c r="Q1845" s="16"/>
      <c r="R1845" s="16"/>
      <c r="S1845"/>
      <c r="T1845"/>
      <c r="U1845"/>
      <c r="V1845"/>
    </row>
    <row r="1846" spans="2:22" x14ac:dyDescent="0.25">
      <c r="B1846" s="19" t="s">
        <v>2389</v>
      </c>
      <c r="C1846" s="16" t="s">
        <v>2390</v>
      </c>
      <c r="D1846" s="16" t="s">
        <v>8152</v>
      </c>
      <c r="E1846" s="16" t="s">
        <v>1096</v>
      </c>
      <c r="F1846" s="16" t="s">
        <v>184</v>
      </c>
      <c r="G1846" s="16" t="s">
        <v>35</v>
      </c>
      <c r="H1846" s="16" t="s">
        <v>36</v>
      </c>
      <c r="I1846" s="16"/>
      <c r="J1846" s="16"/>
      <c r="K1846" s="16"/>
      <c r="L1846" s="16"/>
      <c r="M1846" s="16" t="s">
        <v>38</v>
      </c>
      <c r="N1846" s="16"/>
      <c r="O1846" s="17" t="s">
        <v>38</v>
      </c>
      <c r="P1846" s="16" t="str">
        <f t="shared" si="48"/>
        <v/>
      </c>
      <c r="Q1846" s="16"/>
      <c r="R1846" s="16"/>
      <c r="S1846"/>
      <c r="T1846"/>
      <c r="U1846"/>
      <c r="V1846"/>
    </row>
    <row r="1847" spans="2:22" ht="26.25" customHeight="1" x14ac:dyDescent="0.25">
      <c r="B1847" s="19" t="s">
        <v>2391</v>
      </c>
      <c r="C1847" s="16" t="s">
        <v>2392</v>
      </c>
      <c r="D1847" s="16" t="s">
        <v>8152</v>
      </c>
      <c r="E1847" s="16" t="s">
        <v>1096</v>
      </c>
      <c r="F1847" s="16" t="s">
        <v>184</v>
      </c>
      <c r="G1847" s="16" t="s">
        <v>35</v>
      </c>
      <c r="H1847" s="16" t="s">
        <v>36</v>
      </c>
      <c r="I1847" s="16"/>
      <c r="J1847" s="16"/>
      <c r="K1847" s="16"/>
      <c r="L1847" s="16"/>
      <c r="M1847" s="16" t="s">
        <v>38</v>
      </c>
      <c r="N1847" s="16"/>
      <c r="O1847" s="17" t="s">
        <v>38</v>
      </c>
      <c r="P1847" s="16" t="str">
        <f t="shared" si="48"/>
        <v/>
      </c>
      <c r="Q1847" s="16"/>
      <c r="R1847" s="16"/>
      <c r="S1847"/>
      <c r="T1847"/>
      <c r="U1847"/>
      <c r="V1847"/>
    </row>
    <row r="1848" spans="2:22" ht="40.5" x14ac:dyDescent="0.25">
      <c r="B1848" s="19" t="s">
        <v>2393</v>
      </c>
      <c r="C1848" s="16" t="s">
        <v>2394</v>
      </c>
      <c r="D1848" s="16" t="s">
        <v>8152</v>
      </c>
      <c r="E1848" s="16" t="s">
        <v>1096</v>
      </c>
      <c r="F1848" s="16" t="s">
        <v>184</v>
      </c>
      <c r="G1848" s="16" t="s">
        <v>35</v>
      </c>
      <c r="H1848" s="16" t="s">
        <v>36</v>
      </c>
      <c r="I1848" s="16"/>
      <c r="J1848" s="16"/>
      <c r="K1848" s="16"/>
      <c r="L1848" s="16"/>
      <c r="M1848" s="16" t="s">
        <v>8577</v>
      </c>
      <c r="N1848" s="16" t="s">
        <v>8624</v>
      </c>
      <c r="O1848" s="17" t="s">
        <v>38</v>
      </c>
      <c r="P1848" s="16" t="str">
        <f t="shared" si="48"/>
        <v/>
      </c>
      <c r="Q1848" s="16"/>
      <c r="R1848" s="16"/>
      <c r="S1848"/>
      <c r="T1848"/>
      <c r="U1848"/>
      <c r="V1848"/>
    </row>
    <row r="1849" spans="2:22" ht="40.5" x14ac:dyDescent="0.25">
      <c r="B1849" s="19" t="s">
        <v>2395</v>
      </c>
      <c r="C1849" s="21" t="s">
        <v>2396</v>
      </c>
      <c r="D1849" s="16" t="s">
        <v>29</v>
      </c>
      <c r="E1849" s="16" t="s">
        <v>1096</v>
      </c>
      <c r="F1849" s="16" t="s">
        <v>184</v>
      </c>
      <c r="G1849" s="16" t="s">
        <v>35</v>
      </c>
      <c r="H1849" s="16" t="s">
        <v>36</v>
      </c>
      <c r="I1849" s="16"/>
      <c r="J1849" s="16"/>
      <c r="K1849" s="16"/>
      <c r="L1849" s="16"/>
      <c r="M1849" s="16" t="s">
        <v>8577</v>
      </c>
      <c r="N1849" s="16" t="s">
        <v>8625</v>
      </c>
      <c r="O1849" s="17" t="s">
        <v>38</v>
      </c>
      <c r="P1849" s="16" t="str">
        <f t="shared" si="48"/>
        <v>Truncate table FPP027;</v>
      </c>
      <c r="Q1849" s="16"/>
      <c r="R1849" s="16"/>
      <c r="S1849"/>
      <c r="T1849"/>
      <c r="U1849"/>
      <c r="V1849"/>
    </row>
    <row r="1850" spans="2:22" ht="36" customHeight="1" x14ac:dyDescent="0.25">
      <c r="B1850" s="19" t="s">
        <v>2397</v>
      </c>
      <c r="C1850" s="16" t="s">
        <v>2398</v>
      </c>
      <c r="D1850" s="16" t="s">
        <v>8152</v>
      </c>
      <c r="E1850" s="16" t="s">
        <v>1096</v>
      </c>
      <c r="F1850" s="16" t="s">
        <v>184</v>
      </c>
      <c r="G1850" s="16" t="s">
        <v>35</v>
      </c>
      <c r="H1850" s="16" t="s">
        <v>36</v>
      </c>
      <c r="I1850" s="16"/>
      <c r="J1850" s="16"/>
      <c r="K1850" s="16"/>
      <c r="L1850" s="16"/>
      <c r="M1850" s="16" t="s">
        <v>387</v>
      </c>
      <c r="N1850" s="16"/>
      <c r="O1850" s="17" t="s">
        <v>38</v>
      </c>
      <c r="P1850" s="16" t="str">
        <f t="shared" si="48"/>
        <v/>
      </c>
      <c r="Q1850" s="16"/>
      <c r="R1850" s="16"/>
      <c r="S1850"/>
      <c r="T1850"/>
      <c r="U1850"/>
      <c r="V1850"/>
    </row>
    <row r="1851" spans="2:22" ht="21" customHeight="1" x14ac:dyDescent="0.25">
      <c r="B1851" s="19" t="s">
        <v>2399</v>
      </c>
      <c r="C1851" s="21" t="s">
        <v>2400</v>
      </c>
      <c r="D1851" s="16" t="s">
        <v>29</v>
      </c>
      <c r="E1851" s="16" t="s">
        <v>1096</v>
      </c>
      <c r="F1851" s="16" t="s">
        <v>184</v>
      </c>
      <c r="G1851" s="16" t="s">
        <v>35</v>
      </c>
      <c r="H1851" s="16" t="s">
        <v>36</v>
      </c>
      <c r="I1851" s="16"/>
      <c r="J1851" s="16"/>
      <c r="K1851" s="16"/>
      <c r="L1851" s="16"/>
      <c r="M1851" s="16"/>
      <c r="N1851" s="16"/>
      <c r="O1851" s="17" t="s">
        <v>38</v>
      </c>
      <c r="P1851" s="16" t="str">
        <f t="shared" si="48"/>
        <v>Truncate table FPP029;</v>
      </c>
      <c r="Q1851" s="16"/>
      <c r="R1851" s="16"/>
      <c r="S1851"/>
      <c r="T1851"/>
      <c r="U1851"/>
      <c r="V1851"/>
    </row>
    <row r="1852" spans="2:22" ht="33" customHeight="1" x14ac:dyDescent="0.25">
      <c r="B1852" s="19" t="s">
        <v>2401</v>
      </c>
      <c r="C1852" s="16" t="s">
        <v>2402</v>
      </c>
      <c r="D1852" s="16" t="s">
        <v>8152</v>
      </c>
      <c r="E1852" s="16" t="s">
        <v>1096</v>
      </c>
      <c r="F1852" s="16" t="s">
        <v>184</v>
      </c>
      <c r="G1852" s="16" t="s">
        <v>35</v>
      </c>
      <c r="H1852" s="16" t="s">
        <v>36</v>
      </c>
      <c r="I1852" s="16"/>
      <c r="J1852" s="16"/>
      <c r="K1852" s="16"/>
      <c r="L1852" s="16"/>
      <c r="M1852" s="16" t="s">
        <v>387</v>
      </c>
      <c r="N1852" s="16"/>
      <c r="O1852" s="17" t="s">
        <v>38</v>
      </c>
      <c r="P1852" s="16" t="str">
        <f t="shared" si="48"/>
        <v/>
      </c>
      <c r="Q1852" s="16"/>
      <c r="R1852" s="16"/>
      <c r="S1852"/>
      <c r="T1852"/>
      <c r="U1852"/>
      <c r="V1852"/>
    </row>
    <row r="1853" spans="2:22" x14ac:dyDescent="0.25">
      <c r="B1853" s="19" t="s">
        <v>2403</v>
      </c>
      <c r="C1853" s="21" t="s">
        <v>2404</v>
      </c>
      <c r="D1853" s="16" t="s">
        <v>29</v>
      </c>
      <c r="E1853" s="16" t="s">
        <v>1096</v>
      </c>
      <c r="F1853" s="16" t="s">
        <v>184</v>
      </c>
      <c r="G1853" s="16" t="s">
        <v>35</v>
      </c>
      <c r="H1853" s="16" t="s">
        <v>36</v>
      </c>
      <c r="I1853" s="16"/>
      <c r="J1853" s="16"/>
      <c r="K1853" s="16"/>
      <c r="L1853" s="16"/>
      <c r="M1853" s="16"/>
      <c r="N1853" s="16"/>
      <c r="O1853" s="17" t="s">
        <v>38</v>
      </c>
      <c r="P1853" s="16" t="str">
        <f t="shared" si="48"/>
        <v>Truncate table FPP031;</v>
      </c>
      <c r="Q1853" s="16"/>
      <c r="R1853" s="16"/>
      <c r="S1853"/>
      <c r="T1853"/>
      <c r="U1853"/>
      <c r="V1853"/>
    </row>
    <row r="1854" spans="2:22" x14ac:dyDescent="0.25">
      <c r="B1854" s="19" t="s">
        <v>2405</v>
      </c>
      <c r="C1854" s="16" t="s">
        <v>2406</v>
      </c>
      <c r="D1854" s="16" t="s">
        <v>8152</v>
      </c>
      <c r="E1854" s="16" t="s">
        <v>1096</v>
      </c>
      <c r="F1854" s="16" t="s">
        <v>2407</v>
      </c>
      <c r="G1854" s="16" t="s">
        <v>35</v>
      </c>
      <c r="H1854" s="16" t="s">
        <v>36</v>
      </c>
      <c r="I1854" s="16"/>
      <c r="J1854" s="16"/>
      <c r="K1854" s="16"/>
      <c r="L1854" s="16"/>
      <c r="M1854" s="16"/>
      <c r="N1854" s="16"/>
      <c r="O1854" s="17" t="s">
        <v>38</v>
      </c>
      <c r="P1854" s="16" t="str">
        <f t="shared" si="48"/>
        <v/>
      </c>
      <c r="Q1854" s="16"/>
      <c r="R1854" s="16"/>
      <c r="S1854"/>
      <c r="T1854"/>
      <c r="U1854"/>
      <c r="V1854"/>
    </row>
    <row r="1855" spans="2:22" x14ac:dyDescent="0.25">
      <c r="B1855" s="19" t="s">
        <v>2408</v>
      </c>
      <c r="C1855" s="21" t="s">
        <v>2409</v>
      </c>
      <c r="D1855" s="16" t="s">
        <v>8152</v>
      </c>
      <c r="E1855" s="16" t="s">
        <v>1096</v>
      </c>
      <c r="F1855" s="16" t="s">
        <v>2407</v>
      </c>
      <c r="G1855" s="16" t="s">
        <v>35</v>
      </c>
      <c r="H1855" s="16" t="s">
        <v>36</v>
      </c>
      <c r="I1855" s="16"/>
      <c r="J1855" s="16"/>
      <c r="K1855" s="16"/>
      <c r="L1855" s="16"/>
      <c r="M1855" s="16"/>
      <c r="N1855" s="16"/>
      <c r="O1855" s="17" t="s">
        <v>38</v>
      </c>
      <c r="P1855" s="16" t="str">
        <f t="shared" si="48"/>
        <v/>
      </c>
      <c r="Q1855" s="16"/>
      <c r="R1855" s="16"/>
      <c r="S1855"/>
      <c r="T1855"/>
      <c r="U1855"/>
      <c r="V1855"/>
    </row>
    <row r="1856" spans="2:22" x14ac:dyDescent="0.25">
      <c r="B1856" s="19" t="s">
        <v>2410</v>
      </c>
      <c r="C1856" s="16" t="s">
        <v>2411</v>
      </c>
      <c r="D1856" s="16" t="s">
        <v>8152</v>
      </c>
      <c r="E1856" s="16" t="s">
        <v>1096</v>
      </c>
      <c r="F1856" s="16" t="s">
        <v>2407</v>
      </c>
      <c r="G1856" s="16" t="s">
        <v>35</v>
      </c>
      <c r="H1856" s="16" t="s">
        <v>36</v>
      </c>
      <c r="I1856" s="16"/>
      <c r="J1856" s="16"/>
      <c r="K1856" s="16"/>
      <c r="L1856" s="16"/>
      <c r="M1856" s="16"/>
      <c r="N1856" s="16"/>
      <c r="O1856" s="17" t="s">
        <v>38</v>
      </c>
      <c r="P1856" s="16" t="str">
        <f t="shared" si="48"/>
        <v/>
      </c>
      <c r="Q1856" s="16"/>
      <c r="R1856" s="16"/>
      <c r="S1856"/>
      <c r="T1856"/>
      <c r="U1856"/>
      <c r="V1856"/>
    </row>
    <row r="1857" spans="2:22" x14ac:dyDescent="0.25">
      <c r="B1857" s="19" t="s">
        <v>2412</v>
      </c>
      <c r="C1857" s="21" t="s">
        <v>2413</v>
      </c>
      <c r="D1857" s="16" t="s">
        <v>8152</v>
      </c>
      <c r="E1857" s="16" t="s">
        <v>1096</v>
      </c>
      <c r="F1857" s="16" t="s">
        <v>2407</v>
      </c>
      <c r="G1857" s="16" t="s">
        <v>35</v>
      </c>
      <c r="H1857" s="16" t="s">
        <v>36</v>
      </c>
      <c r="I1857" s="16"/>
      <c r="J1857" s="16"/>
      <c r="K1857" s="16"/>
      <c r="L1857" s="16"/>
      <c r="M1857" s="16"/>
      <c r="N1857" s="16"/>
      <c r="O1857" s="17" t="s">
        <v>38</v>
      </c>
      <c r="P1857" s="16" t="str">
        <f t="shared" si="48"/>
        <v/>
      </c>
      <c r="Q1857" s="16"/>
      <c r="R1857" s="16"/>
      <c r="S1857"/>
      <c r="T1857"/>
      <c r="U1857"/>
      <c r="V1857"/>
    </row>
    <row r="1858" spans="2:22" x14ac:dyDescent="0.25">
      <c r="B1858" s="19" t="s">
        <v>2414</v>
      </c>
      <c r="C1858" s="21" t="s">
        <v>2415</v>
      </c>
      <c r="D1858" s="16" t="s">
        <v>29</v>
      </c>
      <c r="E1858" s="16" t="s">
        <v>1096</v>
      </c>
      <c r="F1858" s="16" t="s">
        <v>184</v>
      </c>
      <c r="G1858" s="16" t="s">
        <v>35</v>
      </c>
      <c r="H1858" s="16"/>
      <c r="I1858" s="16"/>
      <c r="J1858" s="16"/>
      <c r="K1858" s="16"/>
      <c r="L1858" s="16"/>
      <c r="M1858" s="16"/>
      <c r="N1858" s="16"/>
      <c r="O1858" s="17" t="s">
        <v>38</v>
      </c>
      <c r="P1858" s="16" t="str">
        <f t="shared" si="48"/>
        <v>Truncate table FPP036;</v>
      </c>
      <c r="Q1858" s="16"/>
      <c r="R1858" s="16"/>
      <c r="S1858"/>
      <c r="T1858"/>
      <c r="U1858"/>
      <c r="V1858"/>
    </row>
    <row r="1859" spans="2:22" x14ac:dyDescent="0.25">
      <c r="B1859" s="19" t="s">
        <v>2416</v>
      </c>
      <c r="C1859" s="16" t="s">
        <v>2417</v>
      </c>
      <c r="D1859" s="16" t="s">
        <v>8152</v>
      </c>
      <c r="E1859" s="16" t="s">
        <v>1096</v>
      </c>
      <c r="F1859" s="16" t="s">
        <v>184</v>
      </c>
      <c r="G1859" s="16" t="s">
        <v>35</v>
      </c>
      <c r="H1859" s="16" t="s">
        <v>36</v>
      </c>
      <c r="I1859" s="16"/>
      <c r="J1859" s="16"/>
      <c r="K1859" s="16"/>
      <c r="L1859" s="16"/>
      <c r="M1859" s="16" t="s">
        <v>38</v>
      </c>
      <c r="N1859" s="16"/>
      <c r="O1859" s="17" t="s">
        <v>38</v>
      </c>
      <c r="P1859" s="16" t="str">
        <f t="shared" si="48"/>
        <v/>
      </c>
      <c r="Q1859" s="16"/>
      <c r="R1859" s="16"/>
      <c r="S1859"/>
      <c r="T1859"/>
      <c r="U1859"/>
      <c r="V1859"/>
    </row>
    <row r="1860" spans="2:22" x14ac:dyDescent="0.25">
      <c r="B1860" s="19" t="s">
        <v>2418</v>
      </c>
      <c r="C1860" s="16" t="s">
        <v>2419</v>
      </c>
      <c r="D1860" s="16" t="s">
        <v>8152</v>
      </c>
      <c r="E1860" s="16" t="s">
        <v>1096</v>
      </c>
      <c r="F1860" s="16" t="s">
        <v>184</v>
      </c>
      <c r="G1860" s="16" t="s">
        <v>35</v>
      </c>
      <c r="H1860" s="16" t="s">
        <v>36</v>
      </c>
      <c r="I1860" s="16"/>
      <c r="J1860" s="16"/>
      <c r="K1860" s="16"/>
      <c r="L1860" s="16"/>
      <c r="M1860" s="16" t="s">
        <v>38</v>
      </c>
      <c r="N1860" s="16"/>
      <c r="O1860" s="17" t="s">
        <v>38</v>
      </c>
      <c r="P1860" s="16" t="str">
        <f t="shared" si="48"/>
        <v/>
      </c>
      <c r="Q1860" s="16"/>
      <c r="R1860" s="16"/>
      <c r="S1860"/>
      <c r="T1860"/>
      <c r="U1860"/>
      <c r="V1860"/>
    </row>
    <row r="1861" spans="2:22" x14ac:dyDescent="0.25">
      <c r="B1861" s="19" t="s">
        <v>2420</v>
      </c>
      <c r="C1861" s="16" t="s">
        <v>2421</v>
      </c>
      <c r="D1861" s="19" t="s">
        <v>9528</v>
      </c>
      <c r="E1861" s="16" t="s">
        <v>1096</v>
      </c>
      <c r="F1861" s="16" t="s">
        <v>2407</v>
      </c>
      <c r="G1861" s="16" t="s">
        <v>35</v>
      </c>
      <c r="H1861" s="16"/>
      <c r="I1861" s="16"/>
      <c r="J1861" s="16"/>
      <c r="K1861" s="16"/>
      <c r="L1861" s="16"/>
      <c r="M1861" s="16"/>
      <c r="N1861" s="16"/>
      <c r="O1861" s="17" t="s">
        <v>38</v>
      </c>
      <c r="P1861" s="16" t="str">
        <f t="shared" ref="P1861:P1879" si="49">IF(D1861="Datos","Truncate table "&amp; B1861&amp; ";","")</f>
        <v/>
      </c>
      <c r="Q1861" s="16"/>
      <c r="R1861" s="16"/>
      <c r="S1861"/>
      <c r="T1861"/>
      <c r="U1861"/>
      <c r="V1861"/>
    </row>
    <row r="1862" spans="2:22" ht="25.5" customHeight="1" x14ac:dyDescent="0.25">
      <c r="B1862" s="19" t="s">
        <v>2422</v>
      </c>
      <c r="C1862" s="16" t="s">
        <v>2423</v>
      </c>
      <c r="D1862" s="19" t="s">
        <v>9528</v>
      </c>
      <c r="E1862" s="16" t="s">
        <v>1096</v>
      </c>
      <c r="F1862" s="16" t="s">
        <v>2407</v>
      </c>
      <c r="G1862" s="16" t="s">
        <v>35</v>
      </c>
      <c r="H1862" s="16" t="s">
        <v>36</v>
      </c>
      <c r="I1862" s="16"/>
      <c r="J1862" s="16"/>
      <c r="K1862" s="16"/>
      <c r="L1862" s="16"/>
      <c r="M1862" s="16" t="s">
        <v>8577</v>
      </c>
      <c r="N1862" s="16" t="s">
        <v>8627</v>
      </c>
      <c r="O1862" s="17" t="s">
        <v>38</v>
      </c>
      <c r="P1862" s="16" t="str">
        <f t="shared" si="49"/>
        <v/>
      </c>
      <c r="Q1862" s="16"/>
      <c r="R1862" s="16"/>
      <c r="S1862"/>
      <c r="T1862"/>
      <c r="U1862"/>
      <c r="V1862"/>
    </row>
    <row r="1863" spans="2:22" ht="30.75" customHeight="1" x14ac:dyDescent="0.25">
      <c r="B1863" s="19" t="s">
        <v>2424</v>
      </c>
      <c r="C1863" s="16" t="s">
        <v>2425</v>
      </c>
      <c r="D1863" s="19" t="s">
        <v>9528</v>
      </c>
      <c r="E1863" s="16" t="s">
        <v>1096</v>
      </c>
      <c r="F1863" s="16" t="s">
        <v>2407</v>
      </c>
      <c r="G1863" s="16" t="s">
        <v>35</v>
      </c>
      <c r="H1863" s="16" t="s">
        <v>36</v>
      </c>
      <c r="I1863" s="16"/>
      <c r="J1863" s="16"/>
      <c r="K1863" s="16"/>
      <c r="L1863" s="16"/>
      <c r="M1863" s="237"/>
      <c r="N1863" s="16"/>
      <c r="O1863" s="17" t="s">
        <v>38</v>
      </c>
      <c r="P1863" s="16" t="str">
        <f t="shared" si="49"/>
        <v/>
      </c>
      <c r="Q1863" s="16"/>
      <c r="R1863" s="16"/>
      <c r="S1863"/>
      <c r="T1863"/>
      <c r="U1863"/>
      <c r="V1863"/>
    </row>
    <row r="1864" spans="2:22" x14ac:dyDescent="0.25">
      <c r="B1864" s="19" t="s">
        <v>2426</v>
      </c>
      <c r="C1864" s="16" t="s">
        <v>2427</v>
      </c>
      <c r="D1864" s="16" t="s">
        <v>8152</v>
      </c>
      <c r="E1864" s="16" t="s">
        <v>1096</v>
      </c>
      <c r="F1864" s="16" t="s">
        <v>2407</v>
      </c>
      <c r="G1864" s="16" t="s">
        <v>35</v>
      </c>
      <c r="H1864" s="16" t="s">
        <v>36</v>
      </c>
      <c r="I1864" s="16"/>
      <c r="J1864" s="16"/>
      <c r="K1864" s="16"/>
      <c r="L1864" s="16"/>
      <c r="M1864" s="16"/>
      <c r="N1864" s="16"/>
      <c r="O1864" s="17" t="s">
        <v>38</v>
      </c>
      <c r="P1864" s="16" t="str">
        <f t="shared" si="49"/>
        <v/>
      </c>
      <c r="Q1864" s="16"/>
      <c r="R1864" s="16"/>
      <c r="S1864"/>
      <c r="T1864"/>
      <c r="U1864"/>
      <c r="V1864"/>
    </row>
    <row r="1865" spans="2:22" x14ac:dyDescent="0.25">
      <c r="B1865" s="19" t="s">
        <v>2428</v>
      </c>
      <c r="C1865" s="16" t="s">
        <v>2429</v>
      </c>
      <c r="D1865" s="16" t="s">
        <v>8152</v>
      </c>
      <c r="E1865" s="16" t="s">
        <v>1096</v>
      </c>
      <c r="F1865" s="16" t="s">
        <v>2407</v>
      </c>
      <c r="G1865" s="16" t="s">
        <v>35</v>
      </c>
      <c r="H1865" s="16" t="s">
        <v>36</v>
      </c>
      <c r="I1865" s="16"/>
      <c r="J1865" s="16"/>
      <c r="K1865" s="16"/>
      <c r="L1865" s="16"/>
      <c r="M1865" s="16"/>
      <c r="N1865" s="16"/>
      <c r="O1865" s="17" t="s">
        <v>38</v>
      </c>
      <c r="P1865" s="16" t="str">
        <f t="shared" si="49"/>
        <v/>
      </c>
      <c r="Q1865" s="16"/>
      <c r="R1865" s="16"/>
      <c r="S1865"/>
      <c r="T1865"/>
      <c r="U1865"/>
      <c r="V1865"/>
    </row>
    <row r="1866" spans="2:22" x14ac:dyDescent="0.25">
      <c r="B1866" s="19" t="s">
        <v>2430</v>
      </c>
      <c r="C1866" s="16" t="s">
        <v>2431</v>
      </c>
      <c r="D1866" s="16" t="s">
        <v>8152</v>
      </c>
      <c r="E1866" s="16" t="s">
        <v>1096</v>
      </c>
      <c r="F1866" s="16" t="s">
        <v>2407</v>
      </c>
      <c r="G1866" s="16" t="s">
        <v>35</v>
      </c>
      <c r="H1866" s="16" t="s">
        <v>36</v>
      </c>
      <c r="I1866" s="16"/>
      <c r="J1866" s="16"/>
      <c r="K1866" s="16"/>
      <c r="L1866" s="16"/>
      <c r="M1866" s="16"/>
      <c r="N1866" s="16"/>
      <c r="O1866" s="17" t="s">
        <v>38</v>
      </c>
      <c r="P1866" s="16" t="str">
        <f t="shared" si="49"/>
        <v/>
      </c>
      <c r="Q1866" s="16"/>
      <c r="R1866" s="16"/>
      <c r="S1866"/>
      <c r="T1866"/>
      <c r="U1866"/>
      <c r="V1866"/>
    </row>
    <row r="1867" spans="2:22" ht="81" x14ac:dyDescent="0.25">
      <c r="B1867" s="88" t="s">
        <v>2432</v>
      </c>
      <c r="C1867" s="88" t="s">
        <v>2433</v>
      </c>
      <c r="D1867" s="19" t="s">
        <v>29</v>
      </c>
      <c r="E1867" s="19" t="s">
        <v>1096</v>
      </c>
      <c r="F1867" s="16" t="s">
        <v>2434</v>
      </c>
      <c r="G1867" s="19" t="s">
        <v>35</v>
      </c>
      <c r="H1867" s="19" t="s">
        <v>36</v>
      </c>
      <c r="I1867" s="88" t="s">
        <v>2435</v>
      </c>
      <c r="J1867" s="88" t="s">
        <v>2436</v>
      </c>
      <c r="K1867" s="88" t="s">
        <v>2437</v>
      </c>
      <c r="L1867" s="60" t="s">
        <v>2438</v>
      </c>
      <c r="M1867" s="60"/>
      <c r="N1867" s="88" t="s">
        <v>2439</v>
      </c>
      <c r="O1867" s="24" t="s">
        <v>38</v>
      </c>
      <c r="P1867" s="16" t="str">
        <f t="shared" si="49"/>
        <v>Truncate table FPP044A;</v>
      </c>
      <c r="Q1867" s="16"/>
      <c r="R1867" s="16"/>
      <c r="S1867"/>
      <c r="T1867"/>
      <c r="U1867"/>
      <c r="V1867"/>
    </row>
    <row r="1868" spans="2:22" x14ac:dyDescent="0.25">
      <c r="B1868" s="19" t="s">
        <v>2440</v>
      </c>
      <c r="C1868" s="16" t="s">
        <v>2441</v>
      </c>
      <c r="D1868" s="16" t="s">
        <v>29</v>
      </c>
      <c r="E1868" s="16" t="s">
        <v>1096</v>
      </c>
      <c r="F1868" s="16" t="s">
        <v>184</v>
      </c>
      <c r="G1868" s="16" t="s">
        <v>35</v>
      </c>
      <c r="H1868" s="16"/>
      <c r="I1868" s="16"/>
      <c r="J1868" s="16"/>
      <c r="K1868" s="16"/>
      <c r="L1868" s="16"/>
      <c r="M1868" s="16"/>
      <c r="N1868" s="16"/>
      <c r="O1868" s="17" t="s">
        <v>38</v>
      </c>
      <c r="P1868" s="16" t="str">
        <f t="shared" si="49"/>
        <v>Truncate table FPP045;</v>
      </c>
      <c r="Q1868" s="16"/>
      <c r="R1868" s="16"/>
      <c r="S1868"/>
      <c r="T1868"/>
      <c r="U1868"/>
      <c r="V1868"/>
    </row>
    <row r="1869" spans="2:22" x14ac:dyDescent="0.25">
      <c r="B1869" s="19" t="s">
        <v>2442</v>
      </c>
      <c r="C1869" s="16" t="s">
        <v>2443</v>
      </c>
      <c r="D1869" s="16" t="s">
        <v>8152</v>
      </c>
      <c r="E1869" s="16" t="s">
        <v>1096</v>
      </c>
      <c r="F1869" s="16" t="s">
        <v>2407</v>
      </c>
      <c r="G1869" s="16" t="s">
        <v>35</v>
      </c>
      <c r="H1869" s="16" t="s">
        <v>36</v>
      </c>
      <c r="I1869" s="16"/>
      <c r="J1869" s="16"/>
      <c r="K1869" s="16"/>
      <c r="L1869" s="16"/>
      <c r="M1869" s="16"/>
      <c r="N1869" s="16"/>
      <c r="O1869" s="17" t="s">
        <v>38</v>
      </c>
      <c r="P1869" s="16" t="str">
        <f t="shared" si="49"/>
        <v/>
      </c>
      <c r="Q1869" s="16"/>
      <c r="R1869" s="16"/>
      <c r="S1869"/>
      <c r="T1869"/>
      <c r="U1869"/>
      <c r="V1869"/>
    </row>
    <row r="1870" spans="2:22" x14ac:dyDescent="0.25">
      <c r="B1870" s="19" t="s">
        <v>2444</v>
      </c>
      <c r="C1870" s="16" t="s">
        <v>2445</v>
      </c>
      <c r="D1870" s="16" t="s">
        <v>29</v>
      </c>
      <c r="E1870" s="16" t="s">
        <v>1096</v>
      </c>
      <c r="F1870" s="16" t="s">
        <v>184</v>
      </c>
      <c r="G1870" s="16" t="s">
        <v>35</v>
      </c>
      <c r="H1870" s="16"/>
      <c r="I1870" s="16"/>
      <c r="J1870" s="16"/>
      <c r="K1870" s="16"/>
      <c r="L1870" s="16"/>
      <c r="M1870" s="16"/>
      <c r="N1870" s="16"/>
      <c r="O1870" s="17" t="s">
        <v>38</v>
      </c>
      <c r="P1870" s="16" t="str">
        <f t="shared" si="49"/>
        <v>Truncate table FPP047;</v>
      </c>
      <c r="Q1870" s="16"/>
      <c r="R1870" s="16"/>
      <c r="S1870"/>
      <c r="T1870"/>
      <c r="U1870"/>
      <c r="V1870"/>
    </row>
    <row r="1871" spans="2:22" x14ac:dyDescent="0.25">
      <c r="B1871" s="19" t="s">
        <v>2446</v>
      </c>
      <c r="C1871" s="16" t="s">
        <v>2447</v>
      </c>
      <c r="D1871" s="16" t="s">
        <v>29</v>
      </c>
      <c r="E1871" s="16" t="s">
        <v>1096</v>
      </c>
      <c r="F1871" s="16" t="s">
        <v>184</v>
      </c>
      <c r="G1871" s="16" t="s">
        <v>35</v>
      </c>
      <c r="H1871" s="16"/>
      <c r="I1871" s="16"/>
      <c r="J1871" s="16"/>
      <c r="K1871" s="16"/>
      <c r="L1871" s="16"/>
      <c r="M1871" s="16"/>
      <c r="N1871" s="16"/>
      <c r="O1871" s="17" t="s">
        <v>38</v>
      </c>
      <c r="P1871" s="16" t="str">
        <f t="shared" si="49"/>
        <v>Truncate table FPP048;</v>
      </c>
      <c r="Q1871" s="16"/>
      <c r="R1871" s="16"/>
      <c r="S1871"/>
      <c r="T1871"/>
      <c r="U1871"/>
      <c r="V1871"/>
    </row>
    <row r="1872" spans="2:22" x14ac:dyDescent="0.25">
      <c r="B1872" s="19" t="s">
        <v>2448</v>
      </c>
      <c r="C1872" s="16" t="s">
        <v>2449</v>
      </c>
      <c r="D1872" s="16" t="s">
        <v>8152</v>
      </c>
      <c r="E1872" s="16" t="s">
        <v>1096</v>
      </c>
      <c r="F1872" s="16" t="s">
        <v>184</v>
      </c>
      <c r="G1872" s="16" t="s">
        <v>35</v>
      </c>
      <c r="H1872" s="16" t="s">
        <v>36</v>
      </c>
      <c r="I1872" s="16"/>
      <c r="J1872" s="16"/>
      <c r="K1872" s="16"/>
      <c r="L1872" s="16"/>
      <c r="M1872" s="16"/>
      <c r="N1872" s="16"/>
      <c r="O1872" s="17" t="s">
        <v>38</v>
      </c>
      <c r="P1872" s="16" t="str">
        <f t="shared" si="49"/>
        <v/>
      </c>
      <c r="Q1872" s="16"/>
      <c r="R1872" s="16"/>
      <c r="S1872"/>
      <c r="T1872"/>
      <c r="U1872"/>
      <c r="V1872"/>
    </row>
    <row r="1873" spans="2:22" x14ac:dyDescent="0.25">
      <c r="B1873" s="19" t="s">
        <v>2450</v>
      </c>
      <c r="C1873" s="16" t="s">
        <v>2451</v>
      </c>
      <c r="D1873" s="16" t="s">
        <v>8152</v>
      </c>
      <c r="E1873" s="16" t="s">
        <v>1096</v>
      </c>
      <c r="F1873" s="16" t="s">
        <v>184</v>
      </c>
      <c r="G1873" s="16" t="s">
        <v>35</v>
      </c>
      <c r="H1873" s="16" t="s">
        <v>36</v>
      </c>
      <c r="I1873" s="16"/>
      <c r="J1873" s="16"/>
      <c r="K1873" s="16"/>
      <c r="L1873" s="16"/>
      <c r="M1873" s="16"/>
      <c r="N1873" s="16"/>
      <c r="O1873" s="17" t="s">
        <v>38</v>
      </c>
      <c r="P1873" s="16" t="str">
        <f t="shared" si="49"/>
        <v/>
      </c>
      <c r="Q1873" s="16"/>
      <c r="R1873" s="16"/>
      <c r="S1873"/>
      <c r="T1873"/>
      <c r="U1873"/>
      <c r="V1873"/>
    </row>
    <row r="1874" spans="2:22" x14ac:dyDescent="0.25">
      <c r="B1874" s="19" t="s">
        <v>2452</v>
      </c>
      <c r="C1874" s="16" t="s">
        <v>2453</v>
      </c>
      <c r="D1874" s="16" t="s">
        <v>8152</v>
      </c>
      <c r="E1874" s="16" t="s">
        <v>1096</v>
      </c>
      <c r="F1874" s="16" t="s">
        <v>184</v>
      </c>
      <c r="G1874" s="16" t="s">
        <v>35</v>
      </c>
      <c r="H1874" s="16" t="s">
        <v>36</v>
      </c>
      <c r="I1874" s="16"/>
      <c r="J1874" s="16"/>
      <c r="K1874" s="16"/>
      <c r="L1874" s="16"/>
      <c r="M1874" s="16"/>
      <c r="N1874" s="16"/>
      <c r="O1874" s="17" t="s">
        <v>38</v>
      </c>
      <c r="P1874" s="16" t="str">
        <f t="shared" si="49"/>
        <v/>
      </c>
      <c r="Q1874" s="16"/>
      <c r="R1874" s="16"/>
      <c r="S1874"/>
      <c r="T1874"/>
      <c r="U1874"/>
      <c r="V1874"/>
    </row>
    <row r="1875" spans="2:22" x14ac:dyDescent="0.25">
      <c r="B1875" s="19" t="s">
        <v>2454</v>
      </c>
      <c r="C1875" s="16" t="s">
        <v>2455</v>
      </c>
      <c r="D1875" s="16" t="s">
        <v>8152</v>
      </c>
      <c r="E1875" s="16" t="s">
        <v>1096</v>
      </c>
      <c r="F1875" s="16" t="s">
        <v>2407</v>
      </c>
      <c r="G1875" s="16" t="s">
        <v>35</v>
      </c>
      <c r="H1875" s="16" t="s">
        <v>36</v>
      </c>
      <c r="I1875" s="16"/>
      <c r="J1875" s="16"/>
      <c r="K1875" s="16"/>
      <c r="L1875" s="16"/>
      <c r="M1875" s="16"/>
      <c r="N1875" s="16"/>
      <c r="O1875" s="17" t="s">
        <v>38</v>
      </c>
      <c r="P1875" s="16" t="str">
        <f t="shared" si="49"/>
        <v/>
      </c>
      <c r="Q1875" s="16"/>
      <c r="R1875" s="16"/>
      <c r="S1875"/>
      <c r="T1875"/>
      <c r="U1875"/>
      <c r="V1875"/>
    </row>
    <row r="1876" spans="2:22" x14ac:dyDescent="0.25">
      <c r="B1876" s="19" t="s">
        <v>2456</v>
      </c>
      <c r="C1876" s="16" t="s">
        <v>2457</v>
      </c>
      <c r="D1876" s="16" t="s">
        <v>8152</v>
      </c>
      <c r="E1876" s="16" t="s">
        <v>1096</v>
      </c>
      <c r="F1876" s="16" t="s">
        <v>184</v>
      </c>
      <c r="G1876" s="16" t="s">
        <v>35</v>
      </c>
      <c r="H1876" s="16" t="s">
        <v>36</v>
      </c>
      <c r="I1876" s="16"/>
      <c r="J1876" s="16"/>
      <c r="K1876" s="16"/>
      <c r="L1876" s="16"/>
      <c r="M1876" s="16"/>
      <c r="N1876" s="16"/>
      <c r="O1876" s="17" t="s">
        <v>38</v>
      </c>
      <c r="P1876" s="16" t="str">
        <f t="shared" si="49"/>
        <v/>
      </c>
      <c r="Q1876" s="16"/>
      <c r="R1876" s="16"/>
      <c r="S1876"/>
      <c r="T1876"/>
      <c r="U1876"/>
      <c r="V1876"/>
    </row>
    <row r="1877" spans="2:22" x14ac:dyDescent="0.25">
      <c r="B1877" s="19" t="s">
        <v>2458</v>
      </c>
      <c r="C1877" s="16" t="s">
        <v>2459</v>
      </c>
      <c r="D1877" s="16" t="s">
        <v>8152</v>
      </c>
      <c r="E1877" s="16" t="s">
        <v>1096</v>
      </c>
      <c r="F1877" s="16" t="s">
        <v>184</v>
      </c>
      <c r="G1877" s="16" t="s">
        <v>35</v>
      </c>
      <c r="H1877" s="16" t="s">
        <v>36</v>
      </c>
      <c r="I1877" s="16"/>
      <c r="J1877" s="16"/>
      <c r="K1877" s="16"/>
      <c r="L1877" s="16"/>
      <c r="M1877" s="16"/>
      <c r="N1877" s="16"/>
      <c r="O1877" s="17" t="s">
        <v>38</v>
      </c>
      <c r="P1877" s="16" t="str">
        <f t="shared" si="49"/>
        <v/>
      </c>
      <c r="Q1877" s="16"/>
      <c r="R1877" s="16"/>
      <c r="S1877"/>
      <c r="T1877"/>
      <c r="U1877"/>
      <c r="V1877"/>
    </row>
    <row r="1878" spans="2:22" x14ac:dyDescent="0.25">
      <c r="B1878" s="19" t="s">
        <v>2460</v>
      </c>
      <c r="C1878" s="16" t="s">
        <v>2461</v>
      </c>
      <c r="D1878" s="16" t="s">
        <v>8152</v>
      </c>
      <c r="E1878" s="16" t="s">
        <v>1096</v>
      </c>
      <c r="F1878" s="16" t="s">
        <v>2407</v>
      </c>
      <c r="G1878" s="16" t="s">
        <v>35</v>
      </c>
      <c r="H1878" s="16" t="s">
        <v>36</v>
      </c>
      <c r="I1878" s="16"/>
      <c r="J1878" s="16"/>
      <c r="K1878" s="16"/>
      <c r="L1878" s="16"/>
      <c r="M1878" s="16"/>
      <c r="N1878" s="16"/>
      <c r="O1878" s="17" t="s">
        <v>38</v>
      </c>
      <c r="P1878" s="16" t="str">
        <f t="shared" si="49"/>
        <v/>
      </c>
      <c r="Q1878" s="16"/>
      <c r="R1878" s="16"/>
      <c r="S1878"/>
      <c r="T1878"/>
      <c r="U1878"/>
      <c r="V1878"/>
    </row>
    <row r="1879" spans="2:22" x14ac:dyDescent="0.25">
      <c r="B1879" s="19" t="s">
        <v>2462</v>
      </c>
      <c r="C1879" s="16" t="s">
        <v>2463</v>
      </c>
      <c r="D1879" s="16" t="s">
        <v>8152</v>
      </c>
      <c r="E1879" s="16" t="s">
        <v>1096</v>
      </c>
      <c r="F1879" s="16" t="s">
        <v>184</v>
      </c>
      <c r="G1879" s="16" t="s">
        <v>35</v>
      </c>
      <c r="H1879" s="16" t="s">
        <v>36</v>
      </c>
      <c r="I1879" s="16"/>
      <c r="J1879" s="16"/>
      <c r="K1879" s="16"/>
      <c r="L1879" s="16"/>
      <c r="M1879" s="16" t="s">
        <v>2809</v>
      </c>
      <c r="N1879" s="16" t="s">
        <v>8483</v>
      </c>
      <c r="O1879" s="17" t="s">
        <v>38</v>
      </c>
      <c r="P1879" s="16" t="str">
        <f t="shared" si="49"/>
        <v/>
      </c>
      <c r="Q1879" s="16"/>
      <c r="R1879" s="16"/>
      <c r="S1879"/>
      <c r="T1879"/>
      <c r="U1879"/>
      <c r="V1879"/>
    </row>
    <row r="1880" spans="2:22" ht="45" customHeight="1" x14ac:dyDescent="0.25">
      <c r="B1880" s="19" t="s">
        <v>2464</v>
      </c>
      <c r="C1880" s="16" t="s">
        <v>2465</v>
      </c>
      <c r="D1880" s="16" t="s">
        <v>8152</v>
      </c>
      <c r="E1880" s="16" t="s">
        <v>1096</v>
      </c>
      <c r="F1880" s="16" t="s">
        <v>184</v>
      </c>
      <c r="G1880" s="16" t="s">
        <v>35</v>
      </c>
      <c r="H1880" s="16" t="s">
        <v>36</v>
      </c>
      <c r="I1880" s="16"/>
      <c r="J1880" s="16"/>
      <c r="K1880" s="16" t="s">
        <v>2466</v>
      </c>
      <c r="L1880" s="16" t="s">
        <v>2467</v>
      </c>
      <c r="M1880" s="16" t="s">
        <v>2809</v>
      </c>
      <c r="N1880" s="16" t="s">
        <v>8628</v>
      </c>
      <c r="O1880" s="17" t="s">
        <v>38</v>
      </c>
      <c r="P1880" s="16"/>
      <c r="Q1880" s="16"/>
      <c r="R1880" s="16"/>
      <c r="S1880"/>
      <c r="T1880"/>
      <c r="U1880"/>
      <c r="V1880"/>
    </row>
    <row r="1881" spans="2:22" x14ac:dyDescent="0.25">
      <c r="B1881" s="19" t="s">
        <v>2468</v>
      </c>
      <c r="C1881" s="16" t="s">
        <v>2469</v>
      </c>
      <c r="D1881" s="16" t="s">
        <v>8152</v>
      </c>
      <c r="E1881" s="16" t="s">
        <v>1096</v>
      </c>
      <c r="F1881" s="16" t="s">
        <v>2407</v>
      </c>
      <c r="G1881" s="16" t="s">
        <v>35</v>
      </c>
      <c r="H1881" s="16" t="s">
        <v>36</v>
      </c>
      <c r="I1881" s="16"/>
      <c r="J1881" s="16"/>
      <c r="K1881" s="16"/>
      <c r="L1881" s="16"/>
      <c r="M1881" s="16"/>
      <c r="N1881" s="16"/>
      <c r="O1881" s="17" t="s">
        <v>38</v>
      </c>
      <c r="P1881" s="16" t="str">
        <f t="shared" ref="P1881:P1912" si="50">IF(D1881="Datos","Truncate table "&amp; B1881&amp; ";","")</f>
        <v/>
      </c>
      <c r="Q1881" s="16"/>
      <c r="R1881" s="16"/>
      <c r="S1881"/>
      <c r="T1881"/>
      <c r="U1881"/>
      <c r="V1881"/>
    </row>
    <row r="1882" spans="2:22" ht="40.5" x14ac:dyDescent="0.25">
      <c r="B1882" s="19" t="s">
        <v>2470</v>
      </c>
      <c r="C1882" s="16" t="s">
        <v>2471</v>
      </c>
      <c r="D1882" s="16" t="s">
        <v>8152</v>
      </c>
      <c r="E1882" s="16" t="s">
        <v>1096</v>
      </c>
      <c r="F1882" s="16" t="s">
        <v>184</v>
      </c>
      <c r="G1882" s="16" t="s">
        <v>35</v>
      </c>
      <c r="H1882" s="16" t="s">
        <v>36</v>
      </c>
      <c r="I1882" s="16"/>
      <c r="J1882" s="16"/>
      <c r="K1882" s="16"/>
      <c r="L1882" s="16"/>
      <c r="M1882" s="16" t="s">
        <v>8577</v>
      </c>
      <c r="N1882" s="16" t="s">
        <v>8629</v>
      </c>
      <c r="O1882" s="17" t="s">
        <v>38</v>
      </c>
      <c r="P1882" s="16" t="str">
        <f t="shared" si="50"/>
        <v/>
      </c>
      <c r="Q1882" s="16"/>
      <c r="R1882" s="16"/>
      <c r="S1882"/>
      <c r="T1882"/>
      <c r="U1882"/>
      <c r="V1882"/>
    </row>
    <row r="1883" spans="2:22" x14ac:dyDescent="0.25">
      <c r="B1883" s="19" t="s">
        <v>2472</v>
      </c>
      <c r="C1883" s="16" t="s">
        <v>2473</v>
      </c>
      <c r="D1883" s="16" t="s">
        <v>29</v>
      </c>
      <c r="E1883" s="16" t="s">
        <v>1096</v>
      </c>
      <c r="F1883" s="16" t="s">
        <v>184</v>
      </c>
      <c r="G1883" s="16" t="s">
        <v>35</v>
      </c>
      <c r="H1883" s="16" t="s">
        <v>36</v>
      </c>
      <c r="I1883" s="16"/>
      <c r="J1883" s="16"/>
      <c r="K1883" s="16"/>
      <c r="L1883" s="16"/>
      <c r="M1883" s="16"/>
      <c r="N1883" s="16"/>
      <c r="O1883" s="17" t="s">
        <v>38</v>
      </c>
      <c r="P1883" s="16" t="str">
        <f t="shared" si="50"/>
        <v>Truncate table FPP061;</v>
      </c>
      <c r="Q1883" s="16"/>
      <c r="R1883" s="16"/>
      <c r="S1883"/>
      <c r="T1883"/>
      <c r="U1883"/>
      <c r="V1883"/>
    </row>
    <row r="1884" spans="2:22" x14ac:dyDescent="0.25">
      <c r="B1884" s="19" t="s">
        <v>2474</v>
      </c>
      <c r="C1884" s="16" t="s">
        <v>2475</v>
      </c>
      <c r="D1884" s="16" t="s">
        <v>29</v>
      </c>
      <c r="E1884" s="16" t="s">
        <v>1096</v>
      </c>
      <c r="F1884" s="16" t="s">
        <v>2434</v>
      </c>
      <c r="G1884" s="16" t="s">
        <v>35</v>
      </c>
      <c r="H1884" s="16" t="s">
        <v>36</v>
      </c>
      <c r="I1884" s="16"/>
      <c r="J1884" s="16"/>
      <c r="K1884" s="16"/>
      <c r="L1884" s="16"/>
      <c r="M1884" s="16"/>
      <c r="N1884" s="16"/>
      <c r="O1884" s="17" t="s">
        <v>38</v>
      </c>
      <c r="P1884" s="16" t="str">
        <f t="shared" si="50"/>
        <v>Truncate table FPP062;</v>
      </c>
      <c r="Q1884" s="16"/>
      <c r="R1884" s="16"/>
      <c r="S1884"/>
      <c r="T1884"/>
      <c r="U1884"/>
      <c r="V1884"/>
    </row>
    <row r="1885" spans="2:22" ht="40.5" x14ac:dyDescent="0.25">
      <c r="B1885" s="19" t="s">
        <v>2476</v>
      </c>
      <c r="C1885" s="16" t="s">
        <v>2477</v>
      </c>
      <c r="D1885" s="16" t="s">
        <v>8152</v>
      </c>
      <c r="E1885" s="16" t="s">
        <v>1096</v>
      </c>
      <c r="F1885" s="16" t="s">
        <v>184</v>
      </c>
      <c r="G1885" s="16" t="s">
        <v>35</v>
      </c>
      <c r="H1885" s="16" t="s">
        <v>36</v>
      </c>
      <c r="I1885" s="16"/>
      <c r="J1885" s="16"/>
      <c r="K1885" s="16"/>
      <c r="L1885" s="16"/>
      <c r="M1885" s="16" t="s">
        <v>8577</v>
      </c>
      <c r="N1885" s="16" t="s">
        <v>8630</v>
      </c>
      <c r="O1885" s="17" t="s">
        <v>38</v>
      </c>
      <c r="P1885" s="16" t="str">
        <f t="shared" si="50"/>
        <v/>
      </c>
      <c r="Q1885" s="16"/>
      <c r="R1885" s="16"/>
      <c r="S1885"/>
      <c r="T1885"/>
      <c r="U1885"/>
      <c r="V1885"/>
    </row>
    <row r="1886" spans="2:22" x14ac:dyDescent="0.25">
      <c r="B1886" s="19" t="s">
        <v>2478</v>
      </c>
      <c r="C1886" s="16" t="s">
        <v>2479</v>
      </c>
      <c r="D1886" s="16" t="s">
        <v>29</v>
      </c>
      <c r="E1886" s="16" t="s">
        <v>1096</v>
      </c>
      <c r="F1886" s="16" t="s">
        <v>184</v>
      </c>
      <c r="G1886" s="16" t="s">
        <v>35</v>
      </c>
      <c r="H1886" s="16" t="s">
        <v>36</v>
      </c>
      <c r="I1886" s="16"/>
      <c r="J1886" s="16"/>
      <c r="K1886" s="16"/>
      <c r="L1886" s="16"/>
      <c r="M1886" s="16"/>
      <c r="N1886" s="16"/>
      <c r="O1886" s="17" t="s">
        <v>38</v>
      </c>
      <c r="P1886" s="16" t="str">
        <f t="shared" si="50"/>
        <v>Truncate table FPP064;</v>
      </c>
      <c r="Q1886" s="16"/>
      <c r="R1886" s="16"/>
      <c r="S1886"/>
      <c r="T1886"/>
      <c r="U1886"/>
      <c r="V1886"/>
    </row>
    <row r="1887" spans="2:22" x14ac:dyDescent="0.25">
      <c r="B1887" s="19" t="s">
        <v>2480</v>
      </c>
      <c r="C1887" s="21" t="s">
        <v>2481</v>
      </c>
      <c r="D1887" s="16" t="s">
        <v>8152</v>
      </c>
      <c r="E1887" s="16" t="s">
        <v>1096</v>
      </c>
      <c r="F1887" s="16" t="s">
        <v>184</v>
      </c>
      <c r="G1887" s="16" t="s">
        <v>35</v>
      </c>
      <c r="H1887" s="16" t="s">
        <v>36</v>
      </c>
      <c r="I1887" s="16"/>
      <c r="J1887" s="16"/>
      <c r="K1887" s="16"/>
      <c r="L1887" s="16"/>
      <c r="M1887" s="16" t="s">
        <v>38</v>
      </c>
      <c r="N1887" s="16"/>
      <c r="O1887" s="17" t="s">
        <v>38</v>
      </c>
      <c r="P1887" s="16" t="str">
        <f t="shared" si="50"/>
        <v/>
      </c>
      <c r="Q1887" s="16"/>
      <c r="R1887" s="16"/>
      <c r="S1887"/>
      <c r="T1887"/>
      <c r="U1887"/>
      <c r="V1887"/>
    </row>
    <row r="1888" spans="2:22" ht="40.5" x14ac:dyDescent="0.25">
      <c r="B1888" s="19" t="s">
        <v>2482</v>
      </c>
      <c r="C1888" s="16" t="s">
        <v>2483</v>
      </c>
      <c r="D1888" s="16" t="s">
        <v>8152</v>
      </c>
      <c r="E1888" s="16" t="s">
        <v>1096</v>
      </c>
      <c r="F1888" s="16" t="s">
        <v>184</v>
      </c>
      <c r="G1888" s="16" t="s">
        <v>35</v>
      </c>
      <c r="H1888" s="16" t="s">
        <v>36</v>
      </c>
      <c r="I1888" s="16"/>
      <c r="J1888" s="16"/>
      <c r="K1888" s="16"/>
      <c r="L1888" s="16"/>
      <c r="M1888" s="16" t="s">
        <v>8577</v>
      </c>
      <c r="N1888" s="16" t="s">
        <v>8631</v>
      </c>
      <c r="O1888" s="17" t="s">
        <v>38</v>
      </c>
      <c r="P1888" s="16" t="str">
        <f t="shared" si="50"/>
        <v/>
      </c>
      <c r="Q1888" s="16"/>
      <c r="R1888" s="16"/>
      <c r="S1888"/>
      <c r="T1888"/>
      <c r="U1888"/>
      <c r="V1888"/>
    </row>
    <row r="1889" spans="2:22" ht="40.5" x14ac:dyDescent="0.25">
      <c r="B1889" s="19" t="s">
        <v>2484</v>
      </c>
      <c r="C1889" s="16" t="s">
        <v>2485</v>
      </c>
      <c r="D1889" s="16" t="s">
        <v>8152</v>
      </c>
      <c r="E1889" s="16" t="s">
        <v>1096</v>
      </c>
      <c r="F1889" s="16" t="s">
        <v>184</v>
      </c>
      <c r="G1889" s="16" t="s">
        <v>35</v>
      </c>
      <c r="H1889" s="16" t="s">
        <v>36</v>
      </c>
      <c r="I1889" s="16"/>
      <c r="J1889" s="16"/>
      <c r="K1889" s="16"/>
      <c r="L1889" s="16"/>
      <c r="M1889" s="16" t="s">
        <v>8577</v>
      </c>
      <c r="N1889" s="16" t="s">
        <v>8632</v>
      </c>
      <c r="O1889" s="17" t="s">
        <v>38</v>
      </c>
      <c r="P1889" s="16" t="str">
        <f t="shared" si="50"/>
        <v/>
      </c>
      <c r="Q1889" s="16"/>
      <c r="R1889" s="16"/>
      <c r="S1889"/>
      <c r="T1889"/>
      <c r="U1889"/>
      <c r="V1889"/>
    </row>
    <row r="1890" spans="2:22" x14ac:dyDescent="0.25">
      <c r="B1890" s="19" t="s">
        <v>2486</v>
      </c>
      <c r="C1890" s="21" t="s">
        <v>2487</v>
      </c>
      <c r="D1890" s="16" t="s">
        <v>29</v>
      </c>
      <c r="E1890" s="16" t="s">
        <v>1096</v>
      </c>
      <c r="F1890" s="16" t="s">
        <v>184</v>
      </c>
      <c r="G1890" s="16" t="s">
        <v>35</v>
      </c>
      <c r="H1890" s="16"/>
      <c r="I1890" s="16"/>
      <c r="J1890" s="16"/>
      <c r="K1890" s="16"/>
      <c r="L1890" s="16"/>
      <c r="M1890" s="16"/>
      <c r="N1890" s="16"/>
      <c r="O1890" s="17" t="s">
        <v>38</v>
      </c>
      <c r="P1890" s="16" t="str">
        <f t="shared" si="50"/>
        <v>Truncate table FPP068;</v>
      </c>
      <c r="Q1890" s="16"/>
      <c r="R1890" s="16"/>
      <c r="S1890"/>
      <c r="T1890"/>
      <c r="U1890"/>
      <c r="V1890"/>
    </row>
    <row r="1891" spans="2:22" x14ac:dyDescent="0.25">
      <c r="B1891" s="19" t="s">
        <v>2488</v>
      </c>
      <c r="C1891" s="21" t="s">
        <v>2489</v>
      </c>
      <c r="D1891" s="16" t="s">
        <v>29</v>
      </c>
      <c r="E1891" s="16" t="s">
        <v>1096</v>
      </c>
      <c r="F1891" s="16" t="s">
        <v>184</v>
      </c>
      <c r="G1891" s="16" t="s">
        <v>35</v>
      </c>
      <c r="H1891" s="16"/>
      <c r="I1891" s="16"/>
      <c r="J1891" s="16"/>
      <c r="K1891" s="16"/>
      <c r="L1891" s="16"/>
      <c r="M1891" s="16"/>
      <c r="N1891" s="16"/>
      <c r="O1891" s="17" t="s">
        <v>38</v>
      </c>
      <c r="P1891" s="16" t="str">
        <f t="shared" si="50"/>
        <v>Truncate table FPP070;</v>
      </c>
      <c r="Q1891" s="16"/>
      <c r="R1891" s="16"/>
      <c r="S1891"/>
      <c r="T1891"/>
      <c r="U1891"/>
      <c r="V1891"/>
    </row>
    <row r="1892" spans="2:22" x14ac:dyDescent="0.25">
      <c r="B1892" s="19" t="s">
        <v>2490</v>
      </c>
      <c r="C1892" s="21" t="s">
        <v>2491</v>
      </c>
      <c r="D1892" s="16" t="s">
        <v>29</v>
      </c>
      <c r="E1892" s="16" t="s">
        <v>1096</v>
      </c>
      <c r="F1892" s="16" t="s">
        <v>184</v>
      </c>
      <c r="G1892" s="16" t="s">
        <v>35</v>
      </c>
      <c r="H1892" s="16"/>
      <c r="I1892" s="16"/>
      <c r="J1892" s="16"/>
      <c r="K1892" s="16"/>
      <c r="L1892" s="16"/>
      <c r="M1892" s="16"/>
      <c r="N1892" s="16"/>
      <c r="O1892" s="17" t="s">
        <v>38</v>
      </c>
      <c r="P1892" s="16" t="str">
        <f t="shared" si="50"/>
        <v>Truncate table FPP071;</v>
      </c>
      <c r="Q1892" s="16"/>
      <c r="R1892" s="16"/>
      <c r="S1892"/>
      <c r="T1892"/>
      <c r="U1892"/>
      <c r="V1892"/>
    </row>
    <row r="1893" spans="2:22" x14ac:dyDescent="0.25">
      <c r="B1893" s="19" t="s">
        <v>2492</v>
      </c>
      <c r="C1893" s="21" t="s">
        <v>2493</v>
      </c>
      <c r="D1893" s="16" t="s">
        <v>29</v>
      </c>
      <c r="E1893" s="16" t="s">
        <v>1096</v>
      </c>
      <c r="F1893" s="16" t="s">
        <v>184</v>
      </c>
      <c r="G1893" s="16" t="s">
        <v>35</v>
      </c>
      <c r="H1893" s="16"/>
      <c r="I1893" s="16"/>
      <c r="J1893" s="16"/>
      <c r="K1893" s="16"/>
      <c r="L1893" s="16"/>
      <c r="M1893" s="16"/>
      <c r="N1893" s="16"/>
      <c r="O1893" s="17" t="s">
        <v>38</v>
      </c>
      <c r="P1893" s="16" t="str">
        <f t="shared" si="50"/>
        <v>Truncate table FPP072;</v>
      </c>
      <c r="Q1893" s="16"/>
      <c r="R1893" s="16"/>
      <c r="S1893"/>
      <c r="T1893"/>
      <c r="U1893"/>
      <c r="V1893"/>
    </row>
    <row r="1894" spans="2:22" x14ac:dyDescent="0.25">
      <c r="B1894" s="19" t="s">
        <v>2494</v>
      </c>
      <c r="C1894" s="16" t="s">
        <v>2495</v>
      </c>
      <c r="D1894" s="16" t="s">
        <v>8152</v>
      </c>
      <c r="E1894" s="16" t="s">
        <v>1096</v>
      </c>
      <c r="F1894" s="16" t="s">
        <v>184</v>
      </c>
      <c r="G1894" s="16" t="s">
        <v>35</v>
      </c>
      <c r="H1894" s="16" t="s">
        <v>36</v>
      </c>
      <c r="I1894" s="16"/>
      <c r="J1894" s="16"/>
      <c r="K1894" s="16"/>
      <c r="L1894" s="16"/>
      <c r="M1894" s="16" t="s">
        <v>38</v>
      </c>
      <c r="N1894" s="16"/>
      <c r="O1894" s="17" t="s">
        <v>38</v>
      </c>
      <c r="P1894" s="16" t="str">
        <f t="shared" si="50"/>
        <v/>
      </c>
      <c r="Q1894" s="16"/>
      <c r="R1894" s="16"/>
      <c r="S1894"/>
      <c r="T1894"/>
      <c r="U1894"/>
      <c r="V1894"/>
    </row>
    <row r="1895" spans="2:22" x14ac:dyDescent="0.25">
      <c r="B1895" s="19" t="s">
        <v>2496</v>
      </c>
      <c r="C1895" s="16" t="s">
        <v>2497</v>
      </c>
      <c r="D1895" s="16" t="s">
        <v>29</v>
      </c>
      <c r="E1895" s="16" t="s">
        <v>1096</v>
      </c>
      <c r="F1895" s="16" t="s">
        <v>184</v>
      </c>
      <c r="G1895" s="16" t="s">
        <v>35</v>
      </c>
      <c r="H1895" s="16"/>
      <c r="I1895" s="16"/>
      <c r="J1895" s="16"/>
      <c r="K1895" s="16"/>
      <c r="L1895" s="16"/>
      <c r="M1895" s="16"/>
      <c r="N1895" s="16"/>
      <c r="O1895" s="17" t="s">
        <v>38</v>
      </c>
      <c r="P1895" s="16" t="str">
        <f t="shared" si="50"/>
        <v>Truncate table FPP074;</v>
      </c>
      <c r="Q1895" s="16"/>
      <c r="R1895" s="16"/>
      <c r="S1895"/>
      <c r="T1895"/>
      <c r="U1895"/>
      <c r="V1895"/>
    </row>
    <row r="1896" spans="2:22" x14ac:dyDescent="0.25">
      <c r="B1896" s="19" t="s">
        <v>2498</v>
      </c>
      <c r="C1896" s="16" t="s">
        <v>2499</v>
      </c>
      <c r="D1896" s="16" t="s">
        <v>29</v>
      </c>
      <c r="E1896" s="16" t="s">
        <v>1096</v>
      </c>
      <c r="F1896" s="16" t="s">
        <v>184</v>
      </c>
      <c r="G1896" s="16" t="s">
        <v>35</v>
      </c>
      <c r="H1896" s="16"/>
      <c r="I1896" s="16"/>
      <c r="J1896" s="16"/>
      <c r="K1896" s="16"/>
      <c r="L1896" s="16"/>
      <c r="M1896" s="16"/>
      <c r="N1896" s="16"/>
      <c r="O1896" s="17" t="s">
        <v>38</v>
      </c>
      <c r="P1896" s="16" t="str">
        <f t="shared" si="50"/>
        <v>Truncate table FPP075;</v>
      </c>
      <c r="Q1896" s="16"/>
      <c r="R1896" s="16"/>
      <c r="S1896"/>
      <c r="T1896"/>
      <c r="U1896"/>
      <c r="V1896"/>
    </row>
    <row r="1897" spans="2:22" x14ac:dyDescent="0.25">
      <c r="B1897" s="19" t="s">
        <v>2500</v>
      </c>
      <c r="C1897" s="16" t="s">
        <v>2501</v>
      </c>
      <c r="D1897" s="16" t="s">
        <v>29</v>
      </c>
      <c r="E1897" s="16" t="s">
        <v>1096</v>
      </c>
      <c r="F1897" s="16" t="s">
        <v>184</v>
      </c>
      <c r="G1897" s="16" t="s">
        <v>35</v>
      </c>
      <c r="H1897" s="16"/>
      <c r="I1897" s="16"/>
      <c r="J1897" s="16"/>
      <c r="K1897" s="16"/>
      <c r="L1897" s="16"/>
      <c r="M1897" s="16"/>
      <c r="N1897" s="16"/>
      <c r="O1897" s="17" t="s">
        <v>38</v>
      </c>
      <c r="P1897" s="16" t="str">
        <f t="shared" si="50"/>
        <v>Truncate table FPP076;</v>
      </c>
      <c r="Q1897" s="16"/>
      <c r="R1897" s="16"/>
      <c r="S1897"/>
      <c r="T1897"/>
      <c r="U1897"/>
      <c r="V1897"/>
    </row>
    <row r="1898" spans="2:22" ht="40.5" x14ac:dyDescent="0.25">
      <c r="B1898" s="19" t="s">
        <v>2502</v>
      </c>
      <c r="C1898" s="21" t="s">
        <v>9694</v>
      </c>
      <c r="D1898" s="16" t="s">
        <v>8152</v>
      </c>
      <c r="E1898" s="16" t="s">
        <v>1096</v>
      </c>
      <c r="F1898" s="16" t="s">
        <v>184</v>
      </c>
      <c r="G1898" s="16" t="s">
        <v>35</v>
      </c>
      <c r="H1898" s="16" t="s">
        <v>36</v>
      </c>
      <c r="I1898" s="16"/>
      <c r="J1898" s="16"/>
      <c r="K1898" s="16"/>
      <c r="L1898" s="16"/>
      <c r="M1898" s="16" t="s">
        <v>8577</v>
      </c>
      <c r="N1898" s="16" t="s">
        <v>8626</v>
      </c>
      <c r="O1898" s="17" t="s">
        <v>38</v>
      </c>
      <c r="P1898" s="16" t="str">
        <f t="shared" si="50"/>
        <v/>
      </c>
      <c r="Q1898" s="16"/>
      <c r="R1898" s="16"/>
      <c r="S1898"/>
      <c r="T1898"/>
      <c r="U1898"/>
      <c r="V1898"/>
    </row>
    <row r="1899" spans="2:22" ht="27" customHeight="1" x14ac:dyDescent="0.25">
      <c r="B1899" s="19" t="s">
        <v>2503</v>
      </c>
      <c r="C1899" s="21" t="s">
        <v>2504</v>
      </c>
      <c r="D1899" s="16" t="s">
        <v>29</v>
      </c>
      <c r="E1899" s="16" t="s">
        <v>1096</v>
      </c>
      <c r="F1899" s="16" t="s">
        <v>184</v>
      </c>
      <c r="G1899" s="16" t="s">
        <v>35</v>
      </c>
      <c r="H1899" s="16" t="s">
        <v>36</v>
      </c>
      <c r="I1899" s="16"/>
      <c r="J1899" s="16"/>
      <c r="K1899" s="16"/>
      <c r="L1899" s="16"/>
      <c r="M1899" s="16"/>
      <c r="N1899" s="16"/>
      <c r="O1899" s="17" t="s">
        <v>38</v>
      </c>
      <c r="P1899" s="16" t="str">
        <f t="shared" si="50"/>
        <v>Truncate table FPP080;</v>
      </c>
      <c r="Q1899" s="16"/>
      <c r="R1899" s="16"/>
      <c r="S1899"/>
      <c r="T1899"/>
      <c r="U1899"/>
      <c r="V1899"/>
    </row>
    <row r="1900" spans="2:22" x14ac:dyDescent="0.25">
      <c r="B1900" s="19" t="s">
        <v>2505</v>
      </c>
      <c r="C1900" s="16" t="s">
        <v>2506</v>
      </c>
      <c r="D1900" s="16" t="s">
        <v>8152</v>
      </c>
      <c r="E1900" s="16" t="s">
        <v>1096</v>
      </c>
      <c r="F1900" s="16" t="s">
        <v>184</v>
      </c>
      <c r="G1900" s="16" t="s">
        <v>35</v>
      </c>
      <c r="H1900" s="16" t="s">
        <v>36</v>
      </c>
      <c r="I1900" s="16"/>
      <c r="J1900" s="16"/>
      <c r="K1900" s="16"/>
      <c r="L1900" s="16"/>
      <c r="M1900" s="16" t="s">
        <v>38</v>
      </c>
      <c r="N1900" s="16"/>
      <c r="O1900" s="17" t="s">
        <v>38</v>
      </c>
      <c r="P1900" s="16" t="str">
        <f t="shared" si="50"/>
        <v/>
      </c>
      <c r="Q1900" s="16"/>
      <c r="R1900" s="16"/>
      <c r="S1900"/>
      <c r="T1900"/>
      <c r="U1900"/>
      <c r="V1900"/>
    </row>
    <row r="1901" spans="2:22" x14ac:dyDescent="0.25">
      <c r="B1901" s="19" t="s">
        <v>2507</v>
      </c>
      <c r="C1901" s="21" t="s">
        <v>2508</v>
      </c>
      <c r="D1901" s="16" t="s">
        <v>29</v>
      </c>
      <c r="E1901" s="16" t="s">
        <v>1096</v>
      </c>
      <c r="F1901" s="16" t="s">
        <v>184</v>
      </c>
      <c r="G1901" s="16" t="s">
        <v>35</v>
      </c>
      <c r="H1901" s="16" t="s">
        <v>36</v>
      </c>
      <c r="I1901" s="16"/>
      <c r="J1901" s="16"/>
      <c r="K1901" s="16"/>
      <c r="L1901" s="16"/>
      <c r="M1901" s="16"/>
      <c r="N1901" s="16"/>
      <c r="O1901" s="17" t="s">
        <v>38</v>
      </c>
      <c r="P1901" s="16" t="str">
        <f t="shared" si="50"/>
        <v>Truncate table FPP082;</v>
      </c>
      <c r="Q1901" s="16"/>
      <c r="R1901" s="16"/>
      <c r="S1901"/>
      <c r="T1901"/>
      <c r="U1901"/>
      <c r="V1901"/>
    </row>
    <row r="1902" spans="2:22" x14ac:dyDescent="0.25">
      <c r="B1902" s="19" t="s">
        <v>2509</v>
      </c>
      <c r="C1902" s="16" t="s">
        <v>9421</v>
      </c>
      <c r="D1902" s="16" t="s">
        <v>29</v>
      </c>
      <c r="E1902" s="16"/>
      <c r="F1902" s="16"/>
      <c r="G1902" s="16" t="s">
        <v>35</v>
      </c>
      <c r="H1902" s="16"/>
      <c r="I1902" s="16"/>
      <c r="J1902" s="16"/>
      <c r="K1902" s="16"/>
      <c r="L1902" s="16"/>
      <c r="M1902" s="16"/>
      <c r="N1902" s="16"/>
      <c r="O1902" s="17"/>
      <c r="P1902" s="16" t="str">
        <f t="shared" si="50"/>
        <v>Truncate table FPP086;</v>
      </c>
      <c r="Q1902" s="16"/>
      <c r="R1902" s="16"/>
      <c r="S1902"/>
      <c r="T1902"/>
      <c r="U1902"/>
      <c r="V1902"/>
    </row>
    <row r="1903" spans="2:22" x14ac:dyDescent="0.25">
      <c r="B1903" s="19" t="s">
        <v>2510</v>
      </c>
      <c r="C1903" s="16" t="s">
        <v>9422</v>
      </c>
      <c r="D1903" s="16" t="s">
        <v>29</v>
      </c>
      <c r="E1903" s="16"/>
      <c r="F1903" s="16"/>
      <c r="G1903" s="16" t="s">
        <v>35</v>
      </c>
      <c r="H1903" s="16"/>
      <c r="I1903" s="16"/>
      <c r="J1903" s="16"/>
      <c r="K1903" s="16"/>
      <c r="L1903" s="16"/>
      <c r="M1903" s="16"/>
      <c r="N1903" s="16"/>
      <c r="O1903" s="17"/>
      <c r="P1903" s="16" t="str">
        <f t="shared" si="50"/>
        <v>Truncate table FPP093;</v>
      </c>
      <c r="Q1903" s="16"/>
      <c r="R1903" s="16"/>
      <c r="S1903"/>
      <c r="T1903"/>
      <c r="U1903"/>
      <c r="V1903"/>
    </row>
    <row r="1904" spans="2:22" x14ac:dyDescent="0.25">
      <c r="B1904" s="19" t="s">
        <v>2511</v>
      </c>
      <c r="C1904" s="16" t="s">
        <v>9423</v>
      </c>
      <c r="D1904" s="16" t="s">
        <v>29</v>
      </c>
      <c r="E1904" s="16"/>
      <c r="F1904" s="16"/>
      <c r="G1904" s="16" t="s">
        <v>35</v>
      </c>
      <c r="H1904" s="16"/>
      <c r="I1904" s="16"/>
      <c r="J1904" s="16"/>
      <c r="K1904" s="16"/>
      <c r="L1904" s="16"/>
      <c r="M1904" s="16"/>
      <c r="N1904" s="16"/>
      <c r="O1904" s="17"/>
      <c r="P1904" s="16" t="str">
        <f t="shared" si="50"/>
        <v>Truncate table FPP094;</v>
      </c>
      <c r="Q1904" s="16"/>
      <c r="R1904" s="16"/>
      <c r="S1904"/>
      <c r="T1904"/>
      <c r="U1904"/>
      <c r="V1904"/>
    </row>
    <row r="1905" spans="2:22" x14ac:dyDescent="0.25">
      <c r="B1905" s="19" t="s">
        <v>2512</v>
      </c>
      <c r="C1905" s="16" t="s">
        <v>9424</v>
      </c>
      <c r="D1905" s="16" t="s">
        <v>29</v>
      </c>
      <c r="E1905" s="16"/>
      <c r="F1905" s="16"/>
      <c r="G1905" s="16" t="s">
        <v>35</v>
      </c>
      <c r="H1905" s="16"/>
      <c r="I1905" s="16"/>
      <c r="J1905" s="16"/>
      <c r="K1905" s="16"/>
      <c r="L1905" s="16"/>
      <c r="M1905" s="16"/>
      <c r="N1905" s="16"/>
      <c r="O1905" s="17"/>
      <c r="P1905" s="16" t="str">
        <f t="shared" si="50"/>
        <v>Truncate table FPP095;</v>
      </c>
      <c r="Q1905" s="16"/>
      <c r="R1905" s="16"/>
      <c r="S1905"/>
      <c r="T1905"/>
      <c r="U1905"/>
      <c r="V1905"/>
    </row>
    <row r="1906" spans="2:22" x14ac:dyDescent="0.25">
      <c r="B1906" s="19" t="s">
        <v>2513</v>
      </c>
      <c r="C1906" s="16" t="s">
        <v>9425</v>
      </c>
      <c r="D1906" s="16" t="s">
        <v>29</v>
      </c>
      <c r="E1906" s="16"/>
      <c r="F1906" s="16"/>
      <c r="G1906" s="16" t="s">
        <v>35</v>
      </c>
      <c r="H1906" s="16"/>
      <c r="I1906" s="16"/>
      <c r="J1906" s="16"/>
      <c r="K1906" s="16"/>
      <c r="L1906" s="16"/>
      <c r="M1906" s="16"/>
      <c r="N1906" s="16"/>
      <c r="O1906" s="17"/>
      <c r="P1906" s="16" t="str">
        <f t="shared" si="50"/>
        <v>Truncate table FPP096;</v>
      </c>
      <c r="Q1906" s="16"/>
      <c r="R1906" s="16"/>
      <c r="S1906"/>
      <c r="T1906"/>
      <c r="U1906"/>
      <c r="V1906"/>
    </row>
    <row r="1907" spans="2:22" x14ac:dyDescent="0.25">
      <c r="B1907" s="19" t="s">
        <v>2514</v>
      </c>
      <c r="C1907" s="16" t="s">
        <v>9426</v>
      </c>
      <c r="D1907" s="16" t="s">
        <v>29</v>
      </c>
      <c r="E1907" s="16"/>
      <c r="F1907" s="16"/>
      <c r="G1907" s="16" t="s">
        <v>35</v>
      </c>
      <c r="H1907" s="16"/>
      <c r="I1907" s="16"/>
      <c r="J1907" s="16"/>
      <c r="K1907" s="16"/>
      <c r="L1907" s="16"/>
      <c r="M1907" s="16"/>
      <c r="N1907" s="16"/>
      <c r="O1907" s="17"/>
      <c r="P1907" s="16" t="str">
        <f t="shared" si="50"/>
        <v>Truncate table FPP097;</v>
      </c>
      <c r="Q1907" s="16"/>
      <c r="R1907" s="16"/>
      <c r="S1907"/>
      <c r="T1907"/>
      <c r="U1907"/>
      <c r="V1907"/>
    </row>
    <row r="1908" spans="2:22" x14ac:dyDescent="0.25">
      <c r="B1908" s="19" t="s">
        <v>2515</v>
      </c>
      <c r="C1908" s="16" t="s">
        <v>9427</v>
      </c>
      <c r="D1908" s="16" t="s">
        <v>29</v>
      </c>
      <c r="E1908" s="16"/>
      <c r="F1908" s="16"/>
      <c r="G1908" s="16" t="s">
        <v>35</v>
      </c>
      <c r="H1908" s="16"/>
      <c r="I1908" s="16"/>
      <c r="J1908" s="16"/>
      <c r="K1908" s="16"/>
      <c r="L1908" s="16"/>
      <c r="M1908" s="16"/>
      <c r="N1908" s="16"/>
      <c r="O1908" s="17"/>
      <c r="P1908" s="16" t="str">
        <f t="shared" si="50"/>
        <v>Truncate table FPP098;</v>
      </c>
      <c r="Q1908" s="16"/>
      <c r="R1908" s="16"/>
      <c r="S1908"/>
      <c r="T1908"/>
      <c r="U1908"/>
      <c r="V1908"/>
    </row>
    <row r="1909" spans="2:22" x14ac:dyDescent="0.25">
      <c r="B1909" s="19" t="s">
        <v>2516</v>
      </c>
      <c r="C1909" s="16" t="s">
        <v>9428</v>
      </c>
      <c r="D1909" s="16" t="s">
        <v>29</v>
      </c>
      <c r="E1909" s="16"/>
      <c r="F1909" s="16"/>
      <c r="G1909" s="16" t="s">
        <v>35</v>
      </c>
      <c r="H1909" s="16"/>
      <c r="I1909" s="16"/>
      <c r="J1909" s="16"/>
      <c r="K1909" s="16"/>
      <c r="L1909" s="16"/>
      <c r="M1909" s="16"/>
      <c r="N1909" s="16"/>
      <c r="O1909" s="17"/>
      <c r="P1909" s="16" t="str">
        <f t="shared" si="50"/>
        <v>Truncate table FPP100;</v>
      </c>
      <c r="Q1909" s="16"/>
      <c r="R1909" s="16"/>
      <c r="S1909"/>
      <c r="T1909"/>
      <c r="U1909"/>
      <c r="V1909"/>
    </row>
    <row r="1910" spans="2:22" x14ac:dyDescent="0.25">
      <c r="B1910" s="19" t="s">
        <v>2517</v>
      </c>
      <c r="C1910" s="16" t="s">
        <v>9429</v>
      </c>
      <c r="D1910" s="16" t="s">
        <v>29</v>
      </c>
      <c r="E1910" s="16"/>
      <c r="F1910" s="16"/>
      <c r="G1910" s="16" t="s">
        <v>35</v>
      </c>
      <c r="H1910" s="16"/>
      <c r="I1910" s="16"/>
      <c r="J1910" s="16"/>
      <c r="K1910" s="16"/>
      <c r="L1910" s="16"/>
      <c r="M1910" s="16"/>
      <c r="N1910" s="16"/>
      <c r="O1910" s="17"/>
      <c r="P1910" s="16" t="str">
        <f t="shared" si="50"/>
        <v>Truncate table FPP101;</v>
      </c>
      <c r="Q1910" s="16"/>
      <c r="R1910" s="16"/>
      <c r="S1910"/>
      <c r="T1910"/>
      <c r="U1910"/>
      <c r="V1910"/>
    </row>
    <row r="1911" spans="2:22" x14ac:dyDescent="0.25">
      <c r="B1911" s="19" t="s">
        <v>2518</v>
      </c>
      <c r="C1911" s="16" t="s">
        <v>9430</v>
      </c>
      <c r="D1911" s="16" t="s">
        <v>29</v>
      </c>
      <c r="E1911" s="16"/>
      <c r="F1911" s="16"/>
      <c r="G1911" s="16" t="s">
        <v>35</v>
      </c>
      <c r="H1911" s="16"/>
      <c r="I1911" s="16"/>
      <c r="J1911" s="16"/>
      <c r="K1911" s="16"/>
      <c r="L1911" s="16"/>
      <c r="M1911" s="16"/>
      <c r="N1911" s="16"/>
      <c r="O1911" s="17"/>
      <c r="P1911" s="16" t="str">
        <f t="shared" si="50"/>
        <v>Truncate table FPP102;</v>
      </c>
      <c r="Q1911" s="16"/>
      <c r="R1911" s="16"/>
      <c r="S1911"/>
      <c r="T1911"/>
      <c r="U1911"/>
      <c r="V1911"/>
    </row>
    <row r="1912" spans="2:22" x14ac:dyDescent="0.25">
      <c r="B1912" s="19" t="s">
        <v>2519</v>
      </c>
      <c r="C1912" s="16" t="s">
        <v>9431</v>
      </c>
      <c r="D1912" s="16" t="s">
        <v>29</v>
      </c>
      <c r="E1912" s="16"/>
      <c r="F1912" s="16"/>
      <c r="G1912" s="16" t="s">
        <v>35</v>
      </c>
      <c r="H1912" s="16"/>
      <c r="I1912" s="16"/>
      <c r="J1912" s="16"/>
      <c r="K1912" s="16"/>
      <c r="L1912" s="16"/>
      <c r="M1912" s="16"/>
      <c r="N1912" s="16"/>
      <c r="O1912" s="17"/>
      <c r="P1912" s="16" t="str">
        <f t="shared" si="50"/>
        <v>Truncate table FPP103;</v>
      </c>
      <c r="Q1912" s="16"/>
      <c r="R1912" s="16"/>
      <c r="S1912"/>
      <c r="T1912"/>
      <c r="U1912"/>
      <c r="V1912"/>
    </row>
    <row r="1913" spans="2:22" x14ac:dyDescent="0.25">
      <c r="B1913" s="19" t="s">
        <v>2520</v>
      </c>
      <c r="C1913" s="16" t="s">
        <v>9432</v>
      </c>
      <c r="D1913" s="16" t="s">
        <v>29</v>
      </c>
      <c r="E1913" s="16"/>
      <c r="F1913" s="16"/>
      <c r="G1913" s="16" t="s">
        <v>35</v>
      </c>
      <c r="H1913" s="16"/>
      <c r="I1913" s="16"/>
      <c r="J1913" s="16"/>
      <c r="K1913" s="16"/>
      <c r="L1913" s="16"/>
      <c r="M1913" s="16"/>
      <c r="N1913" s="16"/>
      <c r="O1913" s="17"/>
      <c r="P1913" s="16" t="str">
        <f t="shared" ref="P1913:P1944" si="51">IF(D1913="Datos","Truncate table "&amp; B1913&amp; ";","")</f>
        <v>Truncate table FPP104;</v>
      </c>
      <c r="Q1913" s="16"/>
      <c r="R1913" s="16"/>
      <c r="S1913"/>
      <c r="T1913"/>
      <c r="U1913"/>
      <c r="V1913"/>
    </row>
    <row r="1914" spans="2:22" x14ac:dyDescent="0.25">
      <c r="B1914" s="19" t="s">
        <v>2521</v>
      </c>
      <c r="C1914" s="16" t="s">
        <v>9433</v>
      </c>
      <c r="D1914" s="16" t="s">
        <v>29</v>
      </c>
      <c r="E1914" s="16"/>
      <c r="F1914" s="16"/>
      <c r="G1914" s="16" t="s">
        <v>35</v>
      </c>
      <c r="H1914" s="16"/>
      <c r="I1914" s="16"/>
      <c r="J1914" s="16"/>
      <c r="K1914" s="16"/>
      <c r="L1914" s="16"/>
      <c r="M1914" s="16"/>
      <c r="N1914" s="16"/>
      <c r="O1914" s="17"/>
      <c r="P1914" s="16" t="str">
        <f t="shared" si="51"/>
        <v>Truncate table FPP105;</v>
      </c>
      <c r="Q1914" s="16"/>
      <c r="R1914" s="16"/>
      <c r="S1914"/>
      <c r="T1914"/>
      <c r="U1914"/>
      <c r="V1914"/>
    </row>
    <row r="1915" spans="2:22" x14ac:dyDescent="0.25">
      <c r="B1915" s="19" t="s">
        <v>2522</v>
      </c>
      <c r="C1915" s="16" t="s">
        <v>9434</v>
      </c>
      <c r="D1915" s="16" t="s">
        <v>29</v>
      </c>
      <c r="E1915" s="16"/>
      <c r="F1915" s="16"/>
      <c r="G1915" s="16" t="s">
        <v>35</v>
      </c>
      <c r="H1915" s="16"/>
      <c r="I1915" s="16"/>
      <c r="J1915" s="16"/>
      <c r="K1915" s="16"/>
      <c r="L1915" s="16"/>
      <c r="M1915" s="16"/>
      <c r="N1915" s="16"/>
      <c r="O1915" s="17"/>
      <c r="P1915" s="16" t="str">
        <f t="shared" si="51"/>
        <v>Truncate table FPP106;</v>
      </c>
      <c r="Q1915" s="16"/>
      <c r="R1915" s="16"/>
      <c r="S1915"/>
      <c r="T1915"/>
      <c r="U1915"/>
      <c r="V1915"/>
    </row>
    <row r="1916" spans="2:22" x14ac:dyDescent="0.25">
      <c r="B1916" s="19" t="s">
        <v>2523</v>
      </c>
      <c r="C1916" s="16" t="s">
        <v>8399</v>
      </c>
      <c r="D1916" s="16" t="s">
        <v>8152</v>
      </c>
      <c r="E1916" s="16" t="s">
        <v>1096</v>
      </c>
      <c r="F1916" s="16" t="s">
        <v>8201</v>
      </c>
      <c r="G1916" s="16" t="s">
        <v>35</v>
      </c>
      <c r="H1916" s="16"/>
      <c r="I1916" s="16"/>
      <c r="J1916" s="16"/>
      <c r="K1916" s="16"/>
      <c r="L1916" s="16"/>
      <c r="M1916" s="16"/>
      <c r="N1916" s="16" t="s">
        <v>8400</v>
      </c>
      <c r="O1916" s="17"/>
      <c r="P1916" s="16" t="str">
        <f t="shared" si="51"/>
        <v/>
      </c>
      <c r="Q1916" s="16"/>
      <c r="R1916" s="16"/>
      <c r="S1916"/>
      <c r="T1916"/>
      <c r="U1916"/>
      <c r="V1916"/>
    </row>
    <row r="1917" spans="2:22" x14ac:dyDescent="0.25">
      <c r="B1917" s="19" t="s">
        <v>2524</v>
      </c>
      <c r="C1917" s="16" t="s">
        <v>9435</v>
      </c>
      <c r="D1917" s="16" t="s">
        <v>29</v>
      </c>
      <c r="E1917" s="16"/>
      <c r="F1917" s="16"/>
      <c r="G1917" s="16" t="s">
        <v>35</v>
      </c>
      <c r="H1917" s="16"/>
      <c r="I1917" s="16"/>
      <c r="J1917" s="16"/>
      <c r="K1917" s="16"/>
      <c r="L1917" s="16"/>
      <c r="M1917" s="16"/>
      <c r="N1917" s="16"/>
      <c r="O1917" s="17"/>
      <c r="P1917" s="16" t="str">
        <f t="shared" si="51"/>
        <v>Truncate table FPP108;</v>
      </c>
      <c r="Q1917" s="16"/>
      <c r="R1917" s="16"/>
      <c r="S1917"/>
      <c r="T1917"/>
      <c r="U1917"/>
      <c r="V1917"/>
    </row>
    <row r="1918" spans="2:22" x14ac:dyDescent="0.25">
      <c r="B1918" s="19" t="s">
        <v>2525</v>
      </c>
      <c r="C1918" s="16" t="s">
        <v>9436</v>
      </c>
      <c r="D1918" s="16" t="s">
        <v>29</v>
      </c>
      <c r="E1918" s="16"/>
      <c r="F1918" s="16"/>
      <c r="G1918" s="16" t="s">
        <v>35</v>
      </c>
      <c r="H1918" s="16"/>
      <c r="I1918" s="16"/>
      <c r="J1918" s="16"/>
      <c r="K1918" s="16"/>
      <c r="L1918" s="16"/>
      <c r="M1918" s="16"/>
      <c r="N1918" s="16"/>
      <c r="O1918" s="17"/>
      <c r="P1918" s="16" t="str">
        <f t="shared" si="51"/>
        <v>Truncate table FPP109;</v>
      </c>
      <c r="Q1918" s="16"/>
      <c r="R1918" s="16"/>
      <c r="S1918"/>
      <c r="T1918"/>
      <c r="U1918"/>
      <c r="V1918"/>
    </row>
    <row r="1919" spans="2:22" x14ac:dyDescent="0.25">
      <c r="B1919" s="19" t="s">
        <v>2526</v>
      </c>
      <c r="C1919" s="16" t="s">
        <v>9437</v>
      </c>
      <c r="D1919" s="16" t="s">
        <v>29</v>
      </c>
      <c r="E1919" s="16"/>
      <c r="F1919" s="16"/>
      <c r="G1919" s="16" t="s">
        <v>35</v>
      </c>
      <c r="H1919" s="16"/>
      <c r="I1919" s="16"/>
      <c r="J1919" s="16"/>
      <c r="K1919" s="16"/>
      <c r="L1919" s="16"/>
      <c r="M1919" s="16"/>
      <c r="N1919" s="16"/>
      <c r="O1919" s="17"/>
      <c r="P1919" s="16" t="str">
        <f t="shared" si="51"/>
        <v>Truncate table FPP110;</v>
      </c>
      <c r="Q1919" s="16"/>
      <c r="R1919" s="16"/>
      <c r="S1919"/>
      <c r="T1919"/>
      <c r="U1919"/>
      <c r="V1919"/>
    </row>
    <row r="1920" spans="2:22" x14ac:dyDescent="0.25">
      <c r="B1920" s="19" t="s">
        <v>2527</v>
      </c>
      <c r="C1920" s="16" t="s">
        <v>9438</v>
      </c>
      <c r="D1920" s="16" t="s">
        <v>29</v>
      </c>
      <c r="E1920" s="16"/>
      <c r="F1920" s="16"/>
      <c r="G1920" s="16" t="s">
        <v>35</v>
      </c>
      <c r="H1920" s="16"/>
      <c r="I1920" s="16"/>
      <c r="J1920" s="16"/>
      <c r="K1920" s="16"/>
      <c r="L1920" s="16"/>
      <c r="M1920" s="16"/>
      <c r="N1920" s="16"/>
      <c r="O1920" s="17"/>
      <c r="P1920" s="16" t="str">
        <f t="shared" si="51"/>
        <v>Truncate table FPP111;</v>
      </c>
      <c r="Q1920" s="16"/>
      <c r="R1920" s="16"/>
      <c r="S1920"/>
      <c r="T1920"/>
      <c r="U1920"/>
      <c r="V1920"/>
    </row>
    <row r="1921" spans="2:22" x14ac:dyDescent="0.25">
      <c r="B1921" s="19" t="s">
        <v>2528</v>
      </c>
      <c r="C1921" s="16" t="s">
        <v>9439</v>
      </c>
      <c r="D1921" s="16" t="s">
        <v>29</v>
      </c>
      <c r="E1921" s="16"/>
      <c r="F1921" s="16"/>
      <c r="G1921" s="16" t="s">
        <v>35</v>
      </c>
      <c r="H1921" s="16"/>
      <c r="I1921" s="16"/>
      <c r="J1921" s="16"/>
      <c r="K1921" s="16"/>
      <c r="L1921" s="16"/>
      <c r="M1921" s="16"/>
      <c r="N1921" s="16"/>
      <c r="O1921" s="17"/>
      <c r="P1921" s="16" t="str">
        <f t="shared" si="51"/>
        <v>Truncate table FPP127;</v>
      </c>
      <c r="Q1921" s="16"/>
      <c r="R1921" s="16"/>
      <c r="S1921"/>
      <c r="T1921"/>
      <c r="U1921"/>
      <c r="V1921"/>
    </row>
    <row r="1922" spans="2:22" x14ac:dyDescent="0.25">
      <c r="B1922" s="19" t="s">
        <v>2529</v>
      </c>
      <c r="C1922" s="16" t="s">
        <v>9440</v>
      </c>
      <c r="D1922" s="16" t="s">
        <v>29</v>
      </c>
      <c r="E1922" s="16"/>
      <c r="F1922" s="16"/>
      <c r="G1922" s="16" t="s">
        <v>35</v>
      </c>
      <c r="H1922" s="16"/>
      <c r="I1922" s="16"/>
      <c r="J1922" s="16"/>
      <c r="K1922" s="16"/>
      <c r="L1922" s="16"/>
      <c r="M1922" s="16"/>
      <c r="N1922" s="16"/>
      <c r="O1922" s="17"/>
      <c r="P1922" s="16" t="str">
        <f t="shared" si="51"/>
        <v>Truncate table FPP130;</v>
      </c>
      <c r="Q1922" s="16"/>
      <c r="R1922" s="16"/>
      <c r="S1922"/>
      <c r="T1922"/>
      <c r="U1922"/>
      <c r="V1922"/>
    </row>
    <row r="1923" spans="2:22" x14ac:dyDescent="0.25">
      <c r="B1923" s="19" t="s">
        <v>2530</v>
      </c>
      <c r="C1923" s="16" t="s">
        <v>9441</v>
      </c>
      <c r="D1923" s="16" t="s">
        <v>29</v>
      </c>
      <c r="E1923" s="16"/>
      <c r="F1923" s="16"/>
      <c r="G1923" s="16" t="s">
        <v>35</v>
      </c>
      <c r="H1923" s="16"/>
      <c r="I1923" s="16"/>
      <c r="J1923" s="16"/>
      <c r="K1923" s="16"/>
      <c r="L1923" s="16"/>
      <c r="M1923" s="16"/>
      <c r="N1923" s="16"/>
      <c r="O1923" s="17"/>
      <c r="P1923" s="16" t="str">
        <f t="shared" si="51"/>
        <v>Truncate table FPP135;</v>
      </c>
      <c r="Q1923" s="16"/>
      <c r="R1923" s="16"/>
      <c r="S1923"/>
      <c r="T1923"/>
      <c r="U1923"/>
      <c r="V1923"/>
    </row>
    <row r="1924" spans="2:22" x14ac:dyDescent="0.25">
      <c r="B1924" s="19" t="s">
        <v>2531</v>
      </c>
      <c r="C1924" s="21" t="s">
        <v>2532</v>
      </c>
      <c r="D1924" s="16" t="s">
        <v>29</v>
      </c>
      <c r="E1924" s="16" t="s">
        <v>1096</v>
      </c>
      <c r="F1924" s="16" t="s">
        <v>184</v>
      </c>
      <c r="G1924" s="16" t="s">
        <v>35</v>
      </c>
      <c r="H1924" s="16" t="s">
        <v>36</v>
      </c>
      <c r="I1924" s="16"/>
      <c r="J1924" s="16"/>
      <c r="K1924" s="16"/>
      <c r="L1924" s="16"/>
      <c r="M1924" s="16"/>
      <c r="N1924" s="16"/>
      <c r="O1924" s="17" t="s">
        <v>38</v>
      </c>
      <c r="P1924" s="16" t="str">
        <f t="shared" si="51"/>
        <v>Truncate table FPP140;</v>
      </c>
      <c r="Q1924" s="16"/>
      <c r="R1924" s="16"/>
      <c r="S1924"/>
      <c r="T1924"/>
      <c r="U1924"/>
      <c r="V1924"/>
    </row>
    <row r="1925" spans="2:22" x14ac:dyDescent="0.25">
      <c r="B1925" s="19" t="s">
        <v>2533</v>
      </c>
      <c r="C1925" s="21" t="s">
        <v>2534</v>
      </c>
      <c r="D1925" s="16" t="s">
        <v>29</v>
      </c>
      <c r="E1925" s="16" t="s">
        <v>1096</v>
      </c>
      <c r="F1925" s="16" t="s">
        <v>184</v>
      </c>
      <c r="G1925" s="16" t="s">
        <v>35</v>
      </c>
      <c r="H1925" s="16" t="s">
        <v>36</v>
      </c>
      <c r="I1925" s="16"/>
      <c r="J1925" s="16"/>
      <c r="K1925" s="16"/>
      <c r="L1925" s="16"/>
      <c r="M1925" s="16"/>
      <c r="N1925" s="16"/>
      <c r="O1925" s="17" t="s">
        <v>38</v>
      </c>
      <c r="P1925" s="16" t="str">
        <f t="shared" si="51"/>
        <v>Truncate table FPP141;</v>
      </c>
      <c r="Q1925" s="16"/>
      <c r="R1925" s="16"/>
      <c r="S1925"/>
      <c r="T1925"/>
      <c r="U1925"/>
      <c r="V1925"/>
    </row>
    <row r="1926" spans="2:22" x14ac:dyDescent="0.25">
      <c r="B1926" s="19" t="s">
        <v>2535</v>
      </c>
      <c r="C1926" s="16" t="s">
        <v>9442</v>
      </c>
      <c r="D1926" s="16" t="s">
        <v>29</v>
      </c>
      <c r="E1926" s="16"/>
      <c r="F1926" s="16"/>
      <c r="G1926" s="16" t="s">
        <v>35</v>
      </c>
      <c r="H1926" s="16"/>
      <c r="I1926" s="16"/>
      <c r="J1926" s="16"/>
      <c r="K1926" s="16"/>
      <c r="L1926" s="16"/>
      <c r="M1926" s="16"/>
      <c r="N1926" s="16"/>
      <c r="O1926" s="17"/>
      <c r="P1926" s="16" t="str">
        <f t="shared" si="51"/>
        <v>Truncate table FPP142;</v>
      </c>
      <c r="Q1926" s="16"/>
      <c r="R1926" s="16"/>
      <c r="S1926"/>
      <c r="T1926"/>
      <c r="U1926"/>
      <c r="V1926"/>
    </row>
    <row r="1927" spans="2:22" x14ac:dyDescent="0.25">
      <c r="B1927" s="19" t="s">
        <v>2536</v>
      </c>
      <c r="C1927" s="21" t="s">
        <v>2537</v>
      </c>
      <c r="D1927" s="16" t="s">
        <v>8152</v>
      </c>
      <c r="E1927" s="16" t="s">
        <v>1096</v>
      </c>
      <c r="F1927" s="16" t="s">
        <v>184</v>
      </c>
      <c r="G1927" s="16" t="s">
        <v>35</v>
      </c>
      <c r="H1927" s="16" t="s">
        <v>36</v>
      </c>
      <c r="I1927" s="16"/>
      <c r="J1927" s="16"/>
      <c r="K1927" s="16"/>
      <c r="L1927" s="16"/>
      <c r="M1927" s="16" t="s">
        <v>38</v>
      </c>
      <c r="N1927" s="16"/>
      <c r="O1927" s="17" t="s">
        <v>38</v>
      </c>
      <c r="P1927" s="16" t="str">
        <f t="shared" si="51"/>
        <v/>
      </c>
      <c r="Q1927" s="16"/>
      <c r="R1927" s="16"/>
      <c r="S1927"/>
      <c r="T1927"/>
      <c r="U1927"/>
      <c r="V1927"/>
    </row>
    <row r="1928" spans="2:22" ht="40.5" x14ac:dyDescent="0.25">
      <c r="B1928" s="19" t="s">
        <v>2538</v>
      </c>
      <c r="C1928" s="16" t="s">
        <v>2539</v>
      </c>
      <c r="D1928" s="16" t="s">
        <v>8152</v>
      </c>
      <c r="E1928" s="16" t="s">
        <v>1096</v>
      </c>
      <c r="F1928" s="16" t="s">
        <v>184</v>
      </c>
      <c r="G1928" s="16" t="s">
        <v>35</v>
      </c>
      <c r="H1928" s="16" t="s">
        <v>36</v>
      </c>
      <c r="I1928" s="16"/>
      <c r="J1928" s="16"/>
      <c r="K1928" s="16"/>
      <c r="L1928" s="16"/>
      <c r="M1928" s="16" t="s">
        <v>8577</v>
      </c>
      <c r="N1928" s="16" t="s">
        <v>8633</v>
      </c>
      <c r="O1928" s="17" t="s">
        <v>38</v>
      </c>
      <c r="P1928" s="16" t="str">
        <f t="shared" si="51"/>
        <v/>
      </c>
      <c r="Q1928" s="16"/>
      <c r="R1928" s="16"/>
      <c r="S1928"/>
      <c r="T1928"/>
      <c r="U1928"/>
      <c r="V1928"/>
    </row>
    <row r="1929" spans="2:22" x14ac:dyDescent="0.25">
      <c r="B1929" s="19" t="s">
        <v>2540</v>
      </c>
      <c r="C1929" s="16" t="s">
        <v>2541</v>
      </c>
      <c r="D1929" s="16" t="s">
        <v>29</v>
      </c>
      <c r="E1929" s="16" t="s">
        <v>1096</v>
      </c>
      <c r="F1929" s="16" t="s">
        <v>184</v>
      </c>
      <c r="G1929" s="16" t="s">
        <v>35</v>
      </c>
      <c r="H1929" s="16" t="s">
        <v>36</v>
      </c>
      <c r="I1929" s="16"/>
      <c r="J1929" s="16"/>
      <c r="K1929" s="16"/>
      <c r="L1929" s="16"/>
      <c r="M1929" s="16"/>
      <c r="N1929" s="16"/>
      <c r="O1929" s="17" t="s">
        <v>38</v>
      </c>
      <c r="P1929" s="16" t="str">
        <f t="shared" si="51"/>
        <v>Truncate table FPP161;</v>
      </c>
      <c r="Q1929" s="16"/>
      <c r="R1929" s="16"/>
      <c r="S1929"/>
      <c r="T1929"/>
      <c r="U1929"/>
      <c r="V1929"/>
    </row>
    <row r="1930" spans="2:22" x14ac:dyDescent="0.25">
      <c r="B1930" s="19" t="s">
        <v>2542</v>
      </c>
      <c r="C1930" s="16" t="s">
        <v>9443</v>
      </c>
      <c r="D1930" s="16" t="s">
        <v>29</v>
      </c>
      <c r="E1930" s="16"/>
      <c r="F1930" s="16"/>
      <c r="G1930" s="16" t="s">
        <v>35</v>
      </c>
      <c r="H1930" s="16"/>
      <c r="I1930" s="16"/>
      <c r="J1930" s="16"/>
      <c r="K1930" s="16"/>
      <c r="L1930" s="16"/>
      <c r="M1930" s="16"/>
      <c r="N1930" s="16"/>
      <c r="O1930" s="17"/>
      <c r="P1930" s="16" t="str">
        <f t="shared" si="51"/>
        <v>Truncate table FPP162;</v>
      </c>
      <c r="Q1930" s="16"/>
      <c r="R1930" s="16"/>
      <c r="S1930"/>
      <c r="T1930"/>
      <c r="U1930"/>
      <c r="V1930"/>
    </row>
    <row r="1931" spans="2:22" x14ac:dyDescent="0.25">
      <c r="B1931" s="19" t="s">
        <v>2543</v>
      </c>
      <c r="C1931" s="16" t="s">
        <v>9444</v>
      </c>
      <c r="D1931" s="16" t="s">
        <v>29</v>
      </c>
      <c r="E1931" s="16"/>
      <c r="F1931" s="16"/>
      <c r="G1931" s="16" t="s">
        <v>35</v>
      </c>
      <c r="H1931" s="16"/>
      <c r="I1931" s="16"/>
      <c r="J1931" s="16"/>
      <c r="K1931" s="16"/>
      <c r="L1931" s="16"/>
      <c r="M1931" s="16"/>
      <c r="N1931" s="16"/>
      <c r="O1931" s="17"/>
      <c r="P1931" s="16" t="str">
        <f t="shared" si="51"/>
        <v>Truncate table FPP163;</v>
      </c>
      <c r="Q1931" s="16"/>
      <c r="R1931" s="16"/>
      <c r="S1931"/>
      <c r="T1931"/>
      <c r="U1931"/>
      <c r="V1931"/>
    </row>
    <row r="1932" spans="2:22" x14ac:dyDescent="0.25">
      <c r="B1932" s="19" t="s">
        <v>2544</v>
      </c>
      <c r="C1932" s="16" t="s">
        <v>9445</v>
      </c>
      <c r="D1932" s="16" t="s">
        <v>29</v>
      </c>
      <c r="E1932" s="16"/>
      <c r="F1932" s="16"/>
      <c r="G1932" s="16" t="s">
        <v>35</v>
      </c>
      <c r="H1932" s="16"/>
      <c r="I1932" s="16"/>
      <c r="J1932" s="16"/>
      <c r="K1932" s="16"/>
      <c r="L1932" s="16"/>
      <c r="M1932" s="16"/>
      <c r="N1932" s="16"/>
      <c r="O1932" s="17"/>
      <c r="P1932" s="16" t="str">
        <f t="shared" si="51"/>
        <v>Truncate table FPP167;</v>
      </c>
      <c r="Q1932" s="16"/>
      <c r="R1932" s="16"/>
      <c r="S1932"/>
      <c r="T1932"/>
      <c r="U1932"/>
      <c r="V1932"/>
    </row>
    <row r="1933" spans="2:22" x14ac:dyDescent="0.25">
      <c r="B1933" s="19" t="s">
        <v>2545</v>
      </c>
      <c r="C1933" s="16" t="s">
        <v>9446</v>
      </c>
      <c r="D1933" s="16" t="s">
        <v>29</v>
      </c>
      <c r="E1933" s="16"/>
      <c r="F1933" s="16"/>
      <c r="G1933" s="16" t="s">
        <v>35</v>
      </c>
      <c r="H1933" s="16"/>
      <c r="I1933" s="16"/>
      <c r="J1933" s="16"/>
      <c r="K1933" s="16"/>
      <c r="L1933" s="16"/>
      <c r="M1933" s="16"/>
      <c r="N1933" s="16"/>
      <c r="O1933" s="17"/>
      <c r="P1933" s="16" t="str">
        <f t="shared" si="51"/>
        <v>Truncate table FPP170;</v>
      </c>
      <c r="Q1933" s="16"/>
      <c r="R1933" s="16"/>
      <c r="S1933"/>
      <c r="T1933"/>
      <c r="U1933"/>
      <c r="V1933"/>
    </row>
    <row r="1934" spans="2:22" x14ac:dyDescent="0.25">
      <c r="B1934" s="19" t="s">
        <v>2546</v>
      </c>
      <c r="C1934" s="16" t="s">
        <v>9447</v>
      </c>
      <c r="D1934" s="16" t="s">
        <v>29</v>
      </c>
      <c r="E1934" s="16"/>
      <c r="F1934" s="16"/>
      <c r="G1934" s="16" t="s">
        <v>35</v>
      </c>
      <c r="H1934" s="16"/>
      <c r="I1934" s="16"/>
      <c r="J1934" s="16"/>
      <c r="K1934" s="16"/>
      <c r="L1934" s="16"/>
      <c r="M1934" s="16"/>
      <c r="N1934" s="16"/>
      <c r="O1934" s="17"/>
      <c r="P1934" s="16" t="str">
        <f t="shared" si="51"/>
        <v>Truncate table FPP171;</v>
      </c>
      <c r="Q1934" s="16"/>
      <c r="R1934" s="16"/>
      <c r="S1934"/>
      <c r="T1934"/>
      <c r="U1934"/>
      <c r="V1934"/>
    </row>
    <row r="1935" spans="2:22" x14ac:dyDescent="0.25">
      <c r="B1935" s="19" t="s">
        <v>2547</v>
      </c>
      <c r="C1935" s="16" t="s">
        <v>9448</v>
      </c>
      <c r="D1935" s="16" t="s">
        <v>29</v>
      </c>
      <c r="E1935" s="16"/>
      <c r="F1935" s="16"/>
      <c r="G1935" s="16" t="s">
        <v>35</v>
      </c>
      <c r="H1935" s="16"/>
      <c r="I1935" s="16"/>
      <c r="J1935" s="16"/>
      <c r="K1935" s="16"/>
      <c r="L1935" s="16"/>
      <c r="M1935" s="16"/>
      <c r="N1935" s="16"/>
      <c r="O1935" s="17"/>
      <c r="P1935" s="16" t="str">
        <f t="shared" si="51"/>
        <v>Truncate table FPP172;</v>
      </c>
      <c r="Q1935" s="16"/>
      <c r="R1935" s="16"/>
      <c r="S1935"/>
      <c r="T1935"/>
      <c r="U1935"/>
      <c r="V1935"/>
    </row>
    <row r="1936" spans="2:22" x14ac:dyDescent="0.25">
      <c r="B1936" s="19" t="s">
        <v>2548</v>
      </c>
      <c r="C1936" s="16" t="s">
        <v>9449</v>
      </c>
      <c r="D1936" s="16" t="s">
        <v>29</v>
      </c>
      <c r="E1936" s="16"/>
      <c r="F1936" s="16"/>
      <c r="G1936" s="16" t="s">
        <v>35</v>
      </c>
      <c r="H1936" s="16"/>
      <c r="I1936" s="16"/>
      <c r="J1936" s="16"/>
      <c r="K1936" s="16"/>
      <c r="L1936" s="16"/>
      <c r="M1936" s="16"/>
      <c r="N1936" s="16"/>
      <c r="O1936" s="17"/>
      <c r="P1936" s="16" t="str">
        <f t="shared" si="51"/>
        <v>Truncate table FPP173;</v>
      </c>
      <c r="Q1936" s="16"/>
      <c r="R1936" s="16"/>
      <c r="S1936"/>
      <c r="T1936"/>
      <c r="U1936"/>
      <c r="V1936"/>
    </row>
    <row r="1937" spans="2:22" x14ac:dyDescent="0.25">
      <c r="B1937" s="19" t="s">
        <v>2549</v>
      </c>
      <c r="C1937" s="16" t="s">
        <v>9450</v>
      </c>
      <c r="D1937" s="16" t="s">
        <v>29</v>
      </c>
      <c r="E1937" s="16" t="s">
        <v>1096</v>
      </c>
      <c r="F1937" s="16" t="s">
        <v>184</v>
      </c>
      <c r="G1937" s="16" t="s">
        <v>35</v>
      </c>
      <c r="H1937" s="16" t="s">
        <v>36</v>
      </c>
      <c r="I1937" s="16"/>
      <c r="J1937" s="16"/>
      <c r="K1937" s="227" t="s">
        <v>10175</v>
      </c>
      <c r="L1937" s="16"/>
      <c r="M1937" s="16"/>
      <c r="N1937" s="16"/>
      <c r="O1937" s="17"/>
      <c r="P1937" s="16" t="str">
        <f t="shared" si="51"/>
        <v>Truncate table FPP174;</v>
      </c>
      <c r="Q1937" s="16"/>
      <c r="R1937" s="16"/>
      <c r="S1937"/>
      <c r="T1937"/>
      <c r="U1937"/>
      <c r="V1937"/>
    </row>
    <row r="1938" spans="2:22" x14ac:dyDescent="0.25">
      <c r="B1938" s="19" t="s">
        <v>2550</v>
      </c>
      <c r="C1938" s="16" t="s">
        <v>9451</v>
      </c>
      <c r="D1938" s="16" t="s">
        <v>29</v>
      </c>
      <c r="E1938" s="16"/>
      <c r="F1938" s="16"/>
      <c r="G1938" s="16" t="s">
        <v>35</v>
      </c>
      <c r="H1938" s="16"/>
      <c r="I1938" s="16"/>
      <c r="J1938" s="16"/>
      <c r="K1938" s="16"/>
      <c r="L1938" s="16"/>
      <c r="M1938" s="16"/>
      <c r="N1938" s="16"/>
      <c r="O1938" s="17"/>
      <c r="P1938" s="16" t="str">
        <f t="shared" si="51"/>
        <v>Truncate table FPP175;</v>
      </c>
      <c r="Q1938" s="16"/>
      <c r="R1938" s="16"/>
      <c r="S1938"/>
      <c r="T1938"/>
      <c r="U1938"/>
      <c r="V1938"/>
    </row>
    <row r="1939" spans="2:22" x14ac:dyDescent="0.25">
      <c r="B1939" s="19" t="s">
        <v>2551</v>
      </c>
      <c r="C1939" s="16" t="s">
        <v>9452</v>
      </c>
      <c r="D1939" s="16" t="s">
        <v>29</v>
      </c>
      <c r="E1939" s="16"/>
      <c r="F1939" s="16"/>
      <c r="G1939" s="16" t="s">
        <v>35</v>
      </c>
      <c r="H1939" s="16"/>
      <c r="I1939" s="16"/>
      <c r="J1939" s="16"/>
      <c r="K1939" s="16"/>
      <c r="L1939" s="16"/>
      <c r="M1939" s="16"/>
      <c r="N1939" s="16"/>
      <c r="O1939" s="17"/>
      <c r="P1939" s="16" t="str">
        <f t="shared" si="51"/>
        <v>Truncate table FPP176;</v>
      </c>
      <c r="Q1939" s="16"/>
      <c r="R1939" s="16"/>
      <c r="S1939"/>
      <c r="T1939"/>
      <c r="U1939"/>
      <c r="V1939"/>
    </row>
    <row r="1940" spans="2:22" x14ac:dyDescent="0.25">
      <c r="B1940" s="19" t="s">
        <v>2552</v>
      </c>
      <c r="C1940" s="16" t="s">
        <v>9453</v>
      </c>
      <c r="D1940" s="16" t="s">
        <v>29</v>
      </c>
      <c r="E1940" s="16"/>
      <c r="F1940" s="16"/>
      <c r="G1940" s="16" t="s">
        <v>35</v>
      </c>
      <c r="H1940" s="16"/>
      <c r="I1940" s="16"/>
      <c r="J1940" s="16"/>
      <c r="K1940" s="16"/>
      <c r="L1940" s="16"/>
      <c r="M1940" s="16"/>
      <c r="N1940" s="16"/>
      <c r="O1940" s="17"/>
      <c r="P1940" s="16" t="str">
        <f t="shared" si="51"/>
        <v>Truncate table FPP177;</v>
      </c>
      <c r="Q1940" s="16"/>
      <c r="R1940" s="16"/>
      <c r="S1940"/>
      <c r="T1940"/>
      <c r="U1940"/>
      <c r="V1940"/>
    </row>
    <row r="1941" spans="2:22" x14ac:dyDescent="0.25">
      <c r="B1941" s="19" t="s">
        <v>2553</v>
      </c>
      <c r="C1941" s="16" t="s">
        <v>9454</v>
      </c>
      <c r="D1941" s="16" t="s">
        <v>29</v>
      </c>
      <c r="E1941" s="16"/>
      <c r="F1941" s="16"/>
      <c r="G1941" s="16" t="s">
        <v>35</v>
      </c>
      <c r="H1941" s="16"/>
      <c r="I1941" s="16"/>
      <c r="J1941" s="16"/>
      <c r="K1941" s="16"/>
      <c r="L1941" s="16"/>
      <c r="M1941" s="16"/>
      <c r="N1941" s="16"/>
      <c r="O1941" s="17"/>
      <c r="P1941" s="16" t="str">
        <f t="shared" si="51"/>
        <v>Truncate table FPP178;</v>
      </c>
      <c r="Q1941" s="16"/>
      <c r="R1941" s="16"/>
      <c r="S1941"/>
      <c r="T1941"/>
      <c r="U1941"/>
      <c r="V1941"/>
    </row>
    <row r="1942" spans="2:22" x14ac:dyDescent="0.25">
      <c r="B1942" s="19" t="s">
        <v>2554</v>
      </c>
      <c r="C1942" s="16" t="s">
        <v>9455</v>
      </c>
      <c r="D1942" s="16" t="s">
        <v>29</v>
      </c>
      <c r="E1942" s="16"/>
      <c r="F1942" s="16"/>
      <c r="G1942" s="16" t="s">
        <v>35</v>
      </c>
      <c r="H1942" s="16"/>
      <c r="I1942" s="16"/>
      <c r="J1942" s="16"/>
      <c r="K1942" s="16"/>
      <c r="L1942" s="16"/>
      <c r="M1942" s="16"/>
      <c r="N1942" s="16"/>
      <c r="O1942" s="17"/>
      <c r="P1942" s="16" t="str">
        <f t="shared" si="51"/>
        <v>Truncate table FPP179;</v>
      </c>
      <c r="Q1942" s="16"/>
      <c r="R1942" s="16"/>
      <c r="S1942"/>
      <c r="T1942"/>
      <c r="U1942"/>
      <c r="V1942"/>
    </row>
    <row r="1943" spans="2:22" x14ac:dyDescent="0.25">
      <c r="B1943" s="19" t="s">
        <v>2555</v>
      </c>
      <c r="C1943" s="16" t="s">
        <v>9456</v>
      </c>
      <c r="D1943" s="16" t="s">
        <v>29</v>
      </c>
      <c r="E1943" s="16"/>
      <c r="F1943" s="16"/>
      <c r="G1943" s="16" t="s">
        <v>35</v>
      </c>
      <c r="H1943" s="16"/>
      <c r="I1943" s="16"/>
      <c r="J1943" s="16"/>
      <c r="K1943" s="16"/>
      <c r="L1943" s="16"/>
      <c r="M1943" s="16"/>
      <c r="N1943" s="16"/>
      <c r="O1943" s="17"/>
      <c r="P1943" s="16" t="str">
        <f t="shared" si="51"/>
        <v>Truncate table FPP181;</v>
      </c>
      <c r="Q1943" s="16"/>
      <c r="R1943" s="16"/>
      <c r="S1943"/>
      <c r="T1943"/>
      <c r="U1943"/>
      <c r="V1943"/>
    </row>
    <row r="1944" spans="2:22" x14ac:dyDescent="0.25">
      <c r="B1944" s="19" t="s">
        <v>2556</v>
      </c>
      <c r="C1944" s="16" t="s">
        <v>9457</v>
      </c>
      <c r="D1944" s="16" t="s">
        <v>29</v>
      </c>
      <c r="E1944" s="16"/>
      <c r="F1944" s="16"/>
      <c r="G1944" s="16" t="s">
        <v>35</v>
      </c>
      <c r="H1944" s="16"/>
      <c r="I1944" s="16"/>
      <c r="J1944" s="16"/>
      <c r="K1944" s="16"/>
      <c r="L1944" s="16"/>
      <c r="M1944" s="16"/>
      <c r="N1944" s="16"/>
      <c r="O1944" s="17"/>
      <c r="P1944" s="16" t="str">
        <f t="shared" si="51"/>
        <v>Truncate table FPP182;</v>
      </c>
      <c r="Q1944" s="16"/>
      <c r="R1944" s="16"/>
      <c r="S1944"/>
      <c r="T1944"/>
      <c r="U1944"/>
      <c r="V1944"/>
    </row>
    <row r="1945" spans="2:22" x14ac:dyDescent="0.25">
      <c r="B1945" s="19" t="s">
        <v>2557</v>
      </c>
      <c r="C1945" s="16" t="s">
        <v>9458</v>
      </c>
      <c r="D1945" s="16" t="s">
        <v>29</v>
      </c>
      <c r="E1945" s="16"/>
      <c r="F1945" s="16"/>
      <c r="G1945" s="16" t="s">
        <v>35</v>
      </c>
      <c r="H1945" s="16"/>
      <c r="I1945" s="16"/>
      <c r="J1945" s="16"/>
      <c r="K1945" s="16"/>
      <c r="L1945" s="16"/>
      <c r="M1945" s="16"/>
      <c r="N1945" s="16"/>
      <c r="O1945" s="17"/>
      <c r="P1945" s="16" t="str">
        <f t="shared" ref="P1945:P1961" si="52">IF(D1945="Datos","Truncate table "&amp; B1945&amp; ";","")</f>
        <v>Truncate table FPP183;</v>
      </c>
      <c r="Q1945" s="16"/>
      <c r="R1945" s="16"/>
      <c r="S1945"/>
      <c r="T1945"/>
      <c r="U1945"/>
      <c r="V1945"/>
    </row>
    <row r="1946" spans="2:22" x14ac:dyDescent="0.25">
      <c r="B1946" s="19" t="s">
        <v>2558</v>
      </c>
      <c r="C1946" s="16" t="s">
        <v>9459</v>
      </c>
      <c r="D1946" s="16" t="s">
        <v>29</v>
      </c>
      <c r="E1946" s="16"/>
      <c r="F1946" s="16"/>
      <c r="G1946" s="16" t="s">
        <v>35</v>
      </c>
      <c r="H1946" s="16"/>
      <c r="I1946" s="16"/>
      <c r="J1946" s="16"/>
      <c r="K1946" s="16"/>
      <c r="L1946" s="16"/>
      <c r="M1946" s="16"/>
      <c r="N1946" s="16"/>
      <c r="O1946" s="17"/>
      <c r="P1946" s="16" t="str">
        <f t="shared" si="52"/>
        <v>Truncate table FPP184;</v>
      </c>
      <c r="Q1946" s="16"/>
      <c r="R1946" s="16"/>
      <c r="S1946"/>
      <c r="T1946"/>
      <c r="U1946"/>
      <c r="V1946"/>
    </row>
    <row r="1947" spans="2:22" x14ac:dyDescent="0.25">
      <c r="B1947" s="19" t="s">
        <v>2559</v>
      </c>
      <c r="C1947" s="16" t="s">
        <v>9460</v>
      </c>
      <c r="D1947" s="16" t="s">
        <v>29</v>
      </c>
      <c r="E1947" s="16"/>
      <c r="F1947" s="16"/>
      <c r="G1947" s="16" t="s">
        <v>35</v>
      </c>
      <c r="H1947" s="16"/>
      <c r="I1947" s="16"/>
      <c r="J1947" s="16"/>
      <c r="K1947" s="16"/>
      <c r="L1947" s="16"/>
      <c r="M1947" s="16"/>
      <c r="N1947" s="16"/>
      <c r="O1947" s="17"/>
      <c r="P1947" s="16" t="str">
        <f t="shared" si="52"/>
        <v>Truncate table FPP185;</v>
      </c>
      <c r="Q1947" s="16"/>
      <c r="R1947" s="16"/>
      <c r="S1947"/>
      <c r="T1947"/>
      <c r="U1947"/>
      <c r="V1947"/>
    </row>
    <row r="1948" spans="2:22" x14ac:dyDescent="0.25">
      <c r="B1948" s="19" t="s">
        <v>2560</v>
      </c>
      <c r="C1948" s="16" t="s">
        <v>9461</v>
      </c>
      <c r="D1948" s="16" t="s">
        <v>29</v>
      </c>
      <c r="E1948" s="16"/>
      <c r="F1948" s="16"/>
      <c r="G1948" s="16" t="s">
        <v>35</v>
      </c>
      <c r="H1948" s="16"/>
      <c r="I1948" s="16"/>
      <c r="J1948" s="16"/>
      <c r="K1948" s="16"/>
      <c r="L1948" s="16"/>
      <c r="M1948" s="16"/>
      <c r="N1948" s="16"/>
      <c r="O1948" s="17"/>
      <c r="P1948" s="16" t="str">
        <f t="shared" si="52"/>
        <v>Truncate table FPP186;</v>
      </c>
      <c r="Q1948" s="16"/>
      <c r="R1948" s="16"/>
      <c r="S1948"/>
      <c r="T1948"/>
      <c r="U1948"/>
      <c r="V1948"/>
    </row>
    <row r="1949" spans="2:22" x14ac:dyDescent="0.25">
      <c r="B1949" s="19" t="s">
        <v>2561</v>
      </c>
      <c r="C1949" s="16" t="s">
        <v>9462</v>
      </c>
      <c r="D1949" s="16" t="s">
        <v>29</v>
      </c>
      <c r="E1949" s="16"/>
      <c r="F1949" s="16"/>
      <c r="G1949" s="16" t="s">
        <v>35</v>
      </c>
      <c r="H1949" s="16"/>
      <c r="I1949" s="16"/>
      <c r="J1949" s="16"/>
      <c r="K1949" s="16"/>
      <c r="L1949" s="16"/>
      <c r="M1949" s="16"/>
      <c r="N1949" s="16"/>
      <c r="O1949" s="17"/>
      <c r="P1949" s="16" t="str">
        <f t="shared" si="52"/>
        <v>Truncate table FPP187;</v>
      </c>
      <c r="Q1949" s="16"/>
      <c r="R1949" s="16"/>
      <c r="S1949"/>
      <c r="T1949"/>
      <c r="U1949"/>
      <c r="V1949"/>
    </row>
    <row r="1950" spans="2:22" x14ac:dyDescent="0.25">
      <c r="B1950" s="19" t="s">
        <v>2562</v>
      </c>
      <c r="C1950" s="16" t="s">
        <v>5789</v>
      </c>
      <c r="D1950" s="16" t="s">
        <v>29</v>
      </c>
      <c r="E1950" s="16"/>
      <c r="F1950" s="16"/>
      <c r="G1950" s="16" t="s">
        <v>35</v>
      </c>
      <c r="H1950" s="16"/>
      <c r="I1950" s="16"/>
      <c r="J1950" s="16"/>
      <c r="K1950" s="16"/>
      <c r="L1950" s="16"/>
      <c r="M1950" s="16"/>
      <c r="N1950" s="16"/>
      <c r="O1950" s="17"/>
      <c r="P1950" s="16" t="str">
        <f t="shared" si="52"/>
        <v>Truncate table FPP188;</v>
      </c>
      <c r="Q1950" s="16"/>
      <c r="R1950" s="16"/>
      <c r="S1950"/>
      <c r="T1950"/>
      <c r="U1950"/>
      <c r="V1950"/>
    </row>
    <row r="1951" spans="2:22" x14ac:dyDescent="0.25">
      <c r="B1951" s="19" t="s">
        <v>2563</v>
      </c>
      <c r="C1951" s="16" t="s">
        <v>2564</v>
      </c>
      <c r="D1951" s="16" t="s">
        <v>8152</v>
      </c>
      <c r="E1951" s="16" t="s">
        <v>1096</v>
      </c>
      <c r="F1951" s="16" t="s">
        <v>184</v>
      </c>
      <c r="G1951" s="16" t="s">
        <v>35</v>
      </c>
      <c r="H1951" s="16" t="s">
        <v>36</v>
      </c>
      <c r="I1951" s="16"/>
      <c r="J1951" s="16"/>
      <c r="K1951" s="16"/>
      <c r="L1951" s="16"/>
      <c r="M1951" s="16" t="s">
        <v>387</v>
      </c>
      <c r="N1951" s="16"/>
      <c r="O1951" s="17" t="s">
        <v>38</v>
      </c>
      <c r="P1951" s="16" t="str">
        <f t="shared" si="52"/>
        <v/>
      </c>
      <c r="Q1951" s="16"/>
      <c r="R1951" s="16"/>
      <c r="S1951"/>
      <c r="T1951"/>
      <c r="U1951"/>
      <c r="V1951"/>
    </row>
    <row r="1952" spans="2:22" x14ac:dyDescent="0.25">
      <c r="B1952" s="19" t="s">
        <v>2565</v>
      </c>
      <c r="C1952" s="16" t="s">
        <v>2566</v>
      </c>
      <c r="D1952" s="16" t="s">
        <v>29</v>
      </c>
      <c r="E1952" s="16" t="s">
        <v>1096</v>
      </c>
      <c r="F1952" s="16" t="s">
        <v>184</v>
      </c>
      <c r="G1952" s="16" t="s">
        <v>35</v>
      </c>
      <c r="H1952" s="16" t="s">
        <v>36</v>
      </c>
      <c r="I1952" s="16"/>
      <c r="J1952" s="16"/>
      <c r="K1952" s="16"/>
      <c r="L1952" s="16"/>
      <c r="M1952" s="16"/>
      <c r="N1952" s="16"/>
      <c r="O1952" s="17" t="s">
        <v>38</v>
      </c>
      <c r="P1952" s="16" t="str">
        <f t="shared" si="52"/>
        <v>Truncate table FPP251;</v>
      </c>
      <c r="Q1952" s="16"/>
      <c r="R1952" s="16"/>
      <c r="S1952"/>
      <c r="T1952"/>
      <c r="U1952"/>
      <c r="V1952"/>
    </row>
    <row r="1953" spans="1:22" x14ac:dyDescent="0.25">
      <c r="B1953" s="19" t="s">
        <v>2567</v>
      </c>
      <c r="C1953" s="16" t="s">
        <v>2568</v>
      </c>
      <c r="D1953" s="16" t="s">
        <v>8152</v>
      </c>
      <c r="E1953" s="16" t="s">
        <v>1096</v>
      </c>
      <c r="F1953" s="16" t="s">
        <v>184</v>
      </c>
      <c r="G1953" s="16" t="s">
        <v>35</v>
      </c>
      <c r="H1953" s="16" t="s">
        <v>36</v>
      </c>
      <c r="I1953" s="16"/>
      <c r="J1953" s="16"/>
      <c r="K1953" s="16"/>
      <c r="L1953" s="16"/>
      <c r="M1953" s="16"/>
      <c r="N1953" s="16"/>
      <c r="O1953" s="17" t="s">
        <v>38</v>
      </c>
      <c r="P1953" s="16" t="str">
        <f t="shared" si="52"/>
        <v/>
      </c>
      <c r="Q1953" s="16"/>
      <c r="R1953" s="16"/>
      <c r="S1953"/>
      <c r="T1953"/>
      <c r="U1953"/>
      <c r="V1953"/>
    </row>
    <row r="1954" spans="1:22" x14ac:dyDescent="0.25">
      <c r="B1954" s="19" t="s">
        <v>2569</v>
      </c>
      <c r="C1954" s="16" t="s">
        <v>2570</v>
      </c>
      <c r="D1954" s="16" t="s">
        <v>8152</v>
      </c>
      <c r="E1954" s="16" t="s">
        <v>1096</v>
      </c>
      <c r="F1954" s="16" t="s">
        <v>184</v>
      </c>
      <c r="G1954" s="16" t="s">
        <v>35</v>
      </c>
      <c r="H1954" s="16" t="s">
        <v>36</v>
      </c>
      <c r="I1954" s="16"/>
      <c r="J1954" s="16"/>
      <c r="K1954" s="16"/>
      <c r="L1954" s="16"/>
      <c r="M1954" s="16"/>
      <c r="N1954" s="16"/>
      <c r="O1954" s="17" t="s">
        <v>38</v>
      </c>
      <c r="P1954" s="16" t="str">
        <f t="shared" si="52"/>
        <v/>
      </c>
      <c r="Q1954" s="16"/>
      <c r="R1954" s="16"/>
      <c r="S1954"/>
      <c r="T1954"/>
      <c r="U1954"/>
      <c r="V1954"/>
    </row>
    <row r="1955" spans="1:22" x14ac:dyDescent="0.25">
      <c r="B1955" s="19" t="s">
        <v>2571</v>
      </c>
      <c r="C1955" s="16" t="s">
        <v>2572</v>
      </c>
      <c r="D1955" s="16" t="s">
        <v>29</v>
      </c>
      <c r="E1955" s="16" t="s">
        <v>1096</v>
      </c>
      <c r="F1955" s="16" t="s">
        <v>184</v>
      </c>
      <c r="G1955" s="16" t="s">
        <v>35</v>
      </c>
      <c r="H1955" s="16" t="s">
        <v>36</v>
      </c>
      <c r="I1955" s="16"/>
      <c r="J1955" s="16"/>
      <c r="K1955" s="16"/>
      <c r="L1955" s="16"/>
      <c r="M1955" s="16"/>
      <c r="N1955" s="16"/>
      <c r="O1955" s="17" t="s">
        <v>38</v>
      </c>
      <c r="P1955" s="16" t="str">
        <f t="shared" si="52"/>
        <v>Truncate table FPP262;</v>
      </c>
      <c r="Q1955" s="16"/>
      <c r="R1955" s="16"/>
      <c r="S1955"/>
      <c r="T1955"/>
      <c r="U1955"/>
      <c r="V1955"/>
    </row>
    <row r="1956" spans="1:22" x14ac:dyDescent="0.25">
      <c r="B1956" s="19" t="s">
        <v>2573</v>
      </c>
      <c r="C1956" s="16" t="s">
        <v>2574</v>
      </c>
      <c r="D1956" s="16" t="s">
        <v>29</v>
      </c>
      <c r="E1956" s="16"/>
      <c r="F1956" s="16"/>
      <c r="G1956" s="16" t="s">
        <v>35</v>
      </c>
      <c r="H1956" s="16" t="s">
        <v>36</v>
      </c>
      <c r="I1956" s="16"/>
      <c r="J1956" s="16"/>
      <c r="K1956" s="16"/>
      <c r="L1956" s="16"/>
      <c r="M1956" s="16"/>
      <c r="N1956" s="16"/>
      <c r="O1956" s="17" t="s">
        <v>38</v>
      </c>
      <c r="P1956" s="16" t="str">
        <f t="shared" si="52"/>
        <v>Truncate table FPP950;</v>
      </c>
      <c r="Q1956" s="16"/>
      <c r="R1956" s="16"/>
      <c r="S1956"/>
      <c r="T1956"/>
      <c r="U1956"/>
      <c r="V1956"/>
    </row>
    <row r="1957" spans="1:22" x14ac:dyDescent="0.25">
      <c r="B1957" s="19" t="s">
        <v>2575</v>
      </c>
      <c r="C1957" s="16" t="s">
        <v>2576</v>
      </c>
      <c r="D1957" s="16" t="s">
        <v>29</v>
      </c>
      <c r="E1957" s="16"/>
      <c r="F1957" s="16"/>
      <c r="G1957" s="16" t="s">
        <v>35</v>
      </c>
      <c r="H1957" s="16" t="s">
        <v>36</v>
      </c>
      <c r="I1957" s="16"/>
      <c r="J1957" s="16"/>
      <c r="K1957" s="16"/>
      <c r="L1957" s="16"/>
      <c r="M1957" s="16"/>
      <c r="N1957" s="16"/>
      <c r="O1957" s="17" t="s">
        <v>38</v>
      </c>
      <c r="P1957" s="16" t="str">
        <f t="shared" si="52"/>
        <v>Truncate table FPP951;</v>
      </c>
      <c r="Q1957" s="16"/>
      <c r="R1957" s="16"/>
      <c r="S1957"/>
      <c r="T1957"/>
      <c r="U1957"/>
      <c r="V1957"/>
    </row>
    <row r="1958" spans="1:22" x14ac:dyDescent="0.25">
      <c r="B1958" s="19" t="s">
        <v>2577</v>
      </c>
      <c r="C1958" s="16" t="s">
        <v>9463</v>
      </c>
      <c r="D1958" s="16" t="s">
        <v>29</v>
      </c>
      <c r="E1958" s="16"/>
      <c r="F1958" s="5"/>
      <c r="G1958" s="16" t="s">
        <v>35</v>
      </c>
      <c r="H1958" s="16"/>
      <c r="I1958" s="16"/>
      <c r="J1958" s="16"/>
      <c r="K1958" s="16"/>
      <c r="L1958" s="16"/>
      <c r="M1958" s="16"/>
      <c r="N1958" s="16"/>
      <c r="O1958" s="17"/>
      <c r="P1958" s="5" t="str">
        <f t="shared" si="52"/>
        <v>Truncate table FRAC001;</v>
      </c>
      <c r="Q1958" s="5"/>
      <c r="R1958" s="5"/>
    </row>
    <row r="1959" spans="1:22" x14ac:dyDescent="0.25">
      <c r="B1959" s="19" t="s">
        <v>2578</v>
      </c>
      <c r="C1959" s="16" t="s">
        <v>9464</v>
      </c>
      <c r="D1959" s="16" t="s">
        <v>29</v>
      </c>
      <c r="E1959" s="16"/>
      <c r="F1959" s="5"/>
      <c r="G1959" s="16" t="s">
        <v>35</v>
      </c>
      <c r="H1959" s="16"/>
      <c r="I1959" s="16"/>
      <c r="J1959" s="16"/>
      <c r="K1959" s="16"/>
      <c r="L1959" s="16"/>
      <c r="M1959" s="16"/>
      <c r="N1959" s="16"/>
      <c r="O1959" s="17"/>
      <c r="P1959" s="5" t="str">
        <f t="shared" si="52"/>
        <v>Truncate table FRAC002;</v>
      </c>
      <c r="Q1959" s="5"/>
      <c r="R1959" s="5"/>
    </row>
    <row r="1960" spans="1:22" x14ac:dyDescent="0.25">
      <c r="B1960" s="19" t="s">
        <v>2579</v>
      </c>
      <c r="C1960" s="16" t="s">
        <v>9465</v>
      </c>
      <c r="D1960" s="16" t="s">
        <v>29</v>
      </c>
      <c r="E1960" s="16"/>
      <c r="F1960" s="5"/>
      <c r="G1960" s="16" t="s">
        <v>35</v>
      </c>
      <c r="H1960" s="16"/>
      <c r="I1960" s="16"/>
      <c r="J1960" s="16"/>
      <c r="K1960" s="16"/>
      <c r="L1960" s="16"/>
      <c r="M1960" s="16"/>
      <c r="N1960" s="16"/>
      <c r="O1960" s="17"/>
      <c r="P1960" s="5" t="str">
        <f t="shared" si="52"/>
        <v>Truncate table FRAC003;</v>
      </c>
      <c r="Q1960" s="5"/>
      <c r="R1960" s="5"/>
    </row>
    <row r="1961" spans="1:22" x14ac:dyDescent="0.25">
      <c r="B1961" s="19" t="s">
        <v>2580</v>
      </c>
      <c r="C1961" s="16" t="s">
        <v>9466</v>
      </c>
      <c r="D1961" s="16" t="s">
        <v>29</v>
      </c>
      <c r="E1961" s="16"/>
      <c r="F1961" s="5"/>
      <c r="G1961" s="16" t="s">
        <v>35</v>
      </c>
      <c r="H1961" s="16"/>
      <c r="I1961" s="16"/>
      <c r="J1961" s="16"/>
      <c r="K1961" s="16"/>
      <c r="L1961" s="16"/>
      <c r="M1961" s="16"/>
      <c r="N1961" s="16"/>
      <c r="O1961" s="17"/>
      <c r="P1961" s="5" t="str">
        <f t="shared" si="52"/>
        <v>Truncate table FRAC004;</v>
      </c>
      <c r="Q1961" s="5"/>
      <c r="R1961" s="5"/>
    </row>
    <row r="1962" spans="1:22" x14ac:dyDescent="0.25">
      <c r="B1962" s="19" t="s">
        <v>2581</v>
      </c>
      <c r="C1962" s="16" t="s">
        <v>9467</v>
      </c>
      <c r="D1962" s="16" t="s">
        <v>29</v>
      </c>
      <c r="E1962" s="16" t="s">
        <v>54</v>
      </c>
      <c r="F1962" s="5" t="s">
        <v>1057</v>
      </c>
      <c r="G1962" s="16" t="s">
        <v>35</v>
      </c>
      <c r="H1962" s="16" t="s">
        <v>36</v>
      </c>
      <c r="I1962" s="16"/>
      <c r="J1962" s="16"/>
      <c r="K1962" s="16"/>
      <c r="L1962" s="16"/>
      <c r="M1962" s="16"/>
      <c r="N1962" s="16"/>
      <c r="O1962" s="17" t="s">
        <v>387</v>
      </c>
      <c r="P1962" s="5"/>
      <c r="Q1962" s="5"/>
      <c r="R1962" s="5"/>
    </row>
    <row r="1963" spans="1:22" s="306" customFormat="1" x14ac:dyDescent="0.25">
      <c r="A1963" s="71"/>
      <c r="B1963" s="307" t="s">
        <v>2582</v>
      </c>
      <c r="C1963" s="308"/>
      <c r="D1963" s="308" t="s">
        <v>29</v>
      </c>
      <c r="E1963" s="308" t="s">
        <v>54</v>
      </c>
      <c r="F1963" s="308" t="s">
        <v>74</v>
      </c>
      <c r="G1963" s="308" t="s">
        <v>35</v>
      </c>
      <c r="H1963" s="308" t="s">
        <v>36</v>
      </c>
      <c r="I1963" s="308"/>
      <c r="J1963" s="308"/>
      <c r="K1963" s="308"/>
      <c r="L1963" s="308"/>
      <c r="M1963" s="308"/>
      <c r="N1963" s="308"/>
      <c r="O1963" s="309" t="s">
        <v>387</v>
      </c>
      <c r="P1963" s="308" t="str">
        <f t="shared" ref="P1963:P1971" si="53">IF(D1963="Datos","Truncate table "&amp; B1963&amp; ";","")</f>
        <v>Truncate table FRCHARTU;</v>
      </c>
      <c r="Q1963" s="308"/>
      <c r="R1963" s="308"/>
    </row>
    <row r="1964" spans="1:22" x14ac:dyDescent="0.25">
      <c r="B1964" s="19" t="s">
        <v>2583</v>
      </c>
      <c r="C1964" t="s">
        <v>10051</v>
      </c>
      <c r="D1964" s="16" t="s">
        <v>29</v>
      </c>
      <c r="E1964" s="16" t="s">
        <v>54</v>
      </c>
      <c r="F1964" s="5" t="s">
        <v>74</v>
      </c>
      <c r="G1964" s="16" t="s">
        <v>35</v>
      </c>
      <c r="H1964" s="16" t="s">
        <v>36</v>
      </c>
      <c r="I1964" s="16"/>
      <c r="J1964" s="16"/>
      <c r="K1964" s="16"/>
      <c r="L1964" s="16"/>
      <c r="M1964" s="16"/>
      <c r="N1964" s="16"/>
      <c r="O1964" s="17" t="s">
        <v>387</v>
      </c>
      <c r="P1964" s="5" t="str">
        <f t="shared" si="53"/>
        <v>Truncate table FRCHARTURLS;</v>
      </c>
      <c r="Q1964" s="5"/>
      <c r="R1964" s="5"/>
    </row>
    <row r="1965" spans="1:22" ht="40.5" x14ac:dyDescent="0.25">
      <c r="B1965" s="5" t="s">
        <v>2584</v>
      </c>
      <c r="C1965" s="16" t="s">
        <v>2585</v>
      </c>
      <c r="D1965" s="5" t="s">
        <v>29</v>
      </c>
      <c r="E1965" s="5" t="s">
        <v>54</v>
      </c>
      <c r="F1965" s="5" t="s">
        <v>2586</v>
      </c>
      <c r="G1965" s="5" t="s">
        <v>35</v>
      </c>
      <c r="H1965" s="5" t="s">
        <v>36</v>
      </c>
      <c r="I1965" s="5" t="s">
        <v>2587</v>
      </c>
      <c r="J1965" s="5" t="s">
        <v>2588</v>
      </c>
      <c r="K1965" s="5" t="s">
        <v>656</v>
      </c>
      <c r="L1965" s="5" t="s">
        <v>2589</v>
      </c>
      <c r="M1965" s="5"/>
      <c r="N1965" s="5" t="s">
        <v>2590</v>
      </c>
      <c r="O1965" s="7" t="s">
        <v>387</v>
      </c>
      <c r="P1965" s="5" t="str">
        <f t="shared" si="53"/>
        <v>Truncate table FRCL;</v>
      </c>
      <c r="Q1965" s="5"/>
      <c r="R1965" s="5"/>
    </row>
    <row r="1966" spans="1:22" s="306" customFormat="1" x14ac:dyDescent="0.25">
      <c r="A1966" s="71"/>
      <c r="B1966" s="307" t="s">
        <v>2592</v>
      </c>
      <c r="C1966" s="308"/>
      <c r="D1966" s="308" t="s">
        <v>29</v>
      </c>
      <c r="E1966" s="308" t="s">
        <v>54</v>
      </c>
      <c r="F1966" s="308" t="s">
        <v>74</v>
      </c>
      <c r="G1966" s="308" t="s">
        <v>35</v>
      </c>
      <c r="H1966" s="308" t="s">
        <v>36</v>
      </c>
      <c r="I1966" s="308"/>
      <c r="J1966" s="308"/>
      <c r="K1966" s="308"/>
      <c r="L1966" s="308"/>
      <c r="M1966" s="308"/>
      <c r="N1966" s="308"/>
      <c r="O1966" s="309" t="s">
        <v>387</v>
      </c>
      <c r="P1966" s="308" t="str">
        <f t="shared" si="53"/>
        <v>Truncate table FRCONPAR;</v>
      </c>
      <c r="Q1966" s="308"/>
      <c r="R1966" s="308"/>
    </row>
    <row r="1967" spans="1:22" s="306" customFormat="1" x14ac:dyDescent="0.25">
      <c r="A1967" s="71"/>
      <c r="B1967" s="307" t="s">
        <v>2593</v>
      </c>
      <c r="C1967" s="308"/>
      <c r="D1967" s="308" t="s">
        <v>29</v>
      </c>
      <c r="E1967" s="308" t="s">
        <v>54</v>
      </c>
      <c r="F1967" s="308" t="s">
        <v>74</v>
      </c>
      <c r="G1967" s="308" t="s">
        <v>35</v>
      </c>
      <c r="H1967" s="308" t="s">
        <v>36</v>
      </c>
      <c r="I1967" s="308"/>
      <c r="J1967" s="308"/>
      <c r="K1967" s="308"/>
      <c r="L1967" s="308"/>
      <c r="M1967" s="308"/>
      <c r="N1967" s="308"/>
      <c r="O1967" s="309" t="s">
        <v>387</v>
      </c>
      <c r="P1967" s="308" t="str">
        <f t="shared" si="53"/>
        <v>Truncate table FRCONPARAMS;</v>
      </c>
      <c r="Q1967" s="308"/>
      <c r="R1967" s="308"/>
    </row>
    <row r="1968" spans="1:22" x14ac:dyDescent="0.25">
      <c r="B1968" s="19" t="s">
        <v>2594</v>
      </c>
      <c r="C1968" s="16" t="s">
        <v>2595</v>
      </c>
      <c r="D1968" s="16" t="s">
        <v>8152</v>
      </c>
      <c r="E1968" s="16" t="s">
        <v>54</v>
      </c>
      <c r="F1968" s="5" t="s">
        <v>74</v>
      </c>
      <c r="G1968" s="16" t="s">
        <v>35</v>
      </c>
      <c r="H1968" s="16" t="s">
        <v>36</v>
      </c>
      <c r="I1968" s="16"/>
      <c r="J1968" s="16"/>
      <c r="K1968" s="16"/>
      <c r="L1968" s="16"/>
      <c r="M1968" s="229"/>
      <c r="N1968" s="16"/>
      <c r="O1968" s="17" t="s">
        <v>387</v>
      </c>
      <c r="P1968" s="5" t="str">
        <f t="shared" si="53"/>
        <v/>
      </c>
      <c r="Q1968" s="5"/>
      <c r="R1968" s="5"/>
    </row>
    <row r="1969" spans="1:18" s="306" customFormat="1" x14ac:dyDescent="0.25">
      <c r="A1969" s="71"/>
      <c r="B1969" s="307" t="s">
        <v>2596</v>
      </c>
      <c r="C1969" s="308"/>
      <c r="D1969" s="308" t="s">
        <v>29</v>
      </c>
      <c r="E1969" s="308" t="s">
        <v>54</v>
      </c>
      <c r="F1969" s="308" t="s">
        <v>74</v>
      </c>
      <c r="G1969" s="308" t="s">
        <v>35</v>
      </c>
      <c r="H1969" s="308" t="s">
        <v>36</v>
      </c>
      <c r="I1969" s="308"/>
      <c r="J1969" s="308"/>
      <c r="K1969" s="308"/>
      <c r="L1969" s="308"/>
      <c r="M1969" s="308"/>
      <c r="N1969" s="308"/>
      <c r="O1969" s="309" t="s">
        <v>387</v>
      </c>
      <c r="P1969" s="308" t="str">
        <f t="shared" si="53"/>
        <v>Truncate table FRCONTROLS;</v>
      </c>
      <c r="Q1969" s="308"/>
      <c r="R1969" s="308"/>
    </row>
    <row r="1970" spans="1:18" x14ac:dyDescent="0.25">
      <c r="B1970" s="19" t="s">
        <v>2597</v>
      </c>
      <c r="C1970" s="16" t="s">
        <v>2591</v>
      </c>
      <c r="D1970" s="16" t="s">
        <v>8152</v>
      </c>
      <c r="E1970" s="16" t="s">
        <v>54</v>
      </c>
      <c r="F1970" s="5" t="s">
        <v>74</v>
      </c>
      <c r="G1970" s="16" t="s">
        <v>35</v>
      </c>
      <c r="H1970" s="16" t="s">
        <v>36</v>
      </c>
      <c r="I1970" s="16"/>
      <c r="J1970" s="16"/>
      <c r="K1970" s="16"/>
      <c r="L1970" s="16"/>
      <c r="M1970" s="229"/>
      <c r="N1970" s="16"/>
      <c r="O1970" s="17" t="s">
        <v>387</v>
      </c>
      <c r="P1970" s="5" t="str">
        <f t="shared" si="53"/>
        <v/>
      </c>
      <c r="Q1970" s="5"/>
      <c r="R1970" s="5"/>
    </row>
    <row r="1971" spans="1:18" x14ac:dyDescent="0.25">
      <c r="B1971" s="19" t="s">
        <v>2598</v>
      </c>
      <c r="C1971" s="16" t="s">
        <v>2599</v>
      </c>
      <c r="D1971" s="16" t="s">
        <v>8152</v>
      </c>
      <c r="E1971" s="16" t="s">
        <v>54</v>
      </c>
      <c r="F1971" s="5" t="s">
        <v>2586</v>
      </c>
      <c r="G1971" s="16" t="s">
        <v>35</v>
      </c>
      <c r="H1971" s="16" t="s">
        <v>36</v>
      </c>
      <c r="I1971" s="16"/>
      <c r="J1971" s="16"/>
      <c r="K1971" s="16"/>
      <c r="L1971" s="16"/>
      <c r="M1971" s="16"/>
      <c r="N1971" s="16"/>
      <c r="O1971" s="17" t="s">
        <v>387</v>
      </c>
      <c r="P1971" s="5" t="str">
        <f t="shared" si="53"/>
        <v/>
      </c>
      <c r="Q1971" s="5"/>
      <c r="R1971" s="5"/>
    </row>
    <row r="1972" spans="1:18" x14ac:dyDescent="0.25">
      <c r="B1972" s="19" t="s">
        <v>2600</v>
      </c>
      <c r="C1972" s="16" t="s">
        <v>2601</v>
      </c>
      <c r="D1972" s="16" t="s">
        <v>29</v>
      </c>
      <c r="E1972" s="16" t="s">
        <v>54</v>
      </c>
      <c r="F1972" s="5" t="s">
        <v>1057</v>
      </c>
      <c r="G1972" s="16" t="s">
        <v>35</v>
      </c>
      <c r="H1972" s="16" t="s">
        <v>36</v>
      </c>
      <c r="I1972" s="16"/>
      <c r="J1972" s="16"/>
      <c r="K1972" s="16"/>
      <c r="L1972" s="16"/>
      <c r="M1972" s="16"/>
      <c r="N1972" s="16"/>
      <c r="O1972" s="17" t="s">
        <v>387</v>
      </c>
      <c r="P1972" s="33"/>
      <c r="Q1972" s="5"/>
      <c r="R1972" s="5"/>
    </row>
    <row r="1973" spans="1:18" x14ac:dyDescent="0.25">
      <c r="B1973" s="19" t="s">
        <v>2602</v>
      </c>
      <c r="C1973" t="s">
        <v>2602</v>
      </c>
      <c r="D1973" s="16" t="s">
        <v>29</v>
      </c>
      <c r="E1973" s="16"/>
      <c r="F1973" s="5"/>
      <c r="G1973" s="16" t="s">
        <v>35</v>
      </c>
      <c r="H1973" s="16"/>
      <c r="I1973" s="16"/>
      <c r="J1973" s="16"/>
      <c r="K1973" s="16"/>
      <c r="L1973" s="16"/>
      <c r="M1973" s="16"/>
      <c r="N1973" s="16"/>
      <c r="O1973" s="17"/>
      <c r="P1973" s="5" t="str">
        <f t="shared" ref="P1973:P2018" si="54">IF(D1973="Datos","Truncate table "&amp; B1973&amp; ";","")</f>
        <v>Truncate table FREC01;</v>
      </c>
      <c r="Q1973" s="5"/>
      <c r="R1973" s="5"/>
    </row>
    <row r="1974" spans="1:18" x14ac:dyDescent="0.25">
      <c r="B1974" s="19" t="s">
        <v>2603</v>
      </c>
      <c r="C1974" s="16" t="s">
        <v>2604</v>
      </c>
      <c r="D1974" s="16" t="s">
        <v>29</v>
      </c>
      <c r="E1974" s="16" t="s">
        <v>2605</v>
      </c>
      <c r="F1974" s="16" t="s">
        <v>2605</v>
      </c>
      <c r="G1974" s="16" t="s">
        <v>35</v>
      </c>
      <c r="H1974" s="16"/>
      <c r="I1974" s="16"/>
      <c r="J1974" s="16"/>
      <c r="K1974" s="16"/>
      <c r="L1974" s="16"/>
      <c r="M1974" s="16"/>
      <c r="N1974" s="16"/>
      <c r="O1974" s="17" t="s">
        <v>38</v>
      </c>
      <c r="P1974" s="5" t="str">
        <f t="shared" si="54"/>
        <v>Truncate table FREC02;</v>
      </c>
      <c r="Q1974" s="5"/>
      <c r="R1974" s="5"/>
    </row>
    <row r="1975" spans="1:18" x14ac:dyDescent="0.25">
      <c r="B1975" s="19" t="s">
        <v>2606</v>
      </c>
      <c r="C1975" s="16" t="s">
        <v>2605</v>
      </c>
      <c r="D1975" s="16" t="s">
        <v>29</v>
      </c>
      <c r="E1975" s="16" t="s">
        <v>2605</v>
      </c>
      <c r="F1975" s="16" t="s">
        <v>2605</v>
      </c>
      <c r="G1975" s="16" t="s">
        <v>35</v>
      </c>
      <c r="H1975" s="16"/>
      <c r="I1975" s="16"/>
      <c r="J1975" s="16"/>
      <c r="K1975" s="16"/>
      <c r="L1975" s="16"/>
      <c r="M1975" s="16"/>
      <c r="N1975" s="16"/>
      <c r="O1975" s="17" t="s">
        <v>38</v>
      </c>
      <c r="P1975" s="5" t="str">
        <f t="shared" si="54"/>
        <v>Truncate table FREC03;</v>
      </c>
      <c r="Q1975" s="5"/>
      <c r="R1975" s="5"/>
    </row>
    <row r="1976" spans="1:18" x14ac:dyDescent="0.25">
      <c r="B1976" s="19" t="s">
        <v>2607</v>
      </c>
      <c r="C1976" t="s">
        <v>2607</v>
      </c>
      <c r="D1976" s="16" t="s">
        <v>29</v>
      </c>
      <c r="E1976" s="16"/>
      <c r="F1976" s="5"/>
      <c r="G1976" s="16" t="s">
        <v>35</v>
      </c>
      <c r="H1976" s="16"/>
      <c r="I1976" s="16"/>
      <c r="J1976" s="16"/>
      <c r="K1976" s="16"/>
      <c r="L1976" s="16"/>
      <c r="M1976" s="16"/>
      <c r="N1976" s="16"/>
      <c r="O1976" s="17"/>
      <c r="P1976" s="5" t="str">
        <f t="shared" si="54"/>
        <v>Truncate table FREC04;</v>
      </c>
      <c r="Q1976" s="5"/>
      <c r="R1976" s="5"/>
    </row>
    <row r="1977" spans="1:18" x14ac:dyDescent="0.25">
      <c r="B1977" s="19" t="s">
        <v>2608</v>
      </c>
      <c r="C1977" t="s">
        <v>10052</v>
      </c>
      <c r="D1977" s="16" t="s">
        <v>29</v>
      </c>
      <c r="E1977" s="16"/>
      <c r="F1977" s="5"/>
      <c r="G1977" s="16" t="s">
        <v>35</v>
      </c>
      <c r="H1977" s="16"/>
      <c r="I1977" s="16"/>
      <c r="J1977" s="16"/>
      <c r="K1977" s="16"/>
      <c r="L1977" s="16"/>
      <c r="M1977" s="16"/>
      <c r="N1977" s="16"/>
      <c r="O1977" s="17"/>
      <c r="P1977" s="5" t="str">
        <f t="shared" si="54"/>
        <v>Truncate table FREC05;</v>
      </c>
      <c r="Q1977" s="5"/>
      <c r="R1977" s="5"/>
    </row>
    <row r="1978" spans="1:18" s="306" customFormat="1" x14ac:dyDescent="0.25">
      <c r="A1978" s="71"/>
      <c r="B1978" s="307" t="s">
        <v>2609</v>
      </c>
      <c r="C1978" s="308"/>
      <c r="D1978" s="308" t="s">
        <v>29</v>
      </c>
      <c r="E1978" s="308"/>
      <c r="F1978" s="308"/>
      <c r="G1978" s="308" t="s">
        <v>35</v>
      </c>
      <c r="H1978" s="308"/>
      <c r="I1978" s="308"/>
      <c r="J1978" s="308"/>
      <c r="K1978" s="308"/>
      <c r="L1978" s="308"/>
      <c r="M1978" s="308"/>
      <c r="N1978" s="308"/>
      <c r="O1978" s="309"/>
      <c r="P1978" s="308" t="str">
        <f t="shared" si="54"/>
        <v>Truncate table FREC10;</v>
      </c>
      <c r="Q1978" s="308"/>
      <c r="R1978" s="308"/>
    </row>
    <row r="1979" spans="1:18" s="306" customFormat="1" x14ac:dyDescent="0.25">
      <c r="A1979" s="71"/>
      <c r="B1979" s="307" t="s">
        <v>2610</v>
      </c>
      <c r="C1979" s="308"/>
      <c r="D1979" s="308" t="s">
        <v>29</v>
      </c>
      <c r="E1979" s="308"/>
      <c r="F1979" s="308"/>
      <c r="G1979" s="308" t="s">
        <v>35</v>
      </c>
      <c r="H1979" s="308"/>
      <c r="I1979" s="308"/>
      <c r="J1979" s="308"/>
      <c r="K1979" s="308"/>
      <c r="L1979" s="308"/>
      <c r="M1979" s="308"/>
      <c r="N1979" s="308"/>
      <c r="O1979" s="309"/>
      <c r="P1979" s="308" t="str">
        <f t="shared" si="54"/>
        <v>Truncate table FREC11;</v>
      </c>
      <c r="Q1979" s="308"/>
      <c r="R1979" s="308"/>
    </row>
    <row r="1980" spans="1:18" s="306" customFormat="1" x14ac:dyDescent="0.25">
      <c r="A1980" s="71"/>
      <c r="B1980" s="307" t="s">
        <v>2611</v>
      </c>
      <c r="C1980" s="308"/>
      <c r="D1980" s="308" t="s">
        <v>29</v>
      </c>
      <c r="E1980" s="308"/>
      <c r="F1980" s="308"/>
      <c r="G1980" s="308" t="s">
        <v>35</v>
      </c>
      <c r="H1980" s="308"/>
      <c r="I1980" s="308"/>
      <c r="J1980" s="308"/>
      <c r="K1980" s="308"/>
      <c r="L1980" s="308"/>
      <c r="M1980" s="308"/>
      <c r="N1980" s="308"/>
      <c r="O1980" s="309"/>
      <c r="P1980" s="308" t="str">
        <f t="shared" si="54"/>
        <v>Truncate table FREC50;</v>
      </c>
      <c r="Q1980" s="308"/>
      <c r="R1980" s="308"/>
    </row>
    <row r="1981" spans="1:18" s="306" customFormat="1" x14ac:dyDescent="0.25">
      <c r="A1981" s="71"/>
      <c r="B1981" s="307" t="s">
        <v>2612</v>
      </c>
      <c r="C1981" s="308"/>
      <c r="D1981" s="308" t="s">
        <v>29</v>
      </c>
      <c r="E1981" s="308"/>
      <c r="F1981" s="308"/>
      <c r="G1981" s="308" t="s">
        <v>35</v>
      </c>
      <c r="H1981" s="308"/>
      <c r="I1981" s="308"/>
      <c r="J1981" s="308"/>
      <c r="K1981" s="308"/>
      <c r="L1981" s="308"/>
      <c r="M1981" s="308"/>
      <c r="N1981" s="308"/>
      <c r="O1981" s="309"/>
      <c r="P1981" s="308" t="str">
        <f t="shared" si="54"/>
        <v>Truncate table FREC51;</v>
      </c>
      <c r="Q1981" s="308"/>
      <c r="R1981" s="308"/>
    </row>
    <row r="1982" spans="1:18" s="306" customFormat="1" x14ac:dyDescent="0.25">
      <c r="A1982" s="71"/>
      <c r="B1982" s="307" t="s">
        <v>2613</v>
      </c>
      <c r="C1982" s="308"/>
      <c r="D1982" s="308" t="s">
        <v>29</v>
      </c>
      <c r="E1982" s="308"/>
      <c r="F1982" s="308"/>
      <c r="G1982" s="308" t="s">
        <v>35</v>
      </c>
      <c r="H1982" s="308"/>
      <c r="I1982" s="308"/>
      <c r="J1982" s="308"/>
      <c r="K1982" s="308"/>
      <c r="L1982" s="308"/>
      <c r="M1982" s="308"/>
      <c r="N1982" s="308"/>
      <c r="O1982" s="309"/>
      <c r="P1982" s="308" t="str">
        <f t="shared" si="54"/>
        <v>Truncate table FREC52;</v>
      </c>
      <c r="Q1982" s="308"/>
      <c r="R1982" s="308"/>
    </row>
    <row r="1983" spans="1:18" s="306" customFormat="1" x14ac:dyDescent="0.25">
      <c r="A1983" s="71"/>
      <c r="B1983" s="307" t="s">
        <v>2614</v>
      </c>
      <c r="C1983" s="308"/>
      <c r="D1983" s="308" t="s">
        <v>29</v>
      </c>
      <c r="E1983" s="308"/>
      <c r="F1983" s="308"/>
      <c r="G1983" s="308" t="s">
        <v>35</v>
      </c>
      <c r="H1983" s="308"/>
      <c r="I1983" s="308"/>
      <c r="J1983" s="308"/>
      <c r="K1983" s="308"/>
      <c r="L1983" s="308"/>
      <c r="M1983" s="308"/>
      <c r="N1983" s="308"/>
      <c r="O1983" s="309"/>
      <c r="P1983" s="308" t="str">
        <f t="shared" si="54"/>
        <v>Truncate table FREC53;</v>
      </c>
      <c r="Q1983" s="308"/>
      <c r="R1983" s="308"/>
    </row>
    <row r="1984" spans="1:18" s="306" customFormat="1" x14ac:dyDescent="0.25">
      <c r="A1984" s="71"/>
      <c r="B1984" s="307" t="s">
        <v>2615</v>
      </c>
      <c r="C1984" s="308"/>
      <c r="D1984" s="308" t="s">
        <v>29</v>
      </c>
      <c r="E1984" s="308"/>
      <c r="F1984" s="308"/>
      <c r="G1984" s="308" t="s">
        <v>35</v>
      </c>
      <c r="H1984" s="308"/>
      <c r="I1984" s="308"/>
      <c r="J1984" s="308"/>
      <c r="K1984" s="308"/>
      <c r="L1984" s="308"/>
      <c r="M1984" s="308"/>
      <c r="N1984" s="308"/>
      <c r="O1984" s="309"/>
      <c r="P1984" s="308" t="str">
        <f t="shared" si="54"/>
        <v>Truncate table FRECS8;</v>
      </c>
      <c r="Q1984" s="308"/>
      <c r="R1984" s="308"/>
    </row>
    <row r="1985" spans="2:18" x14ac:dyDescent="0.25">
      <c r="B1985" s="19" t="s">
        <v>2616</v>
      </c>
      <c r="C1985" s="16" t="s">
        <v>2617</v>
      </c>
      <c r="D1985" s="16" t="s">
        <v>29</v>
      </c>
      <c r="E1985" s="16" t="s">
        <v>54</v>
      </c>
      <c r="F1985" s="5" t="s">
        <v>1057</v>
      </c>
      <c r="G1985" s="16" t="s">
        <v>35</v>
      </c>
      <c r="H1985" s="16" t="s">
        <v>36</v>
      </c>
      <c r="I1985" s="16"/>
      <c r="J1985" s="16"/>
      <c r="K1985" s="16"/>
      <c r="L1985" s="16"/>
      <c r="M1985" s="16"/>
      <c r="N1985" s="16"/>
      <c r="O1985" s="17" t="s">
        <v>387</v>
      </c>
      <c r="P1985" s="5" t="str">
        <f t="shared" si="54"/>
        <v>Truncate table FREDIGRI;</v>
      </c>
      <c r="Q1985" s="5"/>
      <c r="R1985" s="5"/>
    </row>
    <row r="1986" spans="2:18" x14ac:dyDescent="0.25">
      <c r="B1986" s="19" t="s">
        <v>2618</v>
      </c>
      <c r="C1986" t="s">
        <v>10053</v>
      </c>
      <c r="D1986" s="16" t="s">
        <v>29</v>
      </c>
      <c r="E1986" s="16" t="s">
        <v>54</v>
      </c>
      <c r="F1986" s="5" t="s">
        <v>74</v>
      </c>
      <c r="G1986" s="16" t="s">
        <v>35</v>
      </c>
      <c r="H1986" s="16" t="s">
        <v>36</v>
      </c>
      <c r="I1986" s="16"/>
      <c r="J1986" s="16"/>
      <c r="K1986" s="16"/>
      <c r="L1986" s="16"/>
      <c r="M1986" s="16"/>
      <c r="N1986" s="16"/>
      <c r="O1986" s="17" t="s">
        <v>387</v>
      </c>
      <c r="P1986" s="5" t="str">
        <f t="shared" si="54"/>
        <v>Truncate table FREDIGRIDS;</v>
      </c>
      <c r="Q1986" s="5"/>
      <c r="R1986" s="5"/>
    </row>
    <row r="1987" spans="2:18" ht="135" x14ac:dyDescent="0.25">
      <c r="B1987" s="4" t="s">
        <v>2619</v>
      </c>
      <c r="C1987" s="5" t="s">
        <v>2620</v>
      </c>
      <c r="D1987" s="16" t="s">
        <v>29</v>
      </c>
      <c r="E1987" s="5" t="s">
        <v>34</v>
      </c>
      <c r="F1987" s="5" t="s">
        <v>33</v>
      </c>
      <c r="G1987" s="16" t="s">
        <v>35</v>
      </c>
      <c r="H1987" s="16" t="s">
        <v>12</v>
      </c>
      <c r="I1987" s="5" t="s">
        <v>2621</v>
      </c>
      <c r="J1987" s="5" t="s">
        <v>2622</v>
      </c>
      <c r="K1987" s="5" t="s">
        <v>1068</v>
      </c>
      <c r="L1987" s="5" t="s">
        <v>2623</v>
      </c>
      <c r="M1987" s="5"/>
      <c r="N1987" s="5" t="s">
        <v>2624</v>
      </c>
      <c r="O1987" s="17"/>
      <c r="P1987" s="5" t="str">
        <f t="shared" si="54"/>
        <v>Truncate table FRH105;</v>
      </c>
      <c r="Q1987" s="5"/>
      <c r="R1987" s="5"/>
    </row>
    <row r="1988" spans="2:18" x14ac:dyDescent="0.25">
      <c r="B1988" s="19" t="s">
        <v>2625</v>
      </c>
      <c r="C1988" s="16" t="s">
        <v>10055</v>
      </c>
      <c r="D1988" s="16" t="s">
        <v>29</v>
      </c>
      <c r="E1988" s="16" t="s">
        <v>34</v>
      </c>
      <c r="F1988" s="5" t="s">
        <v>33</v>
      </c>
      <c r="G1988" s="16" t="s">
        <v>35</v>
      </c>
      <c r="H1988" s="16"/>
      <c r="I1988" s="16"/>
      <c r="J1988" s="16"/>
      <c r="K1988" s="16"/>
      <c r="L1988" s="16"/>
      <c r="M1988" s="16"/>
      <c r="N1988" s="16"/>
      <c r="O1988" s="17"/>
      <c r="P1988" s="5" t="str">
        <f t="shared" si="54"/>
        <v>Truncate table FRI100;</v>
      </c>
      <c r="Q1988" s="5"/>
      <c r="R1988" s="5"/>
    </row>
    <row r="1989" spans="2:18" x14ac:dyDescent="0.25">
      <c r="B1989" s="19" t="s">
        <v>2626</v>
      </c>
      <c r="C1989" s="16" t="s">
        <v>10056</v>
      </c>
      <c r="D1989" s="16" t="s">
        <v>29</v>
      </c>
      <c r="E1989" s="5" t="s">
        <v>34</v>
      </c>
      <c r="F1989" s="5" t="s">
        <v>33</v>
      </c>
      <c r="G1989" s="16" t="s">
        <v>35</v>
      </c>
      <c r="H1989" s="16"/>
      <c r="I1989" s="16"/>
      <c r="J1989" s="16"/>
      <c r="K1989" s="16"/>
      <c r="L1989" s="16"/>
      <c r="M1989" s="16"/>
      <c r="N1989" s="16"/>
      <c r="O1989" s="17"/>
      <c r="P1989" s="5" t="str">
        <f t="shared" si="54"/>
        <v>Truncate table FRI101;</v>
      </c>
      <c r="Q1989" s="5"/>
      <c r="R1989" s="5"/>
    </row>
    <row r="1990" spans="2:18" x14ac:dyDescent="0.25">
      <c r="B1990" s="19" t="s">
        <v>2627</v>
      </c>
      <c r="C1990" s="16" t="s">
        <v>10057</v>
      </c>
      <c r="D1990" s="16" t="s">
        <v>29</v>
      </c>
      <c r="E1990" s="5" t="s">
        <v>34</v>
      </c>
      <c r="F1990" s="5" t="s">
        <v>33</v>
      </c>
      <c r="G1990" s="16" t="s">
        <v>35</v>
      </c>
      <c r="H1990" s="16"/>
      <c r="I1990" s="16"/>
      <c r="J1990" s="16"/>
      <c r="K1990" s="16"/>
      <c r="L1990" s="16"/>
      <c r="M1990" s="16"/>
      <c r="N1990" s="16"/>
      <c r="O1990" s="17"/>
      <c r="P1990" s="5" t="str">
        <f t="shared" si="54"/>
        <v>Truncate table FRI102;</v>
      </c>
      <c r="Q1990" s="5"/>
      <c r="R1990" s="5"/>
    </row>
    <row r="1991" spans="2:18" x14ac:dyDescent="0.25">
      <c r="B1991" s="19" t="s">
        <v>2628</v>
      </c>
      <c r="C1991" s="16" t="s">
        <v>10058</v>
      </c>
      <c r="D1991" s="16" t="s">
        <v>29</v>
      </c>
      <c r="E1991" s="5" t="s">
        <v>34</v>
      </c>
      <c r="F1991" s="5" t="s">
        <v>33</v>
      </c>
      <c r="G1991" s="16" t="s">
        <v>35</v>
      </c>
      <c r="H1991" s="16"/>
      <c r="I1991" s="16"/>
      <c r="J1991" s="16"/>
      <c r="K1991" s="16"/>
      <c r="L1991" s="16"/>
      <c r="M1991" s="16"/>
      <c r="N1991" s="16"/>
      <c r="O1991" s="17"/>
      <c r="P1991" s="5" t="str">
        <f t="shared" si="54"/>
        <v>Truncate table FRI103;</v>
      </c>
      <c r="Q1991" s="5"/>
      <c r="R1991" s="5"/>
    </row>
    <row r="1992" spans="2:18" x14ac:dyDescent="0.25">
      <c r="B1992" s="19" t="s">
        <v>2629</v>
      </c>
      <c r="C1992" s="16" t="s">
        <v>10059</v>
      </c>
      <c r="D1992" s="16" t="s">
        <v>29</v>
      </c>
      <c r="E1992" s="5" t="s">
        <v>34</v>
      </c>
      <c r="F1992" s="5" t="s">
        <v>33</v>
      </c>
      <c r="G1992" s="16" t="s">
        <v>35</v>
      </c>
      <c r="H1992" s="16"/>
      <c r="I1992" s="16"/>
      <c r="J1992" s="16"/>
      <c r="K1992" s="16"/>
      <c r="L1992" s="16"/>
      <c r="M1992" s="16"/>
      <c r="N1992" s="16"/>
      <c r="O1992" s="17"/>
      <c r="P1992" s="5" t="str">
        <f t="shared" si="54"/>
        <v>Truncate table FRI104;</v>
      </c>
      <c r="Q1992" s="5"/>
      <c r="R1992" s="5"/>
    </row>
    <row r="1993" spans="2:18" x14ac:dyDescent="0.25">
      <c r="B1993" s="19" t="s">
        <v>2630</v>
      </c>
      <c r="C1993" s="16" t="s">
        <v>2631</v>
      </c>
      <c r="D1993" s="16" t="s">
        <v>29</v>
      </c>
      <c r="E1993" s="16" t="s">
        <v>34</v>
      </c>
      <c r="F1993" s="5" t="s">
        <v>33</v>
      </c>
      <c r="G1993" s="16" t="s">
        <v>35</v>
      </c>
      <c r="H1993" s="16" t="s">
        <v>36</v>
      </c>
      <c r="I1993" s="16"/>
      <c r="J1993" s="16"/>
      <c r="K1993" s="16"/>
      <c r="L1993" s="16"/>
      <c r="M1993" s="16"/>
      <c r="N1993" s="16"/>
      <c r="O1993" s="17" t="s">
        <v>38</v>
      </c>
      <c r="P1993" s="5" t="str">
        <f t="shared" si="54"/>
        <v>Truncate table FRI105;</v>
      </c>
      <c r="Q1993" s="5"/>
      <c r="R1993" s="5"/>
    </row>
    <row r="1994" spans="2:18" x14ac:dyDescent="0.25">
      <c r="B1994" s="19" t="s">
        <v>2632</v>
      </c>
      <c r="C1994" s="16" t="s">
        <v>2633</v>
      </c>
      <c r="D1994" s="16" t="s">
        <v>29</v>
      </c>
      <c r="E1994" s="16" t="s">
        <v>34</v>
      </c>
      <c r="F1994" s="5" t="s">
        <v>33</v>
      </c>
      <c r="G1994" s="16" t="s">
        <v>35</v>
      </c>
      <c r="H1994" s="16" t="s">
        <v>36</v>
      </c>
      <c r="I1994" s="16"/>
      <c r="J1994" s="16"/>
      <c r="K1994" s="16"/>
      <c r="L1994" s="16"/>
      <c r="M1994" s="16"/>
      <c r="N1994" s="16"/>
      <c r="O1994" s="17" t="s">
        <v>38</v>
      </c>
      <c r="P1994" s="5" t="str">
        <f t="shared" si="54"/>
        <v>Truncate table FRI108;</v>
      </c>
      <c r="Q1994" s="5"/>
      <c r="R1994" s="5"/>
    </row>
    <row r="1995" spans="2:18" x14ac:dyDescent="0.25">
      <c r="B1995" s="19" t="s">
        <v>2634</v>
      </c>
      <c r="C1995" s="16" t="s">
        <v>10060</v>
      </c>
      <c r="D1995" s="16" t="s">
        <v>29</v>
      </c>
      <c r="E1995" s="5" t="s">
        <v>34</v>
      </c>
      <c r="F1995" s="5" t="s">
        <v>33</v>
      </c>
      <c r="G1995" s="16" t="s">
        <v>35</v>
      </c>
      <c r="H1995" s="16"/>
      <c r="I1995" s="16"/>
      <c r="J1995" s="16"/>
      <c r="K1995" s="16"/>
      <c r="L1995" s="16"/>
      <c r="M1995" s="16"/>
      <c r="N1995" s="16"/>
      <c r="O1995" s="17"/>
      <c r="P1995" s="5" t="str">
        <f t="shared" si="54"/>
        <v>Truncate table FRI109;</v>
      </c>
      <c r="Q1995" s="5"/>
      <c r="R1995" s="5"/>
    </row>
    <row r="1996" spans="2:18" ht="40.5" x14ac:dyDescent="0.25">
      <c r="B1996" s="4" t="s">
        <v>2635</v>
      </c>
      <c r="C1996" s="5" t="s">
        <v>2636</v>
      </c>
      <c r="D1996" s="16" t="s">
        <v>29</v>
      </c>
      <c r="E1996" s="5" t="s">
        <v>54</v>
      </c>
      <c r="F1996" s="5" t="s">
        <v>919</v>
      </c>
      <c r="G1996" s="16" t="s">
        <v>503</v>
      </c>
      <c r="H1996" s="16" t="s">
        <v>36</v>
      </c>
      <c r="I1996" s="5" t="s">
        <v>2637</v>
      </c>
      <c r="J1996" s="5" t="s">
        <v>2638</v>
      </c>
      <c r="K1996" s="5" t="s">
        <v>2639</v>
      </c>
      <c r="L1996" s="5" t="s">
        <v>503</v>
      </c>
      <c r="M1996" s="5"/>
      <c r="N1996" s="5"/>
      <c r="O1996" s="17"/>
      <c r="P1996" s="5" t="str">
        <f t="shared" si="54"/>
        <v>Truncate table FRI715;</v>
      </c>
      <c r="Q1996" s="5"/>
      <c r="R1996" s="5"/>
    </row>
    <row r="1997" spans="2:18" ht="40.5" x14ac:dyDescent="0.25">
      <c r="B1997" s="4" t="s">
        <v>2640</v>
      </c>
      <c r="C1997" s="5" t="s">
        <v>2641</v>
      </c>
      <c r="D1997" s="16" t="s">
        <v>8152</v>
      </c>
      <c r="E1997" s="5" t="s">
        <v>54</v>
      </c>
      <c r="F1997" s="5" t="s">
        <v>919</v>
      </c>
      <c r="G1997" s="16" t="s">
        <v>503</v>
      </c>
      <c r="H1997" s="16" t="s">
        <v>36</v>
      </c>
      <c r="I1997" s="5" t="s">
        <v>2642</v>
      </c>
      <c r="J1997" s="5" t="s">
        <v>2643</v>
      </c>
      <c r="K1997" s="5" t="s">
        <v>2639</v>
      </c>
      <c r="L1997" s="5" t="s">
        <v>503</v>
      </c>
      <c r="M1997" s="5"/>
      <c r="N1997" s="5"/>
      <c r="O1997" s="17"/>
      <c r="P1997" s="5" t="str">
        <f t="shared" si="54"/>
        <v/>
      </c>
      <c r="Q1997" s="5"/>
      <c r="R1997" s="5"/>
    </row>
    <row r="1998" spans="2:18" ht="40.5" x14ac:dyDescent="0.25">
      <c r="B1998" s="4" t="s">
        <v>2644</v>
      </c>
      <c r="C1998" s="5" t="s">
        <v>2645</v>
      </c>
      <c r="D1998" s="16" t="s">
        <v>8152</v>
      </c>
      <c r="E1998" s="5" t="s">
        <v>54</v>
      </c>
      <c r="F1998" s="5" t="s">
        <v>919</v>
      </c>
      <c r="G1998" s="16" t="s">
        <v>503</v>
      </c>
      <c r="H1998" s="16" t="s">
        <v>36</v>
      </c>
      <c r="I1998" s="5" t="s">
        <v>2646</v>
      </c>
      <c r="J1998" s="5" t="s">
        <v>2647</v>
      </c>
      <c r="K1998" s="5" t="s">
        <v>2639</v>
      </c>
      <c r="L1998" s="5" t="s">
        <v>503</v>
      </c>
      <c r="M1998" s="5"/>
      <c r="N1998" s="5"/>
      <c r="O1998" s="17"/>
      <c r="P1998" s="5" t="str">
        <f t="shared" si="54"/>
        <v/>
      </c>
      <c r="Q1998" s="5"/>
      <c r="R1998" s="5"/>
    </row>
    <row r="1999" spans="2:18" ht="40.5" x14ac:dyDescent="0.25">
      <c r="B1999" s="4" t="s">
        <v>2648</v>
      </c>
      <c r="C1999" s="5" t="s">
        <v>2649</v>
      </c>
      <c r="D1999" s="16" t="s">
        <v>8152</v>
      </c>
      <c r="E1999" s="5" t="s">
        <v>54</v>
      </c>
      <c r="F1999" s="5" t="s">
        <v>919</v>
      </c>
      <c r="G1999" s="16" t="s">
        <v>503</v>
      </c>
      <c r="H1999" s="16" t="s">
        <v>36</v>
      </c>
      <c r="I1999" s="5" t="s">
        <v>2646</v>
      </c>
      <c r="J1999" s="5" t="s">
        <v>2650</v>
      </c>
      <c r="K1999" s="5" t="s">
        <v>2639</v>
      </c>
      <c r="L1999" s="5" t="s">
        <v>503</v>
      </c>
      <c r="M1999" s="5"/>
      <c r="N1999" s="5"/>
      <c r="O1999" s="17"/>
      <c r="P1999" s="5" t="str">
        <f t="shared" si="54"/>
        <v/>
      </c>
      <c r="Q1999" s="5"/>
      <c r="R1999" s="5"/>
    </row>
    <row r="2000" spans="2:18" ht="40.5" x14ac:dyDescent="0.25">
      <c r="B2000" s="4" t="s">
        <v>2651</v>
      </c>
      <c r="C2000" s="5" t="s">
        <v>2652</v>
      </c>
      <c r="D2000" s="16" t="s">
        <v>29</v>
      </c>
      <c r="E2000" s="5" t="s">
        <v>54</v>
      </c>
      <c r="F2000" s="5" t="s">
        <v>919</v>
      </c>
      <c r="G2000" s="16" t="s">
        <v>503</v>
      </c>
      <c r="H2000" s="16" t="s">
        <v>36</v>
      </c>
      <c r="I2000" s="5" t="s">
        <v>2653</v>
      </c>
      <c r="J2000" s="5" t="s">
        <v>2654</v>
      </c>
      <c r="K2000" s="5" t="s">
        <v>2639</v>
      </c>
      <c r="L2000" s="5" t="s">
        <v>503</v>
      </c>
      <c r="M2000" s="5"/>
      <c r="N2000" s="5"/>
      <c r="O2000" s="17"/>
      <c r="P2000" s="5" t="str">
        <f t="shared" si="54"/>
        <v>Truncate table FRI719;</v>
      </c>
      <c r="Q2000" s="5"/>
      <c r="R2000" s="5"/>
    </row>
    <row r="2001" spans="2:18" x14ac:dyDescent="0.25">
      <c r="B2001" s="19" t="s">
        <v>2655</v>
      </c>
      <c r="C2001" s="16" t="s">
        <v>2656</v>
      </c>
      <c r="D2001" s="16" t="s">
        <v>8152</v>
      </c>
      <c r="E2001" s="16" t="s">
        <v>54</v>
      </c>
      <c r="F2001" s="5" t="s">
        <v>2657</v>
      </c>
      <c r="G2001" s="16" t="s">
        <v>35</v>
      </c>
      <c r="H2001" s="16" t="s">
        <v>36</v>
      </c>
      <c r="I2001" s="16"/>
      <c r="J2001" s="16"/>
      <c r="K2001" s="16"/>
      <c r="L2001" s="16"/>
      <c r="M2001" s="229"/>
      <c r="N2001" s="16"/>
      <c r="O2001" s="17" t="s">
        <v>38</v>
      </c>
      <c r="P2001" s="5" t="str">
        <f t="shared" si="54"/>
        <v/>
      </c>
      <c r="Q2001" s="5"/>
      <c r="R2001" s="5"/>
    </row>
    <row r="2002" spans="2:18" x14ac:dyDescent="0.25">
      <c r="B2002" s="19" t="s">
        <v>2658</v>
      </c>
      <c r="C2002" s="16" t="s">
        <v>2659</v>
      </c>
      <c r="D2002" s="16" t="s">
        <v>8152</v>
      </c>
      <c r="E2002" s="16"/>
      <c r="F2002" s="5" t="s">
        <v>2657</v>
      </c>
      <c r="G2002" s="16" t="s">
        <v>35</v>
      </c>
      <c r="H2002" s="16"/>
      <c r="I2002" s="16"/>
      <c r="J2002" s="16"/>
      <c r="K2002" s="16"/>
      <c r="L2002" s="16"/>
      <c r="M2002" s="229"/>
      <c r="N2002" s="16"/>
      <c r="O2002" s="17"/>
      <c r="P2002" s="5" t="str">
        <f t="shared" si="54"/>
        <v/>
      </c>
      <c r="Q2002" s="5"/>
      <c r="R2002" s="5"/>
    </row>
    <row r="2003" spans="2:18" x14ac:dyDescent="0.25">
      <c r="B2003" s="19" t="s">
        <v>2660</v>
      </c>
      <c r="C2003" s="16" t="s">
        <v>2661</v>
      </c>
      <c r="D2003" s="16" t="s">
        <v>8152</v>
      </c>
      <c r="E2003" s="16" t="s">
        <v>54</v>
      </c>
      <c r="F2003" s="5" t="s">
        <v>2657</v>
      </c>
      <c r="G2003" s="16" t="s">
        <v>35</v>
      </c>
      <c r="H2003" s="16" t="s">
        <v>36</v>
      </c>
      <c r="I2003" s="16"/>
      <c r="J2003" s="16"/>
      <c r="K2003" s="16"/>
      <c r="L2003" s="16"/>
      <c r="M2003" s="229"/>
      <c r="N2003" s="16"/>
      <c r="O2003" s="17" t="s">
        <v>38</v>
      </c>
      <c r="P2003" s="5" t="str">
        <f t="shared" si="54"/>
        <v/>
      </c>
      <c r="Q2003" s="5"/>
      <c r="R2003" s="5"/>
    </row>
    <row r="2004" spans="2:18" ht="27" x14ac:dyDescent="0.25">
      <c r="B2004" s="19" t="s">
        <v>2662</v>
      </c>
      <c r="C2004" s="16" t="s">
        <v>2663</v>
      </c>
      <c r="D2004" s="16" t="s">
        <v>8152</v>
      </c>
      <c r="E2004" s="16" t="s">
        <v>54</v>
      </c>
      <c r="F2004" s="5" t="s">
        <v>2657</v>
      </c>
      <c r="G2004" s="16" t="s">
        <v>35</v>
      </c>
      <c r="H2004" s="16" t="s">
        <v>36</v>
      </c>
      <c r="I2004" s="16"/>
      <c r="J2004" s="16"/>
      <c r="K2004" s="16"/>
      <c r="L2004" s="16"/>
      <c r="M2004" s="229"/>
      <c r="N2004" s="16"/>
      <c r="O2004" s="17" t="s">
        <v>38</v>
      </c>
      <c r="P2004" s="5" t="str">
        <f t="shared" si="54"/>
        <v/>
      </c>
      <c r="Q2004" s="5"/>
      <c r="R2004" s="5"/>
    </row>
    <row r="2005" spans="2:18" x14ac:dyDescent="0.25">
      <c r="B2005" s="19" t="s">
        <v>2664</v>
      </c>
      <c r="C2005" s="16" t="s">
        <v>2665</v>
      </c>
      <c r="D2005" s="16" t="s">
        <v>29</v>
      </c>
      <c r="E2005" s="16" t="s">
        <v>54</v>
      </c>
      <c r="F2005" s="5" t="s">
        <v>2657</v>
      </c>
      <c r="G2005" s="16" t="s">
        <v>35</v>
      </c>
      <c r="H2005" s="16" t="s">
        <v>36</v>
      </c>
      <c r="I2005" s="16"/>
      <c r="J2005" s="16"/>
      <c r="K2005" s="16"/>
      <c r="L2005" s="16"/>
      <c r="M2005" s="16"/>
      <c r="N2005" s="16"/>
      <c r="O2005" s="17" t="s">
        <v>38</v>
      </c>
      <c r="P2005" s="5" t="str">
        <f t="shared" si="54"/>
        <v>Truncate table FRLITUSR;</v>
      </c>
      <c r="Q2005" s="5"/>
      <c r="R2005" s="5"/>
    </row>
    <row r="2006" spans="2:18" x14ac:dyDescent="0.25">
      <c r="B2006" s="19" t="s">
        <v>2666</v>
      </c>
      <c r="C2006" s="16" t="s">
        <v>10061</v>
      </c>
      <c r="D2006" s="16" t="s">
        <v>8152</v>
      </c>
      <c r="E2006" s="16" t="s">
        <v>54</v>
      </c>
      <c r="F2006" s="34" t="s">
        <v>2667</v>
      </c>
      <c r="G2006" s="16" t="s">
        <v>35</v>
      </c>
      <c r="H2006" s="16" t="s">
        <v>36</v>
      </c>
      <c r="I2006" s="16"/>
      <c r="J2006" s="16"/>
      <c r="K2006" s="16"/>
      <c r="L2006" s="16"/>
      <c r="M2006" s="16"/>
      <c r="N2006" s="16"/>
      <c r="O2006" s="17" t="s">
        <v>38</v>
      </c>
      <c r="P2006" s="5" t="str">
        <f t="shared" si="54"/>
        <v/>
      </c>
      <c r="Q2006" s="5"/>
      <c r="R2006" s="5"/>
    </row>
    <row r="2007" spans="2:18" x14ac:dyDescent="0.25">
      <c r="B2007" s="19" t="s">
        <v>2668</v>
      </c>
      <c r="C2007" s="16" t="s">
        <v>10062</v>
      </c>
      <c r="D2007" s="16" t="s">
        <v>8152</v>
      </c>
      <c r="E2007" s="16" t="s">
        <v>54</v>
      </c>
      <c r="F2007" s="34" t="s">
        <v>2667</v>
      </c>
      <c r="G2007" s="16" t="s">
        <v>35</v>
      </c>
      <c r="H2007" s="16" t="s">
        <v>36</v>
      </c>
      <c r="I2007" s="16"/>
      <c r="J2007" s="16"/>
      <c r="K2007" s="16"/>
      <c r="L2007" s="16"/>
      <c r="M2007" s="16"/>
      <c r="N2007" s="16"/>
      <c r="O2007" s="17" t="s">
        <v>38</v>
      </c>
      <c r="P2007" s="5" t="str">
        <f t="shared" si="54"/>
        <v/>
      </c>
      <c r="Q2007" s="5"/>
      <c r="R2007" s="5"/>
    </row>
    <row r="2008" spans="2:18" x14ac:dyDescent="0.25">
      <c r="B2008" s="19" t="s">
        <v>2669</v>
      </c>
      <c r="C2008" s="16" t="s">
        <v>10063</v>
      </c>
      <c r="D2008" s="16" t="s">
        <v>29</v>
      </c>
      <c r="E2008" s="16" t="s">
        <v>54</v>
      </c>
      <c r="F2008" s="34" t="s">
        <v>2667</v>
      </c>
      <c r="G2008" s="16" t="s">
        <v>35</v>
      </c>
      <c r="H2008" s="16" t="s">
        <v>36</v>
      </c>
      <c r="I2008" s="16"/>
      <c r="J2008" s="16"/>
      <c r="K2008" s="16"/>
      <c r="L2008" s="16"/>
      <c r="M2008" s="16"/>
      <c r="N2008" s="16"/>
      <c r="O2008" s="17" t="s">
        <v>38</v>
      </c>
      <c r="P2008" s="5" t="str">
        <f t="shared" si="54"/>
        <v>Truncate table FRNG42;</v>
      </c>
      <c r="Q2008" s="5"/>
      <c r="R2008" s="5"/>
    </row>
    <row r="2009" spans="2:18" x14ac:dyDescent="0.25">
      <c r="B2009" s="19" t="s">
        <v>2670</v>
      </c>
      <c r="C2009" s="16" t="s">
        <v>10064</v>
      </c>
      <c r="D2009" s="16" t="s">
        <v>29</v>
      </c>
      <c r="E2009" s="16" t="s">
        <v>54</v>
      </c>
      <c r="F2009" s="34" t="s">
        <v>2667</v>
      </c>
      <c r="G2009" s="16" t="s">
        <v>35</v>
      </c>
      <c r="H2009" s="16" t="s">
        <v>36</v>
      </c>
      <c r="I2009" s="16"/>
      <c r="J2009" s="16"/>
      <c r="K2009" s="16"/>
      <c r="L2009" s="16"/>
      <c r="M2009" s="16"/>
      <c r="N2009" s="16"/>
      <c r="O2009" s="17" t="s">
        <v>38</v>
      </c>
      <c r="P2009" s="5" t="str">
        <f t="shared" si="54"/>
        <v>Truncate table FRNG43;</v>
      </c>
      <c r="Q2009" s="5"/>
      <c r="R2009" s="5"/>
    </row>
    <row r="2010" spans="2:18" x14ac:dyDescent="0.25">
      <c r="B2010" s="19" t="s">
        <v>2671</v>
      </c>
      <c r="C2010" s="16" t="s">
        <v>10065</v>
      </c>
      <c r="D2010" s="16" t="s">
        <v>8152</v>
      </c>
      <c r="E2010" s="16" t="s">
        <v>54</v>
      </c>
      <c r="F2010" s="34" t="s">
        <v>2667</v>
      </c>
      <c r="G2010" s="16" t="s">
        <v>35</v>
      </c>
      <c r="H2010" s="16" t="s">
        <v>36</v>
      </c>
      <c r="I2010" s="16"/>
      <c r="J2010" s="16"/>
      <c r="K2010" s="16"/>
      <c r="L2010" s="16"/>
      <c r="M2010" s="16"/>
      <c r="N2010" s="16"/>
      <c r="O2010" s="17" t="s">
        <v>38</v>
      </c>
      <c r="P2010" s="5" t="str">
        <f t="shared" si="54"/>
        <v/>
      </c>
      <c r="Q2010" s="5"/>
      <c r="R2010" s="5"/>
    </row>
    <row r="2011" spans="2:18" x14ac:dyDescent="0.25">
      <c r="B2011" s="19" t="s">
        <v>2672</v>
      </c>
      <c r="C2011" s="16" t="s">
        <v>10066</v>
      </c>
      <c r="D2011" s="16" t="s">
        <v>8152</v>
      </c>
      <c r="E2011" s="16" t="s">
        <v>54</v>
      </c>
      <c r="F2011" s="34" t="s">
        <v>2667</v>
      </c>
      <c r="G2011" s="16" t="s">
        <v>35</v>
      </c>
      <c r="H2011" s="16" t="s">
        <v>36</v>
      </c>
      <c r="I2011" s="16"/>
      <c r="J2011" s="16"/>
      <c r="K2011" s="16"/>
      <c r="L2011" s="16"/>
      <c r="M2011" s="16"/>
      <c r="N2011" s="16"/>
      <c r="O2011" s="17" t="s">
        <v>38</v>
      </c>
      <c r="P2011" s="5" t="str">
        <f t="shared" si="54"/>
        <v/>
      </c>
      <c r="Q2011" s="5"/>
      <c r="R2011" s="5"/>
    </row>
    <row r="2012" spans="2:18" x14ac:dyDescent="0.25">
      <c r="B2012" s="19" t="s">
        <v>2673</v>
      </c>
      <c r="C2012" s="16" t="s">
        <v>10067</v>
      </c>
      <c r="D2012" s="16" t="s">
        <v>8152</v>
      </c>
      <c r="E2012" s="16" t="s">
        <v>54</v>
      </c>
      <c r="F2012" s="34" t="s">
        <v>2667</v>
      </c>
      <c r="G2012" s="16" t="s">
        <v>35</v>
      </c>
      <c r="H2012" s="16" t="s">
        <v>36</v>
      </c>
      <c r="I2012" s="16"/>
      <c r="J2012" s="16"/>
      <c r="K2012" s="16"/>
      <c r="L2012" s="16"/>
      <c r="M2012" s="16"/>
      <c r="N2012" s="16"/>
      <c r="O2012" s="17" t="s">
        <v>38</v>
      </c>
      <c r="P2012" s="5" t="str">
        <f t="shared" si="54"/>
        <v/>
      </c>
      <c r="Q2012" s="5"/>
      <c r="R2012" s="5"/>
    </row>
    <row r="2013" spans="2:18" x14ac:dyDescent="0.25">
      <c r="B2013" s="19" t="s">
        <v>2674</v>
      </c>
      <c r="C2013" s="16" t="s">
        <v>174</v>
      </c>
      <c r="D2013" s="16" t="s">
        <v>8152</v>
      </c>
      <c r="E2013" s="16" t="s">
        <v>54</v>
      </c>
      <c r="F2013" s="34" t="s">
        <v>2667</v>
      </c>
      <c r="G2013" s="16" t="s">
        <v>35</v>
      </c>
      <c r="H2013" s="16" t="s">
        <v>36</v>
      </c>
      <c r="I2013" s="16"/>
      <c r="J2013" s="16"/>
      <c r="K2013" s="16"/>
      <c r="L2013" s="16"/>
      <c r="M2013" s="16"/>
      <c r="N2013" s="16"/>
      <c r="O2013" s="17" t="s">
        <v>38</v>
      </c>
      <c r="P2013" s="5" t="str">
        <f t="shared" si="54"/>
        <v/>
      </c>
      <c r="Q2013" s="5"/>
      <c r="R2013" s="5"/>
    </row>
    <row r="2014" spans="2:18" x14ac:dyDescent="0.25">
      <c r="B2014" s="19" t="s">
        <v>2675</v>
      </c>
      <c r="C2014" s="16" t="s">
        <v>10068</v>
      </c>
      <c r="D2014" s="16" t="s">
        <v>8152</v>
      </c>
      <c r="E2014" s="16" t="s">
        <v>54</v>
      </c>
      <c r="F2014" s="34" t="s">
        <v>2667</v>
      </c>
      <c r="G2014" s="16" t="s">
        <v>35</v>
      </c>
      <c r="H2014" s="16" t="s">
        <v>36</v>
      </c>
      <c r="I2014" s="16"/>
      <c r="J2014" s="16"/>
      <c r="K2014" s="16"/>
      <c r="L2014" s="16"/>
      <c r="M2014" s="16"/>
      <c r="N2014" s="16"/>
      <c r="O2014" s="17" t="s">
        <v>38</v>
      </c>
      <c r="P2014" s="5" t="str">
        <f t="shared" si="54"/>
        <v/>
      </c>
      <c r="Q2014" s="5"/>
      <c r="R2014" s="5"/>
    </row>
    <row r="2015" spans="2:18" x14ac:dyDescent="0.25">
      <c r="B2015" s="19" t="s">
        <v>2676</v>
      </c>
      <c r="C2015" s="16" t="s">
        <v>10069</v>
      </c>
      <c r="D2015" s="16" t="s">
        <v>8152</v>
      </c>
      <c r="E2015" s="16" t="s">
        <v>54</v>
      </c>
      <c r="F2015" s="34" t="s">
        <v>2667</v>
      </c>
      <c r="G2015" s="16" t="s">
        <v>35</v>
      </c>
      <c r="H2015" s="16" t="s">
        <v>36</v>
      </c>
      <c r="I2015" s="16"/>
      <c r="J2015" s="16"/>
      <c r="K2015" s="16"/>
      <c r="L2015" s="16"/>
      <c r="M2015" s="16"/>
      <c r="N2015" s="16"/>
      <c r="O2015" s="17" t="s">
        <v>38</v>
      </c>
      <c r="P2015" s="5" t="str">
        <f t="shared" si="54"/>
        <v/>
      </c>
      <c r="Q2015" s="5"/>
      <c r="R2015" s="5"/>
    </row>
    <row r="2016" spans="2:18" x14ac:dyDescent="0.25">
      <c r="B2016" s="19" t="s">
        <v>2677</v>
      </c>
      <c r="C2016" s="16" t="s">
        <v>10070</v>
      </c>
      <c r="D2016" s="16" t="s">
        <v>8152</v>
      </c>
      <c r="E2016" s="16" t="s">
        <v>54</v>
      </c>
      <c r="F2016" s="34" t="s">
        <v>2667</v>
      </c>
      <c r="G2016" s="16" t="s">
        <v>35</v>
      </c>
      <c r="H2016" s="16" t="s">
        <v>36</v>
      </c>
      <c r="I2016" s="16"/>
      <c r="J2016" s="16"/>
      <c r="K2016" s="16"/>
      <c r="L2016" s="16"/>
      <c r="M2016" s="16"/>
      <c r="N2016" s="16"/>
      <c r="O2016" s="17" t="s">
        <v>38</v>
      </c>
      <c r="P2016" s="5" t="str">
        <f t="shared" si="54"/>
        <v/>
      </c>
      <c r="Q2016" s="5"/>
      <c r="R2016" s="5"/>
    </row>
    <row r="2017" spans="1:18" s="306" customFormat="1" x14ac:dyDescent="0.25">
      <c r="A2017" s="71"/>
      <c r="B2017" s="307" t="s">
        <v>2678</v>
      </c>
      <c r="C2017" s="308"/>
      <c r="D2017" s="308" t="s">
        <v>29</v>
      </c>
      <c r="E2017" s="308"/>
      <c r="F2017" s="308"/>
      <c r="G2017" s="308" t="s">
        <v>35</v>
      </c>
      <c r="H2017" s="308"/>
      <c r="I2017" s="308"/>
      <c r="J2017" s="308"/>
      <c r="K2017" s="308"/>
      <c r="L2017" s="308"/>
      <c r="M2017" s="308"/>
      <c r="N2017" s="308"/>
      <c r="O2017" s="309" t="s">
        <v>387</v>
      </c>
      <c r="P2017" s="308" t="str">
        <f t="shared" si="54"/>
        <v>Truncate table FRPROBYI;</v>
      </c>
      <c r="Q2017" s="308"/>
      <c r="R2017" s="308"/>
    </row>
    <row r="2018" spans="1:18" x14ac:dyDescent="0.25">
      <c r="B2018" s="19" t="s">
        <v>2679</v>
      </c>
      <c r="C2018" t="s">
        <v>10054</v>
      </c>
      <c r="D2018" s="16" t="s">
        <v>29</v>
      </c>
      <c r="E2018" s="16"/>
      <c r="F2018" s="5"/>
      <c r="G2018" s="16" t="s">
        <v>35</v>
      </c>
      <c r="H2018" s="16"/>
      <c r="I2018" s="16"/>
      <c r="J2018" s="16"/>
      <c r="K2018" s="16"/>
      <c r="L2018" s="16"/>
      <c r="M2018" s="16"/>
      <c r="N2018" s="16"/>
      <c r="O2018" s="17" t="s">
        <v>387</v>
      </c>
      <c r="P2018" s="5" t="str">
        <f t="shared" si="54"/>
        <v>Truncate table FRPROBYIP;</v>
      </c>
      <c r="Q2018" s="5"/>
      <c r="R2018" s="5"/>
    </row>
    <row r="2019" spans="1:18" x14ac:dyDescent="0.25">
      <c r="B2019" s="19" t="s">
        <v>2680</v>
      </c>
      <c r="C2019" s="16" t="s">
        <v>2681</v>
      </c>
      <c r="D2019" s="16" t="s">
        <v>29</v>
      </c>
      <c r="E2019" s="16" t="s">
        <v>54</v>
      </c>
      <c r="F2019" s="5" t="s">
        <v>1057</v>
      </c>
      <c r="G2019" s="16" t="s">
        <v>35</v>
      </c>
      <c r="H2019" s="16" t="s">
        <v>36</v>
      </c>
      <c r="I2019" s="16"/>
      <c r="J2019" s="16"/>
      <c r="K2019" s="16"/>
      <c r="L2019" s="16"/>
      <c r="M2019" s="16"/>
      <c r="N2019" s="16"/>
      <c r="O2019" s="17" t="s">
        <v>387</v>
      </c>
      <c r="P2019" s="33"/>
      <c r="Q2019" s="5"/>
      <c r="R2019" s="5"/>
    </row>
    <row r="2020" spans="1:18" x14ac:dyDescent="0.25">
      <c r="B2020" s="19" t="s">
        <v>2682</v>
      </c>
      <c r="C2020" s="16" t="s">
        <v>2683</v>
      </c>
      <c r="D2020" s="16" t="s">
        <v>29</v>
      </c>
      <c r="E2020" s="16" t="s">
        <v>54</v>
      </c>
      <c r="F2020" s="5" t="s">
        <v>1057</v>
      </c>
      <c r="G2020" s="16" t="s">
        <v>35</v>
      </c>
      <c r="H2020" s="16"/>
      <c r="I2020" s="16"/>
      <c r="J2020" s="16"/>
      <c r="K2020" s="16"/>
      <c r="L2020" s="16"/>
      <c r="M2020" s="16"/>
      <c r="N2020" s="16"/>
      <c r="O2020" s="17" t="s">
        <v>387</v>
      </c>
      <c r="P2020" s="5" t="str">
        <f t="shared" ref="P2020:P2025" si="55">IF(D2020="Datos","Truncate table "&amp; B2020&amp; ";","")</f>
        <v>Truncate table FRPROEXE;</v>
      </c>
      <c r="Q2020" s="5"/>
      <c r="R2020" s="5"/>
    </row>
    <row r="2021" spans="1:18" x14ac:dyDescent="0.25">
      <c r="B2021" s="19" t="s">
        <v>2684</v>
      </c>
      <c r="C2021" s="16" t="s">
        <v>2685</v>
      </c>
      <c r="D2021" s="16" t="s">
        <v>8152</v>
      </c>
      <c r="E2021" s="16" t="s">
        <v>54</v>
      </c>
      <c r="F2021" s="5" t="s">
        <v>74</v>
      </c>
      <c r="G2021" s="16" t="s">
        <v>35</v>
      </c>
      <c r="H2021" s="16" t="s">
        <v>36</v>
      </c>
      <c r="I2021" s="16"/>
      <c r="J2021" s="16"/>
      <c r="K2021" s="16"/>
      <c r="L2021" s="16"/>
      <c r="M2021" s="229"/>
      <c r="N2021" s="16"/>
      <c r="O2021" s="17" t="s">
        <v>387</v>
      </c>
      <c r="P2021" s="5" t="str">
        <f t="shared" si="55"/>
        <v/>
      </c>
      <c r="Q2021" s="5"/>
      <c r="R2021" s="5"/>
    </row>
    <row r="2022" spans="1:18" s="306" customFormat="1" x14ac:dyDescent="0.25">
      <c r="A2022" s="71"/>
      <c r="B2022" s="307" t="s">
        <v>2686</v>
      </c>
      <c r="C2022" s="308"/>
      <c r="D2022" s="308" t="s">
        <v>29</v>
      </c>
      <c r="E2022" s="308" t="s">
        <v>54</v>
      </c>
      <c r="F2022" s="308" t="s">
        <v>74</v>
      </c>
      <c r="G2022" s="308" t="s">
        <v>35</v>
      </c>
      <c r="H2022" s="308" t="s">
        <v>36</v>
      </c>
      <c r="I2022" s="308"/>
      <c r="J2022" s="308"/>
      <c r="K2022" s="308"/>
      <c r="L2022" s="308"/>
      <c r="M2022" s="308"/>
      <c r="N2022" s="308"/>
      <c r="O2022" s="309"/>
      <c r="P2022" s="308" t="str">
        <f t="shared" si="55"/>
        <v>Truncate table FRPTEVEN;</v>
      </c>
      <c r="Q2022" s="308"/>
      <c r="R2022" s="308"/>
    </row>
    <row r="2023" spans="1:18" x14ac:dyDescent="0.25">
      <c r="B2023" s="19" t="s">
        <v>2687</v>
      </c>
      <c r="C2023" s="16" t="s">
        <v>2688</v>
      </c>
      <c r="D2023" s="16" t="s">
        <v>8152</v>
      </c>
      <c r="E2023" s="16" t="s">
        <v>54</v>
      </c>
      <c r="F2023" s="5" t="s">
        <v>74</v>
      </c>
      <c r="G2023" s="16" t="s">
        <v>35</v>
      </c>
      <c r="H2023" s="16" t="s">
        <v>36</v>
      </c>
      <c r="I2023" s="16"/>
      <c r="J2023" s="16"/>
      <c r="K2023" s="16"/>
      <c r="L2023" s="16"/>
      <c r="M2023" s="229"/>
      <c r="N2023" s="16"/>
      <c r="O2023" s="17" t="s">
        <v>387</v>
      </c>
      <c r="P2023" s="5" t="str">
        <f t="shared" si="55"/>
        <v/>
      </c>
      <c r="Q2023" s="5"/>
      <c r="R2023" s="5"/>
    </row>
    <row r="2024" spans="1:18" x14ac:dyDescent="0.25">
      <c r="B2024" s="19" t="s">
        <v>2689</v>
      </c>
      <c r="C2024" s="16" t="s">
        <v>2690</v>
      </c>
      <c r="D2024" s="16" t="s">
        <v>8152</v>
      </c>
      <c r="E2024" s="16" t="s">
        <v>54</v>
      </c>
      <c r="F2024" s="5" t="s">
        <v>74</v>
      </c>
      <c r="G2024" s="16" t="s">
        <v>35</v>
      </c>
      <c r="H2024" s="16" t="s">
        <v>36</v>
      </c>
      <c r="I2024" s="16"/>
      <c r="J2024" s="16"/>
      <c r="K2024" s="16"/>
      <c r="L2024" s="16"/>
      <c r="M2024" s="229"/>
      <c r="N2024" s="16"/>
      <c r="O2024" s="17" t="s">
        <v>387</v>
      </c>
      <c r="P2024" s="5" t="str">
        <f t="shared" si="55"/>
        <v/>
      </c>
      <c r="Q2024" s="5"/>
      <c r="R2024" s="5"/>
    </row>
    <row r="2025" spans="1:18" x14ac:dyDescent="0.25">
      <c r="B2025" s="19" t="s">
        <v>2691</v>
      </c>
      <c r="C2025" s="16" t="s">
        <v>2688</v>
      </c>
      <c r="D2025" s="16" t="s">
        <v>8152</v>
      </c>
      <c r="E2025" s="16" t="s">
        <v>54</v>
      </c>
      <c r="F2025" s="5" t="s">
        <v>74</v>
      </c>
      <c r="G2025" s="16" t="s">
        <v>35</v>
      </c>
      <c r="H2025" s="16" t="s">
        <v>36</v>
      </c>
      <c r="I2025" s="16"/>
      <c r="J2025" s="16"/>
      <c r="K2025" s="16"/>
      <c r="L2025" s="16"/>
      <c r="M2025" s="229"/>
      <c r="N2025" s="16"/>
      <c r="O2025" s="17" t="s">
        <v>387</v>
      </c>
      <c r="P2025" s="5" t="str">
        <f t="shared" si="55"/>
        <v/>
      </c>
      <c r="Q2025" s="5"/>
      <c r="R2025" s="5"/>
    </row>
    <row r="2026" spans="1:18" x14ac:dyDescent="0.25">
      <c r="B2026" s="19" t="s">
        <v>2692</v>
      </c>
      <c r="C2026" s="16" t="s">
        <v>2688</v>
      </c>
      <c r="D2026" s="16" t="s">
        <v>8152</v>
      </c>
      <c r="E2026" s="16" t="s">
        <v>54</v>
      </c>
      <c r="F2026" s="5" t="s">
        <v>1057</v>
      </c>
      <c r="G2026" s="16" t="s">
        <v>35</v>
      </c>
      <c r="H2026" s="16"/>
      <c r="I2026" s="16"/>
      <c r="J2026" s="16"/>
      <c r="K2026" s="16"/>
      <c r="L2026" s="16"/>
      <c r="M2026" s="229"/>
      <c r="N2026" s="16"/>
      <c r="O2026" s="17" t="s">
        <v>387</v>
      </c>
      <c r="P2026" s="33"/>
      <c r="Q2026" s="5"/>
      <c r="R2026" s="5"/>
    </row>
    <row r="2027" spans="1:18" x14ac:dyDescent="0.25">
      <c r="B2027" s="19" t="s">
        <v>2693</v>
      </c>
      <c r="C2027" s="16" t="s">
        <v>2681</v>
      </c>
      <c r="D2027" s="16" t="s">
        <v>29</v>
      </c>
      <c r="E2027" s="16" t="s">
        <v>54</v>
      </c>
      <c r="F2027" s="5" t="s">
        <v>1057</v>
      </c>
      <c r="G2027" s="16" t="s">
        <v>35</v>
      </c>
      <c r="H2027" s="16"/>
      <c r="I2027" s="16"/>
      <c r="J2027" s="16"/>
      <c r="K2027" s="16"/>
      <c r="L2027" s="16"/>
      <c r="M2027" s="229"/>
      <c r="N2027" s="16"/>
      <c r="O2027" s="17" t="s">
        <v>387</v>
      </c>
      <c r="P2027" s="33"/>
      <c r="Q2027" s="5"/>
      <c r="R2027" s="5"/>
    </row>
    <row r="2028" spans="1:18" x14ac:dyDescent="0.25">
      <c r="B2028" s="19" t="s">
        <v>2694</v>
      </c>
      <c r="C2028" s="16" t="s">
        <v>2695</v>
      </c>
      <c r="D2028" s="16" t="s">
        <v>29</v>
      </c>
      <c r="E2028" s="16" t="s">
        <v>54</v>
      </c>
      <c r="F2028" s="5" t="s">
        <v>2586</v>
      </c>
      <c r="G2028" s="16" t="s">
        <v>35</v>
      </c>
      <c r="H2028" s="16" t="s">
        <v>36</v>
      </c>
      <c r="I2028" s="16"/>
      <c r="J2028" s="16"/>
      <c r="K2028" s="16"/>
      <c r="L2028" s="16"/>
      <c r="M2028" s="16"/>
      <c r="N2028" s="16"/>
      <c r="O2028" s="17" t="s">
        <v>387</v>
      </c>
      <c r="P2028" s="33"/>
      <c r="Q2028" s="5"/>
      <c r="R2028" s="5"/>
    </row>
    <row r="2029" spans="1:18" x14ac:dyDescent="0.25">
      <c r="B2029" s="19" t="s">
        <v>2696</v>
      </c>
      <c r="C2029" s="16" t="s">
        <v>2681</v>
      </c>
      <c r="D2029" s="16" t="s">
        <v>29</v>
      </c>
      <c r="E2029" s="16" t="s">
        <v>54</v>
      </c>
      <c r="F2029" s="5" t="s">
        <v>1057</v>
      </c>
      <c r="G2029" s="16" t="s">
        <v>35</v>
      </c>
      <c r="H2029" s="16"/>
      <c r="I2029" s="16"/>
      <c r="J2029" s="16"/>
      <c r="K2029" s="16"/>
      <c r="L2029" s="16"/>
      <c r="M2029" s="16"/>
      <c r="N2029" s="16"/>
      <c r="O2029" s="17" t="s">
        <v>387</v>
      </c>
      <c r="P2029" s="33"/>
      <c r="Q2029" s="5"/>
      <c r="R2029" s="5"/>
    </row>
    <row r="2030" spans="1:18" s="306" customFormat="1" x14ac:dyDescent="0.25">
      <c r="A2030" s="71"/>
      <c r="B2030" s="307" t="s">
        <v>2697</v>
      </c>
      <c r="C2030" s="308"/>
      <c r="D2030" s="308" t="s">
        <v>29</v>
      </c>
      <c r="E2030" s="308"/>
      <c r="F2030" s="308"/>
      <c r="G2030" s="308" t="s">
        <v>35</v>
      </c>
      <c r="H2030" s="308"/>
      <c r="I2030" s="308"/>
      <c r="J2030" s="308"/>
      <c r="K2030" s="308"/>
      <c r="L2030" s="308"/>
      <c r="M2030" s="308"/>
      <c r="N2030" s="308"/>
      <c r="O2030" s="309" t="s">
        <v>387</v>
      </c>
      <c r="P2030" s="308" t="str">
        <f t="shared" ref="P2030:P2061" si="56">IF(D2030="Datos","Truncate table "&amp; B2030&amp; ";","")</f>
        <v>Truncate table FRTSKQUE;</v>
      </c>
      <c r="Q2030" s="308"/>
      <c r="R2030" s="308"/>
    </row>
    <row r="2031" spans="1:18" x14ac:dyDescent="0.25">
      <c r="B2031" s="19" t="s">
        <v>2698</v>
      </c>
      <c r="C2031" s="16" t="s">
        <v>2681</v>
      </c>
      <c r="D2031" s="16" t="s">
        <v>29</v>
      </c>
      <c r="E2031" s="16" t="s">
        <v>54</v>
      </c>
      <c r="F2031" s="5" t="s">
        <v>1057</v>
      </c>
      <c r="G2031" s="16" t="s">
        <v>35</v>
      </c>
      <c r="H2031" s="16"/>
      <c r="I2031" s="16"/>
      <c r="J2031" s="16"/>
      <c r="K2031" s="16"/>
      <c r="L2031" s="16"/>
      <c r="M2031" s="16"/>
      <c r="N2031" s="16"/>
      <c r="O2031" s="17" t="s">
        <v>387</v>
      </c>
      <c r="P2031" s="5" t="str">
        <f t="shared" si="56"/>
        <v>Truncate table FRTSKTEX;</v>
      </c>
      <c r="Q2031" s="5"/>
      <c r="R2031" s="5"/>
    </row>
    <row r="2032" spans="1:18" x14ac:dyDescent="0.25">
      <c r="B2032" s="19" t="s">
        <v>2699</v>
      </c>
      <c r="C2032" t="s">
        <v>10071</v>
      </c>
      <c r="D2032" s="16" t="s">
        <v>29</v>
      </c>
      <c r="E2032" s="16"/>
      <c r="F2032" s="5"/>
      <c r="G2032" s="16" t="s">
        <v>35</v>
      </c>
      <c r="H2032" s="16"/>
      <c r="I2032" s="16"/>
      <c r="J2032" s="16"/>
      <c r="K2032" s="16"/>
      <c r="L2032" s="16"/>
      <c r="M2032" s="16"/>
      <c r="N2032" s="16"/>
      <c r="O2032" s="17" t="s">
        <v>387</v>
      </c>
      <c r="P2032" s="5" t="str">
        <f t="shared" si="56"/>
        <v>Truncate table FRTSKTEXTS;</v>
      </c>
      <c r="Q2032" s="5"/>
      <c r="R2032" s="5"/>
    </row>
    <row r="2033" spans="1:18" s="306" customFormat="1" x14ac:dyDescent="0.25">
      <c r="A2033" s="71"/>
      <c r="B2033" s="307" t="s">
        <v>2700</v>
      </c>
      <c r="C2033" s="308"/>
      <c r="D2033" s="308" t="s">
        <v>29</v>
      </c>
      <c r="E2033" s="308"/>
      <c r="F2033" s="308"/>
      <c r="G2033" s="308" t="s">
        <v>35</v>
      </c>
      <c r="H2033" s="308"/>
      <c r="I2033" s="308"/>
      <c r="J2033" s="308"/>
      <c r="K2033" s="308"/>
      <c r="L2033" s="308"/>
      <c r="M2033" s="308"/>
      <c r="N2033" s="308"/>
      <c r="O2033" s="309" t="s">
        <v>387</v>
      </c>
      <c r="P2033" s="308" t="str">
        <f t="shared" si="56"/>
        <v>Truncate table FRWAITPR;</v>
      </c>
      <c r="Q2033" s="308"/>
      <c r="R2033" s="308"/>
    </row>
    <row r="2034" spans="1:18" x14ac:dyDescent="0.25">
      <c r="B2034" s="19" t="s">
        <v>2701</v>
      </c>
      <c r="C2034" s="16" t="s">
        <v>2681</v>
      </c>
      <c r="D2034" s="16" t="s">
        <v>8152</v>
      </c>
      <c r="E2034" s="16" t="s">
        <v>54</v>
      </c>
      <c r="F2034" s="5" t="s">
        <v>74</v>
      </c>
      <c r="G2034" s="16" t="s">
        <v>35</v>
      </c>
      <c r="H2034" s="16" t="s">
        <v>36</v>
      </c>
      <c r="I2034" s="16"/>
      <c r="J2034" s="16"/>
      <c r="K2034" s="16"/>
      <c r="L2034" s="16"/>
      <c r="M2034" s="229"/>
      <c r="N2034" s="16"/>
      <c r="O2034" s="17" t="s">
        <v>387</v>
      </c>
      <c r="P2034" s="5" t="str">
        <f t="shared" si="56"/>
        <v/>
      </c>
      <c r="Q2034" s="5"/>
      <c r="R2034" s="5"/>
    </row>
    <row r="2035" spans="1:18" s="306" customFormat="1" x14ac:dyDescent="0.25">
      <c r="A2035" s="71"/>
      <c r="B2035" s="307" t="s">
        <v>2702</v>
      </c>
      <c r="C2035" s="308"/>
      <c r="D2035" s="308" t="s">
        <v>29</v>
      </c>
      <c r="E2035" s="308"/>
      <c r="F2035" s="308"/>
      <c r="G2035" s="308" t="s">
        <v>35</v>
      </c>
      <c r="H2035" s="308"/>
      <c r="I2035" s="308"/>
      <c r="J2035" s="308"/>
      <c r="K2035" s="308"/>
      <c r="L2035" s="308"/>
      <c r="M2035" s="308"/>
      <c r="N2035" s="308"/>
      <c r="O2035" s="309"/>
      <c r="P2035" s="308" t="str">
        <f t="shared" si="56"/>
        <v>Truncate table FRWRKSRV;</v>
      </c>
      <c r="Q2035" s="308"/>
      <c r="R2035" s="308"/>
    </row>
    <row r="2036" spans="1:18" x14ac:dyDescent="0.25">
      <c r="B2036" s="19" t="s">
        <v>2703</v>
      </c>
      <c r="C2036" t="s">
        <v>10072</v>
      </c>
      <c r="D2036" s="16" t="s">
        <v>29</v>
      </c>
      <c r="E2036" s="16"/>
      <c r="F2036" s="5"/>
      <c r="G2036" s="16" t="s">
        <v>35</v>
      </c>
      <c r="H2036" s="16"/>
      <c r="I2036" s="16"/>
      <c r="J2036" s="16"/>
      <c r="K2036" s="16"/>
      <c r="L2036" s="16"/>
      <c r="M2036" s="16"/>
      <c r="N2036" s="16"/>
      <c r="O2036" s="17"/>
      <c r="P2036" s="5" t="str">
        <f t="shared" si="56"/>
        <v>Truncate table FS01LOG;</v>
      </c>
      <c r="Q2036" s="5"/>
      <c r="R2036" s="5"/>
    </row>
    <row r="2037" spans="1:18" s="306" customFormat="1" x14ac:dyDescent="0.25">
      <c r="A2037" s="71"/>
      <c r="B2037" s="307" t="s">
        <v>2704</v>
      </c>
      <c r="C2037" s="308"/>
      <c r="D2037" s="308" t="s">
        <v>29</v>
      </c>
      <c r="E2037" s="308"/>
      <c r="F2037" s="308"/>
      <c r="G2037" s="308" t="s">
        <v>35</v>
      </c>
      <c r="H2037" s="308"/>
      <c r="I2037" s="308"/>
      <c r="J2037" s="308"/>
      <c r="K2037" s="308"/>
      <c r="L2037" s="308"/>
      <c r="M2037" s="308"/>
      <c r="N2037" s="308"/>
      <c r="O2037" s="309"/>
      <c r="P2037" s="308" t="str">
        <f t="shared" si="56"/>
        <v>Truncate table FSA005;</v>
      </c>
      <c r="Q2037" s="308"/>
      <c r="R2037" s="308"/>
    </row>
    <row r="2038" spans="1:18" s="306" customFormat="1" x14ac:dyDescent="0.25">
      <c r="A2038" s="71"/>
      <c r="B2038" s="307" t="s">
        <v>2705</v>
      </c>
      <c r="C2038" s="308"/>
      <c r="D2038" s="308" t="s">
        <v>29</v>
      </c>
      <c r="E2038" s="308"/>
      <c r="F2038" s="308"/>
      <c r="G2038" s="308" t="s">
        <v>35</v>
      </c>
      <c r="H2038" s="308"/>
      <c r="I2038" s="308"/>
      <c r="J2038" s="308"/>
      <c r="K2038" s="308"/>
      <c r="L2038" s="308"/>
      <c r="M2038" s="308"/>
      <c r="N2038" s="308"/>
      <c r="O2038" s="309"/>
      <c r="P2038" s="308" t="str">
        <f t="shared" si="56"/>
        <v>Truncate table FSA006;</v>
      </c>
      <c r="Q2038" s="308"/>
      <c r="R2038" s="308"/>
    </row>
    <row r="2039" spans="1:18" x14ac:dyDescent="0.25">
      <c r="B2039" s="19" t="s">
        <v>2706</v>
      </c>
      <c r="C2039" s="16" t="s">
        <v>10073</v>
      </c>
      <c r="D2039" s="16" t="s">
        <v>29</v>
      </c>
      <c r="E2039" s="16"/>
      <c r="F2039" s="5"/>
      <c r="G2039" s="16" t="s">
        <v>35</v>
      </c>
      <c r="H2039" s="16"/>
      <c r="I2039" s="16"/>
      <c r="J2039" s="16"/>
      <c r="K2039" s="16"/>
      <c r="L2039" s="16"/>
      <c r="M2039" s="16"/>
      <c r="N2039" s="16"/>
      <c r="O2039" s="17"/>
      <c r="P2039" s="5" t="str">
        <f t="shared" si="56"/>
        <v>Truncate table FSA008;</v>
      </c>
      <c r="Q2039" s="5"/>
      <c r="R2039" s="5"/>
    </row>
    <row r="2040" spans="1:18" x14ac:dyDescent="0.25">
      <c r="B2040" s="19" t="s">
        <v>2707</v>
      </c>
      <c r="C2040" s="16" t="s">
        <v>2708</v>
      </c>
      <c r="D2040" s="16" t="s">
        <v>29</v>
      </c>
      <c r="E2040" s="16" t="s">
        <v>54</v>
      </c>
      <c r="F2040" s="5" t="s">
        <v>235</v>
      </c>
      <c r="G2040" s="16" t="s">
        <v>35</v>
      </c>
      <c r="H2040" s="16"/>
      <c r="I2040" s="16"/>
      <c r="J2040" s="16"/>
      <c r="K2040" s="16"/>
      <c r="L2040" s="16"/>
      <c r="M2040" s="16"/>
      <c r="N2040" s="16"/>
      <c r="O2040" s="17" t="s">
        <v>38</v>
      </c>
      <c r="P2040" s="5" t="str">
        <f t="shared" si="56"/>
        <v>Truncate table FSA010;</v>
      </c>
      <c r="Q2040" s="5"/>
      <c r="R2040" s="5"/>
    </row>
    <row r="2041" spans="1:18" x14ac:dyDescent="0.25">
      <c r="B2041" s="19" t="s">
        <v>2709</v>
      </c>
      <c r="C2041" s="16" t="s">
        <v>1258</v>
      </c>
      <c r="D2041" s="16" t="s">
        <v>29</v>
      </c>
      <c r="E2041" s="16" t="s">
        <v>54</v>
      </c>
      <c r="F2041" s="5" t="s">
        <v>235</v>
      </c>
      <c r="G2041" s="16" t="s">
        <v>35</v>
      </c>
      <c r="H2041" s="16"/>
      <c r="I2041" s="16"/>
      <c r="J2041" s="16"/>
      <c r="K2041" s="16"/>
      <c r="L2041" s="16"/>
      <c r="M2041" s="16"/>
      <c r="N2041" s="16"/>
      <c r="O2041" s="17" t="s">
        <v>38</v>
      </c>
      <c r="P2041" s="5" t="str">
        <f t="shared" si="56"/>
        <v>Truncate table FSA011;</v>
      </c>
      <c r="Q2041" s="5"/>
      <c r="R2041" s="5"/>
    </row>
    <row r="2042" spans="1:18" x14ac:dyDescent="0.25">
      <c r="B2042" s="19" t="s">
        <v>2710</v>
      </c>
      <c r="C2042" s="16" t="s">
        <v>2710</v>
      </c>
      <c r="D2042" s="16" t="s">
        <v>29</v>
      </c>
      <c r="E2042" s="16"/>
      <c r="F2042" s="5"/>
      <c r="G2042" s="16" t="s">
        <v>35</v>
      </c>
      <c r="H2042" s="16"/>
      <c r="I2042" s="16"/>
      <c r="J2042" s="16"/>
      <c r="K2042" s="16"/>
      <c r="L2042" s="16"/>
      <c r="M2042" s="16"/>
      <c r="N2042" s="16"/>
      <c r="O2042" s="17"/>
      <c r="P2042" s="5" t="str">
        <f t="shared" si="56"/>
        <v>Truncate table FSA016;</v>
      </c>
      <c r="Q2042" s="5"/>
      <c r="R2042" s="5"/>
    </row>
    <row r="2043" spans="1:18" x14ac:dyDescent="0.25">
      <c r="B2043" s="19" t="s">
        <v>2711</v>
      </c>
      <c r="C2043" s="16" t="s">
        <v>2712</v>
      </c>
      <c r="D2043" s="16" t="s">
        <v>29</v>
      </c>
      <c r="E2043" s="16" t="s">
        <v>34</v>
      </c>
      <c r="F2043" s="5" t="s">
        <v>33</v>
      </c>
      <c r="G2043" s="16" t="s">
        <v>35</v>
      </c>
      <c r="H2043" s="16" t="s">
        <v>36</v>
      </c>
      <c r="I2043" s="16"/>
      <c r="J2043" s="16"/>
      <c r="K2043" s="16"/>
      <c r="L2043" s="16"/>
      <c r="M2043" s="16"/>
      <c r="N2043" s="16"/>
      <c r="O2043" s="17" t="s">
        <v>38</v>
      </c>
      <c r="P2043" s="5" t="str">
        <f t="shared" si="56"/>
        <v>Truncate table FSA022;</v>
      </c>
      <c r="Q2043" s="5"/>
      <c r="R2043" s="5"/>
    </row>
    <row r="2044" spans="1:18" x14ac:dyDescent="0.25">
      <c r="B2044" s="19" t="s">
        <v>2713</v>
      </c>
      <c r="C2044" s="16" t="s">
        <v>2714</v>
      </c>
      <c r="D2044" s="16" t="s">
        <v>29</v>
      </c>
      <c r="E2044" s="16" t="s">
        <v>1096</v>
      </c>
      <c r="F2044" s="5" t="s">
        <v>2715</v>
      </c>
      <c r="G2044" s="16" t="s">
        <v>35</v>
      </c>
      <c r="H2044" s="16"/>
      <c r="I2044" s="16"/>
      <c r="J2044" s="16"/>
      <c r="K2044" s="16"/>
      <c r="L2044" s="16"/>
      <c r="M2044" s="16"/>
      <c r="N2044" s="16"/>
      <c r="O2044" s="17" t="s">
        <v>38</v>
      </c>
      <c r="P2044" s="5" t="str">
        <f t="shared" si="56"/>
        <v>Truncate table FSA023;</v>
      </c>
      <c r="Q2044" s="5"/>
      <c r="R2044" s="5"/>
    </row>
    <row r="2045" spans="1:18" x14ac:dyDescent="0.25">
      <c r="B2045" s="19" t="s">
        <v>2716</v>
      </c>
      <c r="C2045" s="16" t="s">
        <v>2717</v>
      </c>
      <c r="D2045" s="16" t="s">
        <v>29</v>
      </c>
      <c r="E2045" s="16" t="s">
        <v>1096</v>
      </c>
      <c r="F2045" s="5" t="s">
        <v>2715</v>
      </c>
      <c r="G2045" s="16" t="s">
        <v>35</v>
      </c>
      <c r="H2045" s="16"/>
      <c r="I2045" s="16"/>
      <c r="J2045" s="16"/>
      <c r="K2045" s="16"/>
      <c r="L2045" s="16"/>
      <c r="M2045" s="16"/>
      <c r="N2045" s="16"/>
      <c r="O2045" s="17" t="s">
        <v>38</v>
      </c>
      <c r="P2045" s="5" t="str">
        <f t="shared" si="56"/>
        <v>Truncate table FSA029;</v>
      </c>
      <c r="Q2045" s="5"/>
      <c r="R2045" s="5"/>
    </row>
    <row r="2046" spans="1:18" x14ac:dyDescent="0.25">
      <c r="B2046" s="19" t="s">
        <v>2718</v>
      </c>
      <c r="C2046" s="16" t="s">
        <v>10074</v>
      </c>
      <c r="D2046" s="16" t="s">
        <v>29</v>
      </c>
      <c r="E2046" s="16"/>
      <c r="F2046" s="5"/>
      <c r="G2046" s="16" t="s">
        <v>35</v>
      </c>
      <c r="H2046" s="16"/>
      <c r="I2046" s="16"/>
      <c r="J2046" s="16"/>
      <c r="K2046" s="16"/>
      <c r="L2046" s="16"/>
      <c r="M2046" s="16"/>
      <c r="N2046" s="16"/>
      <c r="O2046" s="17"/>
      <c r="P2046" s="5" t="str">
        <f t="shared" si="56"/>
        <v>Truncate table FSA030;</v>
      </c>
      <c r="Q2046" s="5"/>
      <c r="R2046" s="5"/>
    </row>
    <row r="2047" spans="1:18" x14ac:dyDescent="0.25">
      <c r="B2047" s="19" t="s">
        <v>2719</v>
      </c>
      <c r="C2047" s="16" t="s">
        <v>10075</v>
      </c>
      <c r="D2047" s="16" t="s">
        <v>29</v>
      </c>
      <c r="E2047" s="16"/>
      <c r="F2047" s="5"/>
      <c r="G2047" s="16" t="s">
        <v>35</v>
      </c>
      <c r="H2047" s="16"/>
      <c r="I2047" s="16"/>
      <c r="J2047" s="16"/>
      <c r="K2047" s="16"/>
      <c r="L2047" s="16"/>
      <c r="M2047" s="16"/>
      <c r="N2047" s="16"/>
      <c r="O2047" s="17"/>
      <c r="P2047" s="5" t="str">
        <f t="shared" si="56"/>
        <v>Truncate table FSA031;</v>
      </c>
      <c r="Q2047" s="5"/>
      <c r="R2047" s="5"/>
    </row>
    <row r="2048" spans="1:18" x14ac:dyDescent="0.25">
      <c r="B2048" s="19" t="s">
        <v>2720</v>
      </c>
      <c r="C2048" s="16" t="s">
        <v>10076</v>
      </c>
      <c r="D2048" s="16" t="s">
        <v>29</v>
      </c>
      <c r="E2048" s="16"/>
      <c r="F2048" s="5"/>
      <c r="G2048" s="16" t="s">
        <v>35</v>
      </c>
      <c r="H2048" s="16"/>
      <c r="I2048" s="16"/>
      <c r="J2048" s="16"/>
      <c r="K2048" s="16"/>
      <c r="L2048" s="16"/>
      <c r="M2048" s="16"/>
      <c r="N2048" s="16"/>
      <c r="O2048" s="17"/>
      <c r="P2048" s="5" t="str">
        <f t="shared" si="56"/>
        <v>Truncate table FSA032;</v>
      </c>
      <c r="Q2048" s="5"/>
      <c r="R2048" s="5"/>
    </row>
    <row r="2049" spans="1:18" x14ac:dyDescent="0.25">
      <c r="B2049" s="19" t="s">
        <v>2721</v>
      </c>
      <c r="C2049" s="16" t="s">
        <v>10077</v>
      </c>
      <c r="D2049" s="16" t="s">
        <v>29</v>
      </c>
      <c r="E2049" s="16"/>
      <c r="F2049" s="5"/>
      <c r="G2049" s="16" t="s">
        <v>35</v>
      </c>
      <c r="H2049" s="16"/>
      <c r="I2049" s="16"/>
      <c r="J2049" s="16"/>
      <c r="K2049" s="16"/>
      <c r="L2049" s="16"/>
      <c r="M2049" s="16"/>
      <c r="N2049" s="16"/>
      <c r="O2049" s="17"/>
      <c r="P2049" s="5" t="str">
        <f t="shared" si="56"/>
        <v>Truncate table FSA033;</v>
      </c>
      <c r="Q2049" s="5"/>
      <c r="R2049" s="5"/>
    </row>
    <row r="2050" spans="1:18" s="306" customFormat="1" x14ac:dyDescent="0.25">
      <c r="A2050" s="71"/>
      <c r="B2050" s="307" t="s">
        <v>2722</v>
      </c>
      <c r="C2050" s="308"/>
      <c r="D2050" s="308" t="s">
        <v>29</v>
      </c>
      <c r="E2050" s="308"/>
      <c r="F2050" s="308"/>
      <c r="G2050" s="308" t="s">
        <v>35</v>
      </c>
      <c r="H2050" s="308"/>
      <c r="I2050" s="308"/>
      <c r="J2050" s="308"/>
      <c r="K2050" s="308"/>
      <c r="L2050" s="308"/>
      <c r="M2050" s="308"/>
      <c r="N2050" s="308"/>
      <c r="O2050" s="309"/>
      <c r="P2050" s="308" t="str">
        <f t="shared" si="56"/>
        <v>Truncate table FSA034;</v>
      </c>
      <c r="Q2050" s="308"/>
      <c r="R2050" s="308"/>
    </row>
    <row r="2051" spans="1:18" s="306" customFormat="1" x14ac:dyDescent="0.25">
      <c r="A2051" s="71"/>
      <c r="B2051" s="307" t="s">
        <v>2723</v>
      </c>
      <c r="C2051" s="308"/>
      <c r="D2051" s="308" t="s">
        <v>29</v>
      </c>
      <c r="E2051" s="308"/>
      <c r="F2051" s="308"/>
      <c r="G2051" s="308" t="s">
        <v>35</v>
      </c>
      <c r="H2051" s="308"/>
      <c r="I2051" s="308"/>
      <c r="J2051" s="308"/>
      <c r="K2051" s="308"/>
      <c r="L2051" s="308"/>
      <c r="M2051" s="308"/>
      <c r="N2051" s="308"/>
      <c r="O2051" s="309"/>
      <c r="P2051" s="308" t="str">
        <f t="shared" si="56"/>
        <v>Truncate table FSA070;</v>
      </c>
      <c r="Q2051" s="308"/>
      <c r="R2051" s="308"/>
    </row>
    <row r="2052" spans="1:18" x14ac:dyDescent="0.25">
      <c r="B2052" s="19" t="s">
        <v>2724</v>
      </c>
      <c r="C2052" s="16" t="s">
        <v>2725</v>
      </c>
      <c r="D2052" s="16" t="s">
        <v>29</v>
      </c>
      <c r="E2052" s="16" t="s">
        <v>54</v>
      </c>
      <c r="F2052" s="5" t="s">
        <v>235</v>
      </c>
      <c r="G2052" s="16" t="s">
        <v>35</v>
      </c>
      <c r="H2052" s="16"/>
      <c r="I2052" s="16"/>
      <c r="J2052" s="16"/>
      <c r="K2052" s="16"/>
      <c r="L2052" s="16"/>
      <c r="M2052" s="16"/>
      <c r="N2052" s="16"/>
      <c r="O2052" s="17" t="s">
        <v>38</v>
      </c>
      <c r="P2052" s="5" t="str">
        <f t="shared" si="56"/>
        <v>Truncate table FSA071;</v>
      </c>
      <c r="Q2052" s="5"/>
      <c r="R2052" s="5"/>
    </row>
    <row r="2053" spans="1:18" x14ac:dyDescent="0.25">
      <c r="B2053" s="19" t="s">
        <v>2726</v>
      </c>
      <c r="C2053" s="16" t="s">
        <v>10078</v>
      </c>
      <c r="D2053" s="16" t="s">
        <v>29</v>
      </c>
      <c r="E2053" s="16"/>
      <c r="F2053" s="5"/>
      <c r="G2053" s="16" t="s">
        <v>35</v>
      </c>
      <c r="H2053" s="16"/>
      <c r="I2053" s="16"/>
      <c r="J2053" s="16"/>
      <c r="K2053" s="16"/>
      <c r="L2053" s="16"/>
      <c r="M2053" s="16"/>
      <c r="N2053" s="16"/>
      <c r="O2053" s="17"/>
      <c r="P2053" s="5" t="str">
        <f t="shared" si="56"/>
        <v>Truncate table FSA072;</v>
      </c>
      <c r="Q2053" s="5"/>
      <c r="R2053" s="5"/>
    </row>
    <row r="2054" spans="1:18" x14ac:dyDescent="0.25">
      <c r="B2054" s="19" t="s">
        <v>2727</v>
      </c>
      <c r="C2054" s="16" t="s">
        <v>10079</v>
      </c>
      <c r="D2054" s="16" t="s">
        <v>29</v>
      </c>
      <c r="E2054" s="16"/>
      <c r="F2054" s="5"/>
      <c r="G2054" s="16" t="s">
        <v>35</v>
      </c>
      <c r="H2054" s="16"/>
      <c r="I2054" s="16"/>
      <c r="J2054" s="16"/>
      <c r="K2054" s="16"/>
      <c r="L2054" s="16"/>
      <c r="M2054" s="16"/>
      <c r="N2054" s="16"/>
      <c r="O2054" s="17"/>
      <c r="P2054" s="5" t="str">
        <f t="shared" si="56"/>
        <v>Truncate table FSA073;</v>
      </c>
      <c r="Q2054" s="5"/>
      <c r="R2054" s="5"/>
    </row>
    <row r="2055" spans="1:18" x14ac:dyDescent="0.25">
      <c r="B2055" s="19" t="s">
        <v>2728</v>
      </c>
      <c r="C2055" s="16" t="s">
        <v>2729</v>
      </c>
      <c r="D2055" s="16" t="s">
        <v>29</v>
      </c>
      <c r="E2055" s="16" t="s">
        <v>151</v>
      </c>
      <c r="F2055" s="5" t="s">
        <v>243</v>
      </c>
      <c r="G2055" s="16" t="s">
        <v>35</v>
      </c>
      <c r="H2055" s="16"/>
      <c r="I2055" s="16"/>
      <c r="J2055" s="16"/>
      <c r="K2055" s="16"/>
      <c r="L2055" s="16"/>
      <c r="M2055" s="16"/>
      <c r="N2055" s="16"/>
      <c r="O2055" s="17" t="s">
        <v>38</v>
      </c>
      <c r="P2055" s="5" t="str">
        <f t="shared" si="56"/>
        <v>Truncate table FSA080;</v>
      </c>
      <c r="Q2055" s="5"/>
      <c r="R2055" s="5"/>
    </row>
    <row r="2056" spans="1:18" ht="54" x14ac:dyDescent="0.25">
      <c r="B2056" s="19" t="s">
        <v>2730</v>
      </c>
      <c r="C2056" s="16" t="s">
        <v>2731</v>
      </c>
      <c r="D2056" s="16" t="s">
        <v>29</v>
      </c>
      <c r="E2056" s="16" t="s">
        <v>34</v>
      </c>
      <c r="F2056" s="5" t="s">
        <v>33</v>
      </c>
      <c r="G2056" s="16" t="s">
        <v>35</v>
      </c>
      <c r="H2056" s="16" t="s">
        <v>36</v>
      </c>
      <c r="I2056" s="16"/>
      <c r="J2056" s="16"/>
      <c r="K2056" s="16"/>
      <c r="L2056" s="60" t="s">
        <v>2732</v>
      </c>
      <c r="M2056" s="60"/>
      <c r="N2056" s="16"/>
      <c r="O2056" s="17" t="s">
        <v>38</v>
      </c>
      <c r="P2056" s="5" t="str">
        <f t="shared" si="56"/>
        <v>Truncate table FSA100;</v>
      </c>
      <c r="Q2056" s="5"/>
      <c r="R2056" s="5"/>
    </row>
    <row r="2057" spans="1:18" s="306" customFormat="1" x14ac:dyDescent="0.25">
      <c r="A2057" s="71"/>
      <c r="B2057" s="307" t="s">
        <v>2733</v>
      </c>
      <c r="C2057" s="308"/>
      <c r="D2057" s="308" t="s">
        <v>29</v>
      </c>
      <c r="E2057" s="308"/>
      <c r="F2057" s="308"/>
      <c r="G2057" s="308" t="s">
        <v>35</v>
      </c>
      <c r="H2057" s="308"/>
      <c r="I2057" s="308"/>
      <c r="J2057" s="308"/>
      <c r="K2057" s="308"/>
      <c r="L2057" s="308"/>
      <c r="M2057" s="308"/>
      <c r="N2057" s="308"/>
      <c r="O2057" s="309"/>
      <c r="P2057" s="308" t="str">
        <f t="shared" si="56"/>
        <v>Truncate table FSA101;</v>
      </c>
      <c r="Q2057" s="308"/>
      <c r="R2057" s="308"/>
    </row>
    <row r="2058" spans="1:18" ht="40.5" x14ac:dyDescent="0.25">
      <c r="B2058" s="19" t="s">
        <v>2734</v>
      </c>
      <c r="C2058" s="16" t="s">
        <v>2735</v>
      </c>
      <c r="D2058" s="16" t="s">
        <v>29</v>
      </c>
      <c r="E2058" s="16" t="s">
        <v>34</v>
      </c>
      <c r="F2058" s="5" t="s">
        <v>33</v>
      </c>
      <c r="G2058" s="16" t="s">
        <v>35</v>
      </c>
      <c r="H2058" s="16" t="s">
        <v>36</v>
      </c>
      <c r="I2058" s="16"/>
      <c r="J2058" s="16"/>
      <c r="K2058" s="16"/>
      <c r="L2058" s="60" t="s">
        <v>2736</v>
      </c>
      <c r="M2058" s="60"/>
      <c r="N2058" s="16"/>
      <c r="O2058" s="17" t="s">
        <v>38</v>
      </c>
      <c r="P2058" s="5" t="str">
        <f t="shared" si="56"/>
        <v>Truncate table FSA102;</v>
      </c>
      <c r="Q2058" s="5"/>
      <c r="R2058" s="5"/>
    </row>
    <row r="2059" spans="1:18" s="306" customFormat="1" x14ac:dyDescent="0.25">
      <c r="A2059" s="71"/>
      <c r="B2059" s="307" t="s">
        <v>2737</v>
      </c>
      <c r="C2059" s="308"/>
      <c r="D2059" s="308" t="s">
        <v>29</v>
      </c>
      <c r="E2059" s="308"/>
      <c r="F2059" s="308"/>
      <c r="G2059" s="308" t="s">
        <v>35</v>
      </c>
      <c r="H2059" s="308"/>
      <c r="I2059" s="308"/>
      <c r="J2059" s="308"/>
      <c r="K2059" s="308"/>
      <c r="L2059" s="308"/>
      <c r="M2059" s="308"/>
      <c r="N2059" s="308"/>
      <c r="O2059" s="309"/>
      <c r="P2059" s="308" t="str">
        <f t="shared" si="56"/>
        <v>Truncate table FSA106;</v>
      </c>
      <c r="Q2059" s="308"/>
      <c r="R2059" s="308"/>
    </row>
    <row r="2060" spans="1:18" ht="40.5" x14ac:dyDescent="0.25">
      <c r="B2060" s="19" t="s">
        <v>2738</v>
      </c>
      <c r="C2060" s="16" t="s">
        <v>2739</v>
      </c>
      <c r="D2060" s="16" t="s">
        <v>29</v>
      </c>
      <c r="E2060" s="16" t="s">
        <v>34</v>
      </c>
      <c r="F2060" s="5" t="s">
        <v>33</v>
      </c>
      <c r="G2060" s="16" t="s">
        <v>35</v>
      </c>
      <c r="H2060" s="16" t="s">
        <v>36</v>
      </c>
      <c r="I2060" s="16"/>
      <c r="J2060" s="16"/>
      <c r="K2060" s="16"/>
      <c r="L2060" s="60" t="s">
        <v>2736</v>
      </c>
      <c r="M2060" s="60"/>
      <c r="N2060" s="16"/>
      <c r="O2060" s="17" t="s">
        <v>38</v>
      </c>
      <c r="P2060" s="5" t="str">
        <f t="shared" si="56"/>
        <v>Truncate table FSA107;</v>
      </c>
      <c r="Q2060" s="5"/>
      <c r="R2060" s="5"/>
    </row>
    <row r="2061" spans="1:18" s="306" customFormat="1" x14ac:dyDescent="0.25">
      <c r="A2061" s="71"/>
      <c r="B2061" s="307" t="s">
        <v>2740</v>
      </c>
      <c r="C2061" s="308"/>
      <c r="D2061" s="308" t="s">
        <v>29</v>
      </c>
      <c r="E2061" s="308"/>
      <c r="F2061" s="308"/>
      <c r="G2061" s="308" t="s">
        <v>35</v>
      </c>
      <c r="H2061" s="308"/>
      <c r="I2061" s="308"/>
      <c r="J2061" s="308"/>
      <c r="K2061" s="308"/>
      <c r="L2061" s="308"/>
      <c r="M2061" s="308"/>
      <c r="N2061" s="308"/>
      <c r="O2061" s="309"/>
      <c r="P2061" s="308" t="str">
        <f t="shared" si="56"/>
        <v>Truncate table FSA108;</v>
      </c>
      <c r="Q2061" s="308"/>
      <c r="R2061" s="308"/>
    </row>
    <row r="2062" spans="1:18" ht="40.5" x14ac:dyDescent="0.25">
      <c r="B2062" s="19" t="s">
        <v>2741</v>
      </c>
      <c r="C2062" s="20" t="s">
        <v>2742</v>
      </c>
      <c r="D2062" s="16" t="s">
        <v>29</v>
      </c>
      <c r="E2062" s="16" t="s">
        <v>34</v>
      </c>
      <c r="F2062" s="5" t="s">
        <v>33</v>
      </c>
      <c r="G2062" s="16" t="s">
        <v>35</v>
      </c>
      <c r="H2062" s="16" t="s">
        <v>36</v>
      </c>
      <c r="I2062" s="16"/>
      <c r="J2062" s="16"/>
      <c r="K2062" s="16"/>
      <c r="L2062" s="60" t="s">
        <v>2736</v>
      </c>
      <c r="M2062" s="60"/>
      <c r="N2062" s="16"/>
      <c r="O2062" s="17" t="s">
        <v>38</v>
      </c>
      <c r="P2062" s="5" t="str">
        <f t="shared" ref="P2062:P2093" si="57">IF(D2062="Datos","Truncate table "&amp; B2062&amp; ";","")</f>
        <v>Truncate table FSA109;</v>
      </c>
      <c r="Q2062" s="5"/>
      <c r="R2062" s="5"/>
    </row>
    <row r="2063" spans="1:18" s="306" customFormat="1" x14ac:dyDescent="0.25">
      <c r="A2063" s="71"/>
      <c r="B2063" s="307" t="s">
        <v>2743</v>
      </c>
      <c r="C2063" s="377"/>
      <c r="D2063" s="308" t="s">
        <v>29</v>
      </c>
      <c r="E2063" s="308" t="s">
        <v>34</v>
      </c>
      <c r="F2063" s="308" t="s">
        <v>33</v>
      </c>
      <c r="G2063" s="308" t="s">
        <v>35</v>
      </c>
      <c r="H2063" s="308" t="s">
        <v>36</v>
      </c>
      <c r="I2063" s="308"/>
      <c r="J2063" s="308"/>
      <c r="K2063" s="308"/>
      <c r="L2063" s="308"/>
      <c r="M2063" s="308"/>
      <c r="N2063" s="308"/>
      <c r="O2063" s="309" t="s">
        <v>38</v>
      </c>
      <c r="P2063" s="308" t="str">
        <f t="shared" si="57"/>
        <v>Truncate table FSA110;</v>
      </c>
      <c r="Q2063" s="308"/>
      <c r="R2063" s="308"/>
    </row>
    <row r="2064" spans="1:18" s="306" customFormat="1" x14ac:dyDescent="0.25">
      <c r="A2064" s="71"/>
      <c r="B2064" s="307" t="s">
        <v>2744</v>
      </c>
      <c r="C2064" s="308"/>
      <c r="D2064" s="308" t="s">
        <v>29</v>
      </c>
      <c r="E2064" s="308"/>
      <c r="F2064" s="308" t="s">
        <v>33</v>
      </c>
      <c r="G2064" s="308" t="s">
        <v>35</v>
      </c>
      <c r="H2064" s="308"/>
      <c r="I2064" s="308"/>
      <c r="J2064" s="308"/>
      <c r="K2064" s="308"/>
      <c r="L2064" s="308"/>
      <c r="M2064" s="308"/>
      <c r="N2064" s="308"/>
      <c r="O2064" s="309"/>
      <c r="P2064" s="308" t="str">
        <f t="shared" si="57"/>
        <v>Truncate table FSA111;</v>
      </c>
      <c r="Q2064" s="308"/>
      <c r="R2064" s="308"/>
    </row>
    <row r="2065" spans="1:18" x14ac:dyDescent="0.25">
      <c r="B2065" s="19" t="s">
        <v>2745</v>
      </c>
      <c r="C2065" s="16" t="s">
        <v>2746</v>
      </c>
      <c r="D2065" s="16" t="s">
        <v>29</v>
      </c>
      <c r="E2065" s="16" t="s">
        <v>34</v>
      </c>
      <c r="F2065" s="5" t="s">
        <v>33</v>
      </c>
      <c r="G2065" s="16" t="s">
        <v>35</v>
      </c>
      <c r="H2065" s="16" t="s">
        <v>36</v>
      </c>
      <c r="I2065" s="16"/>
      <c r="J2065" s="16"/>
      <c r="K2065" s="16"/>
      <c r="L2065" s="16"/>
      <c r="M2065" s="16"/>
      <c r="N2065" s="16"/>
      <c r="O2065" s="17" t="s">
        <v>38</v>
      </c>
      <c r="P2065" s="5" t="str">
        <f t="shared" si="57"/>
        <v>Truncate table FSA112;</v>
      </c>
      <c r="Q2065" s="5"/>
      <c r="R2065" s="5"/>
    </row>
    <row r="2066" spans="1:18" s="306" customFormat="1" x14ac:dyDescent="0.25">
      <c r="A2066" s="71"/>
      <c r="B2066" s="307" t="s">
        <v>2747</v>
      </c>
      <c r="C2066" s="308"/>
      <c r="D2066" s="308" t="s">
        <v>29</v>
      </c>
      <c r="E2066" s="308"/>
      <c r="F2066" s="308"/>
      <c r="G2066" s="308" t="s">
        <v>35</v>
      </c>
      <c r="H2066" s="308"/>
      <c r="I2066" s="308"/>
      <c r="J2066" s="308"/>
      <c r="K2066" s="308"/>
      <c r="L2066" s="308"/>
      <c r="M2066" s="308"/>
      <c r="N2066" s="308"/>
      <c r="O2066" s="309"/>
      <c r="P2066" s="308" t="str">
        <f t="shared" si="57"/>
        <v>Truncate table FSA116;</v>
      </c>
      <c r="Q2066" s="308"/>
      <c r="R2066" s="308"/>
    </row>
    <row r="2067" spans="1:18" s="306" customFormat="1" x14ac:dyDescent="0.25">
      <c r="A2067" s="71"/>
      <c r="B2067" s="307" t="s">
        <v>2748</v>
      </c>
      <c r="C2067" s="308"/>
      <c r="D2067" s="308" t="s">
        <v>29</v>
      </c>
      <c r="E2067" s="308"/>
      <c r="F2067" s="308"/>
      <c r="G2067" s="308" t="s">
        <v>35</v>
      </c>
      <c r="H2067" s="308"/>
      <c r="I2067" s="308"/>
      <c r="J2067" s="308"/>
      <c r="K2067" s="308"/>
      <c r="L2067" s="308"/>
      <c r="M2067" s="308"/>
      <c r="N2067" s="308"/>
      <c r="O2067" s="309"/>
      <c r="P2067" s="308" t="str">
        <f t="shared" si="57"/>
        <v>Truncate table FSA117;</v>
      </c>
      <c r="Q2067" s="308"/>
      <c r="R2067" s="308"/>
    </row>
    <row r="2068" spans="1:18" s="306" customFormat="1" x14ac:dyDescent="0.25">
      <c r="A2068" s="71"/>
      <c r="B2068" s="307" t="s">
        <v>2749</v>
      </c>
      <c r="C2068" s="308"/>
      <c r="D2068" s="308" t="s">
        <v>29</v>
      </c>
      <c r="E2068" s="308"/>
      <c r="F2068" s="308"/>
      <c r="G2068" s="308" t="s">
        <v>35</v>
      </c>
      <c r="H2068" s="308"/>
      <c r="I2068" s="308"/>
      <c r="J2068" s="308"/>
      <c r="K2068" s="308"/>
      <c r="L2068" s="308"/>
      <c r="M2068" s="308"/>
      <c r="N2068" s="308"/>
      <c r="O2068" s="309"/>
      <c r="P2068" s="308" t="str">
        <f t="shared" si="57"/>
        <v>Truncate table FSA118;</v>
      </c>
      <c r="Q2068" s="308"/>
      <c r="R2068" s="308"/>
    </row>
    <row r="2069" spans="1:18" s="306" customFormat="1" x14ac:dyDescent="0.25">
      <c r="A2069" s="71"/>
      <c r="B2069" s="307" t="s">
        <v>2750</v>
      </c>
      <c r="C2069" s="308"/>
      <c r="D2069" s="308" t="s">
        <v>29</v>
      </c>
      <c r="E2069" s="308"/>
      <c r="F2069" s="308"/>
      <c r="G2069" s="308" t="s">
        <v>35</v>
      </c>
      <c r="H2069" s="308"/>
      <c r="I2069" s="308"/>
      <c r="J2069" s="308"/>
      <c r="K2069" s="308"/>
      <c r="L2069" s="308"/>
      <c r="M2069" s="308"/>
      <c r="N2069" s="308"/>
      <c r="O2069" s="309"/>
      <c r="P2069" s="308" t="str">
        <f t="shared" si="57"/>
        <v>Truncate table FSA119;</v>
      </c>
      <c r="Q2069" s="308"/>
      <c r="R2069" s="308"/>
    </row>
    <row r="2070" spans="1:18" s="306" customFormat="1" x14ac:dyDescent="0.25">
      <c r="A2070" s="71"/>
      <c r="B2070" s="307" t="s">
        <v>2751</v>
      </c>
      <c r="C2070" s="308"/>
      <c r="D2070" s="308" t="s">
        <v>29</v>
      </c>
      <c r="E2070" s="308"/>
      <c r="F2070" s="308"/>
      <c r="G2070" s="308" t="s">
        <v>35</v>
      </c>
      <c r="H2070" s="308"/>
      <c r="I2070" s="308"/>
      <c r="J2070" s="308"/>
      <c r="K2070" s="308"/>
      <c r="L2070" s="308"/>
      <c r="M2070" s="308"/>
      <c r="N2070" s="308"/>
      <c r="O2070" s="309"/>
      <c r="P2070" s="308" t="str">
        <f t="shared" si="57"/>
        <v>Truncate table FSA121;</v>
      </c>
      <c r="Q2070" s="308"/>
      <c r="R2070" s="308"/>
    </row>
    <row r="2071" spans="1:18" s="306" customFormat="1" x14ac:dyDescent="0.25">
      <c r="A2071" s="71"/>
      <c r="B2071" s="307" t="s">
        <v>2752</v>
      </c>
      <c r="C2071" s="308"/>
      <c r="D2071" s="308" t="s">
        <v>29</v>
      </c>
      <c r="E2071" s="308"/>
      <c r="F2071" s="308"/>
      <c r="G2071" s="308" t="s">
        <v>35</v>
      </c>
      <c r="H2071" s="308"/>
      <c r="I2071" s="308"/>
      <c r="J2071" s="308"/>
      <c r="K2071" s="308"/>
      <c r="L2071" s="308"/>
      <c r="M2071" s="308"/>
      <c r="N2071" s="308"/>
      <c r="O2071" s="309"/>
      <c r="P2071" s="308" t="str">
        <f t="shared" si="57"/>
        <v>Truncate table FSA122;</v>
      </c>
      <c r="Q2071" s="308"/>
      <c r="R2071" s="308"/>
    </row>
    <row r="2072" spans="1:18" x14ac:dyDescent="0.25">
      <c r="B2072" s="19" t="s">
        <v>2753</v>
      </c>
      <c r="C2072" t="s">
        <v>10080</v>
      </c>
      <c r="D2072" s="16" t="s">
        <v>29</v>
      </c>
      <c r="E2072" s="16"/>
      <c r="F2072" s="5"/>
      <c r="G2072" s="16" t="s">
        <v>35</v>
      </c>
      <c r="H2072" s="16"/>
      <c r="I2072" s="16"/>
      <c r="J2072" s="16"/>
      <c r="K2072" s="16"/>
      <c r="L2072" s="16"/>
      <c r="M2072" s="16"/>
      <c r="N2072" s="16"/>
      <c r="O2072" s="17"/>
      <c r="P2072" s="5" t="str">
        <f t="shared" si="57"/>
        <v>Truncate table FSA150;</v>
      </c>
      <c r="Q2072" s="5"/>
      <c r="R2072" s="5"/>
    </row>
    <row r="2073" spans="1:18" s="306" customFormat="1" x14ac:dyDescent="0.25">
      <c r="A2073" s="71"/>
      <c r="B2073" s="307" t="s">
        <v>2754</v>
      </c>
      <c r="C2073" s="308"/>
      <c r="D2073" s="308" t="s">
        <v>29</v>
      </c>
      <c r="E2073" s="308"/>
      <c r="F2073" s="308"/>
      <c r="G2073" s="308" t="s">
        <v>35</v>
      </c>
      <c r="H2073" s="308"/>
      <c r="I2073" s="308"/>
      <c r="J2073" s="308"/>
      <c r="K2073" s="308"/>
      <c r="L2073" s="308"/>
      <c r="M2073" s="308"/>
      <c r="N2073" s="308"/>
      <c r="O2073" s="309"/>
      <c r="P2073" s="308" t="str">
        <f t="shared" si="57"/>
        <v>Truncate table FSA151;</v>
      </c>
      <c r="Q2073" s="308"/>
      <c r="R2073" s="308"/>
    </row>
    <row r="2074" spans="1:18" x14ac:dyDescent="0.25">
      <c r="B2074" s="19" t="s">
        <v>2755</v>
      </c>
      <c r="C2074" s="16" t="s">
        <v>10081</v>
      </c>
      <c r="D2074" s="16" t="s">
        <v>29</v>
      </c>
      <c r="E2074" s="16" t="s">
        <v>1712</v>
      </c>
      <c r="F2074" s="5" t="s">
        <v>1711</v>
      </c>
      <c r="G2074" s="16" t="s">
        <v>35</v>
      </c>
      <c r="H2074" s="16"/>
      <c r="I2074" s="16"/>
      <c r="J2074" s="16"/>
      <c r="K2074" s="16"/>
      <c r="L2074" s="16"/>
      <c r="M2074" s="16"/>
      <c r="N2074" s="16"/>
      <c r="O2074" s="17" t="s">
        <v>38</v>
      </c>
      <c r="P2074" s="5" t="str">
        <f t="shared" si="57"/>
        <v>Truncate table FSA161;</v>
      </c>
      <c r="Q2074" s="5"/>
      <c r="R2074" s="5"/>
    </row>
    <row r="2075" spans="1:18" x14ac:dyDescent="0.25">
      <c r="B2075" s="15" t="s">
        <v>2756</v>
      </c>
      <c r="C2075" s="16" t="s">
        <v>10082</v>
      </c>
      <c r="D2075" s="16" t="s">
        <v>29</v>
      </c>
      <c r="E2075" s="16" t="s">
        <v>54</v>
      </c>
      <c r="F2075" s="5" t="s">
        <v>557</v>
      </c>
      <c r="G2075" s="16" t="s">
        <v>35</v>
      </c>
      <c r="H2075" s="16"/>
      <c r="I2075" s="16"/>
      <c r="J2075" s="16"/>
      <c r="K2075" s="16"/>
      <c r="L2075" s="16"/>
      <c r="M2075" s="16"/>
      <c r="N2075" s="16" t="s">
        <v>558</v>
      </c>
      <c r="O2075" s="17" t="s">
        <v>38</v>
      </c>
      <c r="P2075" s="5" t="str">
        <f t="shared" si="57"/>
        <v>Truncate table FSA200;</v>
      </c>
      <c r="Q2075" s="5"/>
      <c r="R2075" s="5"/>
    </row>
    <row r="2076" spans="1:18" x14ac:dyDescent="0.25">
      <c r="B2076" s="15" t="s">
        <v>2757</v>
      </c>
      <c r="C2076" s="16" t="s">
        <v>10083</v>
      </c>
      <c r="D2076" s="16" t="s">
        <v>29</v>
      </c>
      <c r="E2076" s="16" t="s">
        <v>54</v>
      </c>
      <c r="F2076" s="5" t="s">
        <v>557</v>
      </c>
      <c r="G2076" s="16" t="s">
        <v>35</v>
      </c>
      <c r="H2076" s="16"/>
      <c r="I2076" s="16"/>
      <c r="J2076" s="16"/>
      <c r="K2076" s="16"/>
      <c r="L2076" s="16"/>
      <c r="M2076" s="16"/>
      <c r="N2076" s="16" t="s">
        <v>558</v>
      </c>
      <c r="O2076" s="17" t="s">
        <v>38</v>
      </c>
      <c r="P2076" s="5" t="str">
        <f t="shared" si="57"/>
        <v>Truncate table FSA201;</v>
      </c>
      <c r="Q2076" s="5"/>
      <c r="R2076" s="5"/>
    </row>
    <row r="2077" spans="1:18" s="306" customFormat="1" x14ac:dyDescent="0.25">
      <c r="A2077" s="71"/>
      <c r="B2077" s="307" t="s">
        <v>2758</v>
      </c>
      <c r="C2077" s="308"/>
      <c r="D2077" s="308" t="s">
        <v>29</v>
      </c>
      <c r="E2077" s="308" t="s">
        <v>34</v>
      </c>
      <c r="F2077" s="308" t="s">
        <v>33</v>
      </c>
      <c r="G2077" s="308" t="s">
        <v>35</v>
      </c>
      <c r="H2077" s="308" t="s">
        <v>36</v>
      </c>
      <c r="I2077" s="308"/>
      <c r="J2077" s="308"/>
      <c r="K2077" s="308"/>
      <c r="L2077" s="308"/>
      <c r="M2077" s="308"/>
      <c r="N2077" s="308"/>
      <c r="O2077" s="309" t="s">
        <v>38</v>
      </c>
      <c r="P2077" s="308" t="str">
        <f t="shared" si="57"/>
        <v>Truncate table FSA209;</v>
      </c>
      <c r="Q2077" s="308"/>
      <c r="R2077" s="308"/>
    </row>
    <row r="2078" spans="1:18" s="306" customFormat="1" x14ac:dyDescent="0.25">
      <c r="A2078" s="71"/>
      <c r="B2078" s="307" t="s">
        <v>2759</v>
      </c>
      <c r="C2078" s="308"/>
      <c r="D2078" s="308" t="s">
        <v>29</v>
      </c>
      <c r="E2078" s="308" t="s">
        <v>34</v>
      </c>
      <c r="F2078" s="308" t="s">
        <v>33</v>
      </c>
      <c r="G2078" s="308" t="s">
        <v>35</v>
      </c>
      <c r="H2078" s="308" t="s">
        <v>36</v>
      </c>
      <c r="I2078" s="308"/>
      <c r="J2078" s="308"/>
      <c r="K2078" s="308"/>
      <c r="L2078" s="308"/>
      <c r="M2078" s="308"/>
      <c r="N2078" s="308"/>
      <c r="O2078" s="309" t="s">
        <v>38</v>
      </c>
      <c r="P2078" s="308" t="str">
        <f t="shared" si="57"/>
        <v>Truncate table FSA210;</v>
      </c>
      <c r="Q2078" s="308"/>
      <c r="R2078" s="308"/>
    </row>
    <row r="2079" spans="1:18" s="306" customFormat="1" x14ac:dyDescent="0.25">
      <c r="A2079" s="71"/>
      <c r="B2079" s="307" t="s">
        <v>2760</v>
      </c>
      <c r="C2079" s="308"/>
      <c r="D2079" s="308" t="s">
        <v>29</v>
      </c>
      <c r="E2079" s="308" t="s">
        <v>54</v>
      </c>
      <c r="F2079" s="308" t="s">
        <v>235</v>
      </c>
      <c r="G2079" s="308" t="s">
        <v>35</v>
      </c>
      <c r="H2079" s="308"/>
      <c r="I2079" s="308"/>
      <c r="J2079" s="308"/>
      <c r="K2079" s="308"/>
      <c r="L2079" s="308"/>
      <c r="M2079" s="308"/>
      <c r="N2079" s="308"/>
      <c r="O2079" s="309" t="s">
        <v>38</v>
      </c>
      <c r="P2079" s="308" t="str">
        <f t="shared" si="57"/>
        <v>Truncate table FSA211;</v>
      </c>
      <c r="Q2079" s="308"/>
      <c r="R2079" s="308"/>
    </row>
    <row r="2080" spans="1:18" x14ac:dyDescent="0.25">
      <c r="B2080" s="19" t="s">
        <v>2761</v>
      </c>
      <c r="C2080" s="16" t="s">
        <v>2762</v>
      </c>
      <c r="D2080" s="16" t="s">
        <v>29</v>
      </c>
      <c r="E2080" s="16" t="s">
        <v>54</v>
      </c>
      <c r="F2080" s="5" t="s">
        <v>235</v>
      </c>
      <c r="G2080" s="16" t="s">
        <v>35</v>
      </c>
      <c r="H2080" s="16" t="s">
        <v>36</v>
      </c>
      <c r="I2080" s="16"/>
      <c r="J2080" s="16"/>
      <c r="K2080" t="s">
        <v>10218</v>
      </c>
      <c r="L2080" s="16"/>
      <c r="M2080" s="16"/>
      <c r="N2080" s="16"/>
      <c r="O2080" s="17" t="s">
        <v>38</v>
      </c>
      <c r="P2080" s="5" t="str">
        <f t="shared" si="57"/>
        <v>Truncate table FSA216;</v>
      </c>
      <c r="Q2080" s="5"/>
      <c r="R2080" s="5"/>
    </row>
    <row r="2081" spans="1:18" x14ac:dyDescent="0.25">
      <c r="B2081" s="19" t="s">
        <v>2763</v>
      </c>
      <c r="C2081" s="16" t="s">
        <v>2717</v>
      </c>
      <c r="D2081" s="16" t="s">
        <v>29</v>
      </c>
      <c r="E2081" s="16" t="s">
        <v>34</v>
      </c>
      <c r="F2081" s="5" t="s">
        <v>33</v>
      </c>
      <c r="G2081" s="16" t="s">
        <v>35</v>
      </c>
      <c r="H2081" s="16" t="s">
        <v>36</v>
      </c>
      <c r="I2081" s="16"/>
      <c r="J2081" s="16"/>
      <c r="K2081" s="16"/>
      <c r="L2081" s="16"/>
      <c r="M2081" s="16"/>
      <c r="N2081" s="16"/>
      <c r="O2081" s="17" t="s">
        <v>38</v>
      </c>
      <c r="P2081" s="5" t="str">
        <f t="shared" si="57"/>
        <v>Truncate table FSA219;</v>
      </c>
      <c r="Q2081" s="5"/>
      <c r="R2081" s="5"/>
    </row>
    <row r="2082" spans="1:18" s="306" customFormat="1" x14ac:dyDescent="0.25">
      <c r="A2082" s="71"/>
      <c r="B2082" s="307" t="s">
        <v>2764</v>
      </c>
      <c r="C2082" s="308"/>
      <c r="D2082" s="308" t="s">
        <v>29</v>
      </c>
      <c r="E2082" s="308"/>
      <c r="F2082" s="308"/>
      <c r="G2082" s="308" t="s">
        <v>35</v>
      </c>
      <c r="H2082" s="308"/>
      <c r="I2082" s="308"/>
      <c r="J2082" s="308"/>
      <c r="K2082" s="308"/>
      <c r="L2082" s="308"/>
      <c r="M2082" s="308"/>
      <c r="N2082" s="308"/>
      <c r="O2082" s="309"/>
      <c r="P2082" s="308" t="str">
        <f t="shared" si="57"/>
        <v>Truncate table FSA220;</v>
      </c>
      <c r="Q2082" s="308"/>
      <c r="R2082" s="308"/>
    </row>
    <row r="2083" spans="1:18" x14ac:dyDescent="0.25">
      <c r="B2083" s="19" t="s">
        <v>2765</v>
      </c>
      <c r="C2083" t="s">
        <v>10084</v>
      </c>
      <c r="D2083" s="16" t="s">
        <v>29</v>
      </c>
      <c r="E2083" s="16"/>
      <c r="F2083" s="5"/>
      <c r="G2083" s="16" t="s">
        <v>35</v>
      </c>
      <c r="H2083" s="16"/>
      <c r="I2083" s="16"/>
      <c r="J2083" s="16"/>
      <c r="K2083" s="16"/>
      <c r="L2083" s="16"/>
      <c r="M2083" s="16"/>
      <c r="N2083" s="16"/>
      <c r="O2083" s="17"/>
      <c r="P2083" s="5" t="str">
        <f t="shared" si="57"/>
        <v>Truncate table FSA221;</v>
      </c>
      <c r="Q2083" s="5"/>
      <c r="R2083" s="5"/>
    </row>
    <row r="2084" spans="1:18" x14ac:dyDescent="0.25">
      <c r="B2084" s="19" t="s">
        <v>2766</v>
      </c>
      <c r="C2084" s="16" t="s">
        <v>2717</v>
      </c>
      <c r="D2084" s="16" t="s">
        <v>29</v>
      </c>
      <c r="E2084" s="16" t="s">
        <v>54</v>
      </c>
      <c r="F2084" s="5" t="s">
        <v>235</v>
      </c>
      <c r="G2084" s="16" t="s">
        <v>35</v>
      </c>
      <c r="H2084" s="16"/>
      <c r="I2084" s="16"/>
      <c r="J2084" s="16"/>
      <c r="K2084" s="16"/>
      <c r="L2084" s="16"/>
      <c r="M2084" s="16"/>
      <c r="N2084" s="16"/>
      <c r="O2084" s="17" t="s">
        <v>38</v>
      </c>
      <c r="P2084" s="5" t="str">
        <f t="shared" si="57"/>
        <v>Truncate table FSA312;</v>
      </c>
      <c r="Q2084" s="5"/>
      <c r="R2084" s="5"/>
    </row>
    <row r="2085" spans="1:18" s="306" customFormat="1" x14ac:dyDescent="0.25">
      <c r="A2085" s="71"/>
      <c r="B2085" s="307" t="s">
        <v>2767</v>
      </c>
      <c r="C2085" s="308"/>
      <c r="D2085" s="308" t="s">
        <v>29</v>
      </c>
      <c r="E2085" s="308"/>
      <c r="F2085" s="308"/>
      <c r="G2085" s="308" t="s">
        <v>35</v>
      </c>
      <c r="H2085" s="308"/>
      <c r="I2085" s="308"/>
      <c r="J2085" s="308"/>
      <c r="K2085" s="308"/>
      <c r="L2085" s="308"/>
      <c r="M2085" s="308"/>
      <c r="N2085" s="308"/>
      <c r="O2085" s="309"/>
      <c r="P2085" s="308" t="str">
        <f t="shared" si="57"/>
        <v>Truncate table FSA317;</v>
      </c>
      <c r="Q2085" s="308"/>
      <c r="R2085" s="308"/>
    </row>
    <row r="2086" spans="1:18" s="306" customFormat="1" x14ac:dyDescent="0.25">
      <c r="A2086" s="71"/>
      <c r="B2086" s="307" t="s">
        <v>2768</v>
      </c>
      <c r="C2086" s="308"/>
      <c r="D2086" s="308" t="s">
        <v>29</v>
      </c>
      <c r="E2086" s="308"/>
      <c r="F2086" s="308"/>
      <c r="G2086" s="308" t="s">
        <v>35</v>
      </c>
      <c r="H2086" s="308"/>
      <c r="I2086" s="308"/>
      <c r="J2086" s="308"/>
      <c r="K2086" s="308"/>
      <c r="L2086" s="308"/>
      <c r="M2086" s="308"/>
      <c r="N2086" s="308"/>
      <c r="O2086" s="309"/>
      <c r="P2086" s="308" t="str">
        <f t="shared" si="57"/>
        <v>Truncate table FSA400;</v>
      </c>
      <c r="Q2086" s="308"/>
      <c r="R2086" s="308"/>
    </row>
    <row r="2087" spans="1:18" s="306" customFormat="1" x14ac:dyDescent="0.25">
      <c r="A2087" s="71"/>
      <c r="B2087" s="307" t="s">
        <v>2769</v>
      </c>
      <c r="C2087" s="308"/>
      <c r="D2087" s="308" t="s">
        <v>29</v>
      </c>
      <c r="E2087" s="308"/>
      <c r="F2087" s="308"/>
      <c r="G2087" s="308" t="s">
        <v>35</v>
      </c>
      <c r="H2087" s="308"/>
      <c r="I2087" s="308"/>
      <c r="J2087" s="308"/>
      <c r="K2087" s="308"/>
      <c r="L2087" s="308"/>
      <c r="M2087" s="308"/>
      <c r="N2087" s="308"/>
      <c r="O2087" s="309"/>
      <c r="P2087" s="308" t="str">
        <f t="shared" si="57"/>
        <v>Truncate table FSA410;</v>
      </c>
      <c r="Q2087" s="308"/>
      <c r="R2087" s="308"/>
    </row>
    <row r="2088" spans="1:18" s="306" customFormat="1" x14ac:dyDescent="0.25">
      <c r="A2088" s="71"/>
      <c r="B2088" s="307" t="s">
        <v>2770</v>
      </c>
      <c r="C2088" s="308"/>
      <c r="D2088" s="308" t="s">
        <v>29</v>
      </c>
      <c r="E2088" s="308"/>
      <c r="F2088" s="308"/>
      <c r="G2088" s="308" t="s">
        <v>35</v>
      </c>
      <c r="H2088" s="308"/>
      <c r="I2088" s="308"/>
      <c r="J2088" s="308"/>
      <c r="K2088" s="308"/>
      <c r="L2088" s="308"/>
      <c r="M2088" s="308"/>
      <c r="N2088" s="308"/>
      <c r="O2088" s="309"/>
      <c r="P2088" s="308" t="str">
        <f t="shared" si="57"/>
        <v>Truncate table FSA501;</v>
      </c>
      <c r="Q2088" s="308"/>
      <c r="R2088" s="308"/>
    </row>
    <row r="2089" spans="1:18" s="306" customFormat="1" x14ac:dyDescent="0.25">
      <c r="A2089" s="71"/>
      <c r="B2089" s="307" t="s">
        <v>2771</v>
      </c>
      <c r="C2089" s="308"/>
      <c r="D2089" s="308" t="s">
        <v>29</v>
      </c>
      <c r="E2089" s="308"/>
      <c r="F2089" s="308"/>
      <c r="G2089" s="308" t="s">
        <v>35</v>
      </c>
      <c r="H2089" s="308"/>
      <c r="I2089" s="308"/>
      <c r="J2089" s="308"/>
      <c r="K2089" s="308"/>
      <c r="L2089" s="308"/>
      <c r="M2089" s="308"/>
      <c r="N2089" s="308"/>
      <c r="O2089" s="309"/>
      <c r="P2089" s="308" t="str">
        <f t="shared" si="57"/>
        <v>Truncate table FSA502;</v>
      </c>
      <c r="Q2089" s="308"/>
      <c r="R2089" s="308"/>
    </row>
    <row r="2090" spans="1:18" x14ac:dyDescent="0.25">
      <c r="B2090" s="19" t="s">
        <v>2772</v>
      </c>
      <c r="C2090" s="16" t="s">
        <v>10085</v>
      </c>
      <c r="D2090" s="16" t="s">
        <v>29</v>
      </c>
      <c r="E2090" s="16" t="s">
        <v>54</v>
      </c>
      <c r="F2090" s="5" t="s">
        <v>163</v>
      </c>
      <c r="G2090" s="16" t="s">
        <v>35</v>
      </c>
      <c r="H2090" s="16" t="s">
        <v>36</v>
      </c>
      <c r="I2090" s="16"/>
      <c r="J2090" s="16"/>
      <c r="K2090" s="16"/>
      <c r="L2090" s="16"/>
      <c r="M2090" s="16"/>
      <c r="N2090" s="16"/>
      <c r="O2090" s="17" t="s">
        <v>38</v>
      </c>
      <c r="P2090" s="5" t="str">
        <f t="shared" si="57"/>
        <v>Truncate table FSA650;</v>
      </c>
      <c r="Q2090" s="5"/>
      <c r="R2090" s="5"/>
    </row>
    <row r="2091" spans="1:18" x14ac:dyDescent="0.25">
      <c r="B2091" s="19" t="s">
        <v>2773</v>
      </c>
      <c r="C2091" s="16" t="s">
        <v>10086</v>
      </c>
      <c r="D2091" s="16" t="s">
        <v>29</v>
      </c>
      <c r="E2091" s="16"/>
      <c r="F2091" s="5"/>
      <c r="G2091" s="16" t="s">
        <v>35</v>
      </c>
      <c r="H2091" s="16"/>
      <c r="I2091" s="16"/>
      <c r="J2091" s="16"/>
      <c r="K2091" s="16"/>
      <c r="L2091" s="16"/>
      <c r="M2091" s="16"/>
      <c r="N2091" s="16"/>
      <c r="O2091" s="17"/>
      <c r="P2091" s="5" t="str">
        <f t="shared" si="57"/>
        <v>Truncate table FSA724;</v>
      </c>
      <c r="Q2091" s="5"/>
      <c r="R2091" s="5"/>
    </row>
    <row r="2092" spans="1:18" s="306" customFormat="1" x14ac:dyDescent="0.25">
      <c r="A2092" s="71"/>
      <c r="B2092" s="307" t="s">
        <v>2774</v>
      </c>
      <c r="C2092" s="308"/>
      <c r="D2092" s="308" t="s">
        <v>29</v>
      </c>
      <c r="E2092" s="308"/>
      <c r="F2092" s="308"/>
      <c r="G2092" s="308" t="s">
        <v>35</v>
      </c>
      <c r="H2092" s="308"/>
      <c r="I2092" s="308"/>
      <c r="J2092" s="308"/>
      <c r="K2092" s="308"/>
      <c r="L2092" s="308"/>
      <c r="M2092" s="308"/>
      <c r="N2092" s="308"/>
      <c r="O2092" s="309"/>
      <c r="P2092" s="308" t="str">
        <f t="shared" si="57"/>
        <v>Truncate table FSA850;</v>
      </c>
      <c r="Q2092" s="308"/>
      <c r="R2092" s="308"/>
    </row>
    <row r="2093" spans="1:18" x14ac:dyDescent="0.25">
      <c r="B2093" s="19" t="s">
        <v>2775</v>
      </c>
      <c r="C2093" s="16" t="s">
        <v>2776</v>
      </c>
      <c r="D2093" s="16" t="s">
        <v>29</v>
      </c>
      <c r="E2093" s="16" t="s">
        <v>54</v>
      </c>
      <c r="F2093" s="5" t="s">
        <v>2777</v>
      </c>
      <c r="G2093" s="16" t="s">
        <v>35</v>
      </c>
      <c r="H2093" s="16" t="s">
        <v>36</v>
      </c>
      <c r="I2093" s="16"/>
      <c r="J2093" s="16"/>
      <c r="K2093" s="16"/>
      <c r="L2093" s="16"/>
      <c r="M2093" s="16"/>
      <c r="N2093" s="16"/>
      <c r="O2093" s="17" t="s">
        <v>38</v>
      </c>
      <c r="P2093" s="5" t="str">
        <f t="shared" si="57"/>
        <v>Truncate table FSADBG;</v>
      </c>
      <c r="Q2093" s="5"/>
      <c r="R2093" s="5"/>
    </row>
    <row r="2094" spans="1:18" x14ac:dyDescent="0.25">
      <c r="B2094" s="19" t="s">
        <v>2778</v>
      </c>
      <c r="C2094" s="16" t="s">
        <v>10087</v>
      </c>
      <c r="D2094" s="16" t="s">
        <v>29</v>
      </c>
      <c r="E2094" s="16" t="s">
        <v>1096</v>
      </c>
      <c r="F2094" s="5" t="s">
        <v>184</v>
      </c>
      <c r="G2094" s="16" t="s">
        <v>35</v>
      </c>
      <c r="H2094" s="16"/>
      <c r="I2094" s="16"/>
      <c r="J2094" s="16"/>
      <c r="K2094" s="16"/>
      <c r="L2094" s="16"/>
      <c r="M2094" s="16"/>
      <c r="N2094" s="16"/>
      <c r="O2094" s="17" t="s">
        <v>38</v>
      </c>
      <c r="P2094" s="5" t="str">
        <f t="shared" ref="P2094:P2125" si="58">IF(D2094="Datos","Truncate table "&amp; B2094&amp; ";","")</f>
        <v>Truncate table FSAGRD;</v>
      </c>
      <c r="Q2094" s="5"/>
      <c r="R2094" s="5"/>
    </row>
    <row r="2095" spans="1:18" x14ac:dyDescent="0.25">
      <c r="B2095" s="19" t="s">
        <v>2779</v>
      </c>
      <c r="C2095" s="16" t="s">
        <v>10088</v>
      </c>
      <c r="D2095" s="16" t="s">
        <v>29</v>
      </c>
      <c r="E2095" s="16" t="s">
        <v>54</v>
      </c>
      <c r="F2095" s="5" t="s">
        <v>235</v>
      </c>
      <c r="G2095" s="16" t="s">
        <v>35</v>
      </c>
      <c r="H2095" s="16"/>
      <c r="I2095" s="16"/>
      <c r="J2095" s="16"/>
      <c r="K2095" s="16"/>
      <c r="L2095" s="16"/>
      <c r="M2095" s="16"/>
      <c r="N2095" s="16"/>
      <c r="O2095" s="17" t="s">
        <v>38</v>
      </c>
      <c r="P2095" s="5" t="str">
        <f t="shared" si="58"/>
        <v>Truncate table FSAH12;</v>
      </c>
      <c r="Q2095" s="5"/>
      <c r="R2095" s="5"/>
    </row>
    <row r="2096" spans="1:18" x14ac:dyDescent="0.25">
      <c r="B2096" s="19" t="s">
        <v>2780</v>
      </c>
      <c r="C2096" s="16" t="s">
        <v>10089</v>
      </c>
      <c r="D2096" s="16" t="s">
        <v>29</v>
      </c>
      <c r="E2096" s="16"/>
      <c r="F2096" s="5"/>
      <c r="G2096" s="16" t="s">
        <v>35</v>
      </c>
      <c r="H2096" s="16"/>
      <c r="I2096" s="16"/>
      <c r="J2096" s="16"/>
      <c r="K2096" s="16"/>
      <c r="L2096" s="16"/>
      <c r="M2096" s="16"/>
      <c r="N2096" s="16"/>
      <c r="O2096" s="17"/>
      <c r="P2096" s="5" t="str">
        <f t="shared" si="58"/>
        <v>Truncate table FSAR44;</v>
      </c>
      <c r="Q2096" s="5"/>
      <c r="R2096" s="5"/>
    </row>
    <row r="2097" spans="1:18" x14ac:dyDescent="0.25">
      <c r="B2097" s="19" t="s">
        <v>2781</v>
      </c>
      <c r="C2097" t="s">
        <v>10090</v>
      </c>
      <c r="D2097" s="16" t="s">
        <v>29</v>
      </c>
      <c r="E2097" s="16"/>
      <c r="F2097" s="5"/>
      <c r="G2097" s="16" t="s">
        <v>35</v>
      </c>
      <c r="H2097" s="16"/>
      <c r="I2097" s="16"/>
      <c r="J2097" s="16"/>
      <c r="K2097" s="16"/>
      <c r="L2097" s="16"/>
      <c r="M2097" s="16"/>
      <c r="N2097" s="16"/>
      <c r="O2097" s="17"/>
      <c r="P2097" s="5" t="str">
        <f t="shared" si="58"/>
        <v>Truncate table FSARCO;</v>
      </c>
      <c r="Q2097" s="5"/>
      <c r="R2097" s="5"/>
    </row>
    <row r="2098" spans="1:18" s="306" customFormat="1" x14ac:dyDescent="0.25">
      <c r="A2098" s="71"/>
      <c r="B2098" s="307" t="s">
        <v>2782</v>
      </c>
      <c r="C2098" s="308"/>
      <c r="D2098" s="308" t="s">
        <v>29</v>
      </c>
      <c r="E2098" s="308"/>
      <c r="F2098" s="308"/>
      <c r="G2098" s="308" t="s">
        <v>35</v>
      </c>
      <c r="H2098" s="308"/>
      <c r="I2098" s="308"/>
      <c r="J2098" s="308"/>
      <c r="K2098" s="308"/>
      <c r="L2098" s="308"/>
      <c r="M2098" s="308"/>
      <c r="N2098" s="308"/>
      <c r="O2098" s="309"/>
      <c r="P2098" s="308" t="str">
        <f t="shared" si="58"/>
        <v>Truncate table FSC001;</v>
      </c>
      <c r="Q2098" s="308"/>
      <c r="R2098" s="308"/>
    </row>
    <row r="2099" spans="1:18" s="306" customFormat="1" x14ac:dyDescent="0.25">
      <c r="A2099" s="71"/>
      <c r="B2099" s="307" t="s">
        <v>2783</v>
      </c>
      <c r="C2099" s="308"/>
      <c r="D2099" s="308" t="s">
        <v>29</v>
      </c>
      <c r="E2099" s="308"/>
      <c r="F2099" s="308"/>
      <c r="G2099" s="308" t="s">
        <v>35</v>
      </c>
      <c r="H2099" s="308"/>
      <c r="I2099" s="308"/>
      <c r="J2099" s="308"/>
      <c r="K2099" s="308"/>
      <c r="L2099" s="308"/>
      <c r="M2099" s="308"/>
      <c r="N2099" s="308"/>
      <c r="O2099" s="309"/>
      <c r="P2099" s="308" t="str">
        <f t="shared" si="58"/>
        <v>Truncate table FSC002;</v>
      </c>
      <c r="Q2099" s="308"/>
      <c r="R2099" s="308"/>
    </row>
    <row r="2100" spans="1:18" ht="54" x14ac:dyDescent="0.25">
      <c r="B2100" s="23" t="s">
        <v>2784</v>
      </c>
      <c r="C2100" s="23" t="s">
        <v>2785</v>
      </c>
      <c r="D2100" s="19" t="s">
        <v>29</v>
      </c>
      <c r="E2100" s="19" t="s">
        <v>54</v>
      </c>
      <c r="F2100" s="62" t="s">
        <v>2786</v>
      </c>
      <c r="G2100" s="19" t="s">
        <v>35</v>
      </c>
      <c r="H2100" s="19" t="s">
        <v>36</v>
      </c>
      <c r="I2100" s="23" t="s">
        <v>2787</v>
      </c>
      <c r="J2100" s="23" t="s">
        <v>2788</v>
      </c>
      <c r="K2100" s="23" t="s">
        <v>2789</v>
      </c>
      <c r="L2100" s="62" t="s">
        <v>2790</v>
      </c>
      <c r="M2100" s="62"/>
      <c r="N2100" s="16"/>
      <c r="O2100" s="24" t="s">
        <v>38</v>
      </c>
      <c r="P2100" s="5" t="str">
        <f t="shared" si="58"/>
        <v>Truncate table FSC015;</v>
      </c>
      <c r="Q2100" s="5"/>
      <c r="R2100" s="5"/>
    </row>
    <row r="2101" spans="1:18" x14ac:dyDescent="0.25">
      <c r="B2101" s="19" t="s">
        <v>2791</v>
      </c>
      <c r="C2101" s="16" t="s">
        <v>2792</v>
      </c>
      <c r="D2101" s="16" t="s">
        <v>29</v>
      </c>
      <c r="E2101" s="16" t="s">
        <v>54</v>
      </c>
      <c r="F2101" s="5" t="s">
        <v>2786</v>
      </c>
      <c r="G2101" s="16" t="s">
        <v>35</v>
      </c>
      <c r="H2101" s="16"/>
      <c r="I2101" s="16"/>
      <c r="J2101" s="16"/>
      <c r="K2101" s="16"/>
      <c r="L2101" s="16"/>
      <c r="M2101" s="16"/>
      <c r="N2101" s="16"/>
      <c r="O2101" s="17" t="s">
        <v>38</v>
      </c>
      <c r="P2101" s="5" t="str">
        <f t="shared" si="58"/>
        <v>Truncate table FSC017;</v>
      </c>
      <c r="Q2101" s="5"/>
      <c r="R2101" s="5"/>
    </row>
    <row r="2102" spans="1:18" x14ac:dyDescent="0.25">
      <c r="B2102" s="19" t="s">
        <v>2793</v>
      </c>
      <c r="C2102" s="118" t="s">
        <v>10091</v>
      </c>
      <c r="D2102" s="16" t="s">
        <v>29</v>
      </c>
      <c r="E2102" s="16"/>
      <c r="F2102" s="5"/>
      <c r="G2102" s="16" t="s">
        <v>35</v>
      </c>
      <c r="H2102" s="16"/>
      <c r="I2102" s="16"/>
      <c r="J2102" s="16"/>
      <c r="K2102" s="16"/>
      <c r="L2102" s="16"/>
      <c r="M2102" s="16"/>
      <c r="N2102" s="16"/>
      <c r="O2102" s="17"/>
      <c r="P2102" s="5" t="str">
        <f t="shared" si="58"/>
        <v>Truncate table FSCM01;</v>
      </c>
      <c r="Q2102" s="5"/>
      <c r="R2102" s="5"/>
    </row>
    <row r="2103" spans="1:18" x14ac:dyDescent="0.25">
      <c r="B2103" s="19" t="s">
        <v>2794</v>
      </c>
      <c r="C2103" s="118" t="s">
        <v>10092</v>
      </c>
      <c r="D2103" s="16" t="s">
        <v>29</v>
      </c>
      <c r="E2103" s="16"/>
      <c r="F2103" s="5"/>
      <c r="G2103" s="16" t="s">
        <v>35</v>
      </c>
      <c r="H2103" s="16"/>
      <c r="I2103" s="16"/>
      <c r="J2103" s="16"/>
      <c r="K2103" s="16"/>
      <c r="L2103" s="16"/>
      <c r="M2103" s="16"/>
      <c r="N2103" s="16"/>
      <c r="O2103" s="17"/>
      <c r="P2103" s="5" t="str">
        <f t="shared" si="58"/>
        <v>Truncate table FSCM02;</v>
      </c>
      <c r="Q2103" s="5"/>
      <c r="R2103" s="5"/>
    </row>
    <row r="2104" spans="1:18" x14ac:dyDescent="0.25">
      <c r="B2104" s="19" t="s">
        <v>2795</v>
      </c>
      <c r="C2104" s="118" t="s">
        <v>10093</v>
      </c>
      <c r="D2104" s="16" t="s">
        <v>29</v>
      </c>
      <c r="E2104" s="16"/>
      <c r="F2104" s="5"/>
      <c r="G2104" s="16" t="s">
        <v>35</v>
      </c>
      <c r="H2104" s="16"/>
      <c r="I2104" s="16"/>
      <c r="J2104" s="16"/>
      <c r="K2104" s="16"/>
      <c r="L2104" s="16"/>
      <c r="M2104" s="16"/>
      <c r="N2104" s="16"/>
      <c r="O2104" s="17"/>
      <c r="P2104" s="5" t="str">
        <f t="shared" si="58"/>
        <v>Truncate table FSCM03;</v>
      </c>
      <c r="Q2104" s="5"/>
      <c r="R2104" s="5"/>
    </row>
    <row r="2105" spans="1:18" x14ac:dyDescent="0.25">
      <c r="B2105" s="19" t="s">
        <v>2796</v>
      </c>
      <c r="C2105" s="16" t="s">
        <v>2797</v>
      </c>
      <c r="D2105" s="16" t="s">
        <v>29</v>
      </c>
      <c r="E2105" s="16" t="s">
        <v>54</v>
      </c>
      <c r="F2105" s="5" t="s">
        <v>163</v>
      </c>
      <c r="G2105" s="16" t="s">
        <v>35</v>
      </c>
      <c r="H2105" s="16" t="s">
        <v>36</v>
      </c>
      <c r="I2105" s="16"/>
      <c r="J2105" s="16"/>
      <c r="K2105" s="16"/>
      <c r="L2105" s="16"/>
      <c r="M2105" s="16"/>
      <c r="N2105" s="16"/>
      <c r="O2105" s="17" t="s">
        <v>38</v>
      </c>
      <c r="P2105" s="5" t="str">
        <f t="shared" si="58"/>
        <v>Truncate table FSD001;</v>
      </c>
      <c r="Q2105" s="5"/>
      <c r="R2105" s="5"/>
    </row>
    <row r="2106" spans="1:18" x14ac:dyDescent="0.25">
      <c r="B2106" s="19" t="s">
        <v>2798</v>
      </c>
      <c r="C2106" s="16" t="s">
        <v>2799</v>
      </c>
      <c r="D2106" s="16" t="s">
        <v>29</v>
      </c>
      <c r="E2106" s="16" t="s">
        <v>54</v>
      </c>
      <c r="F2106" s="5" t="s">
        <v>163</v>
      </c>
      <c r="G2106" s="16" t="s">
        <v>35</v>
      </c>
      <c r="H2106" s="16" t="s">
        <v>36</v>
      </c>
      <c r="I2106" s="16"/>
      <c r="J2106" s="16"/>
      <c r="K2106" s="16"/>
      <c r="L2106" s="16"/>
      <c r="M2106" s="16"/>
      <c r="N2106" s="16"/>
      <c r="O2106" s="17" t="s">
        <v>38</v>
      </c>
      <c r="P2106" s="5" t="str">
        <f t="shared" si="58"/>
        <v>Truncate table FSD002;</v>
      </c>
      <c r="Q2106" s="5"/>
      <c r="R2106" s="5"/>
    </row>
    <row r="2107" spans="1:18" x14ac:dyDescent="0.25">
      <c r="B2107" s="19" t="s">
        <v>2800</v>
      </c>
      <c r="C2107" s="21" t="s">
        <v>2801</v>
      </c>
      <c r="D2107" s="16" t="s">
        <v>29</v>
      </c>
      <c r="E2107" s="16" t="s">
        <v>54</v>
      </c>
      <c r="F2107" s="5" t="s">
        <v>163</v>
      </c>
      <c r="G2107" s="16" t="s">
        <v>35</v>
      </c>
      <c r="H2107" s="16" t="s">
        <v>36</v>
      </c>
      <c r="I2107" s="16"/>
      <c r="J2107" s="16"/>
      <c r="K2107" s="16"/>
      <c r="L2107" s="16"/>
      <c r="M2107" s="16"/>
      <c r="N2107" s="16"/>
      <c r="O2107" s="17" t="s">
        <v>38</v>
      </c>
      <c r="P2107" s="5" t="str">
        <f t="shared" si="58"/>
        <v>Truncate table FSD003;</v>
      </c>
      <c r="Q2107" s="5"/>
      <c r="R2107" s="5"/>
    </row>
    <row r="2108" spans="1:18" x14ac:dyDescent="0.25">
      <c r="B2108" s="19" t="s">
        <v>2802</v>
      </c>
      <c r="C2108" s="16" t="s">
        <v>2803</v>
      </c>
      <c r="D2108" s="16" t="s">
        <v>29</v>
      </c>
      <c r="E2108" s="16" t="s">
        <v>54</v>
      </c>
      <c r="F2108" s="5" t="s">
        <v>163</v>
      </c>
      <c r="G2108" s="16" t="s">
        <v>35</v>
      </c>
      <c r="H2108" s="16" t="s">
        <v>36</v>
      </c>
      <c r="I2108" s="16"/>
      <c r="J2108" s="16"/>
      <c r="K2108" s="16"/>
      <c r="L2108" s="16"/>
      <c r="M2108" s="16"/>
      <c r="N2108" s="16"/>
      <c r="O2108" s="17" t="s">
        <v>38</v>
      </c>
      <c r="P2108" s="5" t="str">
        <f t="shared" si="58"/>
        <v>Truncate table FSD004;</v>
      </c>
      <c r="Q2108" s="5"/>
      <c r="R2108" s="5"/>
    </row>
    <row r="2109" spans="1:18" x14ac:dyDescent="0.25">
      <c r="B2109" s="19" t="s">
        <v>2804</v>
      </c>
      <c r="C2109" s="16" t="s">
        <v>2805</v>
      </c>
      <c r="D2109" s="16" t="s">
        <v>29</v>
      </c>
      <c r="E2109" s="16" t="s">
        <v>54</v>
      </c>
      <c r="F2109" s="5" t="s">
        <v>163</v>
      </c>
      <c r="G2109" s="16" t="s">
        <v>35</v>
      </c>
      <c r="H2109" s="16" t="s">
        <v>36</v>
      </c>
      <c r="I2109" s="16"/>
      <c r="J2109" s="16"/>
      <c r="K2109" s="16"/>
      <c r="L2109" s="16"/>
      <c r="M2109" s="16"/>
      <c r="N2109" s="16"/>
      <c r="O2109" s="17" t="s">
        <v>38</v>
      </c>
      <c r="P2109" s="5" t="str">
        <f t="shared" si="58"/>
        <v>Truncate table FSD005;</v>
      </c>
      <c r="Q2109" s="5"/>
      <c r="R2109" s="5"/>
    </row>
    <row r="2110" spans="1:18" x14ac:dyDescent="0.25">
      <c r="B2110" s="19" t="s">
        <v>2806</v>
      </c>
      <c r="C2110" s="16" t="s">
        <v>2807</v>
      </c>
      <c r="D2110" s="16" t="s">
        <v>29</v>
      </c>
      <c r="E2110" s="16" t="s">
        <v>54</v>
      </c>
      <c r="F2110" s="5" t="s">
        <v>163</v>
      </c>
      <c r="G2110" s="16" t="s">
        <v>35</v>
      </c>
      <c r="H2110" s="16" t="s">
        <v>36</v>
      </c>
      <c r="I2110" s="16"/>
      <c r="J2110" s="16"/>
      <c r="K2110" s="16"/>
      <c r="L2110" s="16"/>
      <c r="M2110" s="16"/>
      <c r="N2110" s="16"/>
      <c r="O2110" s="17" t="s">
        <v>38</v>
      </c>
      <c r="P2110" s="5" t="str">
        <f t="shared" si="58"/>
        <v>Truncate table FSD006;</v>
      </c>
      <c r="Q2110" s="5"/>
      <c r="R2110" s="5"/>
    </row>
    <row r="2111" spans="1:18" x14ac:dyDescent="0.25">
      <c r="B2111" s="19" t="s">
        <v>2808</v>
      </c>
      <c r="C2111" s="16" t="s">
        <v>2809</v>
      </c>
      <c r="D2111" s="16" t="s">
        <v>29</v>
      </c>
      <c r="E2111" s="16" t="s">
        <v>54</v>
      </c>
      <c r="F2111" s="5" t="s">
        <v>163</v>
      </c>
      <c r="G2111" s="16" t="s">
        <v>35</v>
      </c>
      <c r="H2111" s="16" t="s">
        <v>36</v>
      </c>
      <c r="I2111" s="16"/>
      <c r="J2111" s="16"/>
      <c r="K2111" s="16"/>
      <c r="L2111" s="16"/>
      <c r="M2111" s="16"/>
      <c r="N2111" s="16"/>
      <c r="O2111" s="17" t="s">
        <v>38</v>
      </c>
      <c r="P2111" s="5" t="str">
        <f t="shared" si="58"/>
        <v>Truncate table FSD008;</v>
      </c>
      <c r="Q2111" s="5"/>
      <c r="R2111" s="5"/>
    </row>
    <row r="2112" spans="1:18" x14ac:dyDescent="0.25">
      <c r="B2112" s="19" t="s">
        <v>2810</v>
      </c>
      <c r="C2112" s="16" t="s">
        <v>174</v>
      </c>
      <c r="D2112" s="16" t="s">
        <v>29</v>
      </c>
      <c r="E2112" s="16" t="s">
        <v>54</v>
      </c>
      <c r="F2112" s="5" t="s">
        <v>163</v>
      </c>
      <c r="G2112" s="16" t="s">
        <v>35</v>
      </c>
      <c r="H2112" s="16" t="s">
        <v>36</v>
      </c>
      <c r="I2112" s="16"/>
      <c r="J2112" s="16"/>
      <c r="K2112" s="16"/>
      <c r="L2112" s="16"/>
      <c r="M2112" s="16"/>
      <c r="N2112" s="16"/>
      <c r="O2112" s="17" t="s">
        <v>38</v>
      </c>
      <c r="P2112" s="5" t="str">
        <f t="shared" si="58"/>
        <v>Truncate table FSD009;</v>
      </c>
      <c r="Q2112" s="5"/>
      <c r="R2112" s="5"/>
    </row>
    <row r="2113" spans="1:18" x14ac:dyDescent="0.25">
      <c r="B2113" s="19" t="s">
        <v>2811</v>
      </c>
      <c r="C2113" s="16" t="s">
        <v>2812</v>
      </c>
      <c r="D2113" s="16" t="s">
        <v>29</v>
      </c>
      <c r="E2113" s="16" t="s">
        <v>54</v>
      </c>
      <c r="F2113" s="5" t="s">
        <v>2813</v>
      </c>
      <c r="G2113" s="16" t="s">
        <v>35</v>
      </c>
      <c r="H2113" s="16" t="s">
        <v>36</v>
      </c>
      <c r="I2113" s="16"/>
      <c r="J2113" s="16"/>
      <c r="K2113" s="16"/>
      <c r="L2113" s="16"/>
      <c r="M2113" s="16"/>
      <c r="N2113" s="16"/>
      <c r="O2113" s="17" t="s">
        <v>38</v>
      </c>
      <c r="P2113" s="5" t="str">
        <f t="shared" si="58"/>
        <v>Truncate table FSD010;</v>
      </c>
      <c r="Q2113" s="5"/>
      <c r="R2113" s="5"/>
    </row>
    <row r="2114" spans="1:18" x14ac:dyDescent="0.25">
      <c r="B2114" s="19" t="s">
        <v>2814</v>
      </c>
      <c r="C2114" s="16" t="s">
        <v>2815</v>
      </c>
      <c r="D2114" s="16" t="s">
        <v>29</v>
      </c>
      <c r="E2114" s="16" t="s">
        <v>54</v>
      </c>
      <c r="F2114" s="5" t="s">
        <v>235</v>
      </c>
      <c r="G2114" s="16" t="s">
        <v>35</v>
      </c>
      <c r="H2114" s="16" t="s">
        <v>36</v>
      </c>
      <c r="I2114" s="16"/>
      <c r="J2114" s="16"/>
      <c r="K2114" s="16"/>
      <c r="L2114" s="16"/>
      <c r="M2114" s="16"/>
      <c r="N2114" s="16"/>
      <c r="O2114" s="17" t="s">
        <v>38</v>
      </c>
      <c r="P2114" s="5" t="str">
        <f t="shared" si="58"/>
        <v>Truncate table FSD011;</v>
      </c>
      <c r="Q2114" s="5"/>
      <c r="R2114" s="5"/>
    </row>
    <row r="2115" spans="1:18" x14ac:dyDescent="0.25">
      <c r="B2115" s="19" t="s">
        <v>2816</v>
      </c>
      <c r="C2115" s="16" t="s">
        <v>2817</v>
      </c>
      <c r="D2115" s="16" t="s">
        <v>29</v>
      </c>
      <c r="E2115" s="16" t="s">
        <v>1096</v>
      </c>
      <c r="F2115" s="5" t="s">
        <v>184</v>
      </c>
      <c r="G2115" s="16" t="s">
        <v>35</v>
      </c>
      <c r="H2115" s="16"/>
      <c r="I2115" s="16"/>
      <c r="J2115" s="16"/>
      <c r="K2115" s="16"/>
      <c r="L2115" s="16"/>
      <c r="M2115" s="16"/>
      <c r="N2115" s="16"/>
      <c r="O2115" s="17" t="s">
        <v>38</v>
      </c>
      <c r="P2115" s="5" t="str">
        <f t="shared" si="58"/>
        <v>Truncate table FSD012;</v>
      </c>
      <c r="Q2115" s="5"/>
      <c r="R2115" s="5"/>
    </row>
    <row r="2116" spans="1:18" x14ac:dyDescent="0.25">
      <c r="B2116" s="19" t="s">
        <v>2818</v>
      </c>
      <c r="C2116" s="16" t="s">
        <v>2819</v>
      </c>
      <c r="D2116" s="16" t="s">
        <v>8152</v>
      </c>
      <c r="E2116" s="16" t="s">
        <v>54</v>
      </c>
      <c r="F2116" s="5" t="s">
        <v>235</v>
      </c>
      <c r="G2116" s="16" t="s">
        <v>35</v>
      </c>
      <c r="H2116" s="16" t="s">
        <v>36</v>
      </c>
      <c r="I2116" s="16"/>
      <c r="J2116" s="16"/>
      <c r="K2116" s="16"/>
      <c r="L2116" s="16"/>
      <c r="M2116" s="238" t="s">
        <v>387</v>
      </c>
      <c r="N2116" s="16"/>
      <c r="O2116" s="17" t="s">
        <v>38</v>
      </c>
      <c r="P2116" s="5" t="str">
        <f t="shared" si="58"/>
        <v/>
      </c>
      <c r="Q2116" s="5"/>
      <c r="R2116" s="5"/>
    </row>
    <row r="2117" spans="1:18" x14ac:dyDescent="0.25">
      <c r="B2117" s="19" t="s">
        <v>2820</v>
      </c>
      <c r="C2117" s="16" t="s">
        <v>2821</v>
      </c>
      <c r="D2117" s="16" t="s">
        <v>8152</v>
      </c>
      <c r="E2117" s="16" t="s">
        <v>54</v>
      </c>
      <c r="F2117" s="5" t="s">
        <v>235</v>
      </c>
      <c r="G2117" s="16" t="s">
        <v>35</v>
      </c>
      <c r="H2117" s="16" t="s">
        <v>36</v>
      </c>
      <c r="I2117" s="16"/>
      <c r="J2117" s="16"/>
      <c r="K2117" s="16"/>
      <c r="L2117" s="16"/>
      <c r="M2117" s="238" t="s">
        <v>387</v>
      </c>
      <c r="N2117" s="16"/>
      <c r="O2117" s="17" t="s">
        <v>38</v>
      </c>
      <c r="P2117" s="5" t="str">
        <f t="shared" si="58"/>
        <v/>
      </c>
      <c r="Q2117" s="5"/>
      <c r="R2117" s="5"/>
    </row>
    <row r="2118" spans="1:18" x14ac:dyDescent="0.25">
      <c r="B2118" s="19" t="s">
        <v>2822</v>
      </c>
      <c r="C2118" s="21" t="s">
        <v>2823</v>
      </c>
      <c r="D2118" s="16" t="s">
        <v>29</v>
      </c>
      <c r="E2118" s="16" t="s">
        <v>54</v>
      </c>
      <c r="F2118" s="5" t="s">
        <v>235</v>
      </c>
      <c r="G2118" s="16" t="s">
        <v>35</v>
      </c>
      <c r="H2118" s="16" t="s">
        <v>36</v>
      </c>
      <c r="I2118" s="16"/>
      <c r="J2118" s="16"/>
      <c r="K2118" s="16"/>
      <c r="L2118" s="16"/>
      <c r="M2118" s="16"/>
      <c r="N2118" s="16"/>
      <c r="O2118" s="17" t="s">
        <v>38</v>
      </c>
      <c r="P2118" s="5" t="str">
        <f t="shared" si="58"/>
        <v>Truncate table FSD015;</v>
      </c>
      <c r="Q2118" s="5"/>
      <c r="R2118" s="5"/>
    </row>
    <row r="2119" spans="1:18" x14ac:dyDescent="0.25">
      <c r="B2119" s="19" t="s">
        <v>2824</v>
      </c>
      <c r="C2119" s="21" t="s">
        <v>2825</v>
      </c>
      <c r="D2119" s="16" t="s">
        <v>29</v>
      </c>
      <c r="E2119" s="16" t="s">
        <v>54</v>
      </c>
      <c r="F2119" s="5" t="s">
        <v>235</v>
      </c>
      <c r="G2119" s="16" t="s">
        <v>35</v>
      </c>
      <c r="H2119" s="16" t="s">
        <v>36</v>
      </c>
      <c r="I2119" s="16"/>
      <c r="J2119" s="16"/>
      <c r="K2119" s="16"/>
      <c r="L2119" s="16"/>
      <c r="M2119" s="16"/>
      <c r="N2119" s="16"/>
      <c r="O2119" s="17" t="s">
        <v>38</v>
      </c>
      <c r="P2119" s="5" t="str">
        <f t="shared" si="58"/>
        <v>Truncate table FSD016;</v>
      </c>
      <c r="Q2119" s="5"/>
      <c r="R2119" s="5"/>
    </row>
    <row r="2120" spans="1:18" x14ac:dyDescent="0.25">
      <c r="B2120" s="19" t="s">
        <v>2826</v>
      </c>
      <c r="C2120" s="21" t="s">
        <v>2827</v>
      </c>
      <c r="D2120" s="16" t="s">
        <v>29</v>
      </c>
      <c r="E2120" s="16" t="s">
        <v>1096</v>
      </c>
      <c r="F2120" s="5" t="s">
        <v>2715</v>
      </c>
      <c r="G2120" s="16" t="s">
        <v>35</v>
      </c>
      <c r="H2120" s="16"/>
      <c r="I2120" s="16"/>
      <c r="J2120" s="16"/>
      <c r="K2120" s="16"/>
      <c r="L2120" s="16"/>
      <c r="M2120" s="16"/>
      <c r="N2120" s="16"/>
      <c r="O2120" s="17" t="s">
        <v>38</v>
      </c>
      <c r="P2120" s="5" t="str">
        <f t="shared" si="58"/>
        <v>Truncate table FSD017;</v>
      </c>
      <c r="Q2120" s="5"/>
      <c r="R2120" s="5"/>
    </row>
    <row r="2121" spans="1:18" x14ac:dyDescent="0.25">
      <c r="B2121" s="19" t="s">
        <v>2828</v>
      </c>
      <c r="C2121" s="21" t="s">
        <v>2829</v>
      </c>
      <c r="D2121" s="16" t="s">
        <v>29</v>
      </c>
      <c r="E2121" s="16" t="s">
        <v>1096</v>
      </c>
      <c r="F2121" s="5" t="s">
        <v>2715</v>
      </c>
      <c r="G2121" s="16" t="s">
        <v>35</v>
      </c>
      <c r="H2121" s="16"/>
      <c r="I2121" s="16"/>
      <c r="J2121" s="16"/>
      <c r="K2121" s="16"/>
      <c r="L2121" s="16"/>
      <c r="M2121" s="16"/>
      <c r="N2121" s="16"/>
      <c r="O2121" s="17" t="s">
        <v>38</v>
      </c>
      <c r="P2121" s="5" t="str">
        <f t="shared" si="58"/>
        <v>Truncate table FSD018;</v>
      </c>
      <c r="Q2121" s="5"/>
      <c r="R2121" s="5"/>
    </row>
    <row r="2122" spans="1:18" ht="27" x14ac:dyDescent="0.25">
      <c r="B2122" s="19" t="s">
        <v>2830</v>
      </c>
      <c r="C2122" s="16" t="s">
        <v>2831</v>
      </c>
      <c r="D2122" s="16" t="s">
        <v>8152</v>
      </c>
      <c r="E2122" s="16" t="s">
        <v>54</v>
      </c>
      <c r="F2122" s="5" t="s">
        <v>2832</v>
      </c>
      <c r="G2122" s="16" t="s">
        <v>35</v>
      </c>
      <c r="H2122" s="16" t="s">
        <v>36</v>
      </c>
      <c r="I2122" s="16"/>
      <c r="J2122" s="16"/>
      <c r="K2122" s="16"/>
      <c r="L2122" s="16"/>
      <c r="M2122" s="238" t="s">
        <v>8577</v>
      </c>
      <c r="N2122" s="16" t="s">
        <v>8651</v>
      </c>
      <c r="O2122" s="17" t="s">
        <v>38</v>
      </c>
      <c r="P2122" s="5" t="str">
        <f t="shared" si="58"/>
        <v/>
      </c>
      <c r="Q2122" s="5"/>
      <c r="R2122" s="5"/>
    </row>
    <row r="2123" spans="1:18" ht="27" x14ac:dyDescent="0.25">
      <c r="B2123" s="19" t="s">
        <v>2833</v>
      </c>
      <c r="C2123" s="16" t="s">
        <v>2834</v>
      </c>
      <c r="D2123" s="16" t="s">
        <v>8152</v>
      </c>
      <c r="E2123" s="16" t="s">
        <v>54</v>
      </c>
      <c r="F2123" s="5" t="s">
        <v>2832</v>
      </c>
      <c r="G2123" s="16" t="s">
        <v>35</v>
      </c>
      <c r="H2123" s="16" t="s">
        <v>36</v>
      </c>
      <c r="I2123" s="16"/>
      <c r="J2123" s="16"/>
      <c r="K2123" s="16"/>
      <c r="L2123" s="16"/>
      <c r="M2123" s="238" t="s">
        <v>8577</v>
      </c>
      <c r="N2123" s="16" t="s">
        <v>8649</v>
      </c>
      <c r="O2123" s="17" t="s">
        <v>38</v>
      </c>
      <c r="P2123" s="5" t="str">
        <f t="shared" si="58"/>
        <v/>
      </c>
      <c r="Q2123" s="5"/>
      <c r="R2123" s="5"/>
    </row>
    <row r="2124" spans="1:18" ht="27" x14ac:dyDescent="0.25">
      <c r="B2124" s="19" t="s">
        <v>2835</v>
      </c>
      <c r="C2124" s="16" t="s">
        <v>2836</v>
      </c>
      <c r="D2124" s="16" t="s">
        <v>8152</v>
      </c>
      <c r="E2124" s="16" t="s">
        <v>54</v>
      </c>
      <c r="F2124" s="5" t="s">
        <v>2832</v>
      </c>
      <c r="G2124" s="16" t="s">
        <v>35</v>
      </c>
      <c r="H2124" s="16" t="s">
        <v>36</v>
      </c>
      <c r="I2124" s="16"/>
      <c r="J2124" s="16"/>
      <c r="K2124" s="16"/>
      <c r="L2124" s="16"/>
      <c r="M2124" s="238" t="s">
        <v>8577</v>
      </c>
      <c r="N2124" s="16" t="s">
        <v>8650</v>
      </c>
      <c r="O2124" s="17" t="s">
        <v>38</v>
      </c>
      <c r="P2124" s="5" t="str">
        <f t="shared" si="58"/>
        <v/>
      </c>
      <c r="Q2124" s="5"/>
      <c r="R2124" s="5"/>
    </row>
    <row r="2125" spans="1:18" x14ac:dyDescent="0.25">
      <c r="B2125" s="19" t="s">
        <v>2837</v>
      </c>
      <c r="C2125" s="16" t="s">
        <v>2838</v>
      </c>
      <c r="D2125" s="16" t="s">
        <v>29</v>
      </c>
      <c r="E2125" s="16" t="s">
        <v>54</v>
      </c>
      <c r="F2125" s="5" t="s">
        <v>2832</v>
      </c>
      <c r="G2125" s="16" t="s">
        <v>35</v>
      </c>
      <c r="H2125" s="16" t="s">
        <v>36</v>
      </c>
      <c r="I2125" s="16"/>
      <c r="J2125" s="16"/>
      <c r="K2125" s="16"/>
      <c r="L2125" s="16"/>
      <c r="M2125" s="16"/>
      <c r="N2125" s="16"/>
      <c r="O2125" s="17" t="s">
        <v>38</v>
      </c>
      <c r="P2125" s="5" t="str">
        <f t="shared" si="58"/>
        <v>Truncate table FSD027;</v>
      </c>
      <c r="Q2125" s="5"/>
      <c r="R2125" s="5"/>
    </row>
    <row r="2126" spans="1:18" s="306" customFormat="1" x14ac:dyDescent="0.25">
      <c r="A2126" s="71"/>
      <c r="B2126" s="307" t="s">
        <v>2839</v>
      </c>
      <c r="C2126" s="308"/>
      <c r="D2126" s="308" t="s">
        <v>29</v>
      </c>
      <c r="E2126" s="308"/>
      <c r="F2126" s="308"/>
      <c r="G2126" s="308" t="s">
        <v>35</v>
      </c>
      <c r="H2126" s="308"/>
      <c r="I2126" s="308"/>
      <c r="J2126" s="308"/>
      <c r="K2126" s="308"/>
      <c r="L2126" s="308"/>
      <c r="M2126" s="308"/>
      <c r="N2126" s="308"/>
      <c r="O2126" s="309"/>
      <c r="P2126" s="308" t="str">
        <f t="shared" ref="P2126:P2157" si="59">IF(D2126="Datos","Truncate table "&amp; B2126&amp; ";","")</f>
        <v>Truncate table FSD030;</v>
      </c>
      <c r="Q2126" s="308"/>
      <c r="R2126" s="308"/>
    </row>
    <row r="2127" spans="1:18" x14ac:dyDescent="0.25">
      <c r="B2127" s="19" t="s">
        <v>2840</v>
      </c>
      <c r="C2127" s="16" t="s">
        <v>2841</v>
      </c>
      <c r="D2127" s="16" t="s">
        <v>8152</v>
      </c>
      <c r="E2127" s="16" t="s">
        <v>54</v>
      </c>
      <c r="F2127" s="5" t="s">
        <v>74</v>
      </c>
      <c r="G2127" s="16" t="s">
        <v>35</v>
      </c>
      <c r="H2127" s="16"/>
      <c r="I2127" s="16"/>
      <c r="J2127" s="16"/>
      <c r="K2127" s="16"/>
      <c r="L2127" s="16"/>
      <c r="M2127" s="229"/>
      <c r="N2127" s="16"/>
      <c r="O2127" s="17" t="s">
        <v>38</v>
      </c>
      <c r="P2127" s="5" t="str">
        <f t="shared" si="59"/>
        <v/>
      </c>
      <c r="Q2127" s="5"/>
      <c r="R2127" s="5"/>
    </row>
    <row r="2128" spans="1:18" x14ac:dyDescent="0.25">
      <c r="B2128" s="19" t="s">
        <v>2842</v>
      </c>
      <c r="C2128" s="16" t="s">
        <v>2843</v>
      </c>
      <c r="D2128" s="16" t="s">
        <v>29</v>
      </c>
      <c r="E2128" s="16" t="s">
        <v>54</v>
      </c>
      <c r="F2128" s="5" t="s">
        <v>163</v>
      </c>
      <c r="G2128" s="16" t="s">
        <v>35</v>
      </c>
      <c r="H2128" s="16" t="s">
        <v>36</v>
      </c>
      <c r="I2128" s="16"/>
      <c r="J2128" s="16"/>
      <c r="K2128" s="16"/>
      <c r="L2128" s="16"/>
      <c r="M2128" s="16"/>
      <c r="N2128" s="16"/>
      <c r="O2128" s="17" t="s">
        <v>38</v>
      </c>
      <c r="P2128" s="5" t="str">
        <f t="shared" si="59"/>
        <v>Truncate table FSD052;</v>
      </c>
      <c r="Q2128" s="5"/>
      <c r="R2128" s="5"/>
    </row>
    <row r="2129" spans="1:18" x14ac:dyDescent="0.25">
      <c r="B2129" s="19" t="s">
        <v>2844</v>
      </c>
      <c r="C2129" s="21" t="s">
        <v>2845</v>
      </c>
      <c r="D2129" s="16" t="s">
        <v>29</v>
      </c>
      <c r="E2129" s="16" t="s">
        <v>151</v>
      </c>
      <c r="F2129" s="5"/>
      <c r="G2129" s="16" t="s">
        <v>35</v>
      </c>
      <c r="H2129" s="16" t="s">
        <v>36</v>
      </c>
      <c r="I2129" s="16"/>
      <c r="J2129" s="16"/>
      <c r="K2129" s="16"/>
      <c r="L2129" s="16"/>
      <c r="M2129" s="16"/>
      <c r="N2129" s="16"/>
      <c r="O2129" s="17" t="s">
        <v>38</v>
      </c>
      <c r="P2129" s="5" t="str">
        <f t="shared" si="59"/>
        <v>Truncate table FSD053;</v>
      </c>
      <c r="Q2129" s="5"/>
      <c r="R2129" s="5"/>
    </row>
    <row r="2130" spans="1:18" s="306" customFormat="1" x14ac:dyDescent="0.25">
      <c r="A2130" s="71"/>
      <c r="B2130" s="307" t="s">
        <v>2846</v>
      </c>
      <c r="C2130" s="308"/>
      <c r="D2130" s="308" t="s">
        <v>29</v>
      </c>
      <c r="E2130" s="308"/>
      <c r="F2130" s="308"/>
      <c r="G2130" s="308" t="s">
        <v>35</v>
      </c>
      <c r="H2130" s="308"/>
      <c r="I2130" s="308"/>
      <c r="J2130" s="308"/>
      <c r="K2130" s="308"/>
      <c r="L2130" s="308"/>
      <c r="M2130" s="308"/>
      <c r="N2130" s="308"/>
      <c r="O2130" s="309"/>
      <c r="P2130" s="308" t="str">
        <f t="shared" si="59"/>
        <v>Truncate table FSD054;</v>
      </c>
      <c r="Q2130" s="308"/>
      <c r="R2130" s="308"/>
    </row>
    <row r="2131" spans="1:18" s="306" customFormat="1" x14ac:dyDescent="0.25">
      <c r="A2131" s="71"/>
      <c r="B2131" s="307" t="s">
        <v>2847</v>
      </c>
      <c r="C2131" s="308"/>
      <c r="D2131" s="308" t="s">
        <v>29</v>
      </c>
      <c r="E2131" s="308"/>
      <c r="F2131" s="308"/>
      <c r="G2131" s="308" t="s">
        <v>35</v>
      </c>
      <c r="H2131" s="308"/>
      <c r="I2131" s="308"/>
      <c r="J2131" s="308"/>
      <c r="K2131" s="308"/>
      <c r="L2131" s="308"/>
      <c r="M2131" s="308"/>
      <c r="N2131" s="308"/>
      <c r="O2131" s="309"/>
      <c r="P2131" s="308" t="str">
        <f t="shared" si="59"/>
        <v>Truncate table FSD055;</v>
      </c>
      <c r="Q2131" s="308"/>
      <c r="R2131" s="308"/>
    </row>
    <row r="2132" spans="1:18" s="306" customFormat="1" x14ac:dyDescent="0.25">
      <c r="A2132" s="71"/>
      <c r="B2132" s="307" t="s">
        <v>2848</v>
      </c>
      <c r="C2132" s="308"/>
      <c r="D2132" s="308" t="s">
        <v>29</v>
      </c>
      <c r="E2132" s="308"/>
      <c r="F2132" s="308"/>
      <c r="G2132" s="308" t="s">
        <v>35</v>
      </c>
      <c r="H2132" s="308"/>
      <c r="I2132" s="308"/>
      <c r="J2132" s="308"/>
      <c r="K2132" s="308"/>
      <c r="L2132" s="308"/>
      <c r="M2132" s="308"/>
      <c r="N2132" s="308"/>
      <c r="O2132" s="309"/>
      <c r="P2132" s="308" t="str">
        <f t="shared" si="59"/>
        <v>Truncate table FSD056;</v>
      </c>
      <c r="Q2132" s="308"/>
      <c r="R2132" s="308"/>
    </row>
    <row r="2133" spans="1:18" s="306" customFormat="1" x14ac:dyDescent="0.25">
      <c r="A2133" s="71"/>
      <c r="B2133" s="307" t="s">
        <v>2849</v>
      </c>
      <c r="C2133" s="308"/>
      <c r="D2133" s="308" t="s">
        <v>29</v>
      </c>
      <c r="E2133" s="308"/>
      <c r="F2133" s="308"/>
      <c r="G2133" s="308" t="s">
        <v>35</v>
      </c>
      <c r="H2133" s="308"/>
      <c r="I2133" s="308"/>
      <c r="J2133" s="308"/>
      <c r="K2133" s="308"/>
      <c r="L2133" s="308"/>
      <c r="M2133" s="308"/>
      <c r="N2133" s="308"/>
      <c r="O2133" s="309"/>
      <c r="P2133" s="308" t="str">
        <f t="shared" si="59"/>
        <v>Truncate table FSD101;</v>
      </c>
      <c r="Q2133" s="308"/>
      <c r="R2133" s="308"/>
    </row>
    <row r="2134" spans="1:18" x14ac:dyDescent="0.25">
      <c r="B2134" s="19" t="s">
        <v>2850</v>
      </c>
      <c r="C2134" s="16" t="s">
        <v>2851</v>
      </c>
      <c r="D2134" s="16" t="s">
        <v>29</v>
      </c>
      <c r="E2134" s="16" t="s">
        <v>54</v>
      </c>
      <c r="F2134" s="5" t="s">
        <v>163</v>
      </c>
      <c r="G2134" s="16" t="s">
        <v>35</v>
      </c>
      <c r="H2134" s="16" t="s">
        <v>36</v>
      </c>
      <c r="I2134" s="16"/>
      <c r="J2134" s="16"/>
      <c r="K2134" s="16"/>
      <c r="L2134" s="16"/>
      <c r="M2134" s="16"/>
      <c r="N2134" s="16"/>
      <c r="O2134" s="17" t="s">
        <v>38</v>
      </c>
      <c r="P2134" s="5" t="str">
        <f t="shared" si="59"/>
        <v>Truncate table FSD108;</v>
      </c>
      <c r="Q2134" s="5"/>
      <c r="R2134" s="5"/>
    </row>
    <row r="2135" spans="1:18" x14ac:dyDescent="0.25">
      <c r="B2135" s="19" t="s">
        <v>2852</v>
      </c>
      <c r="C2135" s="16" t="s">
        <v>2853</v>
      </c>
      <c r="D2135" s="16" t="s">
        <v>8152</v>
      </c>
      <c r="E2135" s="16" t="s">
        <v>54</v>
      </c>
      <c r="F2135" s="5" t="s">
        <v>2854</v>
      </c>
      <c r="G2135" s="16" t="s">
        <v>35</v>
      </c>
      <c r="H2135" s="16" t="s">
        <v>36</v>
      </c>
      <c r="I2135" s="16"/>
      <c r="J2135" s="16"/>
      <c r="K2135" s="16"/>
      <c r="L2135" s="16"/>
      <c r="M2135" s="238" t="s">
        <v>38</v>
      </c>
      <c r="N2135" s="16"/>
      <c r="O2135" s="17"/>
      <c r="P2135" s="5" t="str">
        <f t="shared" si="59"/>
        <v/>
      </c>
      <c r="Q2135" s="5"/>
      <c r="R2135" s="5"/>
    </row>
    <row r="2136" spans="1:18" x14ac:dyDescent="0.25">
      <c r="B2136" s="19" t="s">
        <v>2855</v>
      </c>
      <c r="C2136" s="16" t="s">
        <v>2853</v>
      </c>
      <c r="D2136" s="16" t="s">
        <v>8152</v>
      </c>
      <c r="E2136" s="16" t="s">
        <v>54</v>
      </c>
      <c r="F2136" s="5" t="s">
        <v>2832</v>
      </c>
      <c r="G2136" s="16" t="s">
        <v>35</v>
      </c>
      <c r="H2136" s="16" t="s">
        <v>36</v>
      </c>
      <c r="I2136" s="16"/>
      <c r="J2136" s="16"/>
      <c r="K2136" s="16"/>
      <c r="L2136" s="16"/>
      <c r="M2136" s="16"/>
      <c r="N2136" s="16"/>
      <c r="O2136" s="17" t="s">
        <v>38</v>
      </c>
      <c r="P2136" s="5" t="str">
        <f t="shared" si="59"/>
        <v/>
      </c>
      <c r="Q2136" s="5"/>
      <c r="R2136" s="5"/>
    </row>
    <row r="2137" spans="1:18" s="306" customFormat="1" x14ac:dyDescent="0.25">
      <c r="A2137" s="71"/>
      <c r="B2137" s="307" t="s">
        <v>2856</v>
      </c>
      <c r="C2137" s="308"/>
      <c r="D2137" s="308" t="s">
        <v>29</v>
      </c>
      <c r="E2137" s="308"/>
      <c r="F2137" s="308"/>
      <c r="G2137" s="308" t="s">
        <v>35</v>
      </c>
      <c r="H2137" s="308"/>
      <c r="I2137" s="308"/>
      <c r="J2137" s="308"/>
      <c r="K2137" s="308"/>
      <c r="L2137" s="308"/>
      <c r="M2137" s="308"/>
      <c r="N2137" s="308"/>
      <c r="O2137" s="309"/>
      <c r="P2137" s="308" t="str">
        <f t="shared" si="59"/>
        <v>Truncate table FSD121;</v>
      </c>
      <c r="Q2137" s="308"/>
      <c r="R2137" s="308"/>
    </row>
    <row r="2138" spans="1:18" ht="27" x14ac:dyDescent="0.25">
      <c r="B2138" s="19" t="s">
        <v>2857</v>
      </c>
      <c r="C2138" s="16" t="s">
        <v>2858</v>
      </c>
      <c r="D2138" s="16" t="s">
        <v>8152</v>
      </c>
      <c r="E2138" s="16" t="s">
        <v>54</v>
      </c>
      <c r="F2138" s="5" t="s">
        <v>2832</v>
      </c>
      <c r="G2138" s="16" t="s">
        <v>35</v>
      </c>
      <c r="H2138" s="16" t="s">
        <v>36</v>
      </c>
      <c r="I2138" s="16"/>
      <c r="J2138" s="16"/>
      <c r="K2138" s="16"/>
      <c r="L2138" s="16"/>
      <c r="M2138" s="238" t="s">
        <v>8577</v>
      </c>
      <c r="N2138" s="16" t="s">
        <v>8652</v>
      </c>
      <c r="O2138" s="17" t="s">
        <v>38</v>
      </c>
      <c r="P2138" s="5" t="str">
        <f t="shared" si="59"/>
        <v/>
      </c>
      <c r="Q2138" s="5"/>
      <c r="R2138" s="5"/>
    </row>
    <row r="2139" spans="1:18" s="306" customFormat="1" x14ac:dyDescent="0.25">
      <c r="A2139" s="71"/>
      <c r="B2139" s="307" t="s">
        <v>2859</v>
      </c>
      <c r="C2139" s="308"/>
      <c r="D2139" s="308" t="s">
        <v>29</v>
      </c>
      <c r="E2139" s="308"/>
      <c r="F2139" s="308"/>
      <c r="G2139" s="308" t="s">
        <v>35</v>
      </c>
      <c r="H2139" s="308"/>
      <c r="I2139" s="308"/>
      <c r="J2139" s="308"/>
      <c r="K2139" s="308"/>
      <c r="L2139" s="308"/>
      <c r="M2139" s="308"/>
      <c r="N2139" s="308"/>
      <c r="O2139" s="309"/>
      <c r="P2139" s="308" t="str">
        <f t="shared" si="59"/>
        <v>Truncate table FSD126;</v>
      </c>
      <c r="Q2139" s="308"/>
      <c r="R2139" s="308"/>
    </row>
    <row r="2140" spans="1:18" s="306" customFormat="1" x14ac:dyDescent="0.25">
      <c r="A2140" s="71"/>
      <c r="B2140" s="307" t="s">
        <v>2860</v>
      </c>
      <c r="C2140" s="308"/>
      <c r="D2140" s="308" t="s">
        <v>29</v>
      </c>
      <c r="E2140" s="308"/>
      <c r="F2140" s="308"/>
      <c r="G2140" s="308" t="s">
        <v>35</v>
      </c>
      <c r="H2140" s="308"/>
      <c r="I2140" s="308"/>
      <c r="J2140" s="308"/>
      <c r="K2140" s="308"/>
      <c r="L2140" s="308"/>
      <c r="M2140" s="308"/>
      <c r="N2140" s="308"/>
      <c r="O2140" s="309"/>
      <c r="P2140" s="308" t="str">
        <f t="shared" si="59"/>
        <v>Truncate table FSD127;</v>
      </c>
      <c r="Q2140" s="308"/>
      <c r="R2140" s="308"/>
    </row>
    <row r="2141" spans="1:18" s="306" customFormat="1" x14ac:dyDescent="0.25">
      <c r="A2141" s="71"/>
      <c r="B2141" s="307" t="s">
        <v>2861</v>
      </c>
      <c r="C2141" s="308"/>
      <c r="D2141" s="308" t="s">
        <v>29</v>
      </c>
      <c r="E2141" s="308"/>
      <c r="F2141" s="308"/>
      <c r="G2141" s="308" t="s">
        <v>35</v>
      </c>
      <c r="H2141" s="308"/>
      <c r="I2141" s="308"/>
      <c r="J2141" s="308"/>
      <c r="K2141" s="308"/>
      <c r="L2141" s="308"/>
      <c r="M2141" s="308"/>
      <c r="N2141" s="308"/>
      <c r="O2141" s="309"/>
      <c r="P2141" s="308" t="str">
        <f t="shared" si="59"/>
        <v>Truncate table FSD128;</v>
      </c>
      <c r="Q2141" s="308"/>
      <c r="R2141" s="308"/>
    </row>
    <row r="2142" spans="1:18" s="306" customFormat="1" x14ac:dyDescent="0.25">
      <c r="A2142" s="71"/>
      <c r="B2142" s="307" t="s">
        <v>2862</v>
      </c>
      <c r="C2142" s="308"/>
      <c r="D2142" s="308" t="s">
        <v>29</v>
      </c>
      <c r="E2142" s="308"/>
      <c r="F2142" s="308"/>
      <c r="G2142" s="308" t="s">
        <v>35</v>
      </c>
      <c r="H2142" s="308"/>
      <c r="I2142" s="308"/>
      <c r="J2142" s="308"/>
      <c r="K2142" s="308"/>
      <c r="L2142" s="308"/>
      <c r="M2142" s="308"/>
      <c r="N2142" s="308"/>
      <c r="O2142" s="309"/>
      <c r="P2142" s="308" t="str">
        <f t="shared" si="59"/>
        <v>Truncate table FSD129;</v>
      </c>
      <c r="Q2142" s="308"/>
      <c r="R2142" s="308"/>
    </row>
    <row r="2143" spans="1:18" x14ac:dyDescent="0.25">
      <c r="B2143" s="19" t="s">
        <v>2863</v>
      </c>
      <c r="C2143" s="16" t="s">
        <v>2864</v>
      </c>
      <c r="D2143" s="16" t="s">
        <v>8152</v>
      </c>
      <c r="E2143" s="16" t="s">
        <v>151</v>
      </c>
      <c r="F2143" s="5"/>
      <c r="G2143" s="16" t="s">
        <v>35</v>
      </c>
      <c r="H2143" s="16"/>
      <c r="I2143" s="16"/>
      <c r="J2143" s="16"/>
      <c r="K2143" s="16"/>
      <c r="L2143" s="16"/>
      <c r="M2143" s="229"/>
      <c r="N2143" s="16"/>
      <c r="O2143" s="17" t="s">
        <v>38</v>
      </c>
      <c r="P2143" s="5" t="str">
        <f t="shared" si="59"/>
        <v/>
      </c>
      <c r="Q2143" s="5"/>
      <c r="R2143" s="5"/>
    </row>
    <row r="2144" spans="1:18" x14ac:dyDescent="0.25">
      <c r="B2144" s="19" t="s">
        <v>2865</v>
      </c>
      <c r="C2144" s="16" t="s">
        <v>2866</v>
      </c>
      <c r="D2144" s="16" t="s">
        <v>8152</v>
      </c>
      <c r="E2144" s="16" t="s">
        <v>54</v>
      </c>
      <c r="F2144" s="5" t="s">
        <v>163</v>
      </c>
      <c r="G2144" s="16" t="s">
        <v>35</v>
      </c>
      <c r="H2144" s="16" t="s">
        <v>36</v>
      </c>
      <c r="I2144" s="16"/>
      <c r="J2144" s="16"/>
      <c r="K2144" s="16"/>
      <c r="L2144" s="16"/>
      <c r="M2144" s="238" t="s">
        <v>387</v>
      </c>
      <c r="N2144" s="16"/>
      <c r="O2144" s="17" t="s">
        <v>38</v>
      </c>
      <c r="P2144" s="5" t="str">
        <f t="shared" si="59"/>
        <v/>
      </c>
      <c r="Q2144" s="5"/>
      <c r="R2144" s="5"/>
    </row>
    <row r="2145" spans="1:18" s="306" customFormat="1" x14ac:dyDescent="0.25">
      <c r="A2145" s="71"/>
      <c r="B2145" s="307" t="s">
        <v>2867</v>
      </c>
      <c r="C2145" s="308"/>
      <c r="D2145" s="308" t="s">
        <v>29</v>
      </c>
      <c r="E2145" s="308"/>
      <c r="F2145" s="308"/>
      <c r="G2145" s="308" t="s">
        <v>35</v>
      </c>
      <c r="H2145" s="308"/>
      <c r="I2145" s="308"/>
      <c r="J2145" s="308"/>
      <c r="K2145" s="308"/>
      <c r="L2145" s="308"/>
      <c r="M2145" s="308"/>
      <c r="N2145" s="308"/>
      <c r="O2145" s="309"/>
      <c r="P2145" s="308" t="str">
        <f t="shared" si="59"/>
        <v>Truncate table FSD134;</v>
      </c>
      <c r="Q2145" s="308"/>
      <c r="R2145" s="308"/>
    </row>
    <row r="2146" spans="1:18" s="306" customFormat="1" x14ac:dyDescent="0.25">
      <c r="A2146" s="71"/>
      <c r="B2146" s="307" t="s">
        <v>2868</v>
      </c>
      <c r="C2146" s="308"/>
      <c r="D2146" s="308" t="s">
        <v>29</v>
      </c>
      <c r="E2146" s="308"/>
      <c r="F2146" s="308"/>
      <c r="G2146" s="308" t="s">
        <v>35</v>
      </c>
      <c r="H2146" s="308"/>
      <c r="I2146" s="308"/>
      <c r="J2146" s="308"/>
      <c r="K2146" s="308"/>
      <c r="L2146" s="308"/>
      <c r="M2146" s="308"/>
      <c r="N2146" s="308"/>
      <c r="O2146" s="309"/>
      <c r="P2146" s="308" t="str">
        <f t="shared" si="59"/>
        <v>Truncate table FSD135;</v>
      </c>
      <c r="Q2146" s="308"/>
      <c r="R2146" s="308"/>
    </row>
    <row r="2147" spans="1:18" x14ac:dyDescent="0.25">
      <c r="B2147" s="19" t="s">
        <v>2869</v>
      </c>
      <c r="C2147" s="16" t="s">
        <v>2870</v>
      </c>
      <c r="D2147" s="16" t="s">
        <v>29</v>
      </c>
      <c r="E2147" s="16" t="s">
        <v>54</v>
      </c>
      <c r="F2147" s="5" t="s">
        <v>235</v>
      </c>
      <c r="G2147" s="16" t="s">
        <v>35</v>
      </c>
      <c r="H2147" s="16"/>
      <c r="I2147" s="16"/>
      <c r="J2147" s="16"/>
      <c r="K2147" s="16"/>
      <c r="L2147" s="16"/>
      <c r="M2147" s="16"/>
      <c r="N2147" s="16"/>
      <c r="O2147" s="17" t="s">
        <v>38</v>
      </c>
      <c r="P2147" s="5" t="str">
        <f t="shared" si="59"/>
        <v>Truncate table FSD140;</v>
      </c>
      <c r="Q2147" s="5"/>
      <c r="R2147" s="5"/>
    </row>
    <row r="2148" spans="1:18" x14ac:dyDescent="0.25">
      <c r="B2148" s="19" t="s">
        <v>2871</v>
      </c>
      <c r="C2148" s="16" t="s">
        <v>2872</v>
      </c>
      <c r="D2148" s="16" t="s">
        <v>29</v>
      </c>
      <c r="E2148" s="16" t="s">
        <v>54</v>
      </c>
      <c r="F2148" s="5" t="s">
        <v>235</v>
      </c>
      <c r="G2148" s="16" t="s">
        <v>35</v>
      </c>
      <c r="H2148" s="16"/>
      <c r="I2148" s="16"/>
      <c r="J2148" s="16"/>
      <c r="K2148" s="16"/>
      <c r="L2148" s="16"/>
      <c r="M2148" s="16"/>
      <c r="N2148" s="16"/>
      <c r="O2148" s="17" t="s">
        <v>38</v>
      </c>
      <c r="P2148" s="5" t="str">
        <f t="shared" si="59"/>
        <v>Truncate table FSD141;</v>
      </c>
      <c r="Q2148" s="5"/>
      <c r="R2148" s="5"/>
    </row>
    <row r="2149" spans="1:18" x14ac:dyDescent="0.25">
      <c r="B2149" s="19" t="s">
        <v>2873</v>
      </c>
      <c r="C2149" s="16" t="s">
        <v>2874</v>
      </c>
      <c r="D2149" s="16" t="s">
        <v>29</v>
      </c>
      <c r="E2149" s="16" t="s">
        <v>34</v>
      </c>
      <c r="F2149" s="5" t="s">
        <v>33</v>
      </c>
      <c r="G2149" s="16" t="s">
        <v>35</v>
      </c>
      <c r="H2149" s="16" t="s">
        <v>36</v>
      </c>
      <c r="I2149" s="16"/>
      <c r="J2149" s="16"/>
      <c r="K2149" s="16"/>
      <c r="L2149" s="16"/>
      <c r="M2149" s="16"/>
      <c r="N2149" s="16"/>
      <c r="O2149" s="17" t="s">
        <v>38</v>
      </c>
      <c r="P2149" s="5" t="str">
        <f t="shared" si="59"/>
        <v>Truncate table FSD142;</v>
      </c>
      <c r="Q2149" s="5"/>
      <c r="R2149" s="5"/>
    </row>
    <row r="2150" spans="1:18" s="306" customFormat="1" x14ac:dyDescent="0.25">
      <c r="A2150" s="71"/>
      <c r="B2150" s="307" t="s">
        <v>2875</v>
      </c>
      <c r="C2150" s="308"/>
      <c r="D2150" s="308" t="s">
        <v>29</v>
      </c>
      <c r="E2150" s="308"/>
      <c r="F2150" s="308"/>
      <c r="G2150" s="308" t="s">
        <v>35</v>
      </c>
      <c r="H2150" s="308"/>
      <c r="I2150" s="308"/>
      <c r="J2150" s="308"/>
      <c r="K2150" s="308"/>
      <c r="L2150" s="308"/>
      <c r="M2150" s="308"/>
      <c r="N2150" s="308"/>
      <c r="O2150" s="309"/>
      <c r="P2150" s="308" t="str">
        <f t="shared" si="59"/>
        <v>Truncate table FSD150;</v>
      </c>
      <c r="Q2150" s="308"/>
      <c r="R2150" s="308"/>
    </row>
    <row r="2151" spans="1:18" x14ac:dyDescent="0.25">
      <c r="B2151" s="19" t="s">
        <v>2876</v>
      </c>
      <c r="C2151" t="s">
        <v>8502</v>
      </c>
      <c r="D2151" s="16" t="s">
        <v>29</v>
      </c>
      <c r="E2151" s="16"/>
      <c r="F2151" s="5"/>
      <c r="G2151" s="16" t="s">
        <v>35</v>
      </c>
      <c r="H2151" s="16"/>
      <c r="I2151" s="16"/>
      <c r="J2151" s="16"/>
      <c r="K2151" s="16"/>
      <c r="L2151" s="16"/>
      <c r="M2151" s="16"/>
      <c r="N2151" s="16"/>
      <c r="O2151" s="17"/>
      <c r="P2151" s="5" t="str">
        <f t="shared" si="59"/>
        <v>Truncate table FSD170;</v>
      </c>
      <c r="Q2151" s="5"/>
      <c r="R2151" s="5"/>
    </row>
    <row r="2152" spans="1:18" s="306" customFormat="1" x14ac:dyDescent="0.25">
      <c r="A2152" s="71"/>
      <c r="B2152" s="307" t="s">
        <v>2877</v>
      </c>
      <c r="C2152" s="308"/>
      <c r="D2152" s="308" t="s">
        <v>29</v>
      </c>
      <c r="E2152" s="308"/>
      <c r="F2152" s="308"/>
      <c r="G2152" s="308" t="s">
        <v>35</v>
      </c>
      <c r="H2152" s="308"/>
      <c r="I2152" s="308"/>
      <c r="J2152" s="308"/>
      <c r="K2152" s="308"/>
      <c r="L2152" s="308"/>
      <c r="M2152" s="308"/>
      <c r="N2152" s="308"/>
      <c r="O2152" s="309"/>
      <c r="P2152" s="308" t="str">
        <f t="shared" si="59"/>
        <v>Truncate table FSD171;</v>
      </c>
      <c r="Q2152" s="308"/>
      <c r="R2152" s="308"/>
    </row>
    <row r="2153" spans="1:18" s="306" customFormat="1" x14ac:dyDescent="0.25">
      <c r="A2153" s="71"/>
      <c r="B2153" s="307" t="s">
        <v>2878</v>
      </c>
      <c r="C2153" s="308"/>
      <c r="D2153" s="308" t="s">
        <v>29</v>
      </c>
      <c r="E2153" s="308"/>
      <c r="F2153" s="308"/>
      <c r="G2153" s="308" t="s">
        <v>35</v>
      </c>
      <c r="H2153" s="308"/>
      <c r="I2153" s="308"/>
      <c r="J2153" s="308"/>
      <c r="K2153" s="308"/>
      <c r="L2153" s="308"/>
      <c r="M2153" s="308"/>
      <c r="N2153" s="308"/>
      <c r="O2153" s="309"/>
      <c r="P2153" s="308" t="str">
        <f t="shared" si="59"/>
        <v>Truncate table FSD181;</v>
      </c>
      <c r="Q2153" s="308"/>
      <c r="R2153" s="308"/>
    </row>
    <row r="2154" spans="1:18" s="306" customFormat="1" x14ac:dyDescent="0.25">
      <c r="A2154" s="71"/>
      <c r="B2154" s="307" t="s">
        <v>2879</v>
      </c>
      <c r="C2154" s="308"/>
      <c r="D2154" s="308" t="s">
        <v>29</v>
      </c>
      <c r="E2154" s="308"/>
      <c r="F2154" s="308"/>
      <c r="G2154" s="308" t="s">
        <v>35</v>
      </c>
      <c r="H2154" s="308"/>
      <c r="I2154" s="308"/>
      <c r="J2154" s="308"/>
      <c r="K2154" s="308"/>
      <c r="L2154" s="308"/>
      <c r="M2154" s="308"/>
      <c r="N2154" s="308"/>
      <c r="O2154" s="309"/>
      <c r="P2154" s="308" t="str">
        <f t="shared" si="59"/>
        <v>Truncate table FSD182;</v>
      </c>
      <c r="Q2154" s="308"/>
      <c r="R2154" s="308"/>
    </row>
    <row r="2155" spans="1:18" s="306" customFormat="1" x14ac:dyDescent="0.25">
      <c r="A2155" s="71"/>
      <c r="B2155" s="307" t="s">
        <v>2880</v>
      </c>
      <c r="C2155" s="308"/>
      <c r="D2155" s="308" t="s">
        <v>29</v>
      </c>
      <c r="E2155" s="308"/>
      <c r="F2155" s="308"/>
      <c r="G2155" s="308" t="s">
        <v>35</v>
      </c>
      <c r="H2155" s="308"/>
      <c r="I2155" s="308"/>
      <c r="J2155" s="308"/>
      <c r="K2155" s="308"/>
      <c r="L2155" s="308"/>
      <c r="M2155" s="308"/>
      <c r="N2155" s="308"/>
      <c r="O2155" s="309"/>
      <c r="P2155" s="308" t="str">
        <f t="shared" si="59"/>
        <v>Truncate table FSD183;</v>
      </c>
      <c r="Q2155" s="308"/>
      <c r="R2155" s="308"/>
    </row>
    <row r="2156" spans="1:18" s="306" customFormat="1" x14ac:dyDescent="0.25">
      <c r="A2156" s="71"/>
      <c r="B2156" s="307" t="s">
        <v>2881</v>
      </c>
      <c r="C2156" s="308"/>
      <c r="D2156" s="308" t="s">
        <v>29</v>
      </c>
      <c r="E2156" s="308"/>
      <c r="F2156" s="308"/>
      <c r="G2156" s="308" t="s">
        <v>35</v>
      </c>
      <c r="H2156" s="308"/>
      <c r="I2156" s="308"/>
      <c r="J2156" s="308"/>
      <c r="K2156" s="308"/>
      <c r="L2156" s="308"/>
      <c r="M2156" s="308"/>
      <c r="N2156" s="308"/>
      <c r="O2156" s="309"/>
      <c r="P2156" s="308" t="str">
        <f t="shared" si="59"/>
        <v>Truncate table FSD184;</v>
      </c>
      <c r="Q2156" s="308"/>
      <c r="R2156" s="308"/>
    </row>
    <row r="2157" spans="1:18" x14ac:dyDescent="0.25">
      <c r="B2157" s="19" t="s">
        <v>2882</v>
      </c>
      <c r="C2157" s="16" t="s">
        <v>2883</v>
      </c>
      <c r="D2157" s="16" t="s">
        <v>29</v>
      </c>
      <c r="E2157" s="16" t="s">
        <v>54</v>
      </c>
      <c r="F2157" s="5" t="s">
        <v>163</v>
      </c>
      <c r="G2157" s="16" t="s">
        <v>35</v>
      </c>
      <c r="H2157" s="16" t="s">
        <v>36</v>
      </c>
      <c r="I2157" s="16"/>
      <c r="J2157" s="16"/>
      <c r="K2157" s="16"/>
      <c r="L2157" s="16"/>
      <c r="M2157" s="16"/>
      <c r="N2157" s="16"/>
      <c r="O2157" s="17" t="s">
        <v>38</v>
      </c>
      <c r="P2157" s="5" t="str">
        <f t="shared" si="59"/>
        <v>Truncate table FSD201;</v>
      </c>
      <c r="Q2157" s="5"/>
      <c r="R2157" s="5"/>
    </row>
    <row r="2158" spans="1:18" x14ac:dyDescent="0.25">
      <c r="B2158" s="19" t="s">
        <v>2884</v>
      </c>
      <c r="C2158" s="16" t="s">
        <v>10094</v>
      </c>
      <c r="D2158" s="16" t="s">
        <v>29</v>
      </c>
      <c r="E2158" s="16"/>
      <c r="F2158" s="5"/>
      <c r="G2158" s="16" t="s">
        <v>35</v>
      </c>
      <c r="H2158" s="16"/>
      <c r="I2158" s="16"/>
      <c r="J2158" s="16"/>
      <c r="K2158" s="16"/>
      <c r="L2158" s="16"/>
      <c r="M2158" s="16"/>
      <c r="N2158" s="16"/>
      <c r="O2158" s="17"/>
      <c r="P2158" s="5" t="str">
        <f t="shared" ref="P2158:P2194" si="60">IF(D2158="Datos","Truncate table "&amp; B2158&amp; ";","")</f>
        <v>Truncate table FSD202;</v>
      </c>
      <c r="Q2158" s="5"/>
      <c r="R2158" s="5"/>
    </row>
    <row r="2159" spans="1:18" s="306" customFormat="1" x14ac:dyDescent="0.25">
      <c r="A2159" s="71"/>
      <c r="B2159" s="307" t="s">
        <v>2885</v>
      </c>
      <c r="C2159" s="308"/>
      <c r="D2159" s="308" t="s">
        <v>29</v>
      </c>
      <c r="E2159" s="308"/>
      <c r="F2159" s="308"/>
      <c r="G2159" s="308" t="s">
        <v>35</v>
      </c>
      <c r="H2159" s="308"/>
      <c r="I2159" s="308"/>
      <c r="J2159" s="308"/>
      <c r="K2159" s="308"/>
      <c r="L2159" s="308"/>
      <c r="M2159" s="308"/>
      <c r="N2159" s="308"/>
      <c r="O2159" s="309"/>
      <c r="P2159" s="308" t="str">
        <f t="shared" si="60"/>
        <v>Truncate table FSD205;</v>
      </c>
      <c r="Q2159" s="308"/>
      <c r="R2159" s="308"/>
    </row>
    <row r="2160" spans="1:18" s="306" customFormat="1" x14ac:dyDescent="0.25">
      <c r="A2160" s="71"/>
      <c r="B2160" s="307" t="s">
        <v>2886</v>
      </c>
      <c r="C2160" s="308"/>
      <c r="D2160" s="308" t="s">
        <v>29</v>
      </c>
      <c r="E2160" s="308"/>
      <c r="F2160" s="308"/>
      <c r="G2160" s="308" t="s">
        <v>35</v>
      </c>
      <c r="H2160" s="308"/>
      <c r="I2160" s="308"/>
      <c r="J2160" s="308"/>
      <c r="K2160" s="308"/>
      <c r="L2160" s="308"/>
      <c r="M2160" s="308"/>
      <c r="N2160" s="308"/>
      <c r="O2160" s="309"/>
      <c r="P2160" s="308" t="str">
        <f t="shared" si="60"/>
        <v>Truncate table FSD206;</v>
      </c>
      <c r="Q2160" s="308"/>
      <c r="R2160" s="308"/>
    </row>
    <row r="2161" spans="1:18" s="306" customFormat="1" x14ac:dyDescent="0.25">
      <c r="A2161" s="71"/>
      <c r="B2161" s="307" t="s">
        <v>2887</v>
      </c>
      <c r="C2161" s="308"/>
      <c r="D2161" s="308" t="s">
        <v>29</v>
      </c>
      <c r="E2161" s="308"/>
      <c r="F2161" s="308"/>
      <c r="G2161" s="308" t="s">
        <v>35</v>
      </c>
      <c r="H2161" s="308"/>
      <c r="I2161" s="308"/>
      <c r="J2161" s="308"/>
      <c r="K2161" s="308"/>
      <c r="L2161" s="308"/>
      <c r="M2161" s="308"/>
      <c r="N2161" s="308"/>
      <c r="O2161" s="309"/>
      <c r="P2161" s="308" t="str">
        <f t="shared" si="60"/>
        <v>Truncate table FSD207;</v>
      </c>
      <c r="Q2161" s="308"/>
      <c r="R2161" s="308"/>
    </row>
    <row r="2162" spans="1:18" s="306" customFormat="1" x14ac:dyDescent="0.25">
      <c r="A2162" s="71"/>
      <c r="B2162" s="307" t="s">
        <v>2888</v>
      </c>
      <c r="C2162" s="333"/>
      <c r="D2162" s="308" t="s">
        <v>29</v>
      </c>
      <c r="E2162" s="308"/>
      <c r="F2162" s="308"/>
      <c r="G2162" s="308" t="s">
        <v>35</v>
      </c>
      <c r="H2162" s="308"/>
      <c r="I2162" s="308"/>
      <c r="J2162" s="308"/>
      <c r="K2162" s="308"/>
      <c r="L2162" s="308"/>
      <c r="M2162" s="308"/>
      <c r="N2162" s="308"/>
      <c r="O2162" s="309"/>
      <c r="P2162" s="308" t="str">
        <f t="shared" si="60"/>
        <v>Truncate table FSD208;</v>
      </c>
      <c r="Q2162" s="308"/>
      <c r="R2162" s="308"/>
    </row>
    <row r="2163" spans="1:18" x14ac:dyDescent="0.25">
      <c r="B2163" s="19" t="s">
        <v>2889</v>
      </c>
      <c r="C2163" s="21" t="s">
        <v>2890</v>
      </c>
      <c r="D2163" s="16" t="s">
        <v>29</v>
      </c>
      <c r="E2163" s="16" t="s">
        <v>151</v>
      </c>
      <c r="F2163" s="5" t="s">
        <v>243</v>
      </c>
      <c r="G2163" s="16" t="s">
        <v>35</v>
      </c>
      <c r="H2163" s="16" t="s">
        <v>36</v>
      </c>
      <c r="I2163" s="16"/>
      <c r="J2163" s="16"/>
      <c r="K2163" s="16"/>
      <c r="L2163" s="16"/>
      <c r="M2163" s="16"/>
      <c r="N2163" s="16"/>
      <c r="O2163" s="17" t="s">
        <v>38</v>
      </c>
      <c r="P2163" s="5" t="str">
        <f t="shared" si="60"/>
        <v>Truncate table FSD211;</v>
      </c>
      <c r="Q2163" s="5"/>
      <c r="R2163" s="5"/>
    </row>
    <row r="2164" spans="1:18" x14ac:dyDescent="0.25">
      <c r="B2164" s="19" t="s">
        <v>2891</v>
      </c>
      <c r="C2164" s="21" t="s">
        <v>2892</v>
      </c>
      <c r="D2164" s="16" t="s">
        <v>29</v>
      </c>
      <c r="E2164" s="16" t="s">
        <v>34</v>
      </c>
      <c r="F2164" s="5" t="s">
        <v>33</v>
      </c>
      <c r="G2164" s="16" t="s">
        <v>35</v>
      </c>
      <c r="H2164" s="16" t="s">
        <v>36</v>
      </c>
      <c r="I2164" s="16"/>
      <c r="J2164" s="16"/>
      <c r="K2164" s="16"/>
      <c r="L2164" s="26"/>
      <c r="M2164" s="26"/>
      <c r="N2164" s="16"/>
      <c r="O2164" s="17" t="s">
        <v>38</v>
      </c>
      <c r="P2164" s="5" t="str">
        <f t="shared" si="60"/>
        <v>Truncate table FSD212;</v>
      </c>
      <c r="Q2164" s="5"/>
      <c r="R2164" s="5"/>
    </row>
    <row r="2165" spans="1:18" x14ac:dyDescent="0.25">
      <c r="B2165" s="19" t="s">
        <v>2893</v>
      </c>
      <c r="C2165" s="16" t="s">
        <v>2894</v>
      </c>
      <c r="D2165" s="16" t="s">
        <v>8152</v>
      </c>
      <c r="E2165" s="16" t="s">
        <v>54</v>
      </c>
      <c r="F2165" s="5" t="s">
        <v>919</v>
      </c>
      <c r="G2165" s="16" t="s">
        <v>35</v>
      </c>
      <c r="H2165" s="16" t="s">
        <v>36</v>
      </c>
      <c r="I2165" s="16"/>
      <c r="J2165" s="16"/>
      <c r="K2165" s="16"/>
      <c r="L2165" s="16"/>
      <c r="M2165" s="16"/>
      <c r="N2165" s="16"/>
      <c r="O2165" s="17" t="s">
        <v>38</v>
      </c>
      <c r="P2165" s="5" t="str">
        <f t="shared" si="60"/>
        <v/>
      </c>
      <c r="Q2165" s="5"/>
      <c r="R2165" s="5"/>
    </row>
    <row r="2166" spans="1:18" x14ac:dyDescent="0.25">
      <c r="B2166" s="19" t="s">
        <v>2895</v>
      </c>
      <c r="C2166" s="16" t="s">
        <v>2896</v>
      </c>
      <c r="D2166" s="16" t="s">
        <v>8152</v>
      </c>
      <c r="E2166" s="16" t="s">
        <v>54</v>
      </c>
      <c r="F2166" s="5" t="s">
        <v>919</v>
      </c>
      <c r="G2166" s="16" t="s">
        <v>35</v>
      </c>
      <c r="H2166" s="16" t="s">
        <v>36</v>
      </c>
      <c r="I2166" s="16"/>
      <c r="J2166" s="16"/>
      <c r="K2166" s="16"/>
      <c r="L2166" s="16"/>
      <c r="M2166" s="16"/>
      <c r="N2166" s="16"/>
      <c r="O2166" s="17" t="s">
        <v>38</v>
      </c>
      <c r="P2166" s="5" t="str">
        <f t="shared" si="60"/>
        <v/>
      </c>
      <c r="Q2166" s="5"/>
      <c r="R2166" s="5"/>
    </row>
    <row r="2167" spans="1:18" x14ac:dyDescent="0.25">
      <c r="B2167" s="19" t="s">
        <v>2897</v>
      </c>
      <c r="C2167" s="21" t="s">
        <v>2898</v>
      </c>
      <c r="D2167" s="16" t="s">
        <v>29</v>
      </c>
      <c r="E2167" s="16" t="s">
        <v>54</v>
      </c>
      <c r="F2167" s="5" t="s">
        <v>1198</v>
      </c>
      <c r="G2167" s="16" t="s">
        <v>35</v>
      </c>
      <c r="H2167" s="16"/>
      <c r="I2167" s="16"/>
      <c r="J2167" s="16"/>
      <c r="K2167" s="16"/>
      <c r="L2167" s="16"/>
      <c r="M2167" s="16"/>
      <c r="N2167" s="16"/>
      <c r="O2167" s="17" t="s">
        <v>38</v>
      </c>
      <c r="P2167" s="5" t="str">
        <f t="shared" si="60"/>
        <v>Truncate table FSD215;</v>
      </c>
      <c r="Q2167" s="5"/>
      <c r="R2167" s="5"/>
    </row>
    <row r="2168" spans="1:18" x14ac:dyDescent="0.25">
      <c r="B2168" s="19" t="s">
        <v>2899</v>
      </c>
      <c r="C2168" s="21" t="s">
        <v>2900</v>
      </c>
      <c r="D2168" s="16" t="s">
        <v>29</v>
      </c>
      <c r="E2168" s="16" t="s">
        <v>34</v>
      </c>
      <c r="F2168" s="5" t="s">
        <v>33</v>
      </c>
      <c r="G2168" s="16" t="s">
        <v>35</v>
      </c>
      <c r="H2168" s="16" t="s">
        <v>36</v>
      </c>
      <c r="I2168" s="16"/>
      <c r="J2168" s="16"/>
      <c r="K2168" s="16"/>
      <c r="L2168" s="16"/>
      <c r="M2168" s="16"/>
      <c r="N2168" s="16"/>
      <c r="O2168" s="17" t="s">
        <v>38</v>
      </c>
      <c r="P2168" s="5" t="str">
        <f t="shared" si="60"/>
        <v>Truncate table FSD217;</v>
      </c>
      <c r="Q2168" s="5"/>
      <c r="R2168" s="5"/>
    </row>
    <row r="2169" spans="1:18" s="306" customFormat="1" x14ac:dyDescent="0.25">
      <c r="A2169" s="71"/>
      <c r="B2169" s="307" t="s">
        <v>2901</v>
      </c>
      <c r="C2169" s="308"/>
      <c r="D2169" s="308" t="s">
        <v>29</v>
      </c>
      <c r="E2169" s="308"/>
      <c r="F2169" s="308"/>
      <c r="G2169" s="308" t="s">
        <v>35</v>
      </c>
      <c r="H2169" s="308" t="s">
        <v>36</v>
      </c>
      <c r="I2169" s="308"/>
      <c r="J2169" s="308"/>
      <c r="K2169" s="308"/>
      <c r="L2169" s="308"/>
      <c r="M2169" s="308"/>
      <c r="N2169" s="308"/>
      <c r="O2169" s="309"/>
      <c r="P2169" s="308" t="str">
        <f t="shared" si="60"/>
        <v>Truncate table FSD218;</v>
      </c>
      <c r="Q2169" s="308"/>
      <c r="R2169" s="308"/>
    </row>
    <row r="2170" spans="1:18" s="306" customFormat="1" x14ac:dyDescent="0.25">
      <c r="A2170" s="71"/>
      <c r="B2170" s="307" t="s">
        <v>2902</v>
      </c>
      <c r="C2170" s="308"/>
      <c r="D2170" s="308" t="s">
        <v>29</v>
      </c>
      <c r="E2170" s="308"/>
      <c r="F2170" s="308"/>
      <c r="G2170" s="308" t="s">
        <v>35</v>
      </c>
      <c r="H2170" s="308" t="s">
        <v>36</v>
      </c>
      <c r="I2170" s="308"/>
      <c r="J2170" s="308"/>
      <c r="K2170" s="308"/>
      <c r="L2170" s="333"/>
      <c r="M2170" s="333"/>
      <c r="N2170" s="308"/>
      <c r="O2170" s="309"/>
      <c r="P2170" s="308" t="str">
        <f t="shared" si="60"/>
        <v>Truncate table FSD219;</v>
      </c>
      <c r="Q2170" s="308"/>
      <c r="R2170" s="308"/>
    </row>
    <row r="2171" spans="1:18" s="306" customFormat="1" x14ac:dyDescent="0.25">
      <c r="A2171" s="71"/>
      <c r="B2171" s="307" t="s">
        <v>2903</v>
      </c>
      <c r="C2171" s="308"/>
      <c r="D2171" s="308" t="s">
        <v>29</v>
      </c>
      <c r="E2171" s="308"/>
      <c r="F2171" s="308"/>
      <c r="G2171" s="308" t="s">
        <v>35</v>
      </c>
      <c r="H2171" s="308" t="s">
        <v>36</v>
      </c>
      <c r="I2171" s="308"/>
      <c r="J2171" s="308"/>
      <c r="K2171" s="308"/>
      <c r="L2171" s="308"/>
      <c r="M2171" s="308"/>
      <c r="N2171" s="308"/>
      <c r="O2171" s="309"/>
      <c r="P2171" s="308" t="str">
        <f t="shared" si="60"/>
        <v>Truncate table FSD220;</v>
      </c>
      <c r="Q2171" s="308"/>
      <c r="R2171" s="308"/>
    </row>
    <row r="2172" spans="1:18" x14ac:dyDescent="0.25">
      <c r="B2172" s="19" t="s">
        <v>2904</v>
      </c>
      <c r="C2172" s="21" t="s">
        <v>2905</v>
      </c>
      <c r="D2172" s="16" t="s">
        <v>29</v>
      </c>
      <c r="E2172" s="16" t="s">
        <v>54</v>
      </c>
      <c r="F2172" s="5" t="s">
        <v>2832</v>
      </c>
      <c r="G2172" s="16" t="s">
        <v>35</v>
      </c>
      <c r="H2172" s="16" t="s">
        <v>36</v>
      </c>
      <c r="I2172" s="16"/>
      <c r="J2172" s="16"/>
      <c r="K2172" s="16"/>
      <c r="L2172" s="26"/>
      <c r="M2172" s="26"/>
      <c r="N2172" s="16"/>
      <c r="O2172" s="17" t="s">
        <v>38</v>
      </c>
      <c r="P2172" s="5" t="str">
        <f t="shared" si="60"/>
        <v>Truncate table FSD226;</v>
      </c>
      <c r="Q2172" s="5"/>
      <c r="R2172" s="5"/>
    </row>
    <row r="2173" spans="1:18" x14ac:dyDescent="0.25">
      <c r="B2173" s="19" t="s">
        <v>2906</v>
      </c>
      <c r="C2173" s="21" t="s">
        <v>2907</v>
      </c>
      <c r="D2173" s="16" t="s">
        <v>29</v>
      </c>
      <c r="E2173" s="16" t="s">
        <v>54</v>
      </c>
      <c r="F2173" s="5" t="s">
        <v>2832</v>
      </c>
      <c r="G2173" s="16" t="s">
        <v>35</v>
      </c>
      <c r="H2173" s="16" t="s">
        <v>36</v>
      </c>
      <c r="I2173" s="16"/>
      <c r="J2173" s="16"/>
      <c r="K2173" s="16"/>
      <c r="L2173" s="16"/>
      <c r="M2173" s="16"/>
      <c r="N2173" s="16"/>
      <c r="O2173" s="17" t="s">
        <v>38</v>
      </c>
      <c r="P2173" s="5" t="str">
        <f t="shared" si="60"/>
        <v>Truncate table FSD227;</v>
      </c>
      <c r="Q2173" s="5"/>
      <c r="R2173" s="5"/>
    </row>
    <row r="2174" spans="1:18" s="306" customFormat="1" x14ac:dyDescent="0.25">
      <c r="A2174" s="71"/>
      <c r="B2174" s="307" t="s">
        <v>2908</v>
      </c>
      <c r="C2174" s="308"/>
      <c r="D2174" s="308" t="s">
        <v>29</v>
      </c>
      <c r="E2174" s="308"/>
      <c r="F2174" s="308"/>
      <c r="G2174" s="308" t="s">
        <v>35</v>
      </c>
      <c r="H2174" s="308"/>
      <c r="I2174" s="308"/>
      <c r="J2174" s="308"/>
      <c r="K2174" s="308"/>
      <c r="L2174" s="308"/>
      <c r="M2174" s="308"/>
      <c r="N2174" s="308"/>
      <c r="O2174" s="309"/>
      <c r="P2174" s="308" t="str">
        <f t="shared" si="60"/>
        <v>Truncate table FSD228;</v>
      </c>
      <c r="Q2174" s="308"/>
      <c r="R2174" s="308"/>
    </row>
    <row r="2175" spans="1:18" x14ac:dyDescent="0.25">
      <c r="B2175" s="19" t="s">
        <v>2909</v>
      </c>
      <c r="C2175" s="21" t="s">
        <v>2910</v>
      </c>
      <c r="D2175" s="16" t="s">
        <v>29</v>
      </c>
      <c r="E2175" s="16" t="s">
        <v>151</v>
      </c>
      <c r="F2175" s="5" t="s">
        <v>243</v>
      </c>
      <c r="G2175" s="16" t="s">
        <v>35</v>
      </c>
      <c r="H2175" s="16" t="s">
        <v>36</v>
      </c>
      <c r="I2175" s="16"/>
      <c r="J2175" s="16"/>
      <c r="K2175" s="16"/>
      <c r="L2175" s="26"/>
      <c r="M2175" s="26"/>
      <c r="N2175" s="16" t="s">
        <v>2911</v>
      </c>
      <c r="O2175" s="17" t="s">
        <v>38</v>
      </c>
      <c r="P2175" s="5" t="str">
        <f t="shared" si="60"/>
        <v>Truncate table FSD230;</v>
      </c>
      <c r="Q2175" s="5"/>
      <c r="R2175" s="5"/>
    </row>
    <row r="2176" spans="1:18" x14ac:dyDescent="0.25">
      <c r="B2176" s="19" t="s">
        <v>2912</v>
      </c>
      <c r="C2176" s="21" t="s">
        <v>2913</v>
      </c>
      <c r="D2176" s="16" t="s">
        <v>8152</v>
      </c>
      <c r="E2176" s="16" t="s">
        <v>54</v>
      </c>
      <c r="F2176" s="5" t="s">
        <v>386</v>
      </c>
      <c r="G2176" s="16" t="s">
        <v>35</v>
      </c>
      <c r="H2176" s="16" t="s">
        <v>36</v>
      </c>
      <c r="I2176" s="16"/>
      <c r="J2176" s="16"/>
      <c r="K2176" s="16"/>
      <c r="L2176" s="16"/>
      <c r="M2176" s="238" t="s">
        <v>38</v>
      </c>
      <c r="N2176" s="16"/>
      <c r="O2176" s="17" t="s">
        <v>38</v>
      </c>
      <c r="P2176" s="5" t="str">
        <f t="shared" si="60"/>
        <v/>
      </c>
      <c r="Q2176" s="5"/>
      <c r="R2176" s="5"/>
    </row>
    <row r="2177" spans="1:18" x14ac:dyDescent="0.25">
      <c r="B2177" s="19" t="s">
        <v>2914</v>
      </c>
      <c r="C2177" s="21" t="s">
        <v>2915</v>
      </c>
      <c r="D2177" s="16" t="s">
        <v>29</v>
      </c>
      <c r="E2177" s="16" t="s">
        <v>151</v>
      </c>
      <c r="F2177" s="5" t="s">
        <v>243</v>
      </c>
      <c r="G2177" s="16" t="s">
        <v>35</v>
      </c>
      <c r="H2177" s="16" t="s">
        <v>36</v>
      </c>
      <c r="I2177" s="16"/>
      <c r="J2177" s="16"/>
      <c r="K2177" s="16"/>
      <c r="L2177" s="16"/>
      <c r="M2177" s="16"/>
      <c r="N2177" s="16"/>
      <c r="O2177" s="17" t="s">
        <v>38</v>
      </c>
      <c r="P2177" s="5" t="str">
        <f t="shared" si="60"/>
        <v>Truncate table FSD232;</v>
      </c>
      <c r="Q2177" s="5"/>
      <c r="R2177" s="5"/>
    </row>
    <row r="2178" spans="1:18" s="306" customFormat="1" x14ac:dyDescent="0.25">
      <c r="A2178" s="71"/>
      <c r="B2178" s="307" t="s">
        <v>2916</v>
      </c>
      <c r="C2178" s="308"/>
      <c r="D2178" s="308" t="s">
        <v>29</v>
      </c>
      <c r="E2178" s="308"/>
      <c r="F2178" s="308"/>
      <c r="G2178" s="308" t="s">
        <v>35</v>
      </c>
      <c r="H2178" s="308" t="s">
        <v>36</v>
      </c>
      <c r="I2178" s="308"/>
      <c r="J2178" s="308"/>
      <c r="K2178" s="308"/>
      <c r="L2178" s="308"/>
      <c r="M2178" s="308"/>
      <c r="N2178" s="308"/>
      <c r="O2178" s="309"/>
      <c r="P2178" s="308" t="str">
        <f t="shared" si="60"/>
        <v>Truncate table FSD233;</v>
      </c>
      <c r="Q2178" s="308"/>
      <c r="R2178" s="308"/>
    </row>
    <row r="2179" spans="1:18" s="306" customFormat="1" x14ac:dyDescent="0.25">
      <c r="A2179" s="71"/>
      <c r="B2179" s="307" t="s">
        <v>2917</v>
      </c>
      <c r="C2179" s="308"/>
      <c r="D2179" s="308" t="s">
        <v>29</v>
      </c>
      <c r="E2179" s="308"/>
      <c r="F2179" s="308"/>
      <c r="G2179" s="308" t="s">
        <v>35</v>
      </c>
      <c r="H2179" s="308" t="s">
        <v>36</v>
      </c>
      <c r="I2179" s="308"/>
      <c r="J2179" s="308"/>
      <c r="K2179" s="308"/>
      <c r="L2179" s="308"/>
      <c r="M2179" s="308"/>
      <c r="N2179" s="308"/>
      <c r="O2179" s="309"/>
      <c r="P2179" s="308" t="str">
        <f t="shared" si="60"/>
        <v>Truncate table FSD234;</v>
      </c>
      <c r="Q2179" s="308"/>
      <c r="R2179" s="308"/>
    </row>
    <row r="2180" spans="1:18" x14ac:dyDescent="0.25">
      <c r="B2180" s="19" t="s">
        <v>2918</v>
      </c>
      <c r="C2180" s="16" t="s">
        <v>10095</v>
      </c>
      <c r="D2180" s="16" t="s">
        <v>29</v>
      </c>
      <c r="E2180" s="16"/>
      <c r="F2180" s="5"/>
      <c r="G2180" s="16" t="s">
        <v>35</v>
      </c>
      <c r="H2180" s="16" t="s">
        <v>36</v>
      </c>
      <c r="I2180" s="16"/>
      <c r="J2180" s="16"/>
      <c r="K2180" s="16"/>
      <c r="L2180" s="16"/>
      <c r="M2180" s="16"/>
      <c r="N2180" s="16"/>
      <c r="O2180" s="17"/>
      <c r="P2180" s="5" t="str">
        <f t="shared" si="60"/>
        <v>Truncate table FSD235;</v>
      </c>
      <c r="Q2180" s="5"/>
      <c r="R2180" s="5"/>
    </row>
    <row r="2181" spans="1:18" x14ac:dyDescent="0.25">
      <c r="B2181" s="19" t="s">
        <v>2919</v>
      </c>
      <c r="C2181" s="16" t="s">
        <v>2920</v>
      </c>
      <c r="D2181" s="16" t="s">
        <v>29</v>
      </c>
      <c r="E2181" s="16" t="s">
        <v>151</v>
      </c>
      <c r="F2181" s="5" t="s">
        <v>243</v>
      </c>
      <c r="G2181" s="16" t="s">
        <v>35</v>
      </c>
      <c r="H2181" s="16" t="s">
        <v>36</v>
      </c>
      <c r="I2181" s="16"/>
      <c r="J2181" s="16"/>
      <c r="K2181" s="16"/>
      <c r="L2181" s="16"/>
      <c r="M2181" s="16"/>
      <c r="N2181" s="16"/>
      <c r="O2181" s="17" t="s">
        <v>38</v>
      </c>
      <c r="P2181" s="5" t="str">
        <f t="shared" si="60"/>
        <v>Truncate table FSD247;</v>
      </c>
      <c r="Q2181" s="5"/>
      <c r="R2181" s="5"/>
    </row>
    <row r="2182" spans="1:18" x14ac:dyDescent="0.25">
      <c r="B2182" s="19" t="s">
        <v>2921</v>
      </c>
      <c r="C2182" s="21" t="s">
        <v>2922</v>
      </c>
      <c r="D2182" s="16" t="s">
        <v>29</v>
      </c>
      <c r="E2182" s="16" t="s">
        <v>1096</v>
      </c>
      <c r="F2182" s="5" t="s">
        <v>2715</v>
      </c>
      <c r="G2182" s="16" t="s">
        <v>28</v>
      </c>
      <c r="H2182" s="16" t="s">
        <v>36</v>
      </c>
      <c r="I2182" s="16"/>
      <c r="J2182" s="16"/>
      <c r="K2182" s="16"/>
      <c r="L2182" s="16"/>
      <c r="M2182" s="16"/>
      <c r="N2182" s="16"/>
      <c r="O2182" s="17" t="s">
        <v>38</v>
      </c>
      <c r="P2182" s="5" t="str">
        <f t="shared" si="60"/>
        <v>Truncate table FSD301;</v>
      </c>
      <c r="Q2182" s="5"/>
      <c r="R2182" s="5"/>
    </row>
    <row r="2183" spans="1:18" s="306" customFormat="1" x14ac:dyDescent="0.25">
      <c r="A2183" s="71"/>
      <c r="B2183" s="307" t="s">
        <v>2923</v>
      </c>
      <c r="C2183" s="308"/>
      <c r="D2183" s="308" t="s">
        <v>29</v>
      </c>
      <c r="E2183" s="308"/>
      <c r="F2183" s="308"/>
      <c r="G2183" s="308" t="s">
        <v>35</v>
      </c>
      <c r="H2183" s="308" t="s">
        <v>36</v>
      </c>
      <c r="I2183" s="308"/>
      <c r="J2183" s="308"/>
      <c r="K2183" s="308"/>
      <c r="L2183" s="308"/>
      <c r="M2183" s="308"/>
      <c r="N2183" s="308"/>
      <c r="O2183" s="309"/>
      <c r="P2183" s="308" t="str">
        <f t="shared" si="60"/>
        <v>Truncate table FSD308;</v>
      </c>
      <c r="Q2183" s="308"/>
      <c r="R2183" s="308"/>
    </row>
    <row r="2184" spans="1:18" x14ac:dyDescent="0.25">
      <c r="B2184" s="19" t="s">
        <v>2924</v>
      </c>
      <c r="C2184" s="16" t="s">
        <v>2925</v>
      </c>
      <c r="D2184" s="16" t="s">
        <v>29</v>
      </c>
      <c r="E2184" s="16" t="s">
        <v>151</v>
      </c>
      <c r="F2184" s="5" t="s">
        <v>243</v>
      </c>
      <c r="G2184" s="16" t="s">
        <v>35</v>
      </c>
      <c r="H2184" s="16" t="s">
        <v>36</v>
      </c>
      <c r="I2184" s="16"/>
      <c r="J2184" s="16"/>
      <c r="K2184" s="16"/>
      <c r="L2184" s="16"/>
      <c r="M2184" s="16"/>
      <c r="N2184" s="16"/>
      <c r="O2184" s="17" t="s">
        <v>38</v>
      </c>
      <c r="P2184" s="5" t="str">
        <f t="shared" si="60"/>
        <v>Truncate table FSD312;</v>
      </c>
      <c r="Q2184" s="5"/>
      <c r="R2184" s="5"/>
    </row>
    <row r="2185" spans="1:18" s="306" customFormat="1" x14ac:dyDescent="0.25">
      <c r="A2185" s="71"/>
      <c r="B2185" s="307" t="s">
        <v>2926</v>
      </c>
      <c r="C2185" s="308"/>
      <c r="D2185" s="308" t="s">
        <v>29</v>
      </c>
      <c r="E2185" s="308"/>
      <c r="F2185" s="308"/>
      <c r="G2185" s="308" t="s">
        <v>35</v>
      </c>
      <c r="H2185" s="308" t="s">
        <v>36</v>
      </c>
      <c r="I2185" s="308"/>
      <c r="J2185" s="308"/>
      <c r="K2185" s="308"/>
      <c r="L2185" s="308"/>
      <c r="M2185" s="308"/>
      <c r="N2185" s="308"/>
      <c r="O2185" s="309"/>
      <c r="P2185" s="308" t="str">
        <f t="shared" si="60"/>
        <v>Truncate table FSD313;</v>
      </c>
      <c r="Q2185" s="308"/>
      <c r="R2185" s="308"/>
    </row>
    <row r="2186" spans="1:18" s="306" customFormat="1" x14ac:dyDescent="0.25">
      <c r="A2186" s="71"/>
      <c r="B2186" s="307" t="s">
        <v>2927</v>
      </c>
      <c r="C2186" s="308"/>
      <c r="D2186" s="308" t="s">
        <v>29</v>
      </c>
      <c r="E2186" s="308"/>
      <c r="F2186" s="308"/>
      <c r="G2186" s="308" t="s">
        <v>35</v>
      </c>
      <c r="H2186" s="308" t="s">
        <v>36</v>
      </c>
      <c r="I2186" s="308"/>
      <c r="J2186" s="308"/>
      <c r="K2186" s="308"/>
      <c r="L2186" s="308"/>
      <c r="M2186" s="308"/>
      <c r="N2186" s="308"/>
      <c r="O2186" s="309"/>
      <c r="P2186" s="308" t="str">
        <f t="shared" si="60"/>
        <v>Truncate table FSD315;</v>
      </c>
      <c r="Q2186" s="308"/>
      <c r="R2186" s="308"/>
    </row>
    <row r="2187" spans="1:18" x14ac:dyDescent="0.25">
      <c r="B2187" s="19" t="s">
        <v>2928</v>
      </c>
      <c r="C2187" s="16" t="s">
        <v>2929</v>
      </c>
      <c r="D2187" s="16" t="s">
        <v>29</v>
      </c>
      <c r="E2187" s="16" t="s">
        <v>54</v>
      </c>
      <c r="F2187" s="5" t="s">
        <v>386</v>
      </c>
      <c r="G2187" s="16" t="s">
        <v>35</v>
      </c>
      <c r="H2187" s="16" t="s">
        <v>36</v>
      </c>
      <c r="I2187" s="16"/>
      <c r="J2187" s="16"/>
      <c r="K2187" s="16"/>
      <c r="L2187" s="16"/>
      <c r="M2187" s="16"/>
      <c r="N2187" s="16"/>
      <c r="O2187" s="17" t="s">
        <v>38</v>
      </c>
      <c r="P2187" s="5" t="str">
        <f t="shared" si="60"/>
        <v>Truncate table FSD320;</v>
      </c>
      <c r="Q2187" s="5"/>
      <c r="R2187" s="5"/>
    </row>
    <row r="2188" spans="1:18" x14ac:dyDescent="0.25">
      <c r="B2188" s="19" t="s">
        <v>2930</v>
      </c>
      <c r="C2188" s="16" t="s">
        <v>2931</v>
      </c>
      <c r="D2188" s="16" t="s">
        <v>8152</v>
      </c>
      <c r="E2188" s="16" t="s">
        <v>54</v>
      </c>
      <c r="F2188" s="5" t="s">
        <v>2932</v>
      </c>
      <c r="G2188" s="16" t="s">
        <v>35</v>
      </c>
      <c r="H2188" s="16" t="s">
        <v>36</v>
      </c>
      <c r="I2188" s="16"/>
      <c r="J2188" s="16"/>
      <c r="K2188" s="16"/>
      <c r="L2188" s="16"/>
      <c r="M2188" s="16"/>
      <c r="N2188" s="16"/>
      <c r="O2188" s="17" t="s">
        <v>38</v>
      </c>
      <c r="P2188" s="5" t="str">
        <f t="shared" si="60"/>
        <v/>
      </c>
      <c r="Q2188" s="5"/>
      <c r="R2188" s="5"/>
    </row>
    <row r="2189" spans="1:18" x14ac:dyDescent="0.25">
      <c r="B2189" s="19" t="s">
        <v>2933</v>
      </c>
      <c r="C2189" s="16" t="s">
        <v>2931</v>
      </c>
      <c r="D2189" s="16" t="s">
        <v>8152</v>
      </c>
      <c r="E2189" s="16" t="s">
        <v>54</v>
      </c>
      <c r="F2189" s="5" t="s">
        <v>2932</v>
      </c>
      <c r="G2189" s="16" t="s">
        <v>35</v>
      </c>
      <c r="H2189" s="16" t="s">
        <v>36</v>
      </c>
      <c r="I2189" s="16"/>
      <c r="J2189" s="16"/>
      <c r="K2189" s="16"/>
      <c r="L2189" s="16"/>
      <c r="M2189" s="16"/>
      <c r="N2189" s="16"/>
      <c r="O2189" s="17" t="s">
        <v>38</v>
      </c>
      <c r="P2189" s="5" t="str">
        <f t="shared" si="60"/>
        <v/>
      </c>
      <c r="Q2189" s="5"/>
      <c r="R2189" s="5"/>
    </row>
    <row r="2190" spans="1:18" s="306" customFormat="1" x14ac:dyDescent="0.25">
      <c r="A2190" s="71"/>
      <c r="B2190" s="307" t="s">
        <v>2934</v>
      </c>
      <c r="C2190" s="308"/>
      <c r="D2190" s="308" t="s">
        <v>29</v>
      </c>
      <c r="E2190" s="308"/>
      <c r="F2190" s="308"/>
      <c r="G2190" s="308" t="s">
        <v>35</v>
      </c>
      <c r="H2190" s="308"/>
      <c r="I2190" s="308"/>
      <c r="J2190" s="308"/>
      <c r="K2190" s="308"/>
      <c r="L2190" s="308"/>
      <c r="M2190" s="308"/>
      <c r="N2190" s="308"/>
      <c r="O2190" s="309"/>
      <c r="P2190" s="308" t="str">
        <f t="shared" si="60"/>
        <v>Truncate table FSD323;</v>
      </c>
      <c r="Q2190" s="308"/>
      <c r="R2190" s="308"/>
    </row>
    <row r="2191" spans="1:18" x14ac:dyDescent="0.25">
      <c r="B2191" s="19" t="s">
        <v>2935</v>
      </c>
      <c r="C2191" s="16" t="s">
        <v>2936</v>
      </c>
      <c r="D2191" s="16" t="s">
        <v>29</v>
      </c>
      <c r="E2191" s="16" t="s">
        <v>54</v>
      </c>
      <c r="F2191" s="5" t="s">
        <v>2832</v>
      </c>
      <c r="G2191" s="16" t="s">
        <v>35</v>
      </c>
      <c r="H2191" s="16" t="s">
        <v>36</v>
      </c>
      <c r="I2191" s="16"/>
      <c r="J2191" s="16"/>
      <c r="K2191" s="16"/>
      <c r="L2191" s="16"/>
      <c r="M2191" s="16"/>
      <c r="N2191" s="16"/>
      <c r="O2191" s="17" t="s">
        <v>38</v>
      </c>
      <c r="P2191" s="5" t="str">
        <f t="shared" si="60"/>
        <v>Truncate table FSD325;</v>
      </c>
      <c r="Q2191" s="5"/>
      <c r="R2191" s="5"/>
    </row>
    <row r="2192" spans="1:18" x14ac:dyDescent="0.25">
      <c r="B2192" s="19" t="s">
        <v>2937</v>
      </c>
      <c r="C2192" s="16" t="s">
        <v>2938</v>
      </c>
      <c r="D2192" s="16" t="s">
        <v>29</v>
      </c>
      <c r="E2192" s="16" t="s">
        <v>54</v>
      </c>
      <c r="F2192" s="5" t="s">
        <v>2832</v>
      </c>
      <c r="G2192" s="16" t="s">
        <v>35</v>
      </c>
      <c r="H2192" s="16" t="s">
        <v>36</v>
      </c>
      <c r="I2192" s="16"/>
      <c r="J2192" s="16"/>
      <c r="K2192" s="16"/>
      <c r="L2192" s="16"/>
      <c r="M2192" s="16"/>
      <c r="N2192" s="16"/>
      <c r="O2192" s="17" t="s">
        <v>38</v>
      </c>
      <c r="P2192" s="5" t="str">
        <f t="shared" si="60"/>
        <v>Truncate table FSD327;</v>
      </c>
      <c r="Q2192" s="5"/>
      <c r="R2192" s="5"/>
    </row>
    <row r="2193" spans="1:18" x14ac:dyDescent="0.25">
      <c r="B2193" s="19" t="s">
        <v>2939</v>
      </c>
      <c r="C2193" s="16" t="s">
        <v>2940</v>
      </c>
      <c r="D2193" s="16" t="s">
        <v>29</v>
      </c>
      <c r="E2193" s="16" t="s">
        <v>54</v>
      </c>
      <c r="F2193" s="5" t="s">
        <v>2832</v>
      </c>
      <c r="G2193" s="16" t="s">
        <v>35</v>
      </c>
      <c r="H2193" s="16" t="s">
        <v>36</v>
      </c>
      <c r="I2193" s="16"/>
      <c r="J2193" s="16"/>
      <c r="K2193" s="16"/>
      <c r="L2193" s="16"/>
      <c r="M2193" s="16"/>
      <c r="N2193" s="16"/>
      <c r="O2193" s="17" t="s">
        <v>38</v>
      </c>
      <c r="P2193" s="5" t="str">
        <f t="shared" si="60"/>
        <v>Truncate table FSD328;</v>
      </c>
      <c r="Q2193" s="5"/>
      <c r="R2193" s="5"/>
    </row>
    <row r="2194" spans="1:18" s="306" customFormat="1" x14ac:dyDescent="0.25">
      <c r="A2194" s="71"/>
      <c r="B2194" s="307" t="s">
        <v>2941</v>
      </c>
      <c r="C2194" s="308"/>
      <c r="D2194" s="308" t="s">
        <v>29</v>
      </c>
      <c r="E2194" s="308"/>
      <c r="F2194" s="308"/>
      <c r="G2194" s="308" t="s">
        <v>35</v>
      </c>
      <c r="H2194" s="308" t="s">
        <v>36</v>
      </c>
      <c r="I2194" s="308"/>
      <c r="J2194" s="308"/>
      <c r="K2194" s="308"/>
      <c r="L2194" s="308"/>
      <c r="M2194" s="308"/>
      <c r="N2194" s="308"/>
      <c r="O2194" s="309"/>
      <c r="P2194" s="308" t="str">
        <f t="shared" si="60"/>
        <v>Truncate table FSD329;</v>
      </c>
      <c r="Q2194" s="308"/>
      <c r="R2194" s="308"/>
    </row>
    <row r="2195" spans="1:18" s="306" customFormat="1" x14ac:dyDescent="0.25">
      <c r="A2195" s="71"/>
      <c r="B2195" s="307" t="s">
        <v>9508</v>
      </c>
      <c r="C2195" s="308"/>
      <c r="D2195" s="308" t="s">
        <v>8152</v>
      </c>
      <c r="E2195" s="308"/>
      <c r="F2195" s="308"/>
      <c r="G2195" s="308"/>
      <c r="H2195" s="308"/>
      <c r="I2195" s="308"/>
      <c r="J2195" s="308"/>
      <c r="K2195" s="308"/>
      <c r="L2195" s="308"/>
      <c r="M2195" s="308"/>
      <c r="N2195" s="308"/>
      <c r="O2195" s="309"/>
      <c r="P2195" s="308"/>
      <c r="Q2195" s="308"/>
      <c r="R2195" s="308"/>
    </row>
    <row r="2196" spans="1:18" s="306" customFormat="1" x14ac:dyDescent="0.25">
      <c r="A2196" s="71"/>
      <c r="B2196" s="307" t="s">
        <v>2942</v>
      </c>
      <c r="C2196" s="308"/>
      <c r="D2196" s="308" t="s">
        <v>29</v>
      </c>
      <c r="E2196" s="308"/>
      <c r="F2196" s="308"/>
      <c r="G2196" s="308" t="s">
        <v>35</v>
      </c>
      <c r="H2196" s="308" t="s">
        <v>36</v>
      </c>
      <c r="I2196" s="308"/>
      <c r="J2196" s="308"/>
      <c r="K2196" s="308"/>
      <c r="L2196" s="308"/>
      <c r="M2196" s="308"/>
      <c r="N2196" s="308"/>
      <c r="O2196" s="309"/>
      <c r="P2196" s="308" t="str">
        <f t="shared" ref="P2196:P2227" si="61">IF(D2196="Datos","Truncate table "&amp; B2196&amp; ";","")</f>
        <v>Truncate table FSD350;</v>
      </c>
      <c r="Q2196" s="308"/>
      <c r="R2196" s="308"/>
    </row>
    <row r="2197" spans="1:18" s="306" customFormat="1" x14ac:dyDescent="0.25">
      <c r="A2197" s="71"/>
      <c r="B2197" s="307" t="s">
        <v>2943</v>
      </c>
      <c r="C2197" s="308"/>
      <c r="D2197" s="308" t="s">
        <v>29</v>
      </c>
      <c r="E2197" s="308"/>
      <c r="F2197" s="308"/>
      <c r="G2197" s="308" t="s">
        <v>35</v>
      </c>
      <c r="H2197" s="308" t="s">
        <v>36</v>
      </c>
      <c r="I2197" s="308"/>
      <c r="J2197" s="308"/>
      <c r="K2197" s="308"/>
      <c r="L2197" s="308"/>
      <c r="M2197" s="308"/>
      <c r="N2197" s="308"/>
      <c r="O2197" s="309"/>
      <c r="P2197" s="308" t="str">
        <f t="shared" si="61"/>
        <v>Truncate table FSD351;</v>
      </c>
      <c r="Q2197" s="308"/>
      <c r="R2197" s="308"/>
    </row>
    <row r="2198" spans="1:18" x14ac:dyDescent="0.25">
      <c r="B2198" s="19" t="s">
        <v>2944</v>
      </c>
      <c r="C2198" s="16" t="s">
        <v>2945</v>
      </c>
      <c r="D2198" s="16" t="s">
        <v>29</v>
      </c>
      <c r="E2198" s="16" t="s">
        <v>151</v>
      </c>
      <c r="F2198" s="5"/>
      <c r="G2198" s="16" t="s">
        <v>35</v>
      </c>
      <c r="H2198" s="16" t="s">
        <v>36</v>
      </c>
      <c r="I2198" s="16"/>
      <c r="J2198" s="16"/>
      <c r="K2198" s="16"/>
      <c r="L2198" s="16"/>
      <c r="M2198" s="16"/>
      <c r="N2198" s="16"/>
      <c r="O2198" s="17" t="s">
        <v>38</v>
      </c>
      <c r="P2198" s="5" t="str">
        <f t="shared" si="61"/>
        <v>Truncate table FSD380;</v>
      </c>
      <c r="Q2198" s="5"/>
      <c r="R2198" s="5"/>
    </row>
    <row r="2199" spans="1:18" x14ac:dyDescent="0.25">
      <c r="B2199" s="19" t="s">
        <v>2946</v>
      </c>
      <c r="C2199" s="16" t="s">
        <v>10096</v>
      </c>
      <c r="D2199" s="16" t="s">
        <v>29</v>
      </c>
      <c r="E2199" s="16"/>
      <c r="F2199" s="5"/>
      <c r="G2199" s="16" t="s">
        <v>35</v>
      </c>
      <c r="H2199" s="16" t="s">
        <v>36</v>
      </c>
      <c r="I2199" s="16"/>
      <c r="J2199" s="16"/>
      <c r="K2199" s="16"/>
      <c r="L2199" s="16"/>
      <c r="M2199" s="16"/>
      <c r="N2199" s="16"/>
      <c r="O2199" s="17"/>
      <c r="P2199" s="5" t="str">
        <f t="shared" si="61"/>
        <v>Truncate table FSD381;</v>
      </c>
      <c r="Q2199" s="5"/>
      <c r="R2199" s="5"/>
    </row>
    <row r="2200" spans="1:18" x14ac:dyDescent="0.25">
      <c r="B2200" s="19" t="s">
        <v>2947</v>
      </c>
      <c r="C2200" s="21" t="s">
        <v>2948</v>
      </c>
      <c r="D2200" s="16" t="s">
        <v>29</v>
      </c>
      <c r="E2200" s="16" t="s">
        <v>54</v>
      </c>
      <c r="F2200" s="5" t="s">
        <v>235</v>
      </c>
      <c r="G2200" s="16" t="s">
        <v>35</v>
      </c>
      <c r="H2200" s="16" t="s">
        <v>36</v>
      </c>
      <c r="I2200" s="16"/>
      <c r="J2200" s="16"/>
      <c r="K2200" s="16"/>
      <c r="L2200" s="16"/>
      <c r="M2200" s="16"/>
      <c r="N2200" s="16"/>
      <c r="O2200" s="17" t="s">
        <v>38</v>
      </c>
      <c r="P2200" s="5" t="str">
        <f t="shared" si="61"/>
        <v>Truncate table FSD415;</v>
      </c>
      <c r="Q2200" s="5"/>
      <c r="R2200" s="5"/>
    </row>
    <row r="2201" spans="1:18" x14ac:dyDescent="0.25">
      <c r="B2201" s="19" t="s">
        <v>2949</v>
      </c>
      <c r="C2201" s="16" t="s">
        <v>2950</v>
      </c>
      <c r="D2201" s="16" t="s">
        <v>29</v>
      </c>
      <c r="E2201" s="16" t="s">
        <v>54</v>
      </c>
      <c r="F2201" s="5" t="s">
        <v>2832</v>
      </c>
      <c r="G2201" s="16" t="s">
        <v>35</v>
      </c>
      <c r="H2201" s="16" t="s">
        <v>36</v>
      </c>
      <c r="I2201" s="16"/>
      <c r="J2201" s="16"/>
      <c r="K2201" s="16"/>
      <c r="L2201" s="16"/>
      <c r="M2201" s="16"/>
      <c r="N2201" s="16"/>
      <c r="O2201" s="17" t="s">
        <v>38</v>
      </c>
      <c r="P2201" s="5" t="str">
        <f t="shared" si="61"/>
        <v>Truncate table FSD426;</v>
      </c>
      <c r="Q2201" s="5"/>
      <c r="R2201" s="5"/>
    </row>
    <row r="2202" spans="1:18" x14ac:dyDescent="0.25">
      <c r="B2202" s="19" t="s">
        <v>2951</v>
      </c>
      <c r="C2202" s="16" t="s">
        <v>2952</v>
      </c>
      <c r="D2202" s="16" t="s">
        <v>29</v>
      </c>
      <c r="E2202" s="16" t="s">
        <v>54</v>
      </c>
      <c r="F2202" s="5" t="s">
        <v>2832</v>
      </c>
      <c r="G2202" s="16" t="s">
        <v>35</v>
      </c>
      <c r="H2202" s="16" t="s">
        <v>36</v>
      </c>
      <c r="I2202" s="16"/>
      <c r="J2202" s="16"/>
      <c r="K2202" s="16"/>
      <c r="L2202" s="16"/>
      <c r="M2202" s="16"/>
      <c r="N2202" s="16"/>
      <c r="O2202" s="17" t="s">
        <v>38</v>
      </c>
      <c r="P2202" s="5" t="str">
        <f t="shared" si="61"/>
        <v>Truncate table FSD427;</v>
      </c>
      <c r="Q2202" s="5"/>
      <c r="R2202" s="5"/>
    </row>
    <row r="2203" spans="1:18" x14ac:dyDescent="0.25">
      <c r="B2203" s="197" t="s">
        <v>8377</v>
      </c>
      <c r="C2203" s="187" t="s">
        <v>8378</v>
      </c>
      <c r="D2203" s="16" t="s">
        <v>29</v>
      </c>
      <c r="E2203" s="16" t="s">
        <v>151</v>
      </c>
      <c r="F2203" s="199" t="s">
        <v>8213</v>
      </c>
      <c r="G2203" s="16" t="s">
        <v>35</v>
      </c>
      <c r="H2203" s="16" t="s">
        <v>36</v>
      </c>
      <c r="I2203" s="187" t="s">
        <v>8379</v>
      </c>
      <c r="J2203" s="187" t="s">
        <v>8380</v>
      </c>
      <c r="K2203" s="187" t="s">
        <v>8175</v>
      </c>
      <c r="L2203" s="16"/>
      <c r="M2203" s="16"/>
      <c r="N2203" s="16"/>
      <c r="O2203" s="17"/>
      <c r="P2203" s="5" t="str">
        <f t="shared" si="61"/>
        <v>Truncate table FSD428;</v>
      </c>
      <c r="Q2203" s="5"/>
      <c r="R2203" s="5"/>
    </row>
    <row r="2204" spans="1:18" x14ac:dyDescent="0.25">
      <c r="B2204" s="19" t="s">
        <v>2953</v>
      </c>
      <c r="C2204" s="16" t="s">
        <v>2954</v>
      </c>
      <c r="D2204" s="16" t="s">
        <v>29</v>
      </c>
      <c r="E2204" s="16" t="s">
        <v>54</v>
      </c>
      <c r="F2204" s="5" t="s">
        <v>2832</v>
      </c>
      <c r="G2204" s="16" t="s">
        <v>35</v>
      </c>
      <c r="H2204" s="16" t="s">
        <v>36</v>
      </c>
      <c r="I2204" s="16"/>
      <c r="J2204" s="16"/>
      <c r="K2204" s="21"/>
      <c r="L2204" s="16"/>
      <c r="M2204" s="16"/>
      <c r="N2204" s="16"/>
      <c r="O2204" s="17" t="s">
        <v>38</v>
      </c>
      <c r="P2204" s="5" t="str">
        <f t="shared" si="61"/>
        <v>Truncate table FSD429;</v>
      </c>
      <c r="Q2204" s="5"/>
      <c r="R2204" s="5"/>
    </row>
    <row r="2205" spans="1:18" x14ac:dyDescent="0.25">
      <c r="B2205" s="197" t="s">
        <v>8381</v>
      </c>
      <c r="C2205" s="187" t="s">
        <v>8382</v>
      </c>
      <c r="D2205" s="16" t="s">
        <v>29</v>
      </c>
      <c r="E2205" s="16" t="s">
        <v>151</v>
      </c>
      <c r="F2205" s="199" t="s">
        <v>8213</v>
      </c>
      <c r="G2205" s="16" t="s">
        <v>35</v>
      </c>
      <c r="H2205" s="16" t="s">
        <v>36</v>
      </c>
      <c r="I2205" s="187" t="s">
        <v>8383</v>
      </c>
      <c r="J2205" s="187" t="s">
        <v>8384</v>
      </c>
      <c r="K2205" s="187" t="s">
        <v>8175</v>
      </c>
      <c r="L2205" s="16"/>
      <c r="M2205" s="16"/>
      <c r="N2205" s="16"/>
      <c r="O2205" s="16"/>
      <c r="P2205" s="5" t="str">
        <f t="shared" si="61"/>
        <v>Truncate table FSD448;</v>
      </c>
      <c r="Q2205" s="5"/>
      <c r="R2205" s="5"/>
    </row>
    <row r="2206" spans="1:18" x14ac:dyDescent="0.25">
      <c r="B2206" s="19" t="s">
        <v>2955</v>
      </c>
      <c r="C2206" s="21" t="s">
        <v>2956</v>
      </c>
      <c r="D2206" s="16" t="s">
        <v>29</v>
      </c>
      <c r="E2206" s="16" t="s">
        <v>54</v>
      </c>
      <c r="F2206" s="5" t="s">
        <v>2932</v>
      </c>
      <c r="G2206" s="16" t="s">
        <v>35</v>
      </c>
      <c r="H2206" s="16" t="s">
        <v>36</v>
      </c>
      <c r="I2206" s="16"/>
      <c r="J2206" s="16"/>
      <c r="K2206" s="16"/>
      <c r="L2206" s="16"/>
      <c r="M2206" s="16"/>
      <c r="N2206" s="16"/>
      <c r="O2206" s="17" t="s">
        <v>38</v>
      </c>
      <c r="P2206" s="5" t="str">
        <f t="shared" si="61"/>
        <v>Truncate table FSD450;</v>
      </c>
      <c r="Q2206" s="5"/>
      <c r="R2206" s="5"/>
    </row>
    <row r="2207" spans="1:18" x14ac:dyDescent="0.25">
      <c r="B2207" s="19" t="s">
        <v>2957</v>
      </c>
      <c r="C2207" s="21" t="s">
        <v>2958</v>
      </c>
      <c r="D2207" s="16" t="s">
        <v>29</v>
      </c>
      <c r="E2207" s="16" t="s">
        <v>54</v>
      </c>
      <c r="F2207" s="5" t="s">
        <v>163</v>
      </c>
      <c r="G2207" s="16" t="s">
        <v>35</v>
      </c>
      <c r="H2207" s="16" t="s">
        <v>36</v>
      </c>
      <c r="I2207" s="16"/>
      <c r="J2207" s="16"/>
      <c r="K2207" s="16"/>
      <c r="L2207" s="16"/>
      <c r="M2207" s="16"/>
      <c r="N2207" s="16"/>
      <c r="O2207" s="17" t="s">
        <v>38</v>
      </c>
      <c r="P2207" s="5" t="str">
        <f t="shared" si="61"/>
        <v>Truncate table FSD500;</v>
      </c>
      <c r="Q2207" s="5"/>
      <c r="R2207" s="5"/>
    </row>
    <row r="2208" spans="1:18" x14ac:dyDescent="0.25">
      <c r="B2208" s="19" t="s">
        <v>2959</v>
      </c>
      <c r="C2208" s="16" t="s">
        <v>2960</v>
      </c>
      <c r="D2208" s="16" t="s">
        <v>29</v>
      </c>
      <c r="E2208" s="16" t="s">
        <v>54</v>
      </c>
      <c r="F2208" s="5" t="s">
        <v>163</v>
      </c>
      <c r="G2208" s="16" t="s">
        <v>35</v>
      </c>
      <c r="H2208" s="16" t="s">
        <v>36</v>
      </c>
      <c r="I2208" s="16"/>
      <c r="J2208" s="16"/>
      <c r="K2208" s="16"/>
      <c r="L2208" s="16"/>
      <c r="M2208" s="16"/>
      <c r="N2208" s="16"/>
      <c r="O2208" s="17" t="s">
        <v>38</v>
      </c>
      <c r="P2208" s="5" t="str">
        <f t="shared" si="61"/>
        <v>Truncate table FSD502;</v>
      </c>
      <c r="Q2208" s="5"/>
      <c r="R2208" s="5"/>
    </row>
    <row r="2209" spans="1:18" x14ac:dyDescent="0.25">
      <c r="B2209" s="19" t="s">
        <v>2961</v>
      </c>
      <c r="C2209" s="16"/>
      <c r="D2209" s="16" t="s">
        <v>29</v>
      </c>
      <c r="E2209" s="16"/>
      <c r="F2209" s="5"/>
      <c r="G2209" s="16" t="s">
        <v>35</v>
      </c>
      <c r="H2209" s="16"/>
      <c r="I2209" s="16"/>
      <c r="J2209" s="16"/>
      <c r="K2209" s="16"/>
      <c r="L2209" s="16"/>
      <c r="M2209" s="16"/>
      <c r="N2209" s="16"/>
      <c r="O2209" s="17"/>
      <c r="P2209" s="5" t="str">
        <f t="shared" si="61"/>
        <v>Truncate table FSD511;</v>
      </c>
      <c r="Q2209" s="5"/>
      <c r="R2209" s="5"/>
    </row>
    <row r="2210" spans="1:18" x14ac:dyDescent="0.25">
      <c r="B2210" s="19" t="s">
        <v>2962</v>
      </c>
      <c r="C2210" s="16" t="s">
        <v>2963</v>
      </c>
      <c r="D2210" s="16" t="s">
        <v>29</v>
      </c>
      <c r="E2210" s="16" t="s">
        <v>54</v>
      </c>
      <c r="F2210" s="5" t="s">
        <v>235</v>
      </c>
      <c r="G2210" s="16" t="s">
        <v>35</v>
      </c>
      <c r="H2210" s="16" t="s">
        <v>36</v>
      </c>
      <c r="I2210" s="16"/>
      <c r="J2210" s="16"/>
      <c r="K2210" s="16"/>
      <c r="L2210" s="16"/>
      <c r="M2210" s="16"/>
      <c r="N2210" s="16"/>
      <c r="O2210" s="17" t="s">
        <v>38</v>
      </c>
      <c r="P2210" s="5" t="str">
        <f t="shared" si="61"/>
        <v>Truncate table FSD515;</v>
      </c>
      <c r="Q2210" s="5"/>
      <c r="R2210" s="5"/>
    </row>
    <row r="2211" spans="1:18" x14ac:dyDescent="0.25">
      <c r="B2211" s="19" t="s">
        <v>2964</v>
      </c>
      <c r="C2211" s="16" t="s">
        <v>2965</v>
      </c>
      <c r="D2211" s="16" t="s">
        <v>8152</v>
      </c>
      <c r="E2211" s="16" t="s">
        <v>54</v>
      </c>
      <c r="F2211" s="5" t="s">
        <v>2832</v>
      </c>
      <c r="G2211" s="16" t="s">
        <v>35</v>
      </c>
      <c r="H2211" s="16" t="s">
        <v>36</v>
      </c>
      <c r="I2211" s="16"/>
      <c r="J2211" s="16"/>
      <c r="K2211" s="16"/>
      <c r="L2211" s="26"/>
      <c r="M2211" s="26"/>
      <c r="N2211" s="16"/>
      <c r="O2211" s="17" t="s">
        <v>38</v>
      </c>
      <c r="P2211" s="5" t="str">
        <f t="shared" si="61"/>
        <v/>
      </c>
      <c r="Q2211" s="5"/>
      <c r="R2211" s="5"/>
    </row>
    <row r="2212" spans="1:18" x14ac:dyDescent="0.25">
      <c r="B2212" s="19" t="s">
        <v>2966</v>
      </c>
      <c r="C2212" s="16" t="s">
        <v>2967</v>
      </c>
      <c r="D2212" s="16" t="s">
        <v>8152</v>
      </c>
      <c r="E2212" s="16" t="s">
        <v>54</v>
      </c>
      <c r="F2212" s="5" t="s">
        <v>2832</v>
      </c>
      <c r="G2212" s="16" t="s">
        <v>35</v>
      </c>
      <c r="H2212" s="16" t="s">
        <v>36</v>
      </c>
      <c r="I2212" s="16"/>
      <c r="J2212" s="16"/>
      <c r="K2212" s="16"/>
      <c r="L2212" s="16"/>
      <c r="M2212" s="16"/>
      <c r="N2212" s="16"/>
      <c r="O2212" s="17" t="s">
        <v>38</v>
      </c>
      <c r="P2212" s="5" t="str">
        <f t="shared" si="61"/>
        <v/>
      </c>
      <c r="Q2212" s="5"/>
      <c r="R2212" s="5"/>
    </row>
    <row r="2213" spans="1:18" s="306" customFormat="1" x14ac:dyDescent="0.25">
      <c r="A2213" s="71"/>
      <c r="B2213" s="307" t="s">
        <v>2968</v>
      </c>
      <c r="C2213" s="308"/>
      <c r="D2213" s="308" t="s">
        <v>29</v>
      </c>
      <c r="E2213" s="308"/>
      <c r="F2213" s="308"/>
      <c r="G2213" s="308" t="s">
        <v>35</v>
      </c>
      <c r="H2213" s="308"/>
      <c r="I2213" s="308"/>
      <c r="J2213" s="308"/>
      <c r="K2213" s="308"/>
      <c r="L2213" s="308"/>
      <c r="M2213" s="308"/>
      <c r="N2213" s="308"/>
      <c r="O2213" s="309"/>
      <c r="P2213" s="308" t="str">
        <f t="shared" si="61"/>
        <v>Truncate table FSD550;</v>
      </c>
      <c r="Q2213" s="308"/>
      <c r="R2213" s="308"/>
    </row>
    <row r="2214" spans="1:18" s="306" customFormat="1" x14ac:dyDescent="0.25">
      <c r="A2214" s="71"/>
      <c r="B2214" s="307" t="s">
        <v>2969</v>
      </c>
      <c r="C2214" s="308"/>
      <c r="D2214" s="308" t="s">
        <v>29</v>
      </c>
      <c r="E2214" s="308"/>
      <c r="F2214" s="308"/>
      <c r="G2214" s="308" t="s">
        <v>35</v>
      </c>
      <c r="H2214" s="308"/>
      <c r="I2214" s="308"/>
      <c r="J2214" s="308"/>
      <c r="K2214" s="308"/>
      <c r="L2214" s="308"/>
      <c r="M2214" s="308"/>
      <c r="N2214" s="308"/>
      <c r="O2214" s="309"/>
      <c r="P2214" s="308" t="str">
        <f t="shared" si="61"/>
        <v>Truncate table FSD551;</v>
      </c>
      <c r="Q2214" s="308"/>
      <c r="R2214" s="308"/>
    </row>
    <row r="2215" spans="1:18" s="306" customFormat="1" x14ac:dyDescent="0.25">
      <c r="A2215" s="71"/>
      <c r="B2215" s="307" t="s">
        <v>2970</v>
      </c>
      <c r="C2215" s="308"/>
      <c r="D2215" s="308" t="s">
        <v>29</v>
      </c>
      <c r="E2215" s="308"/>
      <c r="F2215" s="308"/>
      <c r="G2215" s="308" t="s">
        <v>35</v>
      </c>
      <c r="H2215" s="308"/>
      <c r="I2215" s="308"/>
      <c r="J2215" s="308"/>
      <c r="K2215" s="308"/>
      <c r="L2215" s="308"/>
      <c r="M2215" s="308"/>
      <c r="N2215" s="308"/>
      <c r="O2215" s="309"/>
      <c r="P2215" s="308" t="str">
        <f t="shared" si="61"/>
        <v>Truncate table FSD552;</v>
      </c>
      <c r="Q2215" s="308"/>
      <c r="R2215" s="308"/>
    </row>
    <row r="2216" spans="1:18" s="306" customFormat="1" x14ac:dyDescent="0.25">
      <c r="A2216" s="71"/>
      <c r="B2216" s="307" t="s">
        <v>2971</v>
      </c>
      <c r="C2216" s="308"/>
      <c r="D2216" s="308" t="s">
        <v>29</v>
      </c>
      <c r="E2216" s="308"/>
      <c r="F2216" s="308"/>
      <c r="G2216" s="308" t="s">
        <v>35</v>
      </c>
      <c r="H2216" s="308"/>
      <c r="I2216" s="308"/>
      <c r="J2216" s="308"/>
      <c r="K2216" s="308"/>
      <c r="L2216" s="308"/>
      <c r="M2216" s="308"/>
      <c r="N2216" s="308"/>
      <c r="O2216" s="309"/>
      <c r="P2216" s="308" t="str">
        <f t="shared" si="61"/>
        <v>Truncate table FSD553;</v>
      </c>
      <c r="Q2216" s="308"/>
      <c r="R2216" s="308"/>
    </row>
    <row r="2217" spans="1:18" s="306" customFormat="1" x14ac:dyDescent="0.25">
      <c r="A2217" s="71"/>
      <c r="B2217" s="307" t="s">
        <v>2972</v>
      </c>
      <c r="C2217" s="308"/>
      <c r="D2217" s="308" t="s">
        <v>29</v>
      </c>
      <c r="E2217" s="308"/>
      <c r="F2217" s="308"/>
      <c r="G2217" s="308" t="s">
        <v>35</v>
      </c>
      <c r="H2217" s="308"/>
      <c r="I2217" s="308"/>
      <c r="J2217" s="308"/>
      <c r="K2217" s="308"/>
      <c r="L2217" s="308"/>
      <c r="M2217" s="308"/>
      <c r="N2217" s="308"/>
      <c r="O2217" s="309"/>
      <c r="P2217" s="308" t="str">
        <f t="shared" si="61"/>
        <v>Truncate table FSD554;</v>
      </c>
      <c r="Q2217" s="308"/>
      <c r="R2217" s="308"/>
    </row>
    <row r="2218" spans="1:18" s="306" customFormat="1" x14ac:dyDescent="0.25">
      <c r="A2218" s="71"/>
      <c r="B2218" s="307" t="s">
        <v>2973</v>
      </c>
      <c r="C2218" s="308"/>
      <c r="D2218" s="308" t="s">
        <v>29</v>
      </c>
      <c r="E2218" s="308"/>
      <c r="F2218" s="308"/>
      <c r="G2218" s="308" t="s">
        <v>35</v>
      </c>
      <c r="H2218" s="308"/>
      <c r="I2218" s="308"/>
      <c r="J2218" s="308"/>
      <c r="K2218" s="308"/>
      <c r="L2218" s="308"/>
      <c r="M2218" s="308"/>
      <c r="N2218" s="308"/>
      <c r="O2218" s="309"/>
      <c r="P2218" s="308" t="str">
        <f t="shared" si="61"/>
        <v>Truncate table FSD555;</v>
      </c>
      <c r="Q2218" s="308"/>
      <c r="R2218" s="308"/>
    </row>
    <row r="2219" spans="1:18" s="306" customFormat="1" x14ac:dyDescent="0.25">
      <c r="A2219" s="71"/>
      <c r="B2219" s="307" t="s">
        <v>2974</v>
      </c>
      <c r="C2219" s="308"/>
      <c r="D2219" s="308" t="s">
        <v>29</v>
      </c>
      <c r="E2219" s="308"/>
      <c r="F2219" s="308"/>
      <c r="G2219" s="308" t="s">
        <v>35</v>
      </c>
      <c r="H2219" s="308"/>
      <c r="I2219" s="308"/>
      <c r="J2219" s="308"/>
      <c r="K2219" s="308"/>
      <c r="L2219" s="308"/>
      <c r="M2219" s="308"/>
      <c r="N2219" s="308"/>
      <c r="O2219" s="309"/>
      <c r="P2219" s="308" t="str">
        <f t="shared" si="61"/>
        <v>Truncate table FSD556;</v>
      </c>
      <c r="Q2219" s="308"/>
      <c r="R2219" s="308"/>
    </row>
    <row r="2220" spans="1:18" s="306" customFormat="1" x14ac:dyDescent="0.25">
      <c r="A2220" s="71"/>
      <c r="B2220" s="307" t="s">
        <v>2975</v>
      </c>
      <c r="C2220" s="308"/>
      <c r="D2220" s="308" t="s">
        <v>29</v>
      </c>
      <c r="E2220" s="308"/>
      <c r="F2220" s="308"/>
      <c r="G2220" s="308" t="s">
        <v>35</v>
      </c>
      <c r="H2220" s="308"/>
      <c r="I2220" s="308"/>
      <c r="J2220" s="308"/>
      <c r="K2220" s="308"/>
      <c r="L2220" s="308"/>
      <c r="M2220" s="308"/>
      <c r="N2220" s="308"/>
      <c r="O2220" s="309"/>
      <c r="P2220" s="308" t="str">
        <f t="shared" si="61"/>
        <v>Truncate table FSD557;</v>
      </c>
      <c r="Q2220" s="308"/>
      <c r="R2220" s="308"/>
    </row>
    <row r="2221" spans="1:18" s="306" customFormat="1" x14ac:dyDescent="0.25">
      <c r="A2221" s="71"/>
      <c r="B2221" s="307" t="s">
        <v>2976</v>
      </c>
      <c r="C2221" s="308"/>
      <c r="D2221" s="308" t="s">
        <v>29</v>
      </c>
      <c r="E2221" s="308"/>
      <c r="F2221" s="308"/>
      <c r="G2221" s="308" t="s">
        <v>35</v>
      </c>
      <c r="H2221" s="308"/>
      <c r="I2221" s="308"/>
      <c r="J2221" s="308"/>
      <c r="K2221" s="308"/>
      <c r="L2221" s="308"/>
      <c r="M2221" s="308"/>
      <c r="N2221" s="308"/>
      <c r="O2221" s="309"/>
      <c r="P2221" s="308" t="str">
        <f t="shared" si="61"/>
        <v>Truncate table FSD558;</v>
      </c>
      <c r="Q2221" s="308"/>
      <c r="R2221" s="308"/>
    </row>
    <row r="2222" spans="1:18" s="306" customFormat="1" x14ac:dyDescent="0.25">
      <c r="A2222" s="71"/>
      <c r="B2222" s="307" t="s">
        <v>2977</v>
      </c>
      <c r="C2222" s="308"/>
      <c r="D2222" s="308" t="s">
        <v>29</v>
      </c>
      <c r="E2222" s="308"/>
      <c r="F2222" s="308"/>
      <c r="G2222" s="308" t="s">
        <v>35</v>
      </c>
      <c r="H2222" s="308"/>
      <c r="I2222" s="308"/>
      <c r="J2222" s="308"/>
      <c r="K2222" s="308"/>
      <c r="L2222" s="308"/>
      <c r="M2222" s="308"/>
      <c r="N2222" s="308"/>
      <c r="O2222" s="309"/>
      <c r="P2222" s="308" t="str">
        <f t="shared" si="61"/>
        <v>Truncate table FSD559;</v>
      </c>
      <c r="Q2222" s="308"/>
      <c r="R2222" s="308"/>
    </row>
    <row r="2223" spans="1:18" s="306" customFormat="1" x14ac:dyDescent="0.25">
      <c r="A2223" s="71"/>
      <c r="B2223" s="307" t="s">
        <v>2978</v>
      </c>
      <c r="C2223" s="308"/>
      <c r="D2223" s="308" t="s">
        <v>29</v>
      </c>
      <c r="E2223" s="308"/>
      <c r="F2223" s="308"/>
      <c r="G2223" s="308" t="s">
        <v>35</v>
      </c>
      <c r="H2223" s="308"/>
      <c r="I2223" s="308"/>
      <c r="J2223" s="308"/>
      <c r="K2223" s="308"/>
      <c r="L2223" s="308"/>
      <c r="M2223" s="308"/>
      <c r="N2223" s="308"/>
      <c r="O2223" s="309"/>
      <c r="P2223" s="308" t="str">
        <f t="shared" si="61"/>
        <v>Truncate table FSD560;</v>
      </c>
      <c r="Q2223" s="308"/>
      <c r="R2223" s="308"/>
    </row>
    <row r="2224" spans="1:18" s="306" customFormat="1" x14ac:dyDescent="0.25">
      <c r="A2224" s="71"/>
      <c r="B2224" s="307" t="s">
        <v>2979</v>
      </c>
      <c r="C2224" s="308"/>
      <c r="D2224" s="308" t="s">
        <v>29</v>
      </c>
      <c r="E2224" s="308"/>
      <c r="F2224" s="308"/>
      <c r="G2224" s="308" t="s">
        <v>35</v>
      </c>
      <c r="H2224" s="308"/>
      <c r="I2224" s="308"/>
      <c r="J2224" s="308"/>
      <c r="K2224" s="308"/>
      <c r="L2224" s="308"/>
      <c r="M2224" s="308"/>
      <c r="N2224" s="308"/>
      <c r="O2224" s="309"/>
      <c r="P2224" s="308" t="str">
        <f t="shared" si="61"/>
        <v>Truncate table FSD561;</v>
      </c>
      <c r="Q2224" s="308"/>
      <c r="R2224" s="308"/>
    </row>
    <row r="2225" spans="1:18" s="306" customFormat="1" x14ac:dyDescent="0.25">
      <c r="A2225" s="71"/>
      <c r="B2225" s="307" t="s">
        <v>2980</v>
      </c>
      <c r="C2225" s="308"/>
      <c r="D2225" s="308" t="s">
        <v>29</v>
      </c>
      <c r="E2225" s="308"/>
      <c r="F2225" s="308"/>
      <c r="G2225" s="308" t="s">
        <v>35</v>
      </c>
      <c r="H2225" s="308"/>
      <c r="I2225" s="308"/>
      <c r="J2225" s="308"/>
      <c r="K2225" s="308"/>
      <c r="L2225" s="308"/>
      <c r="M2225" s="308"/>
      <c r="N2225" s="308"/>
      <c r="O2225" s="309"/>
      <c r="P2225" s="308" t="str">
        <f t="shared" si="61"/>
        <v>Truncate table FSD562;</v>
      </c>
      <c r="Q2225" s="308"/>
      <c r="R2225" s="308"/>
    </row>
    <row r="2226" spans="1:18" s="306" customFormat="1" x14ac:dyDescent="0.25">
      <c r="A2226" s="71"/>
      <c r="B2226" s="307" t="s">
        <v>2981</v>
      </c>
      <c r="C2226" s="308"/>
      <c r="D2226" s="308" t="s">
        <v>29</v>
      </c>
      <c r="E2226" s="308"/>
      <c r="F2226" s="308"/>
      <c r="G2226" s="308" t="s">
        <v>35</v>
      </c>
      <c r="H2226" s="308"/>
      <c r="I2226" s="308"/>
      <c r="J2226" s="308"/>
      <c r="K2226" s="308"/>
      <c r="L2226" s="308"/>
      <c r="M2226" s="308"/>
      <c r="N2226" s="308"/>
      <c r="O2226" s="309"/>
      <c r="P2226" s="308" t="str">
        <f t="shared" si="61"/>
        <v>Truncate table FSD563;</v>
      </c>
      <c r="Q2226" s="308"/>
      <c r="R2226" s="308"/>
    </row>
    <row r="2227" spans="1:18" s="306" customFormat="1" x14ac:dyDescent="0.25">
      <c r="A2227" s="71"/>
      <c r="B2227" s="307" t="s">
        <v>2982</v>
      </c>
      <c r="C2227" s="308"/>
      <c r="D2227" s="308" t="s">
        <v>29</v>
      </c>
      <c r="E2227" s="308"/>
      <c r="F2227" s="308"/>
      <c r="G2227" s="308" t="s">
        <v>35</v>
      </c>
      <c r="H2227" s="308"/>
      <c r="I2227" s="308"/>
      <c r="J2227" s="308"/>
      <c r="K2227" s="308"/>
      <c r="L2227" s="308"/>
      <c r="M2227" s="308"/>
      <c r="N2227" s="308"/>
      <c r="O2227" s="309"/>
      <c r="P2227" s="308" t="str">
        <f t="shared" si="61"/>
        <v>Truncate table FSD564;</v>
      </c>
      <c r="Q2227" s="308"/>
      <c r="R2227" s="308"/>
    </row>
    <row r="2228" spans="1:18" s="306" customFormat="1" x14ac:dyDescent="0.25">
      <c r="A2228" s="71"/>
      <c r="B2228" s="307" t="s">
        <v>2983</v>
      </c>
      <c r="C2228" s="308"/>
      <c r="D2228" s="308" t="s">
        <v>29</v>
      </c>
      <c r="E2228" s="308"/>
      <c r="F2228" s="308"/>
      <c r="G2228" s="308" t="s">
        <v>35</v>
      </c>
      <c r="H2228" s="308"/>
      <c r="I2228" s="308"/>
      <c r="J2228" s="308"/>
      <c r="K2228" s="308"/>
      <c r="L2228" s="308"/>
      <c r="M2228" s="308"/>
      <c r="N2228" s="308"/>
      <c r="O2228" s="309"/>
      <c r="P2228" s="308" t="str">
        <f t="shared" ref="P2228:P2259" si="62">IF(D2228="Datos","Truncate table "&amp; B2228&amp; ";","")</f>
        <v>Truncate table FSD565;</v>
      </c>
      <c r="Q2228" s="308"/>
      <c r="R2228" s="308"/>
    </row>
    <row r="2229" spans="1:18" x14ac:dyDescent="0.25">
      <c r="B2229" s="19" t="s">
        <v>2984</v>
      </c>
      <c r="C2229" s="21" t="s">
        <v>2985</v>
      </c>
      <c r="D2229" s="16" t="s">
        <v>29</v>
      </c>
      <c r="E2229" s="16" t="s">
        <v>1096</v>
      </c>
      <c r="F2229" s="5" t="s">
        <v>184</v>
      </c>
      <c r="G2229" s="16" t="s">
        <v>35</v>
      </c>
      <c r="H2229" s="16" t="s">
        <v>36</v>
      </c>
      <c r="I2229" s="16"/>
      <c r="J2229" s="16"/>
      <c r="K2229" s="16"/>
      <c r="L2229" s="16"/>
      <c r="M2229" s="16"/>
      <c r="N2229" s="16"/>
      <c r="O2229" s="17" t="s">
        <v>38</v>
      </c>
      <c r="P2229" s="5" t="str">
        <f t="shared" si="62"/>
        <v>Truncate table FSD601;</v>
      </c>
      <c r="Q2229" s="5"/>
      <c r="R2229" s="5"/>
    </row>
    <row r="2230" spans="1:18" x14ac:dyDescent="0.25">
      <c r="B2230" s="19" t="s">
        <v>2986</v>
      </c>
      <c r="C2230" s="21" t="s">
        <v>2987</v>
      </c>
      <c r="D2230" s="16" t="s">
        <v>29</v>
      </c>
      <c r="E2230" s="16" t="s">
        <v>1096</v>
      </c>
      <c r="F2230" s="5" t="s">
        <v>184</v>
      </c>
      <c r="G2230" s="16" t="s">
        <v>35</v>
      </c>
      <c r="H2230" s="16" t="s">
        <v>36</v>
      </c>
      <c r="I2230" s="16"/>
      <c r="J2230" s="16"/>
      <c r="K2230" s="16"/>
      <c r="L2230" s="16"/>
      <c r="M2230" s="16"/>
      <c r="N2230" s="16"/>
      <c r="O2230" s="17" t="s">
        <v>38</v>
      </c>
      <c r="P2230" s="5" t="str">
        <f t="shared" si="62"/>
        <v>Truncate table FSD602;</v>
      </c>
      <c r="Q2230" s="5"/>
      <c r="R2230" s="5"/>
    </row>
    <row r="2231" spans="1:18" x14ac:dyDescent="0.25">
      <c r="B2231" s="19" t="s">
        <v>2988</v>
      </c>
      <c r="C2231" s="21" t="s">
        <v>8540</v>
      </c>
      <c r="D2231" s="16" t="s">
        <v>29</v>
      </c>
      <c r="E2231" s="16" t="s">
        <v>54</v>
      </c>
      <c r="F2231" s="5" t="s">
        <v>2932</v>
      </c>
      <c r="G2231" s="16" t="s">
        <v>35</v>
      </c>
      <c r="H2231" s="16" t="s">
        <v>36</v>
      </c>
      <c r="I2231" s="16"/>
      <c r="J2231" s="16"/>
      <c r="K2231" s="16"/>
      <c r="L2231" s="16"/>
      <c r="M2231" s="16"/>
      <c r="N2231" s="16"/>
      <c r="O2231" s="17" t="s">
        <v>38</v>
      </c>
      <c r="P2231" s="5" t="str">
        <f t="shared" si="62"/>
        <v>Truncate table FSD603;</v>
      </c>
      <c r="Q2231" s="5"/>
      <c r="R2231" s="5"/>
    </row>
    <row r="2232" spans="1:18" s="306" customFormat="1" x14ac:dyDescent="0.25">
      <c r="A2232" s="71"/>
      <c r="B2232" s="307" t="s">
        <v>2989</v>
      </c>
      <c r="C2232" s="308"/>
      <c r="D2232" s="308" t="s">
        <v>29</v>
      </c>
      <c r="E2232" s="308"/>
      <c r="F2232" s="308"/>
      <c r="G2232" s="308" t="s">
        <v>35</v>
      </c>
      <c r="H2232" s="308"/>
      <c r="I2232" s="308"/>
      <c r="J2232" s="308"/>
      <c r="K2232" s="308"/>
      <c r="L2232" s="308"/>
      <c r="M2232" s="308"/>
      <c r="N2232" s="308"/>
      <c r="O2232" s="309"/>
      <c r="P2232" s="308" t="str">
        <f t="shared" si="62"/>
        <v>Truncate table FSD604;</v>
      </c>
      <c r="Q2232" s="308"/>
      <c r="R2232" s="308"/>
    </row>
    <row r="2233" spans="1:18" x14ac:dyDescent="0.25">
      <c r="B2233" s="19" t="s">
        <v>2990</v>
      </c>
      <c r="C2233" s="16" t="s">
        <v>2991</v>
      </c>
      <c r="D2233" s="16" t="s">
        <v>29</v>
      </c>
      <c r="E2233" s="16" t="s">
        <v>151</v>
      </c>
      <c r="F2233" s="5" t="s">
        <v>2992</v>
      </c>
      <c r="G2233" s="16" t="s">
        <v>35</v>
      </c>
      <c r="H2233" s="16"/>
      <c r="I2233" s="16"/>
      <c r="J2233" s="16"/>
      <c r="K2233" s="16"/>
      <c r="L2233" s="16"/>
      <c r="M2233" s="16"/>
      <c r="N2233" s="16"/>
      <c r="O2233" s="17" t="s">
        <v>38</v>
      </c>
      <c r="P2233" s="5" t="str">
        <f t="shared" si="62"/>
        <v>Truncate table FSD605;</v>
      </c>
      <c r="Q2233" s="5"/>
      <c r="R2233" s="5"/>
    </row>
    <row r="2234" spans="1:18" x14ac:dyDescent="0.25">
      <c r="B2234" s="19" t="s">
        <v>2993</v>
      </c>
      <c r="C2234" s="21" t="s">
        <v>2994</v>
      </c>
      <c r="D2234" s="16" t="s">
        <v>29</v>
      </c>
      <c r="E2234" s="16" t="s">
        <v>1096</v>
      </c>
      <c r="F2234" s="5" t="s">
        <v>184</v>
      </c>
      <c r="G2234" s="16" t="s">
        <v>35</v>
      </c>
      <c r="H2234" s="16" t="s">
        <v>36</v>
      </c>
      <c r="I2234" s="16"/>
      <c r="J2234" s="16"/>
      <c r="K2234" s="16"/>
      <c r="L2234" s="16"/>
      <c r="M2234" s="16"/>
      <c r="N2234" s="16"/>
      <c r="O2234" s="17" t="s">
        <v>38</v>
      </c>
      <c r="P2234" s="5" t="str">
        <f t="shared" si="62"/>
        <v>Truncate table FSD611;</v>
      </c>
      <c r="Q2234" s="5"/>
      <c r="R2234" s="5"/>
    </row>
    <row r="2235" spans="1:18" x14ac:dyDescent="0.25">
      <c r="B2235" s="19" t="s">
        <v>2995</v>
      </c>
      <c r="C2235" s="21" t="s">
        <v>2996</v>
      </c>
      <c r="D2235" s="16" t="s">
        <v>29</v>
      </c>
      <c r="E2235" s="16" t="s">
        <v>1096</v>
      </c>
      <c r="F2235" s="5" t="s">
        <v>184</v>
      </c>
      <c r="G2235" s="16" t="s">
        <v>35</v>
      </c>
      <c r="H2235" s="16" t="s">
        <v>36</v>
      </c>
      <c r="I2235" s="16"/>
      <c r="J2235" s="16"/>
      <c r="K2235" s="16"/>
      <c r="L2235" s="16"/>
      <c r="M2235" s="16"/>
      <c r="N2235" s="16"/>
      <c r="O2235" s="17" t="s">
        <v>38</v>
      </c>
      <c r="P2235" s="5" t="str">
        <f t="shared" si="62"/>
        <v>Truncate table FSD612;</v>
      </c>
      <c r="Q2235" s="5"/>
      <c r="R2235" s="5"/>
    </row>
    <row r="2236" spans="1:18" x14ac:dyDescent="0.25">
      <c r="B2236" s="19" t="s">
        <v>2997</v>
      </c>
      <c r="C2236" s="16" t="s">
        <v>8498</v>
      </c>
      <c r="D2236" s="16" t="s">
        <v>29</v>
      </c>
      <c r="E2236" s="16" t="s">
        <v>54</v>
      </c>
      <c r="F2236" s="5" t="s">
        <v>163</v>
      </c>
      <c r="G2236" s="16" t="s">
        <v>35</v>
      </c>
      <c r="H2236" s="16" t="s">
        <v>36</v>
      </c>
      <c r="I2236" s="16"/>
      <c r="J2236" s="16"/>
      <c r="K2236" s="16"/>
      <c r="L2236" s="16"/>
      <c r="M2236" s="16"/>
      <c r="N2236" s="16"/>
      <c r="O2236" s="17" t="s">
        <v>38</v>
      </c>
      <c r="P2236" s="5" t="str">
        <f t="shared" si="62"/>
        <v>Truncate table FSD703;</v>
      </c>
      <c r="Q2236" s="5"/>
      <c r="R2236" s="5"/>
    </row>
    <row r="2237" spans="1:18" x14ac:dyDescent="0.25">
      <c r="B2237" s="19" t="s">
        <v>2998</v>
      </c>
      <c r="C2237" s="21" t="s">
        <v>8499</v>
      </c>
      <c r="D2237" s="16" t="s">
        <v>29</v>
      </c>
      <c r="E2237" s="16" t="s">
        <v>54</v>
      </c>
      <c r="F2237" s="5" t="s">
        <v>163</v>
      </c>
      <c r="G2237" s="16" t="s">
        <v>35</v>
      </c>
      <c r="H2237" s="16" t="s">
        <v>36</v>
      </c>
      <c r="I2237" s="16"/>
      <c r="J2237" s="16"/>
      <c r="K2237" s="16"/>
      <c r="L2237" s="16"/>
      <c r="M2237" s="16"/>
      <c r="N2237" s="16"/>
      <c r="O2237" s="17" t="s">
        <v>38</v>
      </c>
      <c r="P2237" s="5" t="str">
        <f t="shared" si="62"/>
        <v>Truncate table FSD704;</v>
      </c>
      <c r="Q2237" s="5"/>
      <c r="R2237" s="5"/>
    </row>
    <row r="2238" spans="1:18" x14ac:dyDescent="0.25">
      <c r="B2238" s="12" t="s">
        <v>2999</v>
      </c>
      <c r="C2238" s="4" t="s">
        <v>3000</v>
      </c>
      <c r="D2238" s="5" t="s">
        <v>29</v>
      </c>
      <c r="E2238" s="5" t="s">
        <v>34</v>
      </c>
      <c r="F2238" s="5" t="s">
        <v>33</v>
      </c>
      <c r="G2238" s="5" t="s">
        <v>35</v>
      </c>
      <c r="H2238" s="5" t="s">
        <v>36</v>
      </c>
      <c r="I2238" s="5"/>
      <c r="J2238" s="5"/>
      <c r="K2238" s="5"/>
      <c r="L2238" s="5"/>
      <c r="M2238" s="5"/>
      <c r="N2238" s="5"/>
      <c r="O2238" s="7" t="s">
        <v>38</v>
      </c>
      <c r="P2238" s="5" t="str">
        <f t="shared" si="62"/>
        <v>Truncate table FSD705;</v>
      </c>
      <c r="Q2238" s="5"/>
      <c r="R2238" s="5"/>
    </row>
    <row r="2239" spans="1:18" ht="121.5" x14ac:dyDescent="0.25">
      <c r="B2239" s="19" t="s">
        <v>3001</v>
      </c>
      <c r="C2239" s="21" t="s">
        <v>3002</v>
      </c>
      <c r="D2239" s="16" t="s">
        <v>29</v>
      </c>
      <c r="E2239" s="16" t="s">
        <v>34</v>
      </c>
      <c r="F2239" s="5" t="s">
        <v>33</v>
      </c>
      <c r="G2239" s="16" t="s">
        <v>35</v>
      </c>
      <c r="H2239" s="16" t="s">
        <v>36</v>
      </c>
      <c r="I2239" s="16"/>
      <c r="J2239" s="16"/>
      <c r="K2239" s="16"/>
      <c r="L2239" s="60" t="s">
        <v>3003</v>
      </c>
      <c r="M2239" s="60"/>
      <c r="N2239" s="16"/>
      <c r="O2239" s="17" t="s">
        <v>38</v>
      </c>
      <c r="P2239" s="5" t="str">
        <f t="shared" si="62"/>
        <v>Truncate table FSD706;</v>
      </c>
      <c r="Q2239" s="5"/>
      <c r="R2239" s="5"/>
    </row>
    <row r="2240" spans="1:18" ht="27" x14ac:dyDescent="0.25">
      <c r="B2240" s="19" t="s">
        <v>3004</v>
      </c>
      <c r="C2240" s="21" t="s">
        <v>3005</v>
      </c>
      <c r="D2240" s="16" t="s">
        <v>29</v>
      </c>
      <c r="E2240" s="16" t="s">
        <v>3007</v>
      </c>
      <c r="F2240" s="5" t="s">
        <v>3006</v>
      </c>
      <c r="G2240" s="16" t="s">
        <v>35</v>
      </c>
      <c r="H2240" s="16"/>
      <c r="I2240" s="16"/>
      <c r="J2240" s="16"/>
      <c r="K2240" s="16"/>
      <c r="L2240" s="16" t="s">
        <v>3008</v>
      </c>
      <c r="M2240" s="16"/>
      <c r="N2240" s="16"/>
      <c r="O2240" s="17" t="s">
        <v>38</v>
      </c>
      <c r="P2240" s="5" t="str">
        <f t="shared" si="62"/>
        <v>Truncate table FSD707;</v>
      </c>
      <c r="Q2240" s="5"/>
      <c r="R2240" s="5"/>
    </row>
    <row r="2241" spans="1:22" s="306" customFormat="1" x14ac:dyDescent="0.25">
      <c r="A2241" s="71"/>
      <c r="B2241" s="307" t="s">
        <v>3009</v>
      </c>
      <c r="C2241" s="308"/>
      <c r="D2241" s="308" t="s">
        <v>29</v>
      </c>
      <c r="E2241" s="308"/>
      <c r="F2241" s="308"/>
      <c r="G2241" s="308" t="s">
        <v>35</v>
      </c>
      <c r="H2241" s="308"/>
      <c r="I2241" s="308"/>
      <c r="J2241" s="308"/>
      <c r="K2241" s="308"/>
      <c r="L2241" s="308"/>
      <c r="M2241" s="308"/>
      <c r="N2241" s="308"/>
      <c r="O2241" s="309"/>
      <c r="P2241" s="308" t="str">
        <f t="shared" si="62"/>
        <v>Truncate table FSD710;</v>
      </c>
      <c r="Q2241" s="308"/>
      <c r="R2241" s="308"/>
    </row>
    <row r="2242" spans="1:22" x14ac:dyDescent="0.25">
      <c r="B2242" s="19" t="s">
        <v>3010</v>
      </c>
      <c r="C2242" s="16" t="s">
        <v>3011</v>
      </c>
      <c r="D2242" s="16" t="s">
        <v>29</v>
      </c>
      <c r="E2242" s="16" t="s">
        <v>54</v>
      </c>
      <c r="F2242" s="5" t="s">
        <v>163</v>
      </c>
      <c r="G2242" s="16" t="s">
        <v>35</v>
      </c>
      <c r="H2242" s="16" t="s">
        <v>36</v>
      </c>
      <c r="I2242" s="16"/>
      <c r="J2242" s="16"/>
      <c r="K2242" s="16"/>
      <c r="L2242" s="16"/>
      <c r="M2242" s="16"/>
      <c r="N2242" s="16"/>
      <c r="O2242" s="17" t="s">
        <v>38</v>
      </c>
      <c r="P2242" s="5" t="str">
        <f t="shared" si="62"/>
        <v>Truncate table FSD711;</v>
      </c>
      <c r="Q2242" s="5"/>
      <c r="R2242" s="5"/>
    </row>
    <row r="2243" spans="1:22" s="306" customFormat="1" x14ac:dyDescent="0.25">
      <c r="A2243" s="71"/>
      <c r="B2243" s="307" t="s">
        <v>3012</v>
      </c>
      <c r="C2243" s="308"/>
      <c r="D2243" s="308" t="s">
        <v>29</v>
      </c>
      <c r="E2243" s="308"/>
      <c r="F2243" s="308"/>
      <c r="G2243" s="308" t="s">
        <v>35</v>
      </c>
      <c r="H2243" s="308"/>
      <c r="I2243" s="308"/>
      <c r="J2243" s="308"/>
      <c r="K2243" s="308"/>
      <c r="L2243" s="308"/>
      <c r="M2243" s="308"/>
      <c r="N2243" s="308"/>
      <c r="O2243" s="309"/>
      <c r="P2243" s="308" t="str">
        <f t="shared" si="62"/>
        <v>Truncate table FSD712;</v>
      </c>
      <c r="Q2243" s="308"/>
      <c r="R2243" s="308"/>
    </row>
    <row r="2244" spans="1:22" s="306" customFormat="1" x14ac:dyDescent="0.25">
      <c r="A2244" s="71"/>
      <c r="B2244" s="307" t="s">
        <v>3013</v>
      </c>
      <c r="C2244" s="308"/>
      <c r="D2244" s="308" t="s">
        <v>29</v>
      </c>
      <c r="E2244" s="308"/>
      <c r="F2244" s="308"/>
      <c r="G2244" s="308" t="s">
        <v>35</v>
      </c>
      <c r="H2244" s="308"/>
      <c r="I2244" s="308"/>
      <c r="J2244" s="308"/>
      <c r="K2244" s="308"/>
      <c r="L2244" s="308"/>
      <c r="M2244" s="308"/>
      <c r="N2244" s="308"/>
      <c r="O2244" s="309"/>
      <c r="P2244" s="308" t="str">
        <f t="shared" si="62"/>
        <v>Truncate table FSD740;</v>
      </c>
      <c r="Q2244" s="308"/>
      <c r="R2244" s="308"/>
    </row>
    <row r="2245" spans="1:22" s="306" customFormat="1" x14ac:dyDescent="0.25">
      <c r="A2245" s="71"/>
      <c r="B2245" s="307" t="s">
        <v>3014</v>
      </c>
      <c r="C2245" s="308"/>
      <c r="D2245" s="308" t="s">
        <v>29</v>
      </c>
      <c r="E2245" s="308"/>
      <c r="F2245" s="308"/>
      <c r="G2245" s="308" t="s">
        <v>35</v>
      </c>
      <c r="H2245" s="308"/>
      <c r="I2245" s="308"/>
      <c r="J2245" s="308"/>
      <c r="K2245" s="308"/>
      <c r="L2245" s="308"/>
      <c r="M2245" s="308"/>
      <c r="N2245" s="308"/>
      <c r="O2245" s="309"/>
      <c r="P2245" s="308" t="str">
        <f t="shared" si="62"/>
        <v>Truncate table FSD741;</v>
      </c>
      <c r="Q2245" s="308"/>
      <c r="R2245" s="308"/>
    </row>
    <row r="2246" spans="1:22" s="306" customFormat="1" x14ac:dyDescent="0.25">
      <c r="A2246" s="71"/>
      <c r="B2246" s="307" t="s">
        <v>3015</v>
      </c>
      <c r="C2246" s="308"/>
      <c r="D2246" s="308" t="s">
        <v>29</v>
      </c>
      <c r="E2246" s="308"/>
      <c r="F2246" s="308"/>
      <c r="G2246" s="308" t="s">
        <v>35</v>
      </c>
      <c r="H2246" s="308"/>
      <c r="I2246" s="308"/>
      <c r="J2246" s="308"/>
      <c r="K2246" s="308"/>
      <c r="L2246" s="308"/>
      <c r="M2246" s="308"/>
      <c r="N2246" s="308"/>
      <c r="O2246" s="309"/>
      <c r="P2246" s="308" t="str">
        <f t="shared" si="62"/>
        <v>Truncate table FSD850;</v>
      </c>
      <c r="Q2246" s="308"/>
      <c r="R2246" s="308"/>
    </row>
    <row r="2247" spans="1:22" s="306" customFormat="1" x14ac:dyDescent="0.25">
      <c r="A2247" s="71"/>
      <c r="B2247" s="307" t="s">
        <v>3016</v>
      </c>
      <c r="C2247" s="308"/>
      <c r="D2247" s="308" t="s">
        <v>29</v>
      </c>
      <c r="E2247" s="308"/>
      <c r="F2247" s="308"/>
      <c r="G2247" s="308" t="s">
        <v>35</v>
      </c>
      <c r="H2247" s="308"/>
      <c r="I2247" s="308"/>
      <c r="J2247" s="308"/>
      <c r="K2247" s="308"/>
      <c r="L2247" s="308"/>
      <c r="M2247" s="308"/>
      <c r="N2247" s="308"/>
      <c r="O2247" s="309"/>
      <c r="P2247" s="308" t="str">
        <f t="shared" si="62"/>
        <v>Truncate table FSD851;</v>
      </c>
      <c r="Q2247" s="308"/>
      <c r="R2247" s="308"/>
    </row>
    <row r="2248" spans="1:22" x14ac:dyDescent="0.25">
      <c r="B2248" s="19" t="s">
        <v>3017</v>
      </c>
      <c r="C2248" s="21" t="s">
        <v>3018</v>
      </c>
      <c r="D2248" s="16" t="s">
        <v>29</v>
      </c>
      <c r="E2248" s="16" t="s">
        <v>54</v>
      </c>
      <c r="F2248" s="5" t="s">
        <v>557</v>
      </c>
      <c r="G2248" s="16" t="s">
        <v>35</v>
      </c>
      <c r="H2248" s="16"/>
      <c r="I2248" s="16"/>
      <c r="J2248" s="16"/>
      <c r="K2248" s="16"/>
      <c r="L2248" s="16"/>
      <c r="M2248" s="16"/>
      <c r="N2248" s="16" t="s">
        <v>558</v>
      </c>
      <c r="O2248" s="17" t="s">
        <v>38</v>
      </c>
      <c r="P2248" s="5" t="str">
        <f t="shared" si="62"/>
        <v>Truncate table FSDEJP;</v>
      </c>
      <c r="Q2248" s="5"/>
      <c r="R2248" s="5"/>
    </row>
    <row r="2249" spans="1:22" s="306" customFormat="1" ht="15" customHeight="1" x14ac:dyDescent="0.25">
      <c r="A2249" s="71"/>
      <c r="B2249" s="307" t="s">
        <v>3019</v>
      </c>
      <c r="C2249" s="308"/>
      <c r="D2249" s="308" t="s">
        <v>29</v>
      </c>
      <c r="E2249" s="308"/>
      <c r="F2249" s="308"/>
      <c r="G2249" s="308" t="s">
        <v>35</v>
      </c>
      <c r="H2249" s="308"/>
      <c r="I2249" s="308"/>
      <c r="J2249" s="308"/>
      <c r="K2249" s="308"/>
      <c r="L2249" s="308"/>
      <c r="M2249" s="308"/>
      <c r="N2249" s="308"/>
      <c r="O2249" s="309"/>
      <c r="P2249" s="308" t="str">
        <f t="shared" si="62"/>
        <v>Truncate table FSDLOG;</v>
      </c>
      <c r="Q2249" s="308"/>
      <c r="R2249" s="308"/>
    </row>
    <row r="2250" spans="1:22" x14ac:dyDescent="0.25">
      <c r="B2250" s="19" t="s">
        <v>3020</v>
      </c>
      <c r="C2250" s="16" t="s">
        <v>10097</v>
      </c>
      <c r="D2250" s="16" t="s">
        <v>29</v>
      </c>
      <c r="E2250" s="16"/>
      <c r="F2250" s="16"/>
      <c r="G2250" s="16" t="s">
        <v>35</v>
      </c>
      <c r="H2250" s="16"/>
      <c r="I2250" s="16"/>
      <c r="J2250" s="16"/>
      <c r="K2250" s="16"/>
      <c r="L2250" s="16"/>
      <c r="M2250" s="16"/>
      <c r="N2250" s="16"/>
      <c r="O2250" s="17"/>
      <c r="P2250" s="16" t="str">
        <f t="shared" si="62"/>
        <v>Truncate table FSDPGM;</v>
      </c>
      <c r="Q2250" s="16"/>
      <c r="R2250" s="16"/>
      <c r="S2250"/>
      <c r="T2250"/>
      <c r="U2250"/>
      <c r="V2250"/>
    </row>
    <row r="2251" spans="1:22" x14ac:dyDescent="0.25">
      <c r="B2251" s="19" t="s">
        <v>3021</v>
      </c>
      <c r="C2251" s="16" t="s">
        <v>8497</v>
      </c>
      <c r="D2251" s="16" t="s">
        <v>29</v>
      </c>
      <c r="E2251" s="16" t="s">
        <v>54</v>
      </c>
      <c r="F2251" s="5" t="s">
        <v>163</v>
      </c>
      <c r="G2251" s="16" t="s">
        <v>35</v>
      </c>
      <c r="H2251" s="16" t="s">
        <v>36</v>
      </c>
      <c r="I2251" s="16"/>
      <c r="J2251" s="16"/>
      <c r="K2251" s="16"/>
      <c r="L2251" s="16"/>
      <c r="M2251" s="16"/>
      <c r="N2251" s="16"/>
      <c r="O2251" s="17" t="s">
        <v>38</v>
      </c>
      <c r="P2251" s="5" t="str">
        <f t="shared" si="62"/>
        <v>Truncate table FSE001;</v>
      </c>
      <c r="Q2251" s="5"/>
      <c r="R2251" s="5"/>
    </row>
    <row r="2252" spans="1:22" x14ac:dyDescent="0.25">
      <c r="B2252" s="19" t="s">
        <v>3022</v>
      </c>
      <c r="C2252" s="16" t="s">
        <v>8497</v>
      </c>
      <c r="D2252" s="16" t="s">
        <v>29</v>
      </c>
      <c r="E2252" s="16" t="s">
        <v>54</v>
      </c>
      <c r="F2252" s="5" t="s">
        <v>163</v>
      </c>
      <c r="G2252" s="16" t="s">
        <v>35</v>
      </c>
      <c r="H2252" s="16" t="s">
        <v>36</v>
      </c>
      <c r="I2252" s="16"/>
      <c r="J2252" s="16"/>
      <c r="K2252" s="16"/>
      <c r="L2252" s="16"/>
      <c r="M2252" s="16"/>
      <c r="N2252" s="16"/>
      <c r="O2252" s="17" t="s">
        <v>38</v>
      </c>
      <c r="P2252" s="5" t="str">
        <f t="shared" si="62"/>
        <v>Truncate table FSE002;</v>
      </c>
      <c r="Q2252" s="5"/>
      <c r="R2252" s="5"/>
    </row>
    <row r="2253" spans="1:22" x14ac:dyDescent="0.25">
      <c r="B2253" s="19" t="s">
        <v>3023</v>
      </c>
      <c r="C2253" s="16" t="s">
        <v>3024</v>
      </c>
      <c r="D2253" s="16" t="s">
        <v>29</v>
      </c>
      <c r="E2253" s="16" t="s">
        <v>54</v>
      </c>
      <c r="F2253" s="5" t="s">
        <v>163</v>
      </c>
      <c r="G2253" s="16" t="s">
        <v>35</v>
      </c>
      <c r="H2253" s="16" t="s">
        <v>36</v>
      </c>
      <c r="I2253" s="16"/>
      <c r="J2253" s="16"/>
      <c r="K2253" s="16"/>
      <c r="L2253" s="16"/>
      <c r="M2253" s="16"/>
      <c r="N2253" s="16"/>
      <c r="O2253" s="17" t="s">
        <v>38</v>
      </c>
      <c r="P2253" s="5" t="str">
        <f t="shared" si="62"/>
        <v>Truncate table FSE003;</v>
      </c>
      <c r="Q2253" s="5"/>
      <c r="R2253" s="5"/>
    </row>
    <row r="2254" spans="1:22" x14ac:dyDescent="0.25">
      <c r="B2254" s="19" t="s">
        <v>3025</v>
      </c>
      <c r="C2254" t="s">
        <v>10098</v>
      </c>
      <c r="D2254" s="16" t="s">
        <v>29</v>
      </c>
      <c r="E2254" s="16" t="s">
        <v>54</v>
      </c>
      <c r="F2254" s="5" t="s">
        <v>163</v>
      </c>
      <c r="G2254" s="16" t="s">
        <v>28</v>
      </c>
      <c r="H2254" s="16" t="s">
        <v>36</v>
      </c>
      <c r="I2254" s="16"/>
      <c r="J2254" s="16"/>
      <c r="K2254" s="16"/>
      <c r="L2254" s="16"/>
      <c r="M2254" s="16"/>
      <c r="N2254" s="16"/>
      <c r="O2254" s="17" t="s">
        <v>38</v>
      </c>
      <c r="P2254" s="5" t="str">
        <f t="shared" si="62"/>
        <v>Truncate table FSE005;</v>
      </c>
      <c r="Q2254" s="5"/>
      <c r="R2254" s="5"/>
    </row>
    <row r="2255" spans="1:22" x14ac:dyDescent="0.25">
      <c r="B2255" s="19" t="s">
        <v>3026</v>
      </c>
      <c r="C2255" t="s">
        <v>10099</v>
      </c>
      <c r="D2255" s="16" t="s">
        <v>29</v>
      </c>
      <c r="E2255" s="16" t="s">
        <v>54</v>
      </c>
      <c r="F2255" s="5" t="s">
        <v>163</v>
      </c>
      <c r="G2255" s="16" t="s">
        <v>28</v>
      </c>
      <c r="H2255" s="16" t="s">
        <v>36</v>
      </c>
      <c r="I2255" s="16"/>
      <c r="J2255" s="16"/>
      <c r="K2255" s="16"/>
      <c r="L2255" s="16"/>
      <c r="M2255" s="16"/>
      <c r="N2255" s="16"/>
      <c r="O2255" s="17" t="s">
        <v>38</v>
      </c>
      <c r="P2255" s="5" t="str">
        <f t="shared" si="62"/>
        <v>Truncate table FSE006;</v>
      </c>
      <c r="Q2255" s="5"/>
      <c r="R2255" s="5"/>
    </row>
    <row r="2256" spans="1:22" x14ac:dyDescent="0.25">
      <c r="B2256" s="19" t="s">
        <v>3027</v>
      </c>
      <c r="C2256" s="16" t="s">
        <v>3028</v>
      </c>
      <c r="D2256" s="16" t="s">
        <v>29</v>
      </c>
      <c r="E2256" s="16" t="s">
        <v>54</v>
      </c>
      <c r="F2256" s="5" t="s">
        <v>163</v>
      </c>
      <c r="G2256" s="16" t="s">
        <v>35</v>
      </c>
      <c r="H2256" s="16" t="s">
        <v>36</v>
      </c>
      <c r="I2256" s="16"/>
      <c r="J2256" s="16"/>
      <c r="K2256" s="16"/>
      <c r="L2256" s="16"/>
      <c r="M2256" s="16"/>
      <c r="N2256" s="16"/>
      <c r="O2256" s="17" t="s">
        <v>38</v>
      </c>
      <c r="P2256" s="5" t="str">
        <f t="shared" si="62"/>
        <v>Truncate table FSE008;</v>
      </c>
      <c r="Q2256" s="5"/>
      <c r="R2256" s="5"/>
    </row>
    <row r="2257" spans="1:18" x14ac:dyDescent="0.25">
      <c r="B2257" s="19" t="s">
        <v>3029</v>
      </c>
      <c r="C2257" s="16" t="s">
        <v>3030</v>
      </c>
      <c r="D2257" s="16" t="s">
        <v>29</v>
      </c>
      <c r="E2257" s="16" t="s">
        <v>1096</v>
      </c>
      <c r="F2257" s="5" t="s">
        <v>184</v>
      </c>
      <c r="G2257" s="16" t="s">
        <v>35</v>
      </c>
      <c r="H2257" s="16" t="s">
        <v>36</v>
      </c>
      <c r="I2257" s="16"/>
      <c r="J2257" s="16"/>
      <c r="K2257" s="16"/>
      <c r="L2257" s="16"/>
      <c r="M2257" s="16"/>
      <c r="N2257" s="16"/>
      <c r="O2257" s="17" t="s">
        <v>38</v>
      </c>
      <c r="P2257" s="5" t="str">
        <f t="shared" si="62"/>
        <v>Truncate table FSE012;</v>
      </c>
      <c r="Q2257" s="5"/>
      <c r="R2257" s="5"/>
    </row>
    <row r="2258" spans="1:18" x14ac:dyDescent="0.25">
      <c r="B2258" s="19" t="s">
        <v>3031</v>
      </c>
      <c r="C2258" s="16" t="s">
        <v>3032</v>
      </c>
      <c r="D2258" s="16" t="s">
        <v>29</v>
      </c>
      <c r="E2258" s="16" t="s">
        <v>151</v>
      </c>
      <c r="F2258" s="5"/>
      <c r="G2258" s="16" t="s">
        <v>35</v>
      </c>
      <c r="H2258" s="16"/>
      <c r="I2258" s="16"/>
      <c r="J2258" s="16"/>
      <c r="K2258" s="16"/>
      <c r="L2258" s="16"/>
      <c r="M2258" s="16"/>
      <c r="N2258" s="16"/>
      <c r="O2258" s="17" t="s">
        <v>38</v>
      </c>
      <c r="P2258" s="5" t="str">
        <f t="shared" si="62"/>
        <v>Truncate table FSE013;</v>
      </c>
      <c r="Q2258" s="5"/>
      <c r="R2258" s="5"/>
    </row>
    <row r="2259" spans="1:18" s="306" customFormat="1" x14ac:dyDescent="0.25">
      <c r="A2259" s="71"/>
      <c r="B2259" s="307" t="s">
        <v>3033</v>
      </c>
      <c r="C2259" s="308"/>
      <c r="D2259" s="308" t="s">
        <v>29</v>
      </c>
      <c r="E2259" s="308" t="s">
        <v>54</v>
      </c>
      <c r="F2259" s="308" t="s">
        <v>2932</v>
      </c>
      <c r="G2259" s="308" t="s">
        <v>28</v>
      </c>
      <c r="H2259" s="308" t="s">
        <v>36</v>
      </c>
      <c r="I2259" s="308"/>
      <c r="J2259" s="308"/>
      <c r="K2259" s="308"/>
      <c r="L2259" s="308"/>
      <c r="M2259" s="308"/>
      <c r="N2259" s="308"/>
      <c r="O2259" s="309" t="s">
        <v>38</v>
      </c>
      <c r="P2259" s="308" t="str">
        <f t="shared" si="62"/>
        <v>Truncate table FSE015;</v>
      </c>
      <c r="Q2259" s="308"/>
      <c r="R2259" s="308"/>
    </row>
    <row r="2260" spans="1:18" x14ac:dyDescent="0.25">
      <c r="B2260" s="19" t="s">
        <v>3034</v>
      </c>
      <c r="C2260" s="16" t="s">
        <v>3035</v>
      </c>
      <c r="D2260" s="16" t="s">
        <v>29</v>
      </c>
      <c r="E2260" s="16" t="s">
        <v>151</v>
      </c>
      <c r="F2260" s="5"/>
      <c r="G2260" s="16" t="s">
        <v>35</v>
      </c>
      <c r="H2260" s="16"/>
      <c r="I2260" s="16"/>
      <c r="J2260" s="16"/>
      <c r="K2260" s="16"/>
      <c r="L2260" s="16"/>
      <c r="M2260" s="16"/>
      <c r="N2260" s="16"/>
      <c r="O2260" s="17" t="s">
        <v>38</v>
      </c>
      <c r="P2260" s="5" t="str">
        <f t="shared" ref="P2260:P2287" si="63">IF(D2260="Datos","Truncate table "&amp; B2260&amp; ";","")</f>
        <v>Truncate table FSE021;</v>
      </c>
      <c r="Q2260" s="5"/>
      <c r="R2260" s="5"/>
    </row>
    <row r="2261" spans="1:18" x14ac:dyDescent="0.25">
      <c r="B2261" s="19" t="s">
        <v>3036</v>
      </c>
      <c r="C2261" t="s">
        <v>10100</v>
      </c>
      <c r="D2261" s="16" t="s">
        <v>29</v>
      </c>
      <c r="E2261" s="16"/>
      <c r="F2261" s="5"/>
      <c r="G2261" s="16" t="s">
        <v>35</v>
      </c>
      <c r="H2261" s="16"/>
      <c r="I2261" s="16"/>
      <c r="J2261" s="16"/>
      <c r="K2261" s="16"/>
      <c r="L2261" s="16"/>
      <c r="M2261" s="16"/>
      <c r="N2261" s="16"/>
      <c r="O2261" s="17"/>
      <c r="P2261" s="5" t="str">
        <f t="shared" si="63"/>
        <v>Truncate table FSE030;</v>
      </c>
      <c r="Q2261" s="5"/>
      <c r="R2261" s="5"/>
    </row>
    <row r="2262" spans="1:18" x14ac:dyDescent="0.25">
      <c r="B2262" s="19" t="s">
        <v>3037</v>
      </c>
      <c r="C2262" t="s">
        <v>10101</v>
      </c>
      <c r="D2262" s="16" t="s">
        <v>29</v>
      </c>
      <c r="E2262" s="16"/>
      <c r="F2262" s="5"/>
      <c r="G2262" s="16" t="s">
        <v>35</v>
      </c>
      <c r="H2262" s="16"/>
      <c r="I2262" s="16"/>
      <c r="J2262" s="16"/>
      <c r="K2262" s="16"/>
      <c r="L2262" s="16"/>
      <c r="M2262" s="16"/>
      <c r="N2262" s="16"/>
      <c r="O2262" s="17"/>
      <c r="P2262" s="5" t="str">
        <f t="shared" si="63"/>
        <v>Truncate table FSE031;</v>
      </c>
      <c r="Q2262" s="5"/>
      <c r="R2262" s="5"/>
    </row>
    <row r="2263" spans="1:18" ht="40.5" x14ac:dyDescent="0.25">
      <c r="B2263" s="4" t="s">
        <v>3038</v>
      </c>
      <c r="C2263" s="5" t="s">
        <v>3039</v>
      </c>
      <c r="D2263" s="16" t="s">
        <v>29</v>
      </c>
      <c r="E2263" s="5" t="s">
        <v>54</v>
      </c>
      <c r="F2263" s="5" t="s">
        <v>74</v>
      </c>
      <c r="G2263" s="16" t="s">
        <v>503</v>
      </c>
      <c r="H2263" s="16" t="s">
        <v>36</v>
      </c>
      <c r="I2263" s="5" t="s">
        <v>3040</v>
      </c>
      <c r="J2263" s="5" t="s">
        <v>3041</v>
      </c>
      <c r="K2263" s="5" t="s">
        <v>1068</v>
      </c>
      <c r="L2263" s="5" t="s">
        <v>3042</v>
      </c>
      <c r="M2263" s="5"/>
      <c r="N2263" s="5" t="s">
        <v>3043</v>
      </c>
      <c r="O2263" s="17"/>
      <c r="P2263" s="5" t="str">
        <f t="shared" si="63"/>
        <v>Truncate table FSE046                        ;</v>
      </c>
      <c r="Q2263" s="5"/>
      <c r="R2263" s="5"/>
    </row>
    <row r="2264" spans="1:18" x14ac:dyDescent="0.25">
      <c r="B2264" s="19" t="s">
        <v>3044</v>
      </c>
      <c r="C2264" s="16" t="s">
        <v>9695</v>
      </c>
      <c r="D2264" s="16" t="s">
        <v>8152</v>
      </c>
      <c r="E2264" s="16" t="s">
        <v>54</v>
      </c>
      <c r="F2264" s="5" t="s">
        <v>163</v>
      </c>
      <c r="G2264" s="16" t="s">
        <v>35</v>
      </c>
      <c r="H2264" s="16" t="s">
        <v>36</v>
      </c>
      <c r="I2264" s="16"/>
      <c r="J2264" s="16"/>
      <c r="K2264" s="16"/>
      <c r="L2264" s="16" t="s">
        <v>9696</v>
      </c>
      <c r="M2264" s="16" t="s">
        <v>387</v>
      </c>
      <c r="N2264" s="16" t="s">
        <v>9697</v>
      </c>
      <c r="O2264" s="17" t="s">
        <v>38</v>
      </c>
      <c r="P2264" s="5" t="str">
        <f t="shared" si="63"/>
        <v/>
      </c>
      <c r="Q2264" s="5" t="s">
        <v>8129</v>
      </c>
      <c r="R2264" s="5"/>
    </row>
    <row r="2265" spans="1:18" x14ac:dyDescent="0.25">
      <c r="B2265" s="19" t="s">
        <v>3045</v>
      </c>
      <c r="C2265" s="16" t="s">
        <v>3046</v>
      </c>
      <c r="D2265" s="16" t="s">
        <v>29</v>
      </c>
      <c r="E2265" s="16" t="s">
        <v>54</v>
      </c>
      <c r="F2265" s="5" t="s">
        <v>163</v>
      </c>
      <c r="G2265" s="16" t="s">
        <v>35</v>
      </c>
      <c r="H2265" s="16" t="s">
        <v>36</v>
      </c>
      <c r="I2265" s="16"/>
      <c r="J2265" s="16"/>
      <c r="K2265" s="16"/>
      <c r="L2265" s="16"/>
      <c r="M2265" s="16"/>
      <c r="N2265" s="16"/>
      <c r="O2265" s="17" t="s">
        <v>38</v>
      </c>
      <c r="P2265" s="5" t="str">
        <f t="shared" si="63"/>
        <v>Truncate table FSE101;</v>
      </c>
      <c r="Q2265" s="5"/>
      <c r="R2265" s="5"/>
    </row>
    <row r="2266" spans="1:18" x14ac:dyDescent="0.25">
      <c r="B2266" s="19" t="s">
        <v>3047</v>
      </c>
      <c r="C2266" s="16" t="s">
        <v>3048</v>
      </c>
      <c r="D2266" s="16" t="s">
        <v>29</v>
      </c>
      <c r="E2266" s="16" t="s">
        <v>54</v>
      </c>
      <c r="F2266" s="5" t="s">
        <v>163</v>
      </c>
      <c r="G2266" s="16" t="s">
        <v>35</v>
      </c>
      <c r="H2266" s="16" t="s">
        <v>36</v>
      </c>
      <c r="I2266" s="16"/>
      <c r="J2266" s="16"/>
      <c r="K2266" s="16"/>
      <c r="L2266" s="16"/>
      <c r="M2266" s="16"/>
      <c r="N2266" s="16"/>
      <c r="O2266" s="17" t="s">
        <v>38</v>
      </c>
      <c r="P2266" s="5" t="str">
        <f t="shared" si="63"/>
        <v>Truncate table FSE102;</v>
      </c>
      <c r="Q2266" s="5"/>
      <c r="R2266" s="5"/>
    </row>
    <row r="2267" spans="1:18" x14ac:dyDescent="0.25">
      <c r="B2267" s="19" t="s">
        <v>3049</v>
      </c>
      <c r="C2267" s="16" t="s">
        <v>3050</v>
      </c>
      <c r="D2267" s="16" t="s">
        <v>29</v>
      </c>
      <c r="E2267" s="16" t="s">
        <v>54</v>
      </c>
      <c r="F2267" s="5" t="s">
        <v>163</v>
      </c>
      <c r="G2267" s="16" t="s">
        <v>35</v>
      </c>
      <c r="H2267" s="16" t="s">
        <v>36</v>
      </c>
      <c r="I2267" s="16"/>
      <c r="J2267" s="16"/>
      <c r="K2267" s="16"/>
      <c r="L2267" s="16"/>
      <c r="M2267" s="16"/>
      <c r="N2267" s="16"/>
      <c r="O2267" s="17" t="s">
        <v>38</v>
      </c>
      <c r="P2267" s="5" t="str">
        <f t="shared" si="63"/>
        <v>Truncate table FSE103;</v>
      </c>
      <c r="Q2267" s="5"/>
      <c r="R2267" s="5"/>
    </row>
    <row r="2268" spans="1:18" x14ac:dyDescent="0.25">
      <c r="B2268" s="19" t="s">
        <v>3051</v>
      </c>
      <c r="C2268" s="16" t="s">
        <v>3052</v>
      </c>
      <c r="D2268" s="16" t="s">
        <v>29</v>
      </c>
      <c r="E2268" s="16" t="s">
        <v>54</v>
      </c>
      <c r="F2268" s="5" t="s">
        <v>163</v>
      </c>
      <c r="G2268" s="16" t="s">
        <v>35</v>
      </c>
      <c r="H2268" s="16" t="s">
        <v>36</v>
      </c>
      <c r="I2268" s="16"/>
      <c r="J2268" s="16"/>
      <c r="K2268" s="16"/>
      <c r="L2268" s="16"/>
      <c r="M2268" s="16"/>
      <c r="N2268" s="16"/>
      <c r="O2268" s="17" t="s">
        <v>38</v>
      </c>
      <c r="P2268" s="5" t="str">
        <f t="shared" si="63"/>
        <v>Truncate table FSE108;</v>
      </c>
      <c r="Q2268" s="5"/>
      <c r="R2268" s="5"/>
    </row>
    <row r="2269" spans="1:18" x14ac:dyDescent="0.25">
      <c r="B2269" s="19" t="s">
        <v>3053</v>
      </c>
      <c r="C2269" s="16" t="s">
        <v>3054</v>
      </c>
      <c r="D2269" s="16" t="s">
        <v>29</v>
      </c>
      <c r="E2269" s="16" t="s">
        <v>151</v>
      </c>
      <c r="F2269" s="5"/>
      <c r="G2269" s="16" t="s">
        <v>35</v>
      </c>
      <c r="H2269" s="16"/>
      <c r="I2269" s="16"/>
      <c r="J2269" s="16"/>
      <c r="K2269" s="16"/>
      <c r="L2269" s="16"/>
      <c r="M2269" s="16"/>
      <c r="N2269" s="16"/>
      <c r="O2269" s="17" t="s">
        <v>38</v>
      </c>
      <c r="P2269" s="5" t="str">
        <f t="shared" si="63"/>
        <v>Truncate table FSE111;</v>
      </c>
      <c r="Q2269" s="5"/>
      <c r="R2269" s="5"/>
    </row>
    <row r="2270" spans="1:18" x14ac:dyDescent="0.25">
      <c r="B2270" s="19" t="s">
        <v>3055</v>
      </c>
      <c r="C2270" s="16" t="s">
        <v>3032</v>
      </c>
      <c r="D2270" s="16" t="s">
        <v>29</v>
      </c>
      <c r="E2270" s="16" t="s">
        <v>151</v>
      </c>
      <c r="F2270" s="5"/>
      <c r="G2270" s="16" t="s">
        <v>35</v>
      </c>
      <c r="H2270" s="16"/>
      <c r="I2270" s="16"/>
      <c r="J2270" s="16"/>
      <c r="K2270" s="16"/>
      <c r="L2270" s="16"/>
      <c r="M2270" s="16"/>
      <c r="N2270" s="16"/>
      <c r="O2270" s="17" t="s">
        <v>38</v>
      </c>
      <c r="P2270" s="5" t="str">
        <f t="shared" si="63"/>
        <v>Truncate table FSE113;</v>
      </c>
      <c r="Q2270" s="5"/>
      <c r="R2270" s="5"/>
    </row>
    <row r="2271" spans="1:18" x14ac:dyDescent="0.25">
      <c r="B2271" s="19" t="s">
        <v>3056</v>
      </c>
      <c r="C2271" s="16" t="s">
        <v>10102</v>
      </c>
      <c r="D2271" s="16" t="s">
        <v>29</v>
      </c>
      <c r="E2271" s="16"/>
      <c r="F2271" s="5"/>
      <c r="G2271" s="16" t="s">
        <v>35</v>
      </c>
      <c r="H2271" s="16"/>
      <c r="I2271" s="16"/>
      <c r="J2271" s="16"/>
      <c r="K2271" s="16"/>
      <c r="L2271" s="16"/>
      <c r="M2271" s="16"/>
      <c r="N2271" s="16"/>
      <c r="O2271" s="17"/>
      <c r="P2271" s="5" t="str">
        <f t="shared" si="63"/>
        <v>Truncate table FSE114;</v>
      </c>
      <c r="Q2271" s="5"/>
      <c r="R2271" s="5"/>
    </row>
    <row r="2272" spans="1:18" s="306" customFormat="1" x14ac:dyDescent="0.25">
      <c r="A2272" s="71"/>
      <c r="B2272" s="307" t="s">
        <v>3057</v>
      </c>
      <c r="C2272" s="308"/>
      <c r="D2272" s="308" t="s">
        <v>29</v>
      </c>
      <c r="E2272" s="308"/>
      <c r="F2272" s="308"/>
      <c r="G2272" s="308" t="s">
        <v>35</v>
      </c>
      <c r="H2272" s="308"/>
      <c r="I2272" s="308"/>
      <c r="J2272" s="308"/>
      <c r="K2272" s="308"/>
      <c r="L2272" s="308"/>
      <c r="M2272" s="308"/>
      <c r="N2272" s="308"/>
      <c r="O2272" s="309"/>
      <c r="P2272" s="308" t="str">
        <f t="shared" si="63"/>
        <v>Truncate table FSE115;</v>
      </c>
      <c r="Q2272" s="308"/>
      <c r="R2272" s="308"/>
    </row>
    <row r="2273" spans="1:18" s="306" customFormat="1" x14ac:dyDescent="0.25">
      <c r="A2273" s="71"/>
      <c r="B2273" s="307" t="s">
        <v>3058</v>
      </c>
      <c r="C2273" s="308"/>
      <c r="D2273" s="308" t="s">
        <v>29</v>
      </c>
      <c r="E2273" s="308"/>
      <c r="F2273" s="308"/>
      <c r="G2273" s="308" t="s">
        <v>35</v>
      </c>
      <c r="H2273" s="308"/>
      <c r="I2273" s="308"/>
      <c r="J2273" s="308"/>
      <c r="K2273" s="308"/>
      <c r="L2273" s="308"/>
      <c r="M2273" s="308"/>
      <c r="N2273" s="308"/>
      <c r="O2273" s="309"/>
      <c r="P2273" s="308" t="str">
        <f t="shared" si="63"/>
        <v>Truncate table FSE116;</v>
      </c>
      <c r="Q2273" s="308"/>
      <c r="R2273" s="308"/>
    </row>
    <row r="2274" spans="1:18" s="306" customFormat="1" x14ac:dyDescent="0.25">
      <c r="A2274" s="71"/>
      <c r="B2274" s="307" t="s">
        <v>3059</v>
      </c>
      <c r="C2274" s="308"/>
      <c r="D2274" s="308" t="s">
        <v>29</v>
      </c>
      <c r="E2274" s="308"/>
      <c r="F2274" s="308"/>
      <c r="G2274" s="308" t="s">
        <v>35</v>
      </c>
      <c r="H2274" s="308"/>
      <c r="I2274" s="308"/>
      <c r="J2274" s="308"/>
      <c r="K2274" s="308"/>
      <c r="L2274" s="308"/>
      <c r="M2274" s="308"/>
      <c r="N2274" s="308"/>
      <c r="O2274" s="309"/>
      <c r="P2274" s="308" t="str">
        <f t="shared" si="63"/>
        <v>Truncate table FSE117;</v>
      </c>
      <c r="Q2274" s="308"/>
      <c r="R2274" s="308"/>
    </row>
    <row r="2275" spans="1:18" ht="34.5" customHeight="1" x14ac:dyDescent="0.25">
      <c r="B2275" s="19" t="s">
        <v>3060</v>
      </c>
      <c r="C2275" s="16" t="s">
        <v>3061</v>
      </c>
      <c r="D2275" s="16" t="s">
        <v>8152</v>
      </c>
      <c r="E2275" s="16" t="s">
        <v>54</v>
      </c>
      <c r="F2275" s="5" t="s">
        <v>2854</v>
      </c>
      <c r="G2275" s="16" t="s">
        <v>35</v>
      </c>
      <c r="H2275" s="16" t="s">
        <v>36</v>
      </c>
      <c r="I2275" s="16"/>
      <c r="J2275" s="16"/>
      <c r="K2275" s="16"/>
      <c r="L2275" s="16"/>
      <c r="M2275" s="223" t="s">
        <v>38</v>
      </c>
      <c r="N2275" s="16"/>
      <c r="O2275" s="17" t="s">
        <v>38</v>
      </c>
      <c r="P2275" s="5" t="str">
        <f t="shared" si="63"/>
        <v/>
      </c>
      <c r="Q2275" s="5"/>
      <c r="R2275" s="5"/>
    </row>
    <row r="2276" spans="1:18" x14ac:dyDescent="0.25">
      <c r="B2276" s="19" t="s">
        <v>3062</v>
      </c>
      <c r="C2276" s="16" t="s">
        <v>3063</v>
      </c>
      <c r="D2276" s="16" t="s">
        <v>29</v>
      </c>
      <c r="E2276" s="16" t="s">
        <v>54</v>
      </c>
      <c r="F2276" s="5" t="s">
        <v>163</v>
      </c>
      <c r="G2276" s="16" t="s">
        <v>35</v>
      </c>
      <c r="H2276" s="16" t="s">
        <v>36</v>
      </c>
      <c r="I2276" s="16"/>
      <c r="J2276" s="16"/>
      <c r="K2276" s="16"/>
      <c r="L2276" s="16"/>
      <c r="M2276" s="16"/>
      <c r="N2276" s="16"/>
      <c r="O2276" s="17" t="s">
        <v>38</v>
      </c>
      <c r="P2276" s="5" t="str">
        <f t="shared" si="63"/>
        <v>Truncate table FSE130;</v>
      </c>
      <c r="Q2276" s="5"/>
      <c r="R2276" s="5"/>
    </row>
    <row r="2277" spans="1:18" x14ac:dyDescent="0.25">
      <c r="B2277" s="19" t="s">
        <v>3064</v>
      </c>
      <c r="C2277" s="16" t="s">
        <v>3065</v>
      </c>
      <c r="D2277" s="16" t="s">
        <v>29</v>
      </c>
      <c r="E2277" s="16" t="s">
        <v>151</v>
      </c>
      <c r="F2277" s="5"/>
      <c r="G2277" s="16" t="s">
        <v>35</v>
      </c>
      <c r="H2277" s="16"/>
      <c r="I2277" s="16"/>
      <c r="J2277" s="16"/>
      <c r="K2277" s="16"/>
      <c r="L2277" s="16"/>
      <c r="M2277" s="16"/>
      <c r="N2277" s="16"/>
      <c r="O2277" s="17" t="s">
        <v>38</v>
      </c>
      <c r="P2277" s="5" t="str">
        <f t="shared" si="63"/>
        <v>Truncate table FSE130P;</v>
      </c>
      <c r="Q2277" s="5"/>
      <c r="R2277" s="5"/>
    </row>
    <row r="2278" spans="1:18" x14ac:dyDescent="0.25">
      <c r="B2278" s="19" t="s">
        <v>3066</v>
      </c>
      <c r="C2278" s="16" t="s">
        <v>10103</v>
      </c>
      <c r="D2278" s="16" t="s">
        <v>29</v>
      </c>
      <c r="E2278" s="16"/>
      <c r="F2278" s="5"/>
      <c r="G2278" s="16" t="s">
        <v>35</v>
      </c>
      <c r="H2278" s="16"/>
      <c r="I2278" s="16"/>
      <c r="J2278" s="16"/>
      <c r="K2278" s="16"/>
      <c r="L2278" s="16"/>
      <c r="M2278" s="16"/>
      <c r="N2278" s="16"/>
      <c r="O2278" s="17"/>
      <c r="P2278" s="5" t="str">
        <f t="shared" si="63"/>
        <v>Truncate table FSE131;</v>
      </c>
      <c r="Q2278" s="5"/>
      <c r="R2278" s="5"/>
    </row>
    <row r="2279" spans="1:18" s="306" customFormat="1" x14ac:dyDescent="0.25">
      <c r="A2279" s="71"/>
      <c r="B2279" s="307" t="s">
        <v>3067</v>
      </c>
      <c r="C2279" s="308"/>
      <c r="D2279" s="308" t="s">
        <v>29</v>
      </c>
      <c r="E2279" s="308"/>
      <c r="F2279" s="308"/>
      <c r="G2279" s="308" t="s">
        <v>35</v>
      </c>
      <c r="H2279" s="308"/>
      <c r="I2279" s="308"/>
      <c r="J2279" s="308"/>
      <c r="K2279" s="308"/>
      <c r="L2279" s="308"/>
      <c r="M2279" s="308"/>
      <c r="N2279" s="308"/>
      <c r="O2279" s="309"/>
      <c r="P2279" s="308" t="str">
        <f t="shared" si="63"/>
        <v>Truncate table FSE137;</v>
      </c>
      <c r="Q2279" s="308"/>
      <c r="R2279" s="308"/>
    </row>
    <row r="2280" spans="1:18" x14ac:dyDescent="0.25">
      <c r="B2280" s="19" t="s">
        <v>3068</v>
      </c>
      <c r="C2280" s="16" t="s">
        <v>10104</v>
      </c>
      <c r="D2280" s="16" t="s">
        <v>29</v>
      </c>
      <c r="E2280" s="16"/>
      <c r="F2280" s="5"/>
      <c r="G2280" s="16" t="s">
        <v>35</v>
      </c>
      <c r="H2280" s="16"/>
      <c r="I2280" s="16"/>
      <c r="J2280" s="16"/>
      <c r="K2280" s="16"/>
      <c r="L2280" s="16"/>
      <c r="M2280" s="16"/>
      <c r="N2280" s="16"/>
      <c r="O2280" s="17"/>
      <c r="P2280" s="5" t="str">
        <f t="shared" si="63"/>
        <v>Truncate table FSE150;</v>
      </c>
      <c r="Q2280" s="5"/>
      <c r="R2280" s="5"/>
    </row>
    <row r="2281" spans="1:18" s="306" customFormat="1" x14ac:dyDescent="0.25">
      <c r="A2281" s="71"/>
      <c r="B2281" s="307" t="s">
        <v>3069</v>
      </c>
      <c r="C2281" s="308"/>
      <c r="D2281" s="308" t="s">
        <v>29</v>
      </c>
      <c r="E2281" s="308"/>
      <c r="F2281" s="308"/>
      <c r="G2281" s="308" t="s">
        <v>35</v>
      </c>
      <c r="H2281" s="308"/>
      <c r="I2281" s="308"/>
      <c r="J2281" s="308"/>
      <c r="K2281" s="308"/>
      <c r="L2281" s="308"/>
      <c r="M2281" s="308"/>
      <c r="N2281" s="308"/>
      <c r="O2281" s="309"/>
      <c r="P2281" s="308" t="str">
        <f t="shared" si="63"/>
        <v>Truncate table FSE152;</v>
      </c>
      <c r="Q2281" s="308"/>
      <c r="R2281" s="308"/>
    </row>
    <row r="2282" spans="1:18" s="306" customFormat="1" x14ac:dyDescent="0.25">
      <c r="A2282" s="71"/>
      <c r="B2282" s="307" t="s">
        <v>3070</v>
      </c>
      <c r="C2282" s="308"/>
      <c r="D2282" s="308" t="s">
        <v>29</v>
      </c>
      <c r="E2282" s="308"/>
      <c r="F2282" s="308"/>
      <c r="G2282" s="308" t="s">
        <v>35</v>
      </c>
      <c r="H2282" s="308"/>
      <c r="I2282" s="308"/>
      <c r="J2282" s="308"/>
      <c r="K2282" s="308"/>
      <c r="L2282" s="308"/>
      <c r="M2282" s="308"/>
      <c r="N2282" s="308"/>
      <c r="O2282" s="309"/>
      <c r="P2282" s="308" t="str">
        <f t="shared" si="63"/>
        <v>Truncate table FSE153;</v>
      </c>
      <c r="Q2282" s="308"/>
      <c r="R2282" s="308"/>
    </row>
    <row r="2283" spans="1:18" s="306" customFormat="1" x14ac:dyDescent="0.25">
      <c r="A2283" s="71"/>
      <c r="B2283" s="307" t="s">
        <v>3071</v>
      </c>
      <c r="C2283" s="308"/>
      <c r="D2283" s="308" t="s">
        <v>29</v>
      </c>
      <c r="E2283" s="308"/>
      <c r="F2283" s="308"/>
      <c r="G2283" s="308" t="s">
        <v>35</v>
      </c>
      <c r="H2283" s="308"/>
      <c r="I2283" s="308"/>
      <c r="J2283" s="308"/>
      <c r="K2283" s="308"/>
      <c r="L2283" s="308"/>
      <c r="M2283" s="308"/>
      <c r="N2283" s="308"/>
      <c r="O2283" s="309"/>
      <c r="P2283" s="308" t="str">
        <f t="shared" si="63"/>
        <v>Truncate table FSE161;</v>
      </c>
      <c r="Q2283" s="308"/>
      <c r="R2283" s="308"/>
    </row>
    <row r="2284" spans="1:18" x14ac:dyDescent="0.25">
      <c r="B2284" s="19" t="s">
        <v>3072</v>
      </c>
      <c r="C2284" s="16" t="s">
        <v>10105</v>
      </c>
      <c r="D2284" s="16" t="s">
        <v>29</v>
      </c>
      <c r="E2284" s="16"/>
      <c r="F2284" s="5"/>
      <c r="G2284" s="16" t="s">
        <v>35</v>
      </c>
      <c r="H2284" s="16"/>
      <c r="I2284" s="16"/>
      <c r="J2284" s="16"/>
      <c r="K2284" s="16"/>
      <c r="L2284" s="16"/>
      <c r="M2284" s="16"/>
      <c r="N2284" s="16"/>
      <c r="O2284" s="17"/>
      <c r="P2284" s="5" t="str">
        <f t="shared" si="63"/>
        <v>Truncate table FSE170;</v>
      </c>
      <c r="Q2284" s="5"/>
      <c r="R2284" s="5"/>
    </row>
    <row r="2285" spans="1:18" x14ac:dyDescent="0.25">
      <c r="B2285" s="19" t="s">
        <v>3073</v>
      </c>
      <c r="C2285" s="16" t="s">
        <v>10106</v>
      </c>
      <c r="D2285" s="16" t="s">
        <v>29</v>
      </c>
      <c r="E2285" s="16"/>
      <c r="F2285" s="5"/>
      <c r="G2285" s="16" t="s">
        <v>35</v>
      </c>
      <c r="H2285" s="16"/>
      <c r="I2285" s="16"/>
      <c r="J2285" s="16"/>
      <c r="K2285" s="16"/>
      <c r="L2285" s="16"/>
      <c r="M2285" s="16"/>
      <c r="N2285" s="16"/>
      <c r="O2285" s="17"/>
      <c r="P2285" s="5" t="str">
        <f t="shared" si="63"/>
        <v>Truncate table FSE171;</v>
      </c>
      <c r="Q2285" s="5"/>
      <c r="R2285" s="5"/>
    </row>
    <row r="2286" spans="1:18" x14ac:dyDescent="0.25">
      <c r="B2286" s="19" t="s">
        <v>3074</v>
      </c>
      <c r="C2286" s="16" t="s">
        <v>8502</v>
      </c>
      <c r="D2286" s="16" t="s">
        <v>29</v>
      </c>
      <c r="E2286" s="16" t="s">
        <v>54</v>
      </c>
      <c r="F2286" s="5" t="s">
        <v>163</v>
      </c>
      <c r="G2286" s="16" t="s">
        <v>35</v>
      </c>
      <c r="H2286" s="16" t="s">
        <v>36</v>
      </c>
      <c r="I2286" s="16"/>
      <c r="J2286" s="16"/>
      <c r="K2286" s="16"/>
      <c r="L2286" s="16"/>
      <c r="M2286" s="16"/>
      <c r="N2286" s="16"/>
      <c r="O2286" s="17" t="s">
        <v>38</v>
      </c>
      <c r="P2286" s="5" t="str">
        <f t="shared" si="63"/>
        <v>Truncate table FSE201;</v>
      </c>
      <c r="Q2286" s="5"/>
      <c r="R2286" s="5"/>
    </row>
    <row r="2287" spans="1:18" x14ac:dyDescent="0.25">
      <c r="B2287" s="19" t="s">
        <v>3075</v>
      </c>
      <c r="C2287" s="16" t="s">
        <v>3076</v>
      </c>
      <c r="D2287" s="16" t="s">
        <v>8152</v>
      </c>
      <c r="E2287" s="16" t="s">
        <v>54</v>
      </c>
      <c r="F2287" s="5" t="s">
        <v>2832</v>
      </c>
      <c r="G2287" s="16" t="s">
        <v>35</v>
      </c>
      <c r="H2287" s="16" t="s">
        <v>36</v>
      </c>
      <c r="I2287" s="16"/>
      <c r="J2287" s="16"/>
      <c r="K2287" s="16"/>
      <c r="L2287" s="16"/>
      <c r="M2287" s="16"/>
      <c r="N2287" s="16"/>
      <c r="O2287" s="17" t="s">
        <v>38</v>
      </c>
      <c r="P2287" s="5" t="str">
        <f t="shared" si="63"/>
        <v/>
      </c>
      <c r="Q2287" s="5"/>
      <c r="R2287" s="5"/>
    </row>
    <row r="2288" spans="1:18" x14ac:dyDescent="0.25">
      <c r="B2288" s="19" t="s">
        <v>3077</v>
      </c>
      <c r="C2288" s="16" t="s">
        <v>3078</v>
      </c>
      <c r="D2288" s="16" t="s">
        <v>8152</v>
      </c>
      <c r="E2288" s="16" t="s">
        <v>54</v>
      </c>
      <c r="F2288" s="5" t="s">
        <v>2854</v>
      </c>
      <c r="G2288" s="16" t="s">
        <v>35</v>
      </c>
      <c r="H2288" s="16"/>
      <c r="I2288" s="16"/>
      <c r="J2288" s="16"/>
      <c r="K2288" s="16"/>
      <c r="L2288" s="16"/>
      <c r="M2288" s="223" t="s">
        <v>387</v>
      </c>
      <c r="N2288" s="16"/>
      <c r="O2288" s="17" t="s">
        <v>38</v>
      </c>
      <c r="P2288" s="35"/>
      <c r="Q2288" s="5"/>
      <c r="R2288" s="5"/>
    </row>
    <row r="2289" spans="1:18" x14ac:dyDescent="0.25">
      <c r="B2289" s="19" t="s">
        <v>3079</v>
      </c>
      <c r="C2289" s="16" t="s">
        <v>3080</v>
      </c>
      <c r="D2289" s="16" t="s">
        <v>29</v>
      </c>
      <c r="E2289" s="16" t="s">
        <v>1096</v>
      </c>
      <c r="F2289" s="5" t="s">
        <v>1095</v>
      </c>
      <c r="G2289" s="16" t="s">
        <v>35</v>
      </c>
      <c r="H2289" s="16" t="s">
        <v>36</v>
      </c>
      <c r="I2289" s="16"/>
      <c r="J2289" s="16"/>
      <c r="K2289" s="16"/>
      <c r="L2289" s="16"/>
      <c r="M2289" s="16"/>
      <c r="N2289" s="16"/>
      <c r="O2289" s="17" t="s">
        <v>38</v>
      </c>
      <c r="P2289" s="5" t="str">
        <f t="shared" ref="P2289:P2352" si="64">IF(D2289="Datos","Truncate table "&amp; B2289&amp; ";","")</f>
        <v>Truncate table FSE208;</v>
      </c>
      <c r="Q2289" s="5"/>
      <c r="R2289" s="5"/>
    </row>
    <row r="2290" spans="1:18" x14ac:dyDescent="0.25">
      <c r="B2290" s="19" t="s">
        <v>3081</v>
      </c>
      <c r="C2290" s="16" t="s">
        <v>3082</v>
      </c>
      <c r="D2290" s="16" t="s">
        <v>29</v>
      </c>
      <c r="E2290" s="16" t="s">
        <v>34</v>
      </c>
      <c r="F2290" s="5"/>
      <c r="G2290" s="16" t="s">
        <v>35</v>
      </c>
      <c r="H2290" s="16"/>
      <c r="I2290" s="16"/>
      <c r="J2290" s="16"/>
      <c r="K2290" s="16"/>
      <c r="L2290" s="16"/>
      <c r="M2290" s="16"/>
      <c r="N2290" s="16"/>
      <c r="O2290" s="17" t="s">
        <v>38</v>
      </c>
      <c r="P2290" s="5" t="str">
        <f t="shared" si="64"/>
        <v>Truncate table FSE212;</v>
      </c>
      <c r="Q2290" s="5"/>
      <c r="R2290" s="5"/>
    </row>
    <row r="2291" spans="1:18" s="306" customFormat="1" x14ac:dyDescent="0.25">
      <c r="A2291" s="71"/>
      <c r="B2291" s="307" t="s">
        <v>3083</v>
      </c>
      <c r="C2291" s="308"/>
      <c r="D2291" s="308" t="s">
        <v>29</v>
      </c>
      <c r="E2291" s="308"/>
      <c r="F2291" s="308"/>
      <c r="G2291" s="308" t="s">
        <v>35</v>
      </c>
      <c r="H2291" s="308"/>
      <c r="I2291" s="308"/>
      <c r="J2291" s="308"/>
      <c r="K2291" s="308"/>
      <c r="L2291" s="308"/>
      <c r="M2291" s="308"/>
      <c r="N2291" s="308"/>
      <c r="O2291" s="309"/>
      <c r="P2291" s="308" t="str">
        <f t="shared" si="64"/>
        <v>Truncate table FSE213;</v>
      </c>
      <c r="Q2291" s="308"/>
      <c r="R2291" s="308"/>
    </row>
    <row r="2292" spans="1:18" s="306" customFormat="1" x14ac:dyDescent="0.25">
      <c r="A2292" s="71"/>
      <c r="B2292" s="307" t="s">
        <v>3084</v>
      </c>
      <c r="C2292" s="308"/>
      <c r="D2292" s="308" t="s">
        <v>29</v>
      </c>
      <c r="E2292" s="308"/>
      <c r="F2292" s="308"/>
      <c r="G2292" s="308" t="s">
        <v>35</v>
      </c>
      <c r="H2292" s="308"/>
      <c r="I2292" s="308"/>
      <c r="J2292" s="308"/>
      <c r="K2292" s="308"/>
      <c r="L2292" s="308"/>
      <c r="M2292" s="308"/>
      <c r="N2292" s="308"/>
      <c r="O2292" s="309"/>
      <c r="P2292" s="308" t="str">
        <f t="shared" si="64"/>
        <v>Truncate table FSE215;</v>
      </c>
      <c r="Q2292" s="308"/>
      <c r="R2292" s="308"/>
    </row>
    <row r="2293" spans="1:18" s="306" customFormat="1" x14ac:dyDescent="0.25">
      <c r="A2293" s="71"/>
      <c r="B2293" s="307" t="s">
        <v>3085</v>
      </c>
      <c r="C2293" s="308"/>
      <c r="D2293" s="308" t="s">
        <v>29</v>
      </c>
      <c r="E2293" s="308"/>
      <c r="F2293" s="308"/>
      <c r="G2293" s="308" t="s">
        <v>35</v>
      </c>
      <c r="H2293" s="308"/>
      <c r="I2293" s="308"/>
      <c r="J2293" s="308"/>
      <c r="K2293" s="308"/>
      <c r="L2293" s="308"/>
      <c r="M2293" s="308"/>
      <c r="N2293" s="308"/>
      <c r="O2293" s="309"/>
      <c r="P2293" s="308" t="str">
        <f t="shared" si="64"/>
        <v>Truncate table FSE218;</v>
      </c>
      <c r="Q2293" s="308"/>
      <c r="R2293" s="308"/>
    </row>
    <row r="2294" spans="1:18" x14ac:dyDescent="0.25">
      <c r="B2294" s="19" t="s">
        <v>3086</v>
      </c>
      <c r="C2294" s="16" t="s">
        <v>3087</v>
      </c>
      <c r="D2294" s="16" t="s">
        <v>29</v>
      </c>
      <c r="E2294" s="16" t="s">
        <v>54</v>
      </c>
      <c r="F2294" s="5" t="s">
        <v>163</v>
      </c>
      <c r="G2294" s="16" t="s">
        <v>35</v>
      </c>
      <c r="H2294" s="16" t="s">
        <v>36</v>
      </c>
      <c r="I2294" s="16"/>
      <c r="J2294" s="16"/>
      <c r="K2294" s="16"/>
      <c r="L2294" s="16"/>
      <c r="M2294" s="16"/>
      <c r="N2294" s="16"/>
      <c r="O2294" s="17" t="s">
        <v>38</v>
      </c>
      <c r="P2294" s="5" t="str">
        <f t="shared" si="64"/>
        <v>Truncate table FSE301;</v>
      </c>
      <c r="Q2294" s="5"/>
      <c r="R2294" s="5"/>
    </row>
    <row r="2295" spans="1:18" x14ac:dyDescent="0.25">
      <c r="B2295" s="19" t="s">
        <v>3088</v>
      </c>
      <c r="C2295" s="16" t="s">
        <v>3032</v>
      </c>
      <c r="D2295" s="16" t="s">
        <v>29</v>
      </c>
      <c r="E2295" s="16" t="s">
        <v>151</v>
      </c>
      <c r="F2295" s="5"/>
      <c r="G2295" s="16" t="s">
        <v>35</v>
      </c>
      <c r="H2295" s="16"/>
      <c r="I2295" s="16"/>
      <c r="J2295" s="16"/>
      <c r="K2295" s="16"/>
      <c r="L2295" s="16"/>
      <c r="M2295" s="16"/>
      <c r="N2295" s="16"/>
      <c r="O2295" s="17" t="s">
        <v>38</v>
      </c>
      <c r="P2295" s="5" t="str">
        <f t="shared" si="64"/>
        <v>Truncate table FSE313;</v>
      </c>
      <c r="Q2295" s="5"/>
      <c r="R2295" s="5"/>
    </row>
    <row r="2296" spans="1:18" x14ac:dyDescent="0.25">
      <c r="B2296" s="19" t="s">
        <v>9692</v>
      </c>
      <c r="C2296" s="16" t="s">
        <v>9693</v>
      </c>
      <c r="D2296" s="16" t="s">
        <v>29</v>
      </c>
      <c r="E2296" s="16" t="s">
        <v>54</v>
      </c>
      <c r="F2296" s="5" t="s">
        <v>74</v>
      </c>
      <c r="G2296" s="16" t="s">
        <v>35</v>
      </c>
      <c r="H2296" s="16" t="s">
        <v>36</v>
      </c>
      <c r="I2296" s="16"/>
      <c r="J2296" s="16"/>
      <c r="K2296" s="16"/>
      <c r="L2296" s="16"/>
      <c r="M2296" s="16"/>
      <c r="N2296" s="16"/>
      <c r="O2296" s="17" t="s">
        <v>38</v>
      </c>
      <c r="P2296" s="5" t="str">
        <f t="shared" si="64"/>
        <v>Truncate table FSE406;</v>
      </c>
      <c r="Q2296" s="5"/>
      <c r="R2296" s="5"/>
    </row>
    <row r="2297" spans="1:18" x14ac:dyDescent="0.25">
      <c r="B2297" s="19" t="s">
        <v>3089</v>
      </c>
      <c r="C2297" s="16" t="s">
        <v>3089</v>
      </c>
      <c r="D2297" s="16" t="s">
        <v>29</v>
      </c>
      <c r="E2297" s="16"/>
      <c r="F2297" s="5"/>
      <c r="G2297" s="16" t="s">
        <v>35</v>
      </c>
      <c r="H2297" s="16"/>
      <c r="I2297" s="16"/>
      <c r="J2297" s="16"/>
      <c r="K2297" s="16"/>
      <c r="L2297" s="16"/>
      <c r="M2297" s="16"/>
      <c r="N2297" s="16"/>
      <c r="O2297" s="17"/>
      <c r="P2297" s="5" t="str">
        <f t="shared" si="64"/>
        <v>Truncate table FSE413;</v>
      </c>
      <c r="Q2297" s="5"/>
      <c r="R2297" s="5"/>
    </row>
    <row r="2298" spans="1:18" x14ac:dyDescent="0.25">
      <c r="B2298" s="19" t="s">
        <v>3090</v>
      </c>
      <c r="C2298" s="16" t="s">
        <v>3091</v>
      </c>
      <c r="D2298" s="16" t="s">
        <v>29</v>
      </c>
      <c r="E2298" s="16" t="s">
        <v>151</v>
      </c>
      <c r="F2298" s="5"/>
      <c r="G2298" s="16" t="s">
        <v>35</v>
      </c>
      <c r="H2298" s="16"/>
      <c r="I2298" s="16"/>
      <c r="J2298" s="16"/>
      <c r="K2298" s="16"/>
      <c r="L2298" s="16"/>
      <c r="M2298" s="16"/>
      <c r="N2298" s="16"/>
      <c r="O2298" s="17" t="s">
        <v>38</v>
      </c>
      <c r="P2298" s="5" t="str">
        <f t="shared" si="64"/>
        <v>Truncate table FSE414;</v>
      </c>
      <c r="Q2298" s="5"/>
      <c r="R2298" s="5"/>
    </row>
    <row r="2299" spans="1:18" x14ac:dyDescent="0.25">
      <c r="B2299" s="19" t="s">
        <v>3092</v>
      </c>
      <c r="C2299" s="16" t="s">
        <v>3093</v>
      </c>
      <c r="D2299" s="16" t="s">
        <v>29</v>
      </c>
      <c r="E2299" s="16" t="s">
        <v>151</v>
      </c>
      <c r="F2299" s="5"/>
      <c r="G2299" s="16" t="s">
        <v>35</v>
      </c>
      <c r="H2299" s="16"/>
      <c r="I2299" s="16"/>
      <c r="J2299" s="16"/>
      <c r="K2299" s="16"/>
      <c r="L2299" s="16"/>
      <c r="M2299" s="16"/>
      <c r="N2299" s="16"/>
      <c r="O2299" s="17" t="s">
        <v>38</v>
      </c>
      <c r="P2299" s="5" t="str">
        <f t="shared" si="64"/>
        <v>Truncate table FSE513;</v>
      </c>
      <c r="Q2299" s="5"/>
      <c r="R2299" s="5"/>
    </row>
    <row r="2300" spans="1:18" x14ac:dyDescent="0.25">
      <c r="B2300" s="19" t="s">
        <v>3094</v>
      </c>
      <c r="C2300" s="16" t="s">
        <v>10107</v>
      </c>
      <c r="D2300" s="16" t="s">
        <v>29</v>
      </c>
      <c r="E2300" s="16"/>
      <c r="F2300" s="5"/>
      <c r="G2300" s="16" t="s">
        <v>35</v>
      </c>
      <c r="H2300" s="16"/>
      <c r="I2300" s="16"/>
      <c r="J2300" s="16"/>
      <c r="K2300" s="16"/>
      <c r="L2300" s="16"/>
      <c r="M2300" s="16"/>
      <c r="N2300" s="16"/>
      <c r="O2300" s="17"/>
      <c r="P2300" s="5" t="str">
        <f t="shared" si="64"/>
        <v>Truncate table FSE900;</v>
      </c>
      <c r="Q2300" s="5"/>
      <c r="R2300" s="5"/>
    </row>
    <row r="2301" spans="1:18" s="306" customFormat="1" x14ac:dyDescent="0.25">
      <c r="A2301" s="71"/>
      <c r="B2301" s="307" t="s">
        <v>3095</v>
      </c>
      <c r="C2301" s="308"/>
      <c r="D2301" s="308" t="s">
        <v>29</v>
      </c>
      <c r="E2301" s="308"/>
      <c r="F2301" s="308"/>
      <c r="G2301" s="308" t="s">
        <v>35</v>
      </c>
      <c r="H2301" s="308"/>
      <c r="I2301" s="308"/>
      <c r="J2301" s="308"/>
      <c r="K2301" s="308"/>
      <c r="L2301" s="308"/>
      <c r="M2301" s="308"/>
      <c r="N2301" s="308"/>
      <c r="O2301" s="309"/>
      <c r="P2301" s="308" t="str">
        <f t="shared" si="64"/>
        <v>Truncate table FSEC01;</v>
      </c>
      <c r="Q2301" s="308"/>
      <c r="R2301" s="308"/>
    </row>
    <row r="2302" spans="1:18" s="306" customFormat="1" x14ac:dyDescent="0.25">
      <c r="A2302" s="71"/>
      <c r="B2302" s="307" t="s">
        <v>3096</v>
      </c>
      <c r="C2302" s="308"/>
      <c r="D2302" s="308" t="s">
        <v>29</v>
      </c>
      <c r="E2302" s="308"/>
      <c r="F2302" s="308"/>
      <c r="G2302" s="308" t="s">
        <v>35</v>
      </c>
      <c r="H2302" s="308"/>
      <c r="I2302" s="308"/>
      <c r="J2302" s="308"/>
      <c r="K2302" s="308"/>
      <c r="L2302" s="308"/>
      <c r="M2302" s="308"/>
      <c r="N2302" s="308"/>
      <c r="O2302" s="309"/>
      <c r="P2302" s="308" t="str">
        <f t="shared" si="64"/>
        <v>Truncate table FSEC02;</v>
      </c>
      <c r="Q2302" s="308"/>
      <c r="R2302" s="308"/>
    </row>
    <row r="2303" spans="1:18" s="306" customFormat="1" x14ac:dyDescent="0.25">
      <c r="A2303" s="71"/>
      <c r="B2303" s="307" t="s">
        <v>3097</v>
      </c>
      <c r="C2303" s="308"/>
      <c r="D2303" s="308" t="s">
        <v>29</v>
      </c>
      <c r="E2303" s="308"/>
      <c r="F2303" s="308"/>
      <c r="G2303" s="308" t="s">
        <v>35</v>
      </c>
      <c r="H2303" s="308"/>
      <c r="I2303" s="308"/>
      <c r="J2303" s="308"/>
      <c r="K2303" s="308"/>
      <c r="L2303" s="308"/>
      <c r="M2303" s="308"/>
      <c r="N2303" s="308"/>
      <c r="O2303" s="309"/>
      <c r="P2303" s="308" t="str">
        <f t="shared" si="64"/>
        <v>Truncate table FSEC03;</v>
      </c>
      <c r="Q2303" s="308"/>
      <c r="R2303" s="308"/>
    </row>
    <row r="2304" spans="1:18" s="306" customFormat="1" x14ac:dyDescent="0.25">
      <c r="A2304" s="71"/>
      <c r="B2304" s="307" t="s">
        <v>3098</v>
      </c>
      <c r="C2304" s="308"/>
      <c r="D2304" s="308" t="s">
        <v>29</v>
      </c>
      <c r="E2304" s="308"/>
      <c r="F2304" s="308"/>
      <c r="G2304" s="308" t="s">
        <v>35</v>
      </c>
      <c r="H2304" s="308"/>
      <c r="I2304" s="308"/>
      <c r="J2304" s="308"/>
      <c r="K2304" s="308"/>
      <c r="L2304" s="308"/>
      <c r="M2304" s="308"/>
      <c r="N2304" s="308"/>
      <c r="O2304" s="309"/>
      <c r="P2304" s="308" t="str">
        <f t="shared" si="64"/>
        <v>Truncate table FSEC04;</v>
      </c>
      <c r="Q2304" s="308"/>
      <c r="R2304" s="308"/>
    </row>
    <row r="2305" spans="1:18" s="306" customFormat="1" x14ac:dyDescent="0.25">
      <c r="A2305" s="71"/>
      <c r="B2305" s="307" t="s">
        <v>3099</v>
      </c>
      <c r="C2305" s="308"/>
      <c r="D2305" s="308" t="s">
        <v>29</v>
      </c>
      <c r="E2305" s="308"/>
      <c r="F2305" s="308"/>
      <c r="G2305" s="308" t="s">
        <v>35</v>
      </c>
      <c r="H2305" s="308"/>
      <c r="I2305" s="308"/>
      <c r="J2305" s="308"/>
      <c r="K2305" s="308"/>
      <c r="L2305" s="308"/>
      <c r="M2305" s="308"/>
      <c r="N2305" s="308"/>
      <c r="O2305" s="309"/>
      <c r="P2305" s="308" t="str">
        <f t="shared" si="64"/>
        <v>Truncate table FSEC05;</v>
      </c>
      <c r="Q2305" s="308"/>
      <c r="R2305" s="308"/>
    </row>
    <row r="2306" spans="1:18" s="306" customFormat="1" x14ac:dyDescent="0.25">
      <c r="A2306" s="71"/>
      <c r="B2306" s="307" t="s">
        <v>3100</v>
      </c>
      <c r="C2306" s="308"/>
      <c r="D2306" s="308" t="s">
        <v>29</v>
      </c>
      <c r="E2306" s="308"/>
      <c r="F2306" s="308"/>
      <c r="G2306" s="308" t="s">
        <v>35</v>
      </c>
      <c r="H2306" s="308"/>
      <c r="I2306" s="308"/>
      <c r="J2306" s="308"/>
      <c r="K2306" s="308"/>
      <c r="L2306" s="308"/>
      <c r="M2306" s="308"/>
      <c r="N2306" s="308"/>
      <c r="O2306" s="309"/>
      <c r="P2306" s="308" t="str">
        <f t="shared" si="64"/>
        <v>Truncate table FSEC06;</v>
      </c>
      <c r="Q2306" s="308"/>
      <c r="R2306" s="308"/>
    </row>
    <row r="2307" spans="1:18" s="306" customFormat="1" x14ac:dyDescent="0.25">
      <c r="A2307" s="71"/>
      <c r="B2307" s="307" t="s">
        <v>3101</v>
      </c>
      <c r="C2307" s="308"/>
      <c r="D2307" s="308" t="s">
        <v>29</v>
      </c>
      <c r="E2307" s="308"/>
      <c r="F2307" s="308"/>
      <c r="G2307" s="308" t="s">
        <v>35</v>
      </c>
      <c r="H2307" s="308"/>
      <c r="I2307" s="308"/>
      <c r="J2307" s="308"/>
      <c r="K2307" s="308"/>
      <c r="L2307" s="308"/>
      <c r="M2307" s="308"/>
      <c r="N2307" s="308"/>
      <c r="O2307" s="309"/>
      <c r="P2307" s="308" t="str">
        <f t="shared" si="64"/>
        <v>Truncate table FSEC07;</v>
      </c>
      <c r="Q2307" s="308"/>
      <c r="R2307" s="308"/>
    </row>
    <row r="2308" spans="1:18" s="306" customFormat="1" x14ac:dyDescent="0.25">
      <c r="A2308" s="71"/>
      <c r="B2308" s="307" t="s">
        <v>3102</v>
      </c>
      <c r="C2308" s="308"/>
      <c r="D2308" s="308" t="s">
        <v>29</v>
      </c>
      <c r="E2308" s="308"/>
      <c r="F2308" s="308"/>
      <c r="G2308" s="308" t="s">
        <v>35</v>
      </c>
      <c r="H2308" s="308"/>
      <c r="I2308" s="308"/>
      <c r="J2308" s="308"/>
      <c r="K2308" s="308"/>
      <c r="L2308" s="308"/>
      <c r="M2308" s="308"/>
      <c r="N2308" s="308"/>
      <c r="O2308" s="309"/>
      <c r="P2308" s="308" t="str">
        <f t="shared" si="64"/>
        <v>Truncate table FSEC08;</v>
      </c>
      <c r="Q2308" s="308"/>
      <c r="R2308" s="308"/>
    </row>
    <row r="2309" spans="1:18" s="306" customFormat="1" x14ac:dyDescent="0.25">
      <c r="A2309" s="71"/>
      <c r="B2309" s="307" t="s">
        <v>3103</v>
      </c>
      <c r="C2309" s="308"/>
      <c r="D2309" s="308" t="s">
        <v>29</v>
      </c>
      <c r="E2309" s="308"/>
      <c r="F2309" s="308"/>
      <c r="G2309" s="308" t="s">
        <v>35</v>
      </c>
      <c r="H2309" s="308"/>
      <c r="I2309" s="308"/>
      <c r="J2309" s="308"/>
      <c r="K2309" s="308"/>
      <c r="L2309" s="308"/>
      <c r="M2309" s="308"/>
      <c r="N2309" s="308"/>
      <c r="O2309" s="309"/>
      <c r="P2309" s="308" t="str">
        <f t="shared" si="64"/>
        <v>Truncate table FSEC09;</v>
      </c>
      <c r="Q2309" s="308"/>
      <c r="R2309" s="308"/>
    </row>
    <row r="2310" spans="1:18" s="306" customFormat="1" x14ac:dyDescent="0.25">
      <c r="A2310" s="71"/>
      <c r="B2310" s="307" t="s">
        <v>3104</v>
      </c>
      <c r="C2310" s="308"/>
      <c r="D2310" s="308" t="s">
        <v>29</v>
      </c>
      <c r="E2310" s="308"/>
      <c r="F2310" s="308"/>
      <c r="G2310" s="308" t="s">
        <v>35</v>
      </c>
      <c r="H2310" s="308"/>
      <c r="I2310" s="308"/>
      <c r="J2310" s="308"/>
      <c r="K2310" s="308"/>
      <c r="L2310" s="308"/>
      <c r="M2310" s="308"/>
      <c r="N2310" s="308"/>
      <c r="O2310" s="309"/>
      <c r="P2310" s="308" t="str">
        <f t="shared" si="64"/>
        <v>Truncate table FSEC10;</v>
      </c>
      <c r="Q2310" s="308"/>
      <c r="R2310" s="308"/>
    </row>
    <row r="2311" spans="1:18" s="306" customFormat="1" x14ac:dyDescent="0.25">
      <c r="A2311" s="71"/>
      <c r="B2311" s="307" t="s">
        <v>3105</v>
      </c>
      <c r="C2311" s="308"/>
      <c r="D2311" s="308" t="s">
        <v>29</v>
      </c>
      <c r="E2311" s="308"/>
      <c r="F2311" s="308"/>
      <c r="G2311" s="308" t="s">
        <v>35</v>
      </c>
      <c r="H2311" s="308"/>
      <c r="I2311" s="308"/>
      <c r="J2311" s="308"/>
      <c r="K2311" s="308"/>
      <c r="L2311" s="308"/>
      <c r="M2311" s="308"/>
      <c r="N2311" s="308"/>
      <c r="O2311" s="309"/>
      <c r="P2311" s="308" t="str">
        <f t="shared" si="64"/>
        <v>Truncate table FSEC11;</v>
      </c>
      <c r="Q2311" s="308"/>
      <c r="R2311" s="308"/>
    </row>
    <row r="2312" spans="1:18" s="306" customFormat="1" x14ac:dyDescent="0.25">
      <c r="A2312" s="71"/>
      <c r="B2312" s="307" t="s">
        <v>3106</v>
      </c>
      <c r="C2312" s="308"/>
      <c r="D2312" s="308" t="s">
        <v>29</v>
      </c>
      <c r="E2312" s="308"/>
      <c r="F2312" s="308"/>
      <c r="G2312" s="308" t="s">
        <v>35</v>
      </c>
      <c r="H2312" s="308"/>
      <c r="I2312" s="308"/>
      <c r="J2312" s="308"/>
      <c r="K2312" s="308"/>
      <c r="L2312" s="308"/>
      <c r="M2312" s="308"/>
      <c r="N2312" s="308"/>
      <c r="O2312" s="309"/>
      <c r="P2312" s="308" t="str">
        <f t="shared" si="64"/>
        <v>Truncate table FSEC12;</v>
      </c>
      <c r="Q2312" s="308"/>
      <c r="R2312" s="308"/>
    </row>
    <row r="2313" spans="1:18" s="306" customFormat="1" x14ac:dyDescent="0.25">
      <c r="A2313" s="71"/>
      <c r="B2313" s="307" t="s">
        <v>3107</v>
      </c>
      <c r="C2313" s="308"/>
      <c r="D2313" s="308" t="s">
        <v>29</v>
      </c>
      <c r="E2313" s="308"/>
      <c r="F2313" s="308"/>
      <c r="G2313" s="308" t="s">
        <v>35</v>
      </c>
      <c r="H2313" s="308"/>
      <c r="I2313" s="308"/>
      <c r="J2313" s="308"/>
      <c r="K2313" s="308"/>
      <c r="L2313" s="308"/>
      <c r="M2313" s="308"/>
      <c r="N2313" s="308"/>
      <c r="O2313" s="309"/>
      <c r="P2313" s="308" t="str">
        <f t="shared" si="64"/>
        <v>Truncate table FSEC13;</v>
      </c>
      <c r="Q2313" s="308"/>
      <c r="R2313" s="308"/>
    </row>
    <row r="2314" spans="1:18" s="306" customFormat="1" x14ac:dyDescent="0.25">
      <c r="A2314" s="71"/>
      <c r="B2314" s="307" t="s">
        <v>3108</v>
      </c>
      <c r="C2314" s="308"/>
      <c r="D2314" s="308" t="s">
        <v>29</v>
      </c>
      <c r="E2314" s="308"/>
      <c r="F2314" s="308"/>
      <c r="G2314" s="308" t="s">
        <v>35</v>
      </c>
      <c r="H2314" s="308"/>
      <c r="I2314" s="308"/>
      <c r="J2314" s="308"/>
      <c r="K2314" s="308"/>
      <c r="L2314" s="308"/>
      <c r="M2314" s="308"/>
      <c r="N2314" s="308"/>
      <c r="O2314" s="309"/>
      <c r="P2314" s="308" t="str">
        <f t="shared" si="64"/>
        <v>Truncate table FSEC14;</v>
      </c>
      <c r="Q2314" s="308"/>
      <c r="R2314" s="308"/>
    </row>
    <row r="2315" spans="1:18" s="306" customFormat="1" x14ac:dyDescent="0.25">
      <c r="A2315" s="71"/>
      <c r="B2315" s="307" t="s">
        <v>3109</v>
      </c>
      <c r="C2315" s="308"/>
      <c r="D2315" s="308" t="s">
        <v>29</v>
      </c>
      <c r="E2315" s="308"/>
      <c r="F2315" s="308"/>
      <c r="G2315" s="308" t="s">
        <v>35</v>
      </c>
      <c r="H2315" s="308"/>
      <c r="I2315" s="308"/>
      <c r="J2315" s="308"/>
      <c r="K2315" s="308"/>
      <c r="L2315" s="308"/>
      <c r="M2315" s="308"/>
      <c r="N2315" s="308"/>
      <c r="O2315" s="309"/>
      <c r="P2315" s="308" t="str">
        <f t="shared" si="64"/>
        <v>Truncate table FSEC15;</v>
      </c>
      <c r="Q2315" s="308"/>
      <c r="R2315" s="308"/>
    </row>
    <row r="2316" spans="1:18" s="306" customFormat="1" x14ac:dyDescent="0.25">
      <c r="A2316" s="71"/>
      <c r="B2316" s="307" t="s">
        <v>3110</v>
      </c>
      <c r="C2316" s="308"/>
      <c r="D2316" s="308" t="s">
        <v>29</v>
      </c>
      <c r="E2316" s="308"/>
      <c r="F2316" s="308"/>
      <c r="G2316" s="308" t="s">
        <v>35</v>
      </c>
      <c r="H2316" s="308"/>
      <c r="I2316" s="308"/>
      <c r="J2316" s="308"/>
      <c r="K2316" s="308"/>
      <c r="L2316" s="308"/>
      <c r="M2316" s="308"/>
      <c r="N2316" s="308"/>
      <c r="O2316" s="309"/>
      <c r="P2316" s="308" t="str">
        <f t="shared" si="64"/>
        <v>Truncate table FSEC16;</v>
      </c>
      <c r="Q2316" s="308"/>
      <c r="R2316" s="308"/>
    </row>
    <row r="2317" spans="1:18" s="306" customFormat="1" x14ac:dyDescent="0.25">
      <c r="A2317" s="71"/>
      <c r="B2317" s="307" t="s">
        <v>3111</v>
      </c>
      <c r="C2317" s="308"/>
      <c r="D2317" s="308" t="s">
        <v>29</v>
      </c>
      <c r="E2317" s="308"/>
      <c r="F2317" s="308"/>
      <c r="G2317" s="308" t="s">
        <v>35</v>
      </c>
      <c r="H2317" s="308"/>
      <c r="I2317" s="308"/>
      <c r="J2317" s="308"/>
      <c r="K2317" s="308"/>
      <c r="L2317" s="308"/>
      <c r="M2317" s="308"/>
      <c r="N2317" s="308"/>
      <c r="O2317" s="309"/>
      <c r="P2317" s="308" t="str">
        <f t="shared" si="64"/>
        <v>Truncate table FSEC17;</v>
      </c>
      <c r="Q2317" s="308"/>
      <c r="R2317" s="308"/>
    </row>
    <row r="2318" spans="1:18" s="306" customFormat="1" x14ac:dyDescent="0.25">
      <c r="A2318" s="71"/>
      <c r="B2318" s="307" t="s">
        <v>3112</v>
      </c>
      <c r="C2318" s="308"/>
      <c r="D2318" s="308" t="s">
        <v>29</v>
      </c>
      <c r="E2318" s="308"/>
      <c r="F2318" s="308"/>
      <c r="G2318" s="308" t="s">
        <v>35</v>
      </c>
      <c r="H2318" s="308"/>
      <c r="I2318" s="308"/>
      <c r="J2318" s="308"/>
      <c r="K2318" s="308"/>
      <c r="L2318" s="308"/>
      <c r="M2318" s="308"/>
      <c r="N2318" s="308"/>
      <c r="O2318" s="309"/>
      <c r="P2318" s="308" t="str">
        <f t="shared" si="64"/>
        <v>Truncate table FSEC18;</v>
      </c>
      <c r="Q2318" s="308"/>
      <c r="R2318" s="308"/>
    </row>
    <row r="2319" spans="1:18" s="306" customFormat="1" x14ac:dyDescent="0.25">
      <c r="A2319" s="71"/>
      <c r="B2319" s="307" t="s">
        <v>3113</v>
      </c>
      <c r="C2319" s="308"/>
      <c r="D2319" s="308" t="s">
        <v>29</v>
      </c>
      <c r="E2319" s="308"/>
      <c r="F2319" s="308"/>
      <c r="G2319" s="308" t="s">
        <v>35</v>
      </c>
      <c r="H2319" s="308"/>
      <c r="I2319" s="308"/>
      <c r="J2319" s="308"/>
      <c r="K2319" s="308"/>
      <c r="L2319" s="308"/>
      <c r="M2319" s="308"/>
      <c r="N2319" s="308"/>
      <c r="O2319" s="309"/>
      <c r="P2319" s="308" t="str">
        <f t="shared" si="64"/>
        <v>Truncate table FSEC19;</v>
      </c>
      <c r="Q2319" s="308"/>
      <c r="R2319" s="308"/>
    </row>
    <row r="2320" spans="1:18" s="306" customFormat="1" x14ac:dyDescent="0.25">
      <c r="A2320" s="71"/>
      <c r="B2320" s="307" t="s">
        <v>3114</v>
      </c>
      <c r="C2320" s="308"/>
      <c r="D2320" s="308" t="s">
        <v>29</v>
      </c>
      <c r="E2320" s="308"/>
      <c r="F2320" s="308"/>
      <c r="G2320" s="308" t="s">
        <v>35</v>
      </c>
      <c r="H2320" s="308"/>
      <c r="I2320" s="308"/>
      <c r="J2320" s="308"/>
      <c r="K2320" s="308"/>
      <c r="L2320" s="308"/>
      <c r="M2320" s="308"/>
      <c r="N2320" s="308"/>
      <c r="O2320" s="309"/>
      <c r="P2320" s="308" t="str">
        <f t="shared" si="64"/>
        <v>Truncate table FSEC20;</v>
      </c>
      <c r="Q2320" s="308"/>
      <c r="R2320" s="308"/>
    </row>
    <row r="2321" spans="1:18" s="306" customFormat="1" x14ac:dyDescent="0.25">
      <c r="A2321" s="71"/>
      <c r="B2321" s="307" t="s">
        <v>3115</v>
      </c>
      <c r="C2321" s="308"/>
      <c r="D2321" s="308" t="s">
        <v>29</v>
      </c>
      <c r="E2321" s="308"/>
      <c r="F2321" s="308"/>
      <c r="G2321" s="308" t="s">
        <v>35</v>
      </c>
      <c r="H2321" s="308"/>
      <c r="I2321" s="308"/>
      <c r="J2321" s="308"/>
      <c r="K2321" s="308"/>
      <c r="L2321" s="308"/>
      <c r="M2321" s="308"/>
      <c r="N2321" s="308"/>
      <c r="O2321" s="309"/>
      <c r="P2321" s="308" t="str">
        <f t="shared" si="64"/>
        <v>Truncate table FSEC21;</v>
      </c>
      <c r="Q2321" s="308"/>
      <c r="R2321" s="308"/>
    </row>
    <row r="2322" spans="1:18" s="306" customFormat="1" x14ac:dyDescent="0.25">
      <c r="A2322" s="71"/>
      <c r="B2322" s="307" t="s">
        <v>3116</v>
      </c>
      <c r="C2322" s="308"/>
      <c r="D2322" s="308" t="s">
        <v>29</v>
      </c>
      <c r="E2322" s="308"/>
      <c r="F2322" s="308"/>
      <c r="G2322" s="308" t="s">
        <v>35</v>
      </c>
      <c r="H2322" s="308"/>
      <c r="I2322" s="308"/>
      <c r="J2322" s="308"/>
      <c r="K2322" s="308"/>
      <c r="L2322" s="308"/>
      <c r="M2322" s="308"/>
      <c r="N2322" s="308"/>
      <c r="O2322" s="309"/>
      <c r="P2322" s="308" t="str">
        <f t="shared" si="64"/>
        <v>Truncate table FSEC23;</v>
      </c>
      <c r="Q2322" s="308"/>
      <c r="R2322" s="308"/>
    </row>
    <row r="2323" spans="1:18" s="306" customFormat="1" x14ac:dyDescent="0.25">
      <c r="A2323" s="71"/>
      <c r="B2323" s="307" t="s">
        <v>3117</v>
      </c>
      <c r="C2323" s="308"/>
      <c r="D2323" s="308" t="s">
        <v>29</v>
      </c>
      <c r="E2323" s="308"/>
      <c r="F2323" s="308"/>
      <c r="G2323" s="308" t="s">
        <v>35</v>
      </c>
      <c r="H2323" s="308"/>
      <c r="I2323" s="308"/>
      <c r="J2323" s="308"/>
      <c r="K2323" s="308"/>
      <c r="L2323" s="308"/>
      <c r="M2323" s="308"/>
      <c r="N2323" s="308"/>
      <c r="O2323" s="309"/>
      <c r="P2323" s="308" t="str">
        <f t="shared" si="64"/>
        <v>Truncate table FSEC24;</v>
      </c>
      <c r="Q2323" s="308"/>
      <c r="R2323" s="308"/>
    </row>
    <row r="2324" spans="1:18" s="306" customFormat="1" x14ac:dyDescent="0.25">
      <c r="A2324" s="71"/>
      <c r="B2324" s="307" t="s">
        <v>3118</v>
      </c>
      <c r="C2324" s="308"/>
      <c r="D2324" s="308" t="s">
        <v>29</v>
      </c>
      <c r="E2324" s="308"/>
      <c r="F2324" s="308"/>
      <c r="G2324" s="308" t="s">
        <v>35</v>
      </c>
      <c r="H2324" s="308"/>
      <c r="I2324" s="308"/>
      <c r="J2324" s="308"/>
      <c r="K2324" s="308"/>
      <c r="L2324" s="308"/>
      <c r="M2324" s="308"/>
      <c r="N2324" s="308"/>
      <c r="O2324" s="309"/>
      <c r="P2324" s="308" t="str">
        <f t="shared" si="64"/>
        <v>Truncate table FSEC25;</v>
      </c>
      <c r="Q2324" s="308"/>
      <c r="R2324" s="308"/>
    </row>
    <row r="2325" spans="1:18" s="306" customFormat="1" x14ac:dyDescent="0.25">
      <c r="A2325" s="71"/>
      <c r="B2325" s="307" t="s">
        <v>3119</v>
      </c>
      <c r="C2325" s="308"/>
      <c r="D2325" s="308" t="s">
        <v>29</v>
      </c>
      <c r="E2325" s="308"/>
      <c r="F2325" s="308"/>
      <c r="G2325" s="308" t="s">
        <v>35</v>
      </c>
      <c r="H2325" s="308"/>
      <c r="I2325" s="308"/>
      <c r="J2325" s="308"/>
      <c r="K2325" s="308"/>
      <c r="L2325" s="308"/>
      <c r="M2325" s="308"/>
      <c r="N2325" s="308"/>
      <c r="O2325" s="309"/>
      <c r="P2325" s="308" t="str">
        <f t="shared" si="64"/>
        <v>Truncate table FSEC26;</v>
      </c>
      <c r="Q2325" s="308"/>
      <c r="R2325" s="308"/>
    </row>
    <row r="2326" spans="1:18" x14ac:dyDescent="0.25">
      <c r="B2326" s="19" t="s">
        <v>3120</v>
      </c>
      <c r="C2326" s="16" t="s">
        <v>10108</v>
      </c>
      <c r="D2326" s="16" t="s">
        <v>29</v>
      </c>
      <c r="E2326" s="16"/>
      <c r="F2326" s="5"/>
      <c r="G2326" s="16" t="s">
        <v>35</v>
      </c>
      <c r="H2326" s="16"/>
      <c r="I2326" s="16"/>
      <c r="J2326" s="16"/>
      <c r="K2326" s="16"/>
      <c r="L2326" s="16"/>
      <c r="M2326" s="16"/>
      <c r="N2326" s="16"/>
      <c r="O2326" s="17"/>
      <c r="P2326" s="5" t="str">
        <f t="shared" si="64"/>
        <v>Truncate table FSEC27;</v>
      </c>
      <c r="Q2326" s="5"/>
      <c r="R2326" s="5"/>
    </row>
    <row r="2327" spans="1:18" x14ac:dyDescent="0.25">
      <c r="B2327" s="19" t="s">
        <v>3121</v>
      </c>
      <c r="C2327" s="16" t="s">
        <v>10109</v>
      </c>
      <c r="D2327" s="16" t="s">
        <v>29</v>
      </c>
      <c r="E2327" s="16"/>
      <c r="F2327" s="5"/>
      <c r="G2327" s="16" t="s">
        <v>35</v>
      </c>
      <c r="H2327" s="16"/>
      <c r="I2327" s="16"/>
      <c r="J2327" s="16"/>
      <c r="K2327" s="16"/>
      <c r="L2327" s="16"/>
      <c r="M2327" s="16"/>
      <c r="N2327" s="16"/>
      <c r="O2327" s="17"/>
      <c r="P2327" s="5" t="str">
        <f t="shared" si="64"/>
        <v>Truncate table FSEC28;</v>
      </c>
      <c r="Q2327" s="5"/>
      <c r="R2327" s="5"/>
    </row>
    <row r="2328" spans="1:18" s="306" customFormat="1" x14ac:dyDescent="0.25">
      <c r="A2328" s="71"/>
      <c r="B2328" s="307" t="s">
        <v>3122</v>
      </c>
      <c r="C2328" s="308"/>
      <c r="D2328" s="308" t="s">
        <v>29</v>
      </c>
      <c r="E2328" s="308"/>
      <c r="F2328" s="308"/>
      <c r="G2328" s="308" t="s">
        <v>35</v>
      </c>
      <c r="H2328" s="308"/>
      <c r="I2328" s="308"/>
      <c r="J2328" s="308"/>
      <c r="K2328" s="308"/>
      <c r="L2328" s="308"/>
      <c r="M2328" s="308"/>
      <c r="N2328" s="308"/>
      <c r="O2328" s="309"/>
      <c r="P2328" s="308" t="str">
        <f t="shared" si="64"/>
        <v>Truncate table FSEC29;</v>
      </c>
      <c r="Q2328" s="308"/>
      <c r="R2328" s="308"/>
    </row>
    <row r="2329" spans="1:18" s="306" customFormat="1" x14ac:dyDescent="0.25">
      <c r="A2329" s="71"/>
      <c r="B2329" s="307" t="s">
        <v>3123</v>
      </c>
      <c r="C2329" s="308"/>
      <c r="D2329" s="308" t="s">
        <v>29</v>
      </c>
      <c r="E2329" s="308"/>
      <c r="F2329" s="308"/>
      <c r="G2329" s="308" t="s">
        <v>35</v>
      </c>
      <c r="H2329" s="308"/>
      <c r="I2329" s="308"/>
      <c r="J2329" s="308"/>
      <c r="K2329" s="308"/>
      <c r="L2329" s="308"/>
      <c r="M2329" s="308"/>
      <c r="N2329" s="308"/>
      <c r="O2329" s="309"/>
      <c r="P2329" s="308" t="str">
        <f t="shared" si="64"/>
        <v>Truncate table FSEC30;</v>
      </c>
      <c r="Q2329" s="308"/>
      <c r="R2329" s="308"/>
    </row>
    <row r="2330" spans="1:18" s="306" customFormat="1" x14ac:dyDescent="0.25">
      <c r="A2330" s="71"/>
      <c r="B2330" s="307" t="s">
        <v>3124</v>
      </c>
      <c r="C2330" s="308"/>
      <c r="D2330" s="308" t="s">
        <v>29</v>
      </c>
      <c r="E2330" s="308"/>
      <c r="F2330" s="308"/>
      <c r="G2330" s="308" t="s">
        <v>35</v>
      </c>
      <c r="H2330" s="308"/>
      <c r="I2330" s="308"/>
      <c r="J2330" s="308"/>
      <c r="K2330" s="308"/>
      <c r="L2330" s="308"/>
      <c r="M2330" s="308"/>
      <c r="N2330" s="308"/>
      <c r="O2330" s="309"/>
      <c r="P2330" s="308" t="str">
        <f t="shared" si="64"/>
        <v>Truncate table FSEC40;</v>
      </c>
      <c r="Q2330" s="308"/>
      <c r="R2330" s="308"/>
    </row>
    <row r="2331" spans="1:18" s="306" customFormat="1" x14ac:dyDescent="0.25">
      <c r="A2331" s="71"/>
      <c r="B2331" s="307" t="s">
        <v>3125</v>
      </c>
      <c r="C2331" s="308"/>
      <c r="D2331" s="308" t="s">
        <v>29</v>
      </c>
      <c r="E2331" s="308"/>
      <c r="F2331" s="308"/>
      <c r="G2331" s="308" t="s">
        <v>35</v>
      </c>
      <c r="H2331" s="308"/>
      <c r="I2331" s="308"/>
      <c r="J2331" s="308"/>
      <c r="K2331" s="308"/>
      <c r="L2331" s="308"/>
      <c r="M2331" s="308"/>
      <c r="N2331" s="308"/>
      <c r="O2331" s="309"/>
      <c r="P2331" s="308" t="str">
        <f t="shared" si="64"/>
        <v>Truncate table FSEC60;</v>
      </c>
      <c r="Q2331" s="308"/>
      <c r="R2331" s="308"/>
    </row>
    <row r="2332" spans="1:18" s="306" customFormat="1" x14ac:dyDescent="0.25">
      <c r="A2332" s="71"/>
      <c r="B2332" s="307" t="s">
        <v>3126</v>
      </c>
      <c r="C2332" s="308"/>
      <c r="D2332" s="308" t="s">
        <v>29</v>
      </c>
      <c r="E2332" s="308"/>
      <c r="F2332" s="308"/>
      <c r="G2332" s="308" t="s">
        <v>35</v>
      </c>
      <c r="H2332" s="308"/>
      <c r="I2332" s="308"/>
      <c r="J2332" s="308"/>
      <c r="K2332" s="308"/>
      <c r="L2332" s="308"/>
      <c r="M2332" s="308"/>
      <c r="N2332" s="308"/>
      <c r="O2332" s="309"/>
      <c r="P2332" s="308" t="str">
        <f t="shared" si="64"/>
        <v>Truncate table FSEC80;</v>
      </c>
      <c r="Q2332" s="308"/>
      <c r="R2332" s="308"/>
    </row>
    <row r="2333" spans="1:18" s="306" customFormat="1" x14ac:dyDescent="0.25">
      <c r="A2333" s="71"/>
      <c r="B2333" s="307" t="s">
        <v>3127</v>
      </c>
      <c r="C2333" s="308"/>
      <c r="D2333" s="308" t="s">
        <v>29</v>
      </c>
      <c r="E2333" s="308"/>
      <c r="F2333" s="308"/>
      <c r="G2333" s="308" t="s">
        <v>35</v>
      </c>
      <c r="H2333" s="308"/>
      <c r="I2333" s="308"/>
      <c r="J2333" s="308"/>
      <c r="K2333" s="308"/>
      <c r="L2333" s="308"/>
      <c r="M2333" s="308"/>
      <c r="N2333" s="308"/>
      <c r="O2333" s="309"/>
      <c r="P2333" s="308" t="str">
        <f t="shared" si="64"/>
        <v>Truncate table FSEC81;</v>
      </c>
      <c r="Q2333" s="308"/>
      <c r="R2333" s="308"/>
    </row>
    <row r="2334" spans="1:18" s="306" customFormat="1" x14ac:dyDescent="0.25">
      <c r="A2334" s="71"/>
      <c r="B2334" s="307" t="s">
        <v>3128</v>
      </c>
      <c r="C2334" s="308"/>
      <c r="D2334" s="308" t="s">
        <v>29</v>
      </c>
      <c r="E2334" s="308"/>
      <c r="F2334" s="308"/>
      <c r="G2334" s="308" t="s">
        <v>35</v>
      </c>
      <c r="H2334" s="308"/>
      <c r="I2334" s="308"/>
      <c r="J2334" s="308"/>
      <c r="K2334" s="308"/>
      <c r="L2334" s="308"/>
      <c r="M2334" s="308"/>
      <c r="N2334" s="308"/>
      <c r="O2334" s="309"/>
      <c r="P2334" s="308" t="str">
        <f t="shared" si="64"/>
        <v>Truncate table FSEC90;</v>
      </c>
      <c r="Q2334" s="308"/>
      <c r="R2334" s="308"/>
    </row>
    <row r="2335" spans="1:18" x14ac:dyDescent="0.25">
      <c r="B2335" s="19" t="s">
        <v>3129</v>
      </c>
      <c r="C2335" s="16" t="s">
        <v>3130</v>
      </c>
      <c r="D2335" s="16" t="s">
        <v>29</v>
      </c>
      <c r="E2335" s="16" t="s">
        <v>54</v>
      </c>
      <c r="F2335" s="5" t="s">
        <v>163</v>
      </c>
      <c r="G2335" s="16" t="s">
        <v>35</v>
      </c>
      <c r="H2335" s="16" t="s">
        <v>36</v>
      </c>
      <c r="I2335" s="16"/>
      <c r="J2335" s="16"/>
      <c r="K2335" s="16"/>
      <c r="L2335" s="16"/>
      <c r="M2335" s="16"/>
      <c r="N2335" s="16"/>
      <c r="O2335" s="17" t="s">
        <v>38</v>
      </c>
      <c r="P2335" s="5" t="str">
        <f t="shared" si="64"/>
        <v>Truncate table FSER03;</v>
      </c>
      <c r="Q2335" s="5"/>
      <c r="R2335" s="5"/>
    </row>
    <row r="2336" spans="1:18" x14ac:dyDescent="0.25">
      <c r="B2336" s="19" t="s">
        <v>3131</v>
      </c>
      <c r="C2336" s="242" t="s">
        <v>3132</v>
      </c>
      <c r="D2336" s="16" t="s">
        <v>29</v>
      </c>
      <c r="E2336" s="16"/>
      <c r="F2336" s="5" t="s">
        <v>3133</v>
      </c>
      <c r="G2336" s="16" t="s">
        <v>35</v>
      </c>
      <c r="H2336" s="16"/>
      <c r="I2336" s="16"/>
      <c r="J2336" s="16"/>
      <c r="K2336" s="16"/>
      <c r="L2336" s="16"/>
      <c r="M2336" s="16"/>
      <c r="N2336" s="16"/>
      <c r="O2336" s="17" t="s">
        <v>38</v>
      </c>
      <c r="P2336" s="5" t="str">
        <f t="shared" si="64"/>
        <v>Truncate table FSF001;</v>
      </c>
      <c r="Q2336" s="5"/>
      <c r="R2336" s="5"/>
    </row>
    <row r="2337" spans="1:18" s="306" customFormat="1" x14ac:dyDescent="0.25">
      <c r="A2337" s="71"/>
      <c r="B2337" s="307" t="s">
        <v>3134</v>
      </c>
      <c r="C2337" s="308"/>
      <c r="D2337" s="308" t="s">
        <v>29</v>
      </c>
      <c r="E2337" s="308"/>
      <c r="F2337" s="308"/>
      <c r="G2337" s="308" t="s">
        <v>35</v>
      </c>
      <c r="H2337" s="308"/>
      <c r="I2337" s="308"/>
      <c r="J2337" s="308"/>
      <c r="K2337" s="308"/>
      <c r="L2337" s="308"/>
      <c r="M2337" s="308"/>
      <c r="N2337" s="308"/>
      <c r="O2337" s="309"/>
      <c r="P2337" s="308" t="str">
        <f t="shared" si="64"/>
        <v>Truncate table FSF002;</v>
      </c>
      <c r="Q2337" s="308"/>
      <c r="R2337" s="308"/>
    </row>
    <row r="2338" spans="1:18" s="306" customFormat="1" x14ac:dyDescent="0.25">
      <c r="A2338" s="71"/>
      <c r="B2338" s="307" t="s">
        <v>3135</v>
      </c>
      <c r="C2338" s="308"/>
      <c r="D2338" s="308" t="s">
        <v>29</v>
      </c>
      <c r="E2338" s="308"/>
      <c r="F2338" s="308"/>
      <c r="G2338" s="308" t="s">
        <v>35</v>
      </c>
      <c r="H2338" s="308"/>
      <c r="I2338" s="308"/>
      <c r="J2338" s="308"/>
      <c r="K2338" s="308"/>
      <c r="L2338" s="308"/>
      <c r="M2338" s="308"/>
      <c r="N2338" s="308"/>
      <c r="O2338" s="309"/>
      <c r="P2338" s="308" t="str">
        <f t="shared" si="64"/>
        <v>Truncate table FSF003;</v>
      </c>
      <c r="Q2338" s="308"/>
      <c r="R2338" s="308"/>
    </row>
    <row r="2339" spans="1:18" s="306" customFormat="1" x14ac:dyDescent="0.25">
      <c r="A2339" s="71"/>
      <c r="B2339" s="307" t="s">
        <v>3136</v>
      </c>
      <c r="C2339" s="308"/>
      <c r="D2339" s="308" t="s">
        <v>29</v>
      </c>
      <c r="E2339" s="308"/>
      <c r="F2339" s="308"/>
      <c r="G2339" s="308" t="s">
        <v>35</v>
      </c>
      <c r="H2339" s="308"/>
      <c r="I2339" s="308"/>
      <c r="J2339" s="308"/>
      <c r="K2339" s="308"/>
      <c r="L2339" s="308"/>
      <c r="M2339" s="308"/>
      <c r="N2339" s="308"/>
      <c r="O2339" s="309"/>
      <c r="P2339" s="308" t="str">
        <f t="shared" si="64"/>
        <v>Truncate table FSF004;</v>
      </c>
      <c r="Q2339" s="308"/>
      <c r="R2339" s="308"/>
    </row>
    <row r="2340" spans="1:18" s="306" customFormat="1" x14ac:dyDescent="0.25">
      <c r="A2340" s="71"/>
      <c r="B2340" s="307" t="s">
        <v>3137</v>
      </c>
      <c r="C2340" s="308"/>
      <c r="D2340" s="308" t="s">
        <v>29</v>
      </c>
      <c r="E2340" s="308"/>
      <c r="F2340" s="308"/>
      <c r="G2340" s="308" t="s">
        <v>35</v>
      </c>
      <c r="H2340" s="308"/>
      <c r="I2340" s="308"/>
      <c r="J2340" s="308"/>
      <c r="K2340" s="308"/>
      <c r="L2340" s="308"/>
      <c r="M2340" s="308"/>
      <c r="N2340" s="308"/>
      <c r="O2340" s="309"/>
      <c r="P2340" s="308" t="str">
        <f t="shared" si="64"/>
        <v>Truncate table FSF005;</v>
      </c>
      <c r="Q2340" s="308"/>
      <c r="R2340" s="308"/>
    </row>
    <row r="2341" spans="1:18" s="306" customFormat="1" x14ac:dyDescent="0.25">
      <c r="A2341" s="71"/>
      <c r="B2341" s="307" t="s">
        <v>3138</v>
      </c>
      <c r="C2341" s="308"/>
      <c r="D2341" s="308" t="s">
        <v>29</v>
      </c>
      <c r="E2341" s="308"/>
      <c r="F2341" s="308"/>
      <c r="G2341" s="308" t="s">
        <v>35</v>
      </c>
      <c r="H2341" s="308"/>
      <c r="I2341" s="308"/>
      <c r="J2341" s="308"/>
      <c r="K2341" s="308"/>
      <c r="L2341" s="308"/>
      <c r="M2341" s="308"/>
      <c r="N2341" s="308"/>
      <c r="O2341" s="309"/>
      <c r="P2341" s="308" t="str">
        <f t="shared" si="64"/>
        <v>Truncate table FSF006;</v>
      </c>
      <c r="Q2341" s="308"/>
      <c r="R2341" s="308"/>
    </row>
    <row r="2342" spans="1:18" s="306" customFormat="1" x14ac:dyDescent="0.25">
      <c r="A2342" s="71"/>
      <c r="B2342" s="307" t="s">
        <v>3139</v>
      </c>
      <c r="C2342" s="308"/>
      <c r="D2342" s="308" t="s">
        <v>29</v>
      </c>
      <c r="E2342" s="308"/>
      <c r="F2342" s="308"/>
      <c r="G2342" s="308" t="s">
        <v>35</v>
      </c>
      <c r="H2342" s="308"/>
      <c r="I2342" s="308"/>
      <c r="J2342" s="308"/>
      <c r="K2342" s="308"/>
      <c r="L2342" s="308"/>
      <c r="M2342" s="308"/>
      <c r="N2342" s="308"/>
      <c r="O2342" s="309"/>
      <c r="P2342" s="308" t="str">
        <f t="shared" si="64"/>
        <v>Truncate table FSF007;</v>
      </c>
      <c r="Q2342" s="308"/>
      <c r="R2342" s="308"/>
    </row>
    <row r="2343" spans="1:18" s="306" customFormat="1" x14ac:dyDescent="0.25">
      <c r="A2343" s="71"/>
      <c r="B2343" s="307" t="s">
        <v>3140</v>
      </c>
      <c r="C2343" s="308"/>
      <c r="D2343" s="308" t="s">
        <v>29</v>
      </c>
      <c r="E2343" s="308"/>
      <c r="F2343" s="308"/>
      <c r="G2343" s="308" t="s">
        <v>35</v>
      </c>
      <c r="H2343" s="308"/>
      <c r="I2343" s="308"/>
      <c r="J2343" s="308"/>
      <c r="K2343" s="308"/>
      <c r="L2343" s="308"/>
      <c r="M2343" s="308"/>
      <c r="N2343" s="308"/>
      <c r="O2343" s="309"/>
      <c r="P2343" s="308" t="str">
        <f t="shared" si="64"/>
        <v>Truncate table FSF008;</v>
      </c>
      <c r="Q2343" s="308"/>
      <c r="R2343" s="308"/>
    </row>
    <row r="2344" spans="1:18" s="306" customFormat="1" x14ac:dyDescent="0.25">
      <c r="A2344" s="71"/>
      <c r="B2344" s="307" t="s">
        <v>3141</v>
      </c>
      <c r="C2344" s="308"/>
      <c r="D2344" s="308" t="s">
        <v>29</v>
      </c>
      <c r="E2344" s="308"/>
      <c r="F2344" s="308"/>
      <c r="G2344" s="308" t="s">
        <v>35</v>
      </c>
      <c r="H2344" s="308"/>
      <c r="I2344" s="308"/>
      <c r="J2344" s="308"/>
      <c r="K2344" s="308"/>
      <c r="L2344" s="308"/>
      <c r="M2344" s="308"/>
      <c r="N2344" s="308"/>
      <c r="O2344" s="309"/>
      <c r="P2344" s="308" t="str">
        <f t="shared" si="64"/>
        <v>Truncate table FSF009;</v>
      </c>
      <c r="Q2344" s="308"/>
      <c r="R2344" s="308"/>
    </row>
    <row r="2345" spans="1:18" s="306" customFormat="1" x14ac:dyDescent="0.25">
      <c r="A2345" s="71"/>
      <c r="B2345" s="307" t="s">
        <v>3142</v>
      </c>
      <c r="C2345" s="308"/>
      <c r="D2345" s="308" t="s">
        <v>29</v>
      </c>
      <c r="E2345" s="308"/>
      <c r="F2345" s="308"/>
      <c r="G2345" s="308" t="s">
        <v>35</v>
      </c>
      <c r="H2345" s="308"/>
      <c r="I2345" s="308"/>
      <c r="J2345" s="308"/>
      <c r="K2345" s="308"/>
      <c r="L2345" s="308"/>
      <c r="M2345" s="308"/>
      <c r="N2345" s="308"/>
      <c r="O2345" s="309"/>
      <c r="P2345" s="308" t="str">
        <f t="shared" si="64"/>
        <v>Truncate table FSF010;</v>
      </c>
      <c r="Q2345" s="308"/>
      <c r="R2345" s="308"/>
    </row>
    <row r="2346" spans="1:18" s="306" customFormat="1" x14ac:dyDescent="0.25">
      <c r="A2346" s="71"/>
      <c r="B2346" s="307" t="s">
        <v>3143</v>
      </c>
      <c r="C2346" s="308"/>
      <c r="D2346" s="308" t="s">
        <v>29</v>
      </c>
      <c r="E2346" s="308"/>
      <c r="F2346" s="308"/>
      <c r="G2346" s="308" t="s">
        <v>35</v>
      </c>
      <c r="H2346" s="308"/>
      <c r="I2346" s="308"/>
      <c r="J2346" s="308"/>
      <c r="K2346" s="308"/>
      <c r="L2346" s="308"/>
      <c r="M2346" s="308"/>
      <c r="N2346" s="308"/>
      <c r="O2346" s="309"/>
      <c r="P2346" s="308" t="str">
        <f t="shared" si="64"/>
        <v>Truncate table FSF011;</v>
      </c>
      <c r="Q2346" s="308"/>
      <c r="R2346" s="308"/>
    </row>
    <row r="2347" spans="1:18" s="306" customFormat="1" x14ac:dyDescent="0.25">
      <c r="A2347" s="71"/>
      <c r="B2347" s="307" t="s">
        <v>3144</v>
      </c>
      <c r="C2347" s="308"/>
      <c r="D2347" s="308" t="s">
        <v>29</v>
      </c>
      <c r="E2347" s="308"/>
      <c r="F2347" s="308"/>
      <c r="G2347" s="308" t="s">
        <v>35</v>
      </c>
      <c r="H2347" s="308"/>
      <c r="I2347" s="308"/>
      <c r="J2347" s="308"/>
      <c r="K2347" s="308"/>
      <c r="L2347" s="308"/>
      <c r="M2347" s="308"/>
      <c r="N2347" s="308"/>
      <c r="O2347" s="309"/>
      <c r="P2347" s="308" t="str">
        <f t="shared" si="64"/>
        <v>Truncate table FSF013;</v>
      </c>
      <c r="Q2347" s="308"/>
      <c r="R2347" s="308"/>
    </row>
    <row r="2348" spans="1:18" s="306" customFormat="1" x14ac:dyDescent="0.25">
      <c r="A2348" s="71"/>
      <c r="B2348" s="307" t="s">
        <v>3145</v>
      </c>
      <c r="C2348" s="308"/>
      <c r="D2348" s="308" t="s">
        <v>29</v>
      </c>
      <c r="E2348" s="308"/>
      <c r="F2348" s="308"/>
      <c r="G2348" s="308" t="s">
        <v>35</v>
      </c>
      <c r="H2348" s="308"/>
      <c r="I2348" s="308"/>
      <c r="J2348" s="308"/>
      <c r="K2348" s="308"/>
      <c r="L2348" s="308"/>
      <c r="M2348" s="308"/>
      <c r="N2348" s="308"/>
      <c r="O2348" s="309"/>
      <c r="P2348" s="308" t="str">
        <f t="shared" si="64"/>
        <v>Truncate table FSF014;</v>
      </c>
      <c r="Q2348" s="308"/>
      <c r="R2348" s="308"/>
    </row>
    <row r="2349" spans="1:18" s="306" customFormat="1" x14ac:dyDescent="0.25">
      <c r="A2349" s="71"/>
      <c r="B2349" s="307" t="s">
        <v>3146</v>
      </c>
      <c r="C2349" s="308"/>
      <c r="D2349" s="308" t="s">
        <v>29</v>
      </c>
      <c r="E2349" s="308"/>
      <c r="F2349" s="308"/>
      <c r="G2349" s="308" t="s">
        <v>35</v>
      </c>
      <c r="H2349" s="308"/>
      <c r="I2349" s="308"/>
      <c r="J2349" s="308"/>
      <c r="K2349" s="308"/>
      <c r="L2349" s="308"/>
      <c r="M2349" s="308"/>
      <c r="N2349" s="308"/>
      <c r="O2349" s="309"/>
      <c r="P2349" s="308" t="str">
        <f t="shared" si="64"/>
        <v>Truncate table FSF015;</v>
      </c>
      <c r="Q2349" s="308"/>
      <c r="R2349" s="308"/>
    </row>
    <row r="2350" spans="1:18" x14ac:dyDescent="0.25">
      <c r="B2350" s="19" t="s">
        <v>3147</v>
      </c>
      <c r="C2350" t="s">
        <v>10110</v>
      </c>
      <c r="D2350" s="16" t="s">
        <v>29</v>
      </c>
      <c r="E2350" s="16"/>
      <c r="F2350" s="5"/>
      <c r="G2350" s="16" t="s">
        <v>35</v>
      </c>
      <c r="H2350" s="16"/>
      <c r="I2350" s="16"/>
      <c r="J2350" s="16"/>
      <c r="K2350" s="16"/>
      <c r="L2350" s="16"/>
      <c r="M2350" s="16"/>
      <c r="N2350" s="16"/>
      <c r="O2350" s="17"/>
      <c r="P2350" s="5" t="str">
        <f t="shared" si="64"/>
        <v>Truncate table FSF016;</v>
      </c>
      <c r="Q2350" s="5"/>
      <c r="R2350" s="5"/>
    </row>
    <row r="2351" spans="1:18" x14ac:dyDescent="0.25">
      <c r="B2351" s="19" t="s">
        <v>3148</v>
      </c>
      <c r="C2351" t="s">
        <v>10111</v>
      </c>
      <c r="D2351" s="16" t="s">
        <v>29</v>
      </c>
      <c r="E2351" s="16"/>
      <c r="F2351" s="5"/>
      <c r="G2351" s="16" t="s">
        <v>35</v>
      </c>
      <c r="H2351" s="16"/>
      <c r="I2351" s="16"/>
      <c r="J2351" s="16"/>
      <c r="K2351" s="16"/>
      <c r="L2351" s="16"/>
      <c r="M2351" s="16"/>
      <c r="N2351" s="16"/>
      <c r="O2351" s="17"/>
      <c r="P2351" s="5" t="str">
        <f t="shared" si="64"/>
        <v>Truncate table FSF017;</v>
      </c>
      <c r="Q2351" s="5"/>
      <c r="R2351" s="5"/>
    </row>
    <row r="2352" spans="1:18" x14ac:dyDescent="0.25">
      <c r="B2352" s="19" t="s">
        <v>3149</v>
      </c>
      <c r="C2352" t="s">
        <v>10121</v>
      </c>
      <c r="D2352" s="16" t="s">
        <v>29</v>
      </c>
      <c r="E2352" s="16"/>
      <c r="F2352" s="5"/>
      <c r="G2352" s="16" t="s">
        <v>35</v>
      </c>
      <c r="H2352" s="16"/>
      <c r="I2352" s="16"/>
      <c r="J2352" s="16"/>
      <c r="K2352" s="16"/>
      <c r="L2352" s="16"/>
      <c r="M2352" s="16"/>
      <c r="N2352" s="16"/>
      <c r="O2352" s="17"/>
      <c r="P2352" s="5" t="str">
        <f t="shared" si="64"/>
        <v>Truncate table FSF018;</v>
      </c>
      <c r="Q2352" s="5"/>
      <c r="R2352" s="5"/>
    </row>
    <row r="2353" spans="1:18" x14ac:dyDescent="0.25">
      <c r="B2353" s="19" t="s">
        <v>3150</v>
      </c>
      <c r="C2353" t="s">
        <v>10120</v>
      </c>
      <c r="D2353" s="16" t="s">
        <v>29</v>
      </c>
      <c r="E2353" s="16"/>
      <c r="F2353" s="5"/>
      <c r="G2353" s="16" t="s">
        <v>35</v>
      </c>
      <c r="H2353" s="16"/>
      <c r="I2353" s="16"/>
      <c r="J2353" s="16"/>
      <c r="K2353" s="16"/>
      <c r="L2353" s="16"/>
      <c r="M2353" s="16"/>
      <c r="N2353" s="16"/>
      <c r="O2353" s="17"/>
      <c r="P2353" s="5" t="str">
        <f t="shared" ref="P2353:P2416" si="65">IF(D2353="Datos","Truncate table "&amp; B2353&amp; ";","")</f>
        <v>Truncate table FSF021;</v>
      </c>
      <c r="Q2353" s="5"/>
      <c r="R2353" s="5"/>
    </row>
    <row r="2354" spans="1:18" x14ac:dyDescent="0.25">
      <c r="B2354" s="19" t="s">
        <v>3151</v>
      </c>
      <c r="C2354" t="s">
        <v>10119</v>
      </c>
      <c r="D2354" s="16" t="s">
        <v>29</v>
      </c>
      <c r="E2354" s="16"/>
      <c r="F2354" s="5"/>
      <c r="G2354" s="16" t="s">
        <v>35</v>
      </c>
      <c r="H2354" s="16"/>
      <c r="I2354" s="16"/>
      <c r="J2354" s="16"/>
      <c r="K2354" s="16"/>
      <c r="L2354" s="16"/>
      <c r="M2354" s="16"/>
      <c r="N2354" s="16"/>
      <c r="O2354" s="17"/>
      <c r="P2354" s="5" t="str">
        <f t="shared" si="65"/>
        <v>Truncate table FSF022;</v>
      </c>
      <c r="Q2354" s="5"/>
      <c r="R2354" s="5"/>
    </row>
    <row r="2355" spans="1:18" x14ac:dyDescent="0.25">
      <c r="B2355" s="19" t="s">
        <v>3152</v>
      </c>
      <c r="C2355" t="s">
        <v>10118</v>
      </c>
      <c r="D2355" s="16" t="s">
        <v>29</v>
      </c>
      <c r="E2355" s="16"/>
      <c r="F2355" s="5"/>
      <c r="G2355" s="16" t="s">
        <v>35</v>
      </c>
      <c r="H2355" s="16"/>
      <c r="I2355" s="16"/>
      <c r="J2355" s="16"/>
      <c r="K2355" s="16"/>
      <c r="L2355" s="16"/>
      <c r="M2355" s="16"/>
      <c r="N2355" s="16"/>
      <c r="O2355" s="17"/>
      <c r="P2355" s="5" t="str">
        <f t="shared" si="65"/>
        <v>Truncate table FSF023;</v>
      </c>
      <c r="Q2355" s="5"/>
      <c r="R2355" s="5"/>
    </row>
    <row r="2356" spans="1:18" x14ac:dyDescent="0.25">
      <c r="B2356" s="19" t="s">
        <v>3153</v>
      </c>
      <c r="C2356" t="s">
        <v>10117</v>
      </c>
      <c r="D2356" s="16" t="s">
        <v>29</v>
      </c>
      <c r="E2356" s="16"/>
      <c r="F2356" s="5"/>
      <c r="G2356" s="16" t="s">
        <v>35</v>
      </c>
      <c r="H2356" s="16"/>
      <c r="I2356" s="16"/>
      <c r="J2356" s="16"/>
      <c r="K2356" s="16"/>
      <c r="L2356" s="16"/>
      <c r="M2356" s="16"/>
      <c r="N2356" s="16"/>
      <c r="O2356" s="17"/>
      <c r="P2356" s="5" t="str">
        <f t="shared" si="65"/>
        <v>Truncate table FSF024;</v>
      </c>
      <c r="Q2356" s="5"/>
      <c r="R2356" s="5"/>
    </row>
    <row r="2357" spans="1:18" x14ac:dyDescent="0.25">
      <c r="B2357" s="19" t="s">
        <v>3154</v>
      </c>
      <c r="C2357" t="s">
        <v>10116</v>
      </c>
      <c r="D2357" s="16" t="s">
        <v>29</v>
      </c>
      <c r="E2357" s="16"/>
      <c r="F2357" s="5"/>
      <c r="G2357" s="16" t="s">
        <v>35</v>
      </c>
      <c r="H2357" s="16"/>
      <c r="I2357" s="16"/>
      <c r="J2357" s="16"/>
      <c r="K2357" s="16"/>
      <c r="L2357" s="16"/>
      <c r="M2357" s="16"/>
      <c r="N2357" s="16"/>
      <c r="O2357" s="17"/>
      <c r="P2357" s="5" t="str">
        <f t="shared" si="65"/>
        <v>Truncate table FSF025;</v>
      </c>
      <c r="Q2357" s="5"/>
      <c r="R2357" s="5"/>
    </row>
    <row r="2358" spans="1:18" x14ac:dyDescent="0.25">
      <c r="B2358" s="19" t="s">
        <v>3155</v>
      </c>
      <c r="C2358" t="s">
        <v>10115</v>
      </c>
      <c r="D2358" s="16" t="s">
        <v>29</v>
      </c>
      <c r="E2358" s="16"/>
      <c r="F2358" s="5"/>
      <c r="G2358" s="16" t="s">
        <v>35</v>
      </c>
      <c r="H2358" s="16"/>
      <c r="I2358" s="16"/>
      <c r="J2358" s="16"/>
      <c r="K2358" s="16"/>
      <c r="L2358" s="16"/>
      <c r="M2358" s="16"/>
      <c r="N2358" s="16"/>
      <c r="O2358" s="17"/>
      <c r="P2358" s="5" t="str">
        <f t="shared" si="65"/>
        <v>Truncate table FSF026;</v>
      </c>
      <c r="Q2358" s="5"/>
      <c r="R2358" s="5"/>
    </row>
    <row r="2359" spans="1:18" x14ac:dyDescent="0.25">
      <c r="B2359" s="19" t="s">
        <v>3156</v>
      </c>
      <c r="C2359" t="s">
        <v>10114</v>
      </c>
      <c r="D2359" s="16" t="s">
        <v>29</v>
      </c>
      <c r="E2359" s="16"/>
      <c r="F2359" s="5"/>
      <c r="G2359" s="16" t="s">
        <v>35</v>
      </c>
      <c r="H2359" s="16"/>
      <c r="I2359" s="16"/>
      <c r="J2359" s="16"/>
      <c r="K2359" s="16"/>
      <c r="L2359" s="16"/>
      <c r="M2359" s="16"/>
      <c r="N2359" s="16"/>
      <c r="O2359" s="17"/>
      <c r="P2359" s="5" t="str">
        <f t="shared" si="65"/>
        <v>Truncate table FSF027;</v>
      </c>
      <c r="Q2359" s="5"/>
      <c r="R2359" s="5"/>
    </row>
    <row r="2360" spans="1:18" x14ac:dyDescent="0.25">
      <c r="B2360" s="19" t="s">
        <v>3157</v>
      </c>
      <c r="C2360" t="s">
        <v>10113</v>
      </c>
      <c r="D2360" s="16" t="s">
        <v>29</v>
      </c>
      <c r="E2360" s="16"/>
      <c r="F2360" s="5"/>
      <c r="G2360" s="16" t="s">
        <v>35</v>
      </c>
      <c r="H2360" s="16"/>
      <c r="I2360" s="16"/>
      <c r="J2360" s="16"/>
      <c r="K2360" s="16"/>
      <c r="L2360" s="16"/>
      <c r="M2360" s="16"/>
      <c r="N2360" s="16"/>
      <c r="O2360" s="17"/>
      <c r="P2360" s="5" t="str">
        <f t="shared" si="65"/>
        <v>Truncate table FSF028;</v>
      </c>
      <c r="Q2360" s="5"/>
      <c r="R2360" s="5"/>
    </row>
    <row r="2361" spans="1:18" s="306" customFormat="1" x14ac:dyDescent="0.25">
      <c r="A2361" s="71"/>
      <c r="B2361" s="307" t="s">
        <v>3158</v>
      </c>
      <c r="C2361" s="308"/>
      <c r="D2361" s="308" t="s">
        <v>29</v>
      </c>
      <c r="E2361" s="308"/>
      <c r="F2361" s="308"/>
      <c r="G2361" s="308" t="s">
        <v>35</v>
      </c>
      <c r="H2361" s="308"/>
      <c r="I2361" s="308"/>
      <c r="J2361" s="308"/>
      <c r="K2361" s="308"/>
      <c r="L2361" s="308"/>
      <c r="M2361" s="308"/>
      <c r="N2361" s="308"/>
      <c r="O2361" s="309"/>
      <c r="P2361" s="308" t="str">
        <f t="shared" si="65"/>
        <v>Truncate table FSF029;</v>
      </c>
      <c r="Q2361" s="308"/>
      <c r="R2361" s="308"/>
    </row>
    <row r="2362" spans="1:18" s="306" customFormat="1" x14ac:dyDescent="0.25">
      <c r="A2362" s="71"/>
      <c r="B2362" s="307" t="s">
        <v>3159</v>
      </c>
      <c r="C2362" s="308"/>
      <c r="D2362" s="308" t="s">
        <v>29</v>
      </c>
      <c r="E2362" s="308"/>
      <c r="F2362" s="308"/>
      <c r="G2362" s="308" t="s">
        <v>35</v>
      </c>
      <c r="H2362" s="308"/>
      <c r="I2362" s="308"/>
      <c r="J2362" s="308"/>
      <c r="K2362" s="308"/>
      <c r="L2362" s="308"/>
      <c r="M2362" s="308"/>
      <c r="N2362" s="308"/>
      <c r="O2362" s="309"/>
      <c r="P2362" s="308" t="str">
        <f t="shared" si="65"/>
        <v>Truncate table FSF030;</v>
      </c>
      <c r="Q2362" s="308"/>
      <c r="R2362" s="308"/>
    </row>
    <row r="2363" spans="1:18" s="306" customFormat="1" x14ac:dyDescent="0.25">
      <c r="A2363" s="71"/>
      <c r="B2363" s="307" t="s">
        <v>3160</v>
      </c>
      <c r="C2363" s="308"/>
      <c r="D2363" s="308" t="s">
        <v>29</v>
      </c>
      <c r="E2363" s="308"/>
      <c r="F2363" s="308"/>
      <c r="G2363" s="308" t="s">
        <v>35</v>
      </c>
      <c r="H2363" s="308"/>
      <c r="I2363" s="308"/>
      <c r="J2363" s="308"/>
      <c r="K2363" s="308"/>
      <c r="L2363" s="308"/>
      <c r="M2363" s="308"/>
      <c r="N2363" s="308"/>
      <c r="O2363" s="309"/>
      <c r="P2363" s="308" t="str">
        <f t="shared" si="65"/>
        <v>Truncate table FSF031;</v>
      </c>
      <c r="Q2363" s="308"/>
      <c r="R2363" s="308"/>
    </row>
    <row r="2364" spans="1:18" s="306" customFormat="1" x14ac:dyDescent="0.25">
      <c r="A2364" s="71"/>
      <c r="B2364" s="307" t="s">
        <v>3161</v>
      </c>
      <c r="C2364" s="308"/>
      <c r="D2364" s="308" t="s">
        <v>29</v>
      </c>
      <c r="E2364" s="308"/>
      <c r="F2364" s="308"/>
      <c r="G2364" s="308" t="s">
        <v>35</v>
      </c>
      <c r="H2364" s="308"/>
      <c r="I2364" s="308"/>
      <c r="J2364" s="308"/>
      <c r="K2364" s="308"/>
      <c r="L2364" s="308"/>
      <c r="M2364" s="308"/>
      <c r="N2364" s="308"/>
      <c r="O2364" s="309"/>
      <c r="P2364" s="308" t="str">
        <f t="shared" si="65"/>
        <v>Truncate table FSF032;</v>
      </c>
      <c r="Q2364" s="308"/>
      <c r="R2364" s="308"/>
    </row>
    <row r="2365" spans="1:18" s="306" customFormat="1" x14ac:dyDescent="0.25">
      <c r="A2365" s="71"/>
      <c r="B2365" s="307" t="s">
        <v>3162</v>
      </c>
      <c r="C2365" s="308"/>
      <c r="D2365" s="308" t="s">
        <v>29</v>
      </c>
      <c r="E2365" s="308"/>
      <c r="F2365" s="308"/>
      <c r="G2365" s="308" t="s">
        <v>35</v>
      </c>
      <c r="H2365" s="308"/>
      <c r="I2365" s="308"/>
      <c r="J2365" s="308"/>
      <c r="K2365" s="308"/>
      <c r="L2365" s="308"/>
      <c r="M2365" s="308"/>
      <c r="N2365" s="308"/>
      <c r="O2365" s="309"/>
      <c r="P2365" s="308" t="str">
        <f t="shared" si="65"/>
        <v>Truncate table FSF033;</v>
      </c>
      <c r="Q2365" s="308"/>
      <c r="R2365" s="308"/>
    </row>
    <row r="2366" spans="1:18" s="306" customFormat="1" x14ac:dyDescent="0.25">
      <c r="A2366" s="71"/>
      <c r="B2366" s="307" t="s">
        <v>3163</v>
      </c>
      <c r="C2366" s="308"/>
      <c r="D2366" s="308" t="s">
        <v>29</v>
      </c>
      <c r="E2366" s="308"/>
      <c r="F2366" s="308"/>
      <c r="G2366" s="308" t="s">
        <v>35</v>
      </c>
      <c r="H2366" s="308"/>
      <c r="I2366" s="308"/>
      <c r="J2366" s="308"/>
      <c r="K2366" s="308"/>
      <c r="L2366" s="308"/>
      <c r="M2366" s="308"/>
      <c r="N2366" s="308"/>
      <c r="O2366" s="309"/>
      <c r="P2366" s="308" t="str">
        <f t="shared" si="65"/>
        <v>Truncate table FSF034;</v>
      </c>
      <c r="Q2366" s="308"/>
      <c r="R2366" s="308"/>
    </row>
    <row r="2367" spans="1:18" s="306" customFormat="1" x14ac:dyDescent="0.25">
      <c r="A2367" s="71"/>
      <c r="B2367" s="307" t="s">
        <v>3164</v>
      </c>
      <c r="C2367" s="308"/>
      <c r="D2367" s="308" t="s">
        <v>29</v>
      </c>
      <c r="E2367" s="308"/>
      <c r="F2367" s="308"/>
      <c r="G2367" s="308" t="s">
        <v>35</v>
      </c>
      <c r="H2367" s="308"/>
      <c r="I2367" s="308"/>
      <c r="J2367" s="308"/>
      <c r="K2367" s="308"/>
      <c r="L2367" s="308"/>
      <c r="M2367" s="308"/>
      <c r="N2367" s="308"/>
      <c r="O2367" s="309"/>
      <c r="P2367" s="308" t="str">
        <f t="shared" si="65"/>
        <v>Truncate table FSF035;</v>
      </c>
      <c r="Q2367" s="308"/>
      <c r="R2367" s="308"/>
    </row>
    <row r="2368" spans="1:18" x14ac:dyDescent="0.25">
      <c r="B2368" s="19" t="s">
        <v>3165</v>
      </c>
      <c r="C2368" s="16" t="s">
        <v>10112</v>
      </c>
      <c r="D2368" s="16" t="s">
        <v>29</v>
      </c>
      <c r="E2368" s="16"/>
      <c r="F2368" s="5"/>
      <c r="G2368" s="16" t="s">
        <v>35</v>
      </c>
      <c r="H2368" s="16"/>
      <c r="I2368" s="16"/>
      <c r="J2368" s="16"/>
      <c r="K2368" s="16"/>
      <c r="L2368" s="16"/>
      <c r="M2368" s="16"/>
      <c r="N2368" s="16"/>
      <c r="O2368" s="17"/>
      <c r="P2368" s="5" t="str">
        <f t="shared" si="65"/>
        <v>Truncate table FSF036;</v>
      </c>
      <c r="Q2368" s="5"/>
      <c r="R2368" s="5"/>
    </row>
    <row r="2369" spans="1:18" s="306" customFormat="1" x14ac:dyDescent="0.25">
      <c r="A2369" s="71"/>
      <c r="B2369" s="307" t="s">
        <v>3166</v>
      </c>
      <c r="C2369" s="308"/>
      <c r="D2369" s="308" t="s">
        <v>29</v>
      </c>
      <c r="E2369" s="308"/>
      <c r="F2369" s="308"/>
      <c r="G2369" s="308" t="s">
        <v>35</v>
      </c>
      <c r="H2369" s="308"/>
      <c r="I2369" s="308"/>
      <c r="J2369" s="308"/>
      <c r="K2369" s="308"/>
      <c r="L2369" s="308"/>
      <c r="M2369" s="308"/>
      <c r="N2369" s="308"/>
      <c r="O2369" s="309"/>
      <c r="P2369" s="308" t="str">
        <f t="shared" si="65"/>
        <v>Truncate table FSF037;</v>
      </c>
      <c r="Q2369" s="308"/>
      <c r="R2369" s="308"/>
    </row>
    <row r="2370" spans="1:18" s="306" customFormat="1" x14ac:dyDescent="0.25">
      <c r="A2370" s="71"/>
      <c r="B2370" s="307" t="s">
        <v>3167</v>
      </c>
      <c r="C2370" s="308"/>
      <c r="D2370" s="308" t="s">
        <v>29</v>
      </c>
      <c r="E2370" s="308"/>
      <c r="F2370" s="308"/>
      <c r="G2370" s="308" t="s">
        <v>35</v>
      </c>
      <c r="H2370" s="308"/>
      <c r="I2370" s="308"/>
      <c r="J2370" s="308"/>
      <c r="K2370" s="308"/>
      <c r="L2370" s="308"/>
      <c r="M2370" s="308"/>
      <c r="N2370" s="308"/>
      <c r="O2370" s="309"/>
      <c r="P2370" s="308" t="str">
        <f t="shared" si="65"/>
        <v>Truncate table FSF038;</v>
      </c>
      <c r="Q2370" s="308"/>
      <c r="R2370" s="308"/>
    </row>
    <row r="2371" spans="1:18" s="306" customFormat="1" x14ac:dyDescent="0.25">
      <c r="A2371" s="71"/>
      <c r="B2371" s="307" t="s">
        <v>3168</v>
      </c>
      <c r="C2371" s="308"/>
      <c r="D2371" s="308" t="s">
        <v>29</v>
      </c>
      <c r="E2371" s="308"/>
      <c r="F2371" s="308"/>
      <c r="G2371" s="308" t="s">
        <v>35</v>
      </c>
      <c r="H2371" s="308"/>
      <c r="I2371" s="308"/>
      <c r="J2371" s="308"/>
      <c r="K2371" s="308"/>
      <c r="L2371" s="308"/>
      <c r="M2371" s="308"/>
      <c r="N2371" s="308"/>
      <c r="O2371" s="309"/>
      <c r="P2371" s="308" t="str">
        <f t="shared" si="65"/>
        <v>Truncate table FSF039;</v>
      </c>
      <c r="Q2371" s="308"/>
      <c r="R2371" s="308"/>
    </row>
    <row r="2372" spans="1:18" x14ac:dyDescent="0.25">
      <c r="B2372" s="19" t="s">
        <v>3169</v>
      </c>
      <c r="C2372" s="16" t="s">
        <v>10122</v>
      </c>
      <c r="D2372" s="16" t="s">
        <v>29</v>
      </c>
      <c r="E2372" s="16"/>
      <c r="F2372" s="5"/>
      <c r="G2372" s="16" t="s">
        <v>35</v>
      </c>
      <c r="H2372" s="16"/>
      <c r="I2372" s="16"/>
      <c r="J2372" s="16"/>
      <c r="K2372" s="16"/>
      <c r="L2372" s="16"/>
      <c r="M2372" s="16"/>
      <c r="N2372" s="16"/>
      <c r="O2372" s="17"/>
      <c r="P2372" s="5" t="str">
        <f t="shared" si="65"/>
        <v>Truncate table FSF041;</v>
      </c>
      <c r="Q2372" s="5"/>
      <c r="R2372" s="5"/>
    </row>
    <row r="2373" spans="1:18" s="306" customFormat="1" x14ac:dyDescent="0.25">
      <c r="A2373" s="71"/>
      <c r="B2373" s="307" t="s">
        <v>3170</v>
      </c>
      <c r="C2373" s="308"/>
      <c r="D2373" s="308" t="s">
        <v>29</v>
      </c>
      <c r="E2373" s="308"/>
      <c r="F2373" s="308"/>
      <c r="G2373" s="308" t="s">
        <v>35</v>
      </c>
      <c r="H2373" s="308"/>
      <c r="I2373" s="308"/>
      <c r="J2373" s="308"/>
      <c r="K2373" s="308"/>
      <c r="L2373" s="308"/>
      <c r="M2373" s="308"/>
      <c r="N2373" s="308"/>
      <c r="O2373" s="309"/>
      <c r="P2373" s="308" t="str">
        <f t="shared" si="65"/>
        <v>Truncate table FSF042;</v>
      </c>
      <c r="Q2373" s="308"/>
      <c r="R2373" s="308"/>
    </row>
    <row r="2374" spans="1:18" s="306" customFormat="1" x14ac:dyDescent="0.25">
      <c r="A2374" s="71"/>
      <c r="B2374" s="307" t="s">
        <v>3171</v>
      </c>
      <c r="C2374" s="308"/>
      <c r="D2374" s="308" t="s">
        <v>29</v>
      </c>
      <c r="E2374" s="308"/>
      <c r="F2374" s="308"/>
      <c r="G2374" s="308" t="s">
        <v>35</v>
      </c>
      <c r="H2374" s="308"/>
      <c r="I2374" s="308"/>
      <c r="J2374" s="308"/>
      <c r="K2374" s="308"/>
      <c r="L2374" s="308"/>
      <c r="M2374" s="308"/>
      <c r="N2374" s="308"/>
      <c r="O2374" s="309"/>
      <c r="P2374" s="308" t="str">
        <f t="shared" si="65"/>
        <v>Truncate table FSF043;</v>
      </c>
      <c r="Q2374" s="308"/>
      <c r="R2374" s="308"/>
    </row>
    <row r="2375" spans="1:18" s="306" customFormat="1" x14ac:dyDescent="0.25">
      <c r="A2375" s="71"/>
      <c r="B2375" s="307" t="s">
        <v>3172</v>
      </c>
      <c r="C2375" s="308"/>
      <c r="D2375" s="308" t="s">
        <v>29</v>
      </c>
      <c r="E2375" s="308"/>
      <c r="F2375" s="308"/>
      <c r="G2375" s="308" t="s">
        <v>35</v>
      </c>
      <c r="H2375" s="308"/>
      <c r="I2375" s="308"/>
      <c r="J2375" s="308"/>
      <c r="K2375" s="308"/>
      <c r="L2375" s="308"/>
      <c r="M2375" s="308"/>
      <c r="N2375" s="308"/>
      <c r="O2375" s="309"/>
      <c r="P2375" s="308" t="str">
        <f t="shared" si="65"/>
        <v>Truncate table FSF044;</v>
      </c>
      <c r="Q2375" s="308"/>
      <c r="R2375" s="308"/>
    </row>
    <row r="2376" spans="1:18" s="306" customFormat="1" x14ac:dyDescent="0.25">
      <c r="A2376" s="71"/>
      <c r="B2376" s="307" t="s">
        <v>3173</v>
      </c>
      <c r="C2376" s="308"/>
      <c r="D2376" s="308" t="s">
        <v>29</v>
      </c>
      <c r="E2376" s="308"/>
      <c r="F2376" s="308"/>
      <c r="G2376" s="308" t="s">
        <v>35</v>
      </c>
      <c r="H2376" s="308"/>
      <c r="I2376" s="308"/>
      <c r="J2376" s="308"/>
      <c r="K2376" s="308"/>
      <c r="L2376" s="308"/>
      <c r="M2376" s="308"/>
      <c r="N2376" s="308"/>
      <c r="O2376" s="309"/>
      <c r="P2376" s="308" t="str">
        <f t="shared" si="65"/>
        <v>Truncate table FSF045;</v>
      </c>
      <c r="Q2376" s="308"/>
      <c r="R2376" s="308"/>
    </row>
    <row r="2377" spans="1:18" s="306" customFormat="1" x14ac:dyDescent="0.25">
      <c r="A2377" s="71"/>
      <c r="B2377" s="307" t="s">
        <v>3174</v>
      </c>
      <c r="C2377" s="308"/>
      <c r="D2377" s="308" t="s">
        <v>29</v>
      </c>
      <c r="E2377" s="308"/>
      <c r="F2377" s="308"/>
      <c r="G2377" s="308" t="s">
        <v>35</v>
      </c>
      <c r="H2377" s="308"/>
      <c r="I2377" s="308"/>
      <c r="J2377" s="308"/>
      <c r="K2377" s="308"/>
      <c r="L2377" s="308"/>
      <c r="M2377" s="308"/>
      <c r="N2377" s="308"/>
      <c r="O2377" s="309"/>
      <c r="P2377" s="308" t="str">
        <f t="shared" si="65"/>
        <v>Truncate table FSF046;</v>
      </c>
      <c r="Q2377" s="308"/>
      <c r="R2377" s="308"/>
    </row>
    <row r="2378" spans="1:18" s="306" customFormat="1" x14ac:dyDescent="0.25">
      <c r="A2378" s="71"/>
      <c r="B2378" s="307" t="s">
        <v>3175</v>
      </c>
      <c r="C2378" s="308"/>
      <c r="D2378" s="308" t="s">
        <v>29</v>
      </c>
      <c r="E2378" s="308"/>
      <c r="F2378" s="308"/>
      <c r="G2378" s="308" t="s">
        <v>35</v>
      </c>
      <c r="H2378" s="308"/>
      <c r="I2378" s="308"/>
      <c r="J2378" s="308"/>
      <c r="K2378" s="308"/>
      <c r="L2378" s="308"/>
      <c r="M2378" s="308"/>
      <c r="N2378" s="308"/>
      <c r="O2378" s="309"/>
      <c r="P2378" s="308" t="str">
        <f t="shared" si="65"/>
        <v>Truncate table FSF047;</v>
      </c>
      <c r="Q2378" s="308"/>
      <c r="R2378" s="308"/>
    </row>
    <row r="2379" spans="1:18" s="306" customFormat="1" x14ac:dyDescent="0.25">
      <c r="A2379" s="71"/>
      <c r="B2379" s="307" t="s">
        <v>3176</v>
      </c>
      <c r="C2379" s="308"/>
      <c r="D2379" s="308" t="s">
        <v>29</v>
      </c>
      <c r="E2379" s="308"/>
      <c r="F2379" s="308"/>
      <c r="G2379" s="308" t="s">
        <v>35</v>
      </c>
      <c r="H2379" s="308"/>
      <c r="I2379" s="308"/>
      <c r="J2379" s="308"/>
      <c r="K2379" s="308"/>
      <c r="L2379" s="308"/>
      <c r="M2379" s="308"/>
      <c r="N2379" s="308"/>
      <c r="O2379" s="309"/>
      <c r="P2379" s="308" t="str">
        <f t="shared" si="65"/>
        <v>Truncate table FSF048;</v>
      </c>
      <c r="Q2379" s="308"/>
      <c r="R2379" s="308"/>
    </row>
    <row r="2380" spans="1:18" s="306" customFormat="1" x14ac:dyDescent="0.25">
      <c r="A2380" s="71"/>
      <c r="B2380" s="307" t="s">
        <v>3177</v>
      </c>
      <c r="C2380" s="308"/>
      <c r="D2380" s="308" t="s">
        <v>29</v>
      </c>
      <c r="E2380" s="308"/>
      <c r="F2380" s="308"/>
      <c r="G2380" s="308" t="s">
        <v>35</v>
      </c>
      <c r="H2380" s="308"/>
      <c r="I2380" s="308"/>
      <c r="J2380" s="308"/>
      <c r="K2380" s="308"/>
      <c r="L2380" s="308"/>
      <c r="M2380" s="308"/>
      <c r="N2380" s="308"/>
      <c r="O2380" s="309"/>
      <c r="P2380" s="308" t="str">
        <f t="shared" si="65"/>
        <v>Truncate table FSF049;</v>
      </c>
      <c r="Q2380" s="308"/>
      <c r="R2380" s="308"/>
    </row>
    <row r="2381" spans="1:18" s="306" customFormat="1" x14ac:dyDescent="0.25">
      <c r="A2381" s="71"/>
      <c r="B2381" s="307" t="s">
        <v>3178</v>
      </c>
      <c r="C2381" s="308"/>
      <c r="D2381" s="308" t="s">
        <v>29</v>
      </c>
      <c r="E2381" s="308"/>
      <c r="F2381" s="308"/>
      <c r="G2381" s="308" t="s">
        <v>35</v>
      </c>
      <c r="H2381" s="308"/>
      <c r="I2381" s="308"/>
      <c r="J2381" s="308"/>
      <c r="K2381" s="308"/>
      <c r="L2381" s="308"/>
      <c r="M2381" s="308"/>
      <c r="N2381" s="308"/>
      <c r="O2381" s="309"/>
      <c r="P2381" s="308" t="str">
        <f t="shared" si="65"/>
        <v>Truncate table FSF050;</v>
      </c>
      <c r="Q2381" s="308"/>
      <c r="R2381" s="308"/>
    </row>
    <row r="2382" spans="1:18" s="306" customFormat="1" x14ac:dyDescent="0.25">
      <c r="A2382" s="71"/>
      <c r="B2382" s="307" t="s">
        <v>3179</v>
      </c>
      <c r="C2382" s="308"/>
      <c r="D2382" s="308" t="s">
        <v>29</v>
      </c>
      <c r="E2382" s="308"/>
      <c r="F2382" s="308"/>
      <c r="G2382" s="308" t="s">
        <v>35</v>
      </c>
      <c r="H2382" s="308"/>
      <c r="I2382" s="308"/>
      <c r="J2382" s="308"/>
      <c r="K2382" s="308"/>
      <c r="L2382" s="308"/>
      <c r="M2382" s="308"/>
      <c r="N2382" s="308"/>
      <c r="O2382" s="309"/>
      <c r="P2382" s="308" t="str">
        <f t="shared" si="65"/>
        <v>Truncate table FSF051;</v>
      </c>
      <c r="Q2382" s="308"/>
      <c r="R2382" s="308"/>
    </row>
    <row r="2383" spans="1:18" s="306" customFormat="1" x14ac:dyDescent="0.25">
      <c r="A2383" s="71"/>
      <c r="B2383" s="307" t="s">
        <v>3180</v>
      </c>
      <c r="C2383" s="308"/>
      <c r="D2383" s="308" t="s">
        <v>29</v>
      </c>
      <c r="E2383" s="308"/>
      <c r="F2383" s="308"/>
      <c r="G2383" s="308" t="s">
        <v>35</v>
      </c>
      <c r="H2383" s="308"/>
      <c r="I2383" s="308"/>
      <c r="J2383" s="308"/>
      <c r="K2383" s="308"/>
      <c r="L2383" s="308"/>
      <c r="M2383" s="308"/>
      <c r="N2383" s="308"/>
      <c r="O2383" s="309"/>
      <c r="P2383" s="308" t="str">
        <f t="shared" si="65"/>
        <v>Truncate table FSF052;</v>
      </c>
      <c r="Q2383" s="308"/>
      <c r="R2383" s="308"/>
    </row>
    <row r="2384" spans="1:18" s="306" customFormat="1" x14ac:dyDescent="0.25">
      <c r="A2384" s="71"/>
      <c r="B2384" s="307" t="s">
        <v>3181</v>
      </c>
      <c r="C2384" s="308"/>
      <c r="D2384" s="308" t="s">
        <v>29</v>
      </c>
      <c r="E2384" s="308"/>
      <c r="F2384" s="308"/>
      <c r="G2384" s="308" t="s">
        <v>35</v>
      </c>
      <c r="H2384" s="308"/>
      <c r="I2384" s="308"/>
      <c r="J2384" s="308"/>
      <c r="K2384" s="308"/>
      <c r="L2384" s="308"/>
      <c r="M2384" s="308"/>
      <c r="N2384" s="308"/>
      <c r="O2384" s="309"/>
      <c r="P2384" s="308" t="str">
        <f t="shared" si="65"/>
        <v>Truncate table FSF053;</v>
      </c>
      <c r="Q2384" s="308"/>
      <c r="R2384" s="308"/>
    </row>
    <row r="2385" spans="1:18" s="306" customFormat="1" x14ac:dyDescent="0.25">
      <c r="A2385" s="71"/>
      <c r="B2385" s="307" t="s">
        <v>3182</v>
      </c>
      <c r="C2385" s="308"/>
      <c r="D2385" s="308" t="s">
        <v>29</v>
      </c>
      <c r="E2385" s="308"/>
      <c r="F2385" s="308"/>
      <c r="G2385" s="308" t="s">
        <v>35</v>
      </c>
      <c r="H2385" s="308"/>
      <c r="I2385" s="308"/>
      <c r="J2385" s="308"/>
      <c r="K2385" s="308"/>
      <c r="L2385" s="308"/>
      <c r="M2385" s="308"/>
      <c r="N2385" s="308"/>
      <c r="O2385" s="309"/>
      <c r="P2385" s="308" t="str">
        <f t="shared" si="65"/>
        <v>Truncate table FSF054;</v>
      </c>
      <c r="Q2385" s="308"/>
      <c r="R2385" s="308"/>
    </row>
    <row r="2386" spans="1:18" s="306" customFormat="1" x14ac:dyDescent="0.25">
      <c r="A2386" s="71"/>
      <c r="B2386" s="307" t="s">
        <v>3183</v>
      </c>
      <c r="C2386" s="308"/>
      <c r="D2386" s="308" t="s">
        <v>29</v>
      </c>
      <c r="E2386" s="308"/>
      <c r="F2386" s="308"/>
      <c r="G2386" s="308" t="s">
        <v>35</v>
      </c>
      <c r="H2386" s="308"/>
      <c r="I2386" s="308"/>
      <c r="J2386" s="308"/>
      <c r="K2386" s="308"/>
      <c r="L2386" s="308"/>
      <c r="M2386" s="308"/>
      <c r="N2386" s="308"/>
      <c r="O2386" s="309"/>
      <c r="P2386" s="308" t="str">
        <f t="shared" si="65"/>
        <v>Truncate table FSF055;</v>
      </c>
      <c r="Q2386" s="308"/>
      <c r="R2386" s="308"/>
    </row>
    <row r="2387" spans="1:18" s="306" customFormat="1" x14ac:dyDescent="0.25">
      <c r="A2387" s="71"/>
      <c r="B2387" s="307" t="s">
        <v>3184</v>
      </c>
      <c r="C2387" s="308"/>
      <c r="D2387" s="308" t="s">
        <v>29</v>
      </c>
      <c r="E2387" s="308"/>
      <c r="F2387" s="308"/>
      <c r="G2387" s="308" t="s">
        <v>35</v>
      </c>
      <c r="H2387" s="308"/>
      <c r="I2387" s="308"/>
      <c r="J2387" s="308"/>
      <c r="K2387" s="308"/>
      <c r="L2387" s="308"/>
      <c r="M2387" s="308"/>
      <c r="N2387" s="308"/>
      <c r="O2387" s="309"/>
      <c r="P2387" s="308" t="str">
        <f t="shared" si="65"/>
        <v>Truncate table FSF056;</v>
      </c>
      <c r="Q2387" s="308"/>
      <c r="R2387" s="308"/>
    </row>
    <row r="2388" spans="1:18" s="306" customFormat="1" x14ac:dyDescent="0.25">
      <c r="A2388" s="71"/>
      <c r="B2388" s="307" t="s">
        <v>3185</v>
      </c>
      <c r="C2388" s="308"/>
      <c r="D2388" s="308" t="s">
        <v>29</v>
      </c>
      <c r="E2388" s="308"/>
      <c r="F2388" s="308"/>
      <c r="G2388" s="308" t="s">
        <v>35</v>
      </c>
      <c r="H2388" s="308"/>
      <c r="I2388" s="308"/>
      <c r="J2388" s="308"/>
      <c r="K2388" s="308"/>
      <c r="L2388" s="308"/>
      <c r="M2388" s="308"/>
      <c r="N2388" s="308"/>
      <c r="O2388" s="309"/>
      <c r="P2388" s="308" t="str">
        <f t="shared" si="65"/>
        <v>Truncate table FSF057;</v>
      </c>
      <c r="Q2388" s="308"/>
      <c r="R2388" s="308"/>
    </row>
    <row r="2389" spans="1:18" s="306" customFormat="1" x14ac:dyDescent="0.25">
      <c r="A2389" s="71"/>
      <c r="B2389" s="307" t="s">
        <v>3186</v>
      </c>
      <c r="C2389" s="308"/>
      <c r="D2389" s="308" t="s">
        <v>29</v>
      </c>
      <c r="E2389" s="308"/>
      <c r="F2389" s="308"/>
      <c r="G2389" s="308" t="s">
        <v>35</v>
      </c>
      <c r="H2389" s="308"/>
      <c r="I2389" s="308"/>
      <c r="J2389" s="308"/>
      <c r="K2389" s="308"/>
      <c r="L2389" s="308"/>
      <c r="M2389" s="308"/>
      <c r="N2389" s="308"/>
      <c r="O2389" s="309"/>
      <c r="P2389" s="308" t="str">
        <f t="shared" si="65"/>
        <v>Truncate table FSF058;</v>
      </c>
      <c r="Q2389" s="308"/>
      <c r="R2389" s="308"/>
    </row>
    <row r="2390" spans="1:18" s="306" customFormat="1" x14ac:dyDescent="0.25">
      <c r="A2390" s="71"/>
      <c r="B2390" s="307" t="s">
        <v>3187</v>
      </c>
      <c r="C2390" s="308"/>
      <c r="D2390" s="308" t="s">
        <v>29</v>
      </c>
      <c r="E2390" s="308"/>
      <c r="F2390" s="308"/>
      <c r="G2390" s="308" t="s">
        <v>35</v>
      </c>
      <c r="H2390" s="308"/>
      <c r="I2390" s="308"/>
      <c r="J2390" s="308"/>
      <c r="K2390" s="308"/>
      <c r="L2390" s="308"/>
      <c r="M2390" s="308"/>
      <c r="N2390" s="308"/>
      <c r="O2390" s="309"/>
      <c r="P2390" s="308" t="str">
        <f t="shared" si="65"/>
        <v>Truncate table FSF059;</v>
      </c>
      <c r="Q2390" s="308"/>
      <c r="R2390" s="308"/>
    </row>
    <row r="2391" spans="1:18" s="306" customFormat="1" x14ac:dyDescent="0.25">
      <c r="A2391" s="71"/>
      <c r="B2391" s="307" t="s">
        <v>3188</v>
      </c>
      <c r="C2391" s="308"/>
      <c r="D2391" s="308" t="s">
        <v>29</v>
      </c>
      <c r="E2391" s="308"/>
      <c r="F2391" s="308"/>
      <c r="G2391" s="308" t="s">
        <v>35</v>
      </c>
      <c r="H2391" s="308"/>
      <c r="I2391" s="308"/>
      <c r="J2391" s="308"/>
      <c r="K2391" s="308"/>
      <c r="L2391" s="308"/>
      <c r="M2391" s="308"/>
      <c r="N2391" s="308"/>
      <c r="O2391" s="309"/>
      <c r="P2391" s="308" t="str">
        <f t="shared" si="65"/>
        <v>Truncate table FSF060;</v>
      </c>
      <c r="Q2391" s="308"/>
      <c r="R2391" s="308"/>
    </row>
    <row r="2392" spans="1:18" s="306" customFormat="1" x14ac:dyDescent="0.25">
      <c r="A2392" s="71"/>
      <c r="B2392" s="307" t="s">
        <v>3189</v>
      </c>
      <c r="C2392" s="308"/>
      <c r="D2392" s="308" t="s">
        <v>29</v>
      </c>
      <c r="E2392" s="308"/>
      <c r="F2392" s="308"/>
      <c r="G2392" s="308" t="s">
        <v>35</v>
      </c>
      <c r="H2392" s="308"/>
      <c r="I2392" s="308"/>
      <c r="J2392" s="308"/>
      <c r="K2392" s="308"/>
      <c r="L2392" s="308"/>
      <c r="M2392" s="308"/>
      <c r="N2392" s="308"/>
      <c r="O2392" s="309"/>
      <c r="P2392" s="308" t="str">
        <f t="shared" si="65"/>
        <v>Truncate table FSF061;</v>
      </c>
      <c r="Q2392" s="308"/>
      <c r="R2392" s="308"/>
    </row>
    <row r="2393" spans="1:18" s="306" customFormat="1" x14ac:dyDescent="0.25">
      <c r="A2393" s="71"/>
      <c r="B2393" s="307" t="s">
        <v>3190</v>
      </c>
      <c r="C2393" s="308"/>
      <c r="D2393" s="308" t="s">
        <v>29</v>
      </c>
      <c r="E2393" s="308"/>
      <c r="F2393" s="308"/>
      <c r="G2393" s="308" t="s">
        <v>35</v>
      </c>
      <c r="H2393" s="308"/>
      <c r="I2393" s="308"/>
      <c r="J2393" s="308"/>
      <c r="K2393" s="308"/>
      <c r="L2393" s="308"/>
      <c r="M2393" s="308"/>
      <c r="N2393" s="308"/>
      <c r="O2393" s="309"/>
      <c r="P2393" s="308" t="str">
        <f t="shared" si="65"/>
        <v>Truncate table FSF062;</v>
      </c>
      <c r="Q2393" s="308"/>
      <c r="R2393" s="308"/>
    </row>
    <row r="2394" spans="1:18" s="306" customFormat="1" x14ac:dyDescent="0.25">
      <c r="A2394" s="71"/>
      <c r="B2394" s="307" t="s">
        <v>3191</v>
      </c>
      <c r="C2394" s="308"/>
      <c r="D2394" s="308" t="s">
        <v>29</v>
      </c>
      <c r="E2394" s="308"/>
      <c r="F2394" s="308"/>
      <c r="G2394" s="308" t="s">
        <v>35</v>
      </c>
      <c r="H2394" s="308"/>
      <c r="I2394" s="308"/>
      <c r="J2394" s="308"/>
      <c r="K2394" s="308"/>
      <c r="L2394" s="308"/>
      <c r="M2394" s="308"/>
      <c r="N2394" s="308"/>
      <c r="O2394" s="309"/>
      <c r="P2394" s="308" t="str">
        <f t="shared" si="65"/>
        <v>Truncate table FSF063;</v>
      </c>
      <c r="Q2394" s="308"/>
      <c r="R2394" s="308"/>
    </row>
    <row r="2395" spans="1:18" s="306" customFormat="1" x14ac:dyDescent="0.25">
      <c r="A2395" s="71"/>
      <c r="B2395" s="307" t="s">
        <v>3192</v>
      </c>
      <c r="C2395" s="308"/>
      <c r="D2395" s="308" t="s">
        <v>29</v>
      </c>
      <c r="E2395" s="308"/>
      <c r="F2395" s="308"/>
      <c r="G2395" s="308" t="s">
        <v>35</v>
      </c>
      <c r="H2395" s="308"/>
      <c r="I2395" s="308"/>
      <c r="J2395" s="308"/>
      <c r="K2395" s="308"/>
      <c r="L2395" s="308"/>
      <c r="M2395" s="308"/>
      <c r="N2395" s="308"/>
      <c r="O2395" s="309"/>
      <c r="P2395" s="308" t="str">
        <f t="shared" si="65"/>
        <v>Truncate table FSF064;</v>
      </c>
      <c r="Q2395" s="308"/>
      <c r="R2395" s="308"/>
    </row>
    <row r="2396" spans="1:18" s="306" customFormat="1" x14ac:dyDescent="0.25">
      <c r="A2396" s="71"/>
      <c r="B2396" s="307" t="s">
        <v>3193</v>
      </c>
      <c r="C2396" s="308"/>
      <c r="D2396" s="308" t="s">
        <v>29</v>
      </c>
      <c r="E2396" s="308"/>
      <c r="F2396" s="308"/>
      <c r="G2396" s="308" t="s">
        <v>35</v>
      </c>
      <c r="H2396" s="308"/>
      <c r="I2396" s="308"/>
      <c r="J2396" s="308"/>
      <c r="K2396" s="308"/>
      <c r="L2396" s="308"/>
      <c r="M2396" s="308"/>
      <c r="N2396" s="308"/>
      <c r="O2396" s="309"/>
      <c r="P2396" s="308" t="str">
        <f t="shared" si="65"/>
        <v>Truncate table FSF065;</v>
      </c>
      <c r="Q2396" s="308"/>
      <c r="R2396" s="308"/>
    </row>
    <row r="2397" spans="1:18" s="306" customFormat="1" x14ac:dyDescent="0.25">
      <c r="A2397" s="71"/>
      <c r="B2397" s="307" t="s">
        <v>3194</v>
      </c>
      <c r="C2397" s="308"/>
      <c r="D2397" s="308" t="s">
        <v>29</v>
      </c>
      <c r="E2397" s="308"/>
      <c r="F2397" s="308"/>
      <c r="G2397" s="308" t="s">
        <v>35</v>
      </c>
      <c r="H2397" s="308"/>
      <c r="I2397" s="308"/>
      <c r="J2397" s="308"/>
      <c r="K2397" s="308"/>
      <c r="L2397" s="308"/>
      <c r="M2397" s="308"/>
      <c r="N2397" s="308"/>
      <c r="O2397" s="309"/>
      <c r="P2397" s="308" t="str">
        <f t="shared" si="65"/>
        <v>Truncate table FSF066;</v>
      </c>
      <c r="Q2397" s="308"/>
      <c r="R2397" s="308"/>
    </row>
    <row r="2398" spans="1:18" s="306" customFormat="1" x14ac:dyDescent="0.25">
      <c r="A2398" s="71"/>
      <c r="B2398" s="307" t="s">
        <v>3195</v>
      </c>
      <c r="C2398" s="308"/>
      <c r="D2398" s="308" t="s">
        <v>29</v>
      </c>
      <c r="E2398" s="308"/>
      <c r="F2398" s="308"/>
      <c r="G2398" s="308" t="s">
        <v>35</v>
      </c>
      <c r="H2398" s="308"/>
      <c r="I2398" s="308"/>
      <c r="J2398" s="308"/>
      <c r="K2398" s="308"/>
      <c r="L2398" s="308"/>
      <c r="M2398" s="308"/>
      <c r="N2398" s="308"/>
      <c r="O2398" s="309"/>
      <c r="P2398" s="308" t="str">
        <f t="shared" si="65"/>
        <v>Truncate table FSF067;</v>
      </c>
      <c r="Q2398" s="308"/>
      <c r="R2398" s="308"/>
    </row>
    <row r="2399" spans="1:18" s="306" customFormat="1" x14ac:dyDescent="0.25">
      <c r="A2399" s="71"/>
      <c r="B2399" s="307" t="s">
        <v>3196</v>
      </c>
      <c r="C2399" s="308"/>
      <c r="D2399" s="308" t="s">
        <v>29</v>
      </c>
      <c r="E2399" s="308"/>
      <c r="F2399" s="308"/>
      <c r="G2399" s="308" t="s">
        <v>35</v>
      </c>
      <c r="H2399" s="308"/>
      <c r="I2399" s="308"/>
      <c r="J2399" s="308"/>
      <c r="K2399" s="308"/>
      <c r="L2399" s="308"/>
      <c r="M2399" s="308"/>
      <c r="N2399" s="308"/>
      <c r="O2399" s="309"/>
      <c r="P2399" s="308" t="str">
        <f t="shared" si="65"/>
        <v>Truncate table FSF068;</v>
      </c>
      <c r="Q2399" s="308"/>
      <c r="R2399" s="308"/>
    </row>
    <row r="2400" spans="1:18" s="306" customFormat="1" x14ac:dyDescent="0.25">
      <c r="A2400" s="71"/>
      <c r="B2400" s="307" t="s">
        <v>3197</v>
      </c>
      <c r="C2400" s="308"/>
      <c r="D2400" s="308" t="s">
        <v>29</v>
      </c>
      <c r="E2400" s="308"/>
      <c r="F2400" s="308"/>
      <c r="G2400" s="308" t="s">
        <v>35</v>
      </c>
      <c r="H2400" s="308"/>
      <c r="I2400" s="308"/>
      <c r="J2400" s="308"/>
      <c r="K2400" s="308"/>
      <c r="L2400" s="308"/>
      <c r="M2400" s="308"/>
      <c r="N2400" s="308"/>
      <c r="O2400" s="309"/>
      <c r="P2400" s="308" t="str">
        <f t="shared" si="65"/>
        <v>Truncate table FSF069;</v>
      </c>
      <c r="Q2400" s="308"/>
      <c r="R2400" s="308"/>
    </row>
    <row r="2401" spans="1:18" s="306" customFormat="1" x14ac:dyDescent="0.25">
      <c r="A2401" s="71"/>
      <c r="B2401" s="307" t="s">
        <v>3198</v>
      </c>
      <c r="C2401" s="308"/>
      <c r="D2401" s="308" t="s">
        <v>29</v>
      </c>
      <c r="E2401" s="308"/>
      <c r="F2401" s="308"/>
      <c r="G2401" s="308" t="s">
        <v>35</v>
      </c>
      <c r="H2401" s="308"/>
      <c r="I2401" s="308"/>
      <c r="J2401" s="308"/>
      <c r="K2401" s="308"/>
      <c r="L2401" s="308"/>
      <c r="M2401" s="308"/>
      <c r="N2401" s="308"/>
      <c r="O2401" s="309"/>
      <c r="P2401" s="308" t="str">
        <f t="shared" si="65"/>
        <v>Truncate table FSF071;</v>
      </c>
      <c r="Q2401" s="308"/>
      <c r="R2401" s="308"/>
    </row>
    <row r="2402" spans="1:18" s="306" customFormat="1" x14ac:dyDescent="0.25">
      <c r="A2402" s="71"/>
      <c r="B2402" s="307" t="s">
        <v>3199</v>
      </c>
      <c r="C2402" s="308"/>
      <c r="D2402" s="308" t="s">
        <v>29</v>
      </c>
      <c r="E2402" s="308"/>
      <c r="F2402" s="308"/>
      <c r="G2402" s="308" t="s">
        <v>35</v>
      </c>
      <c r="H2402" s="308"/>
      <c r="I2402" s="308"/>
      <c r="J2402" s="308"/>
      <c r="K2402" s="308"/>
      <c r="L2402" s="308"/>
      <c r="M2402" s="308"/>
      <c r="N2402" s="308"/>
      <c r="O2402" s="309"/>
      <c r="P2402" s="308" t="str">
        <f t="shared" si="65"/>
        <v>Truncate table FSF072;</v>
      </c>
      <c r="Q2402" s="308"/>
      <c r="R2402" s="308"/>
    </row>
    <row r="2403" spans="1:18" s="306" customFormat="1" x14ac:dyDescent="0.25">
      <c r="A2403" s="71"/>
      <c r="B2403" s="307" t="s">
        <v>3200</v>
      </c>
      <c r="C2403" s="308"/>
      <c r="D2403" s="308" t="s">
        <v>29</v>
      </c>
      <c r="E2403" s="308"/>
      <c r="F2403" s="308"/>
      <c r="G2403" s="308" t="s">
        <v>35</v>
      </c>
      <c r="H2403" s="308"/>
      <c r="I2403" s="308"/>
      <c r="J2403" s="308"/>
      <c r="K2403" s="308"/>
      <c r="L2403" s="308"/>
      <c r="M2403" s="308"/>
      <c r="N2403" s="308"/>
      <c r="O2403" s="309"/>
      <c r="P2403" s="308" t="str">
        <f t="shared" si="65"/>
        <v>Truncate table FSF073;</v>
      </c>
      <c r="Q2403" s="308"/>
      <c r="R2403" s="308"/>
    </row>
    <row r="2404" spans="1:18" s="306" customFormat="1" x14ac:dyDescent="0.25">
      <c r="A2404" s="71"/>
      <c r="B2404" s="307" t="s">
        <v>3201</v>
      </c>
      <c r="C2404" s="308"/>
      <c r="D2404" s="308" t="s">
        <v>29</v>
      </c>
      <c r="E2404" s="308"/>
      <c r="F2404" s="308"/>
      <c r="G2404" s="308" t="s">
        <v>35</v>
      </c>
      <c r="H2404" s="308"/>
      <c r="I2404" s="308"/>
      <c r="J2404" s="308"/>
      <c r="K2404" s="308"/>
      <c r="L2404" s="308"/>
      <c r="M2404" s="308"/>
      <c r="N2404" s="308"/>
      <c r="O2404" s="309"/>
      <c r="P2404" s="308" t="str">
        <f t="shared" si="65"/>
        <v>Truncate table FSF074;</v>
      </c>
      <c r="Q2404" s="308"/>
      <c r="R2404" s="308"/>
    </row>
    <row r="2405" spans="1:18" s="306" customFormat="1" x14ac:dyDescent="0.25">
      <c r="A2405" s="71"/>
      <c r="B2405" s="307" t="s">
        <v>3202</v>
      </c>
      <c r="C2405" s="308"/>
      <c r="D2405" s="308" t="s">
        <v>29</v>
      </c>
      <c r="E2405" s="308"/>
      <c r="F2405" s="308"/>
      <c r="G2405" s="308" t="s">
        <v>35</v>
      </c>
      <c r="H2405" s="308"/>
      <c r="I2405" s="308"/>
      <c r="J2405" s="308"/>
      <c r="K2405" s="308"/>
      <c r="L2405" s="308"/>
      <c r="M2405" s="308"/>
      <c r="N2405" s="308"/>
      <c r="O2405" s="309"/>
      <c r="P2405" s="308" t="str">
        <f t="shared" si="65"/>
        <v>Truncate table FSF075;</v>
      </c>
      <c r="Q2405" s="308"/>
      <c r="R2405" s="308"/>
    </row>
    <row r="2406" spans="1:18" s="306" customFormat="1" x14ac:dyDescent="0.25">
      <c r="A2406" s="71"/>
      <c r="B2406" s="307" t="s">
        <v>3203</v>
      </c>
      <c r="C2406" s="308"/>
      <c r="D2406" s="308" t="s">
        <v>29</v>
      </c>
      <c r="E2406" s="308"/>
      <c r="F2406" s="308"/>
      <c r="G2406" s="308" t="s">
        <v>35</v>
      </c>
      <c r="H2406" s="308"/>
      <c r="I2406" s="308"/>
      <c r="J2406" s="308"/>
      <c r="K2406" s="308"/>
      <c r="L2406" s="308"/>
      <c r="M2406" s="308"/>
      <c r="N2406" s="308"/>
      <c r="O2406" s="309"/>
      <c r="P2406" s="308" t="str">
        <f t="shared" si="65"/>
        <v>Truncate table FSF076;</v>
      </c>
      <c r="Q2406" s="308"/>
      <c r="R2406" s="308"/>
    </row>
    <row r="2407" spans="1:18" s="306" customFormat="1" x14ac:dyDescent="0.25">
      <c r="A2407" s="71"/>
      <c r="B2407" s="307" t="s">
        <v>3204</v>
      </c>
      <c r="C2407" s="308"/>
      <c r="D2407" s="308" t="s">
        <v>29</v>
      </c>
      <c r="E2407" s="308"/>
      <c r="F2407" s="308"/>
      <c r="G2407" s="308" t="s">
        <v>35</v>
      </c>
      <c r="H2407" s="308"/>
      <c r="I2407" s="308"/>
      <c r="J2407" s="308"/>
      <c r="K2407" s="308"/>
      <c r="L2407" s="308"/>
      <c r="M2407" s="308"/>
      <c r="N2407" s="308"/>
      <c r="O2407" s="309"/>
      <c r="P2407" s="308" t="str">
        <f t="shared" si="65"/>
        <v>Truncate table FSF077;</v>
      </c>
      <c r="Q2407" s="308"/>
      <c r="R2407" s="308"/>
    </row>
    <row r="2408" spans="1:18" s="306" customFormat="1" ht="23.25" customHeight="1" x14ac:dyDescent="0.25">
      <c r="A2408" s="71"/>
      <c r="B2408" s="307" t="s">
        <v>3205</v>
      </c>
      <c r="C2408" s="308"/>
      <c r="D2408" s="308" t="s">
        <v>29</v>
      </c>
      <c r="E2408" s="308"/>
      <c r="F2408" s="308"/>
      <c r="G2408" s="308" t="s">
        <v>35</v>
      </c>
      <c r="H2408" s="308"/>
      <c r="I2408" s="308"/>
      <c r="J2408" s="308"/>
      <c r="K2408" s="308"/>
      <c r="L2408" s="308"/>
      <c r="M2408" s="308"/>
      <c r="N2408" s="308"/>
      <c r="O2408" s="309"/>
      <c r="P2408" s="308" t="str">
        <f t="shared" si="65"/>
        <v>Truncate table FSF078;</v>
      </c>
      <c r="Q2408" s="308"/>
      <c r="R2408" s="308"/>
    </row>
    <row r="2409" spans="1:18" s="306" customFormat="1" x14ac:dyDescent="0.25">
      <c r="A2409" s="71"/>
      <c r="B2409" s="307" t="s">
        <v>3206</v>
      </c>
      <c r="C2409" s="308"/>
      <c r="D2409" s="308" t="s">
        <v>29</v>
      </c>
      <c r="E2409" s="308"/>
      <c r="F2409" s="308"/>
      <c r="G2409" s="308" t="s">
        <v>35</v>
      </c>
      <c r="H2409" s="308"/>
      <c r="I2409" s="308"/>
      <c r="J2409" s="308"/>
      <c r="K2409" s="308"/>
      <c r="L2409" s="308"/>
      <c r="M2409" s="308"/>
      <c r="N2409" s="308"/>
      <c r="O2409" s="309"/>
      <c r="P2409" s="308" t="str">
        <f t="shared" si="65"/>
        <v>Truncate table FSF079;</v>
      </c>
      <c r="Q2409" s="308"/>
      <c r="R2409" s="308"/>
    </row>
    <row r="2410" spans="1:18" s="306" customFormat="1" x14ac:dyDescent="0.25">
      <c r="A2410" s="71"/>
      <c r="B2410" s="307" t="s">
        <v>3207</v>
      </c>
      <c r="C2410" s="308"/>
      <c r="D2410" s="308" t="s">
        <v>29</v>
      </c>
      <c r="E2410" s="308"/>
      <c r="F2410" s="308"/>
      <c r="G2410" s="308" t="s">
        <v>35</v>
      </c>
      <c r="H2410" s="308"/>
      <c r="I2410" s="308"/>
      <c r="J2410" s="308"/>
      <c r="K2410" s="308"/>
      <c r="L2410" s="308"/>
      <c r="M2410" s="308"/>
      <c r="N2410" s="308"/>
      <c r="O2410" s="309"/>
      <c r="P2410" s="308" t="str">
        <f t="shared" si="65"/>
        <v>Truncate table FSF080;</v>
      </c>
      <c r="Q2410" s="308"/>
      <c r="R2410" s="308"/>
    </row>
    <row r="2411" spans="1:18" s="306" customFormat="1" x14ac:dyDescent="0.25">
      <c r="A2411" s="71"/>
      <c r="B2411" s="307" t="s">
        <v>3208</v>
      </c>
      <c r="C2411" s="308"/>
      <c r="D2411" s="308" t="s">
        <v>29</v>
      </c>
      <c r="E2411" s="308"/>
      <c r="F2411" s="308"/>
      <c r="G2411" s="308" t="s">
        <v>35</v>
      </c>
      <c r="H2411" s="308"/>
      <c r="I2411" s="308"/>
      <c r="J2411" s="308"/>
      <c r="K2411" s="308"/>
      <c r="L2411" s="308"/>
      <c r="M2411" s="308"/>
      <c r="N2411" s="308"/>
      <c r="O2411" s="309"/>
      <c r="P2411" s="308" t="str">
        <f t="shared" si="65"/>
        <v>Truncate table FSF081;</v>
      </c>
      <c r="Q2411" s="308"/>
      <c r="R2411" s="308"/>
    </row>
    <row r="2412" spans="1:18" s="306" customFormat="1" x14ac:dyDescent="0.25">
      <c r="A2412" s="71"/>
      <c r="B2412" s="307" t="s">
        <v>3209</v>
      </c>
      <c r="C2412" s="308"/>
      <c r="D2412" s="308" t="s">
        <v>29</v>
      </c>
      <c r="E2412" s="308"/>
      <c r="F2412" s="308"/>
      <c r="G2412" s="308" t="s">
        <v>35</v>
      </c>
      <c r="H2412" s="308"/>
      <c r="I2412" s="308"/>
      <c r="J2412" s="308"/>
      <c r="K2412" s="308"/>
      <c r="L2412" s="308"/>
      <c r="M2412" s="308"/>
      <c r="N2412" s="308"/>
      <c r="O2412" s="309"/>
      <c r="P2412" s="308" t="str">
        <f t="shared" si="65"/>
        <v>Truncate table FSF082;</v>
      </c>
      <c r="Q2412" s="308"/>
      <c r="R2412" s="308"/>
    </row>
    <row r="2413" spans="1:18" s="306" customFormat="1" x14ac:dyDescent="0.25">
      <c r="A2413" s="71"/>
      <c r="B2413" s="307" t="s">
        <v>3210</v>
      </c>
      <c r="C2413" s="308"/>
      <c r="D2413" s="308" t="s">
        <v>29</v>
      </c>
      <c r="E2413" s="308"/>
      <c r="F2413" s="308"/>
      <c r="G2413" s="308" t="s">
        <v>35</v>
      </c>
      <c r="H2413" s="308"/>
      <c r="I2413" s="308"/>
      <c r="J2413" s="308"/>
      <c r="K2413" s="308"/>
      <c r="L2413" s="308"/>
      <c r="M2413" s="308"/>
      <c r="N2413" s="308"/>
      <c r="O2413" s="309"/>
      <c r="P2413" s="308" t="str">
        <f t="shared" si="65"/>
        <v>Truncate table FSF0821;</v>
      </c>
      <c r="Q2413" s="308"/>
      <c r="R2413" s="308"/>
    </row>
    <row r="2414" spans="1:18" s="306" customFormat="1" x14ac:dyDescent="0.25">
      <c r="A2414" s="71"/>
      <c r="B2414" s="307" t="s">
        <v>3211</v>
      </c>
      <c r="C2414" s="308"/>
      <c r="D2414" s="308" t="s">
        <v>29</v>
      </c>
      <c r="E2414" s="308"/>
      <c r="F2414" s="308"/>
      <c r="G2414" s="308" t="s">
        <v>35</v>
      </c>
      <c r="H2414" s="308"/>
      <c r="I2414" s="308"/>
      <c r="J2414" s="308"/>
      <c r="K2414" s="308"/>
      <c r="L2414" s="308"/>
      <c r="M2414" s="308"/>
      <c r="N2414" s="308"/>
      <c r="O2414" s="309"/>
      <c r="P2414" s="308" t="str">
        <f t="shared" si="65"/>
        <v>Truncate table FSF083;</v>
      </c>
      <c r="Q2414" s="308"/>
      <c r="R2414" s="308"/>
    </row>
    <row r="2415" spans="1:18" s="306" customFormat="1" x14ac:dyDescent="0.25">
      <c r="A2415" s="71"/>
      <c r="B2415" s="307" t="s">
        <v>3212</v>
      </c>
      <c r="C2415" s="308"/>
      <c r="D2415" s="308" t="s">
        <v>29</v>
      </c>
      <c r="E2415" s="308"/>
      <c r="F2415" s="308"/>
      <c r="G2415" s="308" t="s">
        <v>35</v>
      </c>
      <c r="H2415" s="308"/>
      <c r="I2415" s="308"/>
      <c r="J2415" s="308"/>
      <c r="K2415" s="308"/>
      <c r="L2415" s="308"/>
      <c r="M2415" s="308"/>
      <c r="N2415" s="308"/>
      <c r="O2415" s="309"/>
      <c r="P2415" s="308" t="str">
        <f t="shared" si="65"/>
        <v>Truncate table FSF084;</v>
      </c>
      <c r="Q2415" s="308"/>
      <c r="R2415" s="308"/>
    </row>
    <row r="2416" spans="1:18" s="306" customFormat="1" x14ac:dyDescent="0.25">
      <c r="A2416" s="71"/>
      <c r="B2416" s="307" t="s">
        <v>3213</v>
      </c>
      <c r="C2416" s="308"/>
      <c r="D2416" s="308" t="s">
        <v>29</v>
      </c>
      <c r="E2416" s="308"/>
      <c r="F2416" s="308"/>
      <c r="G2416" s="308" t="s">
        <v>35</v>
      </c>
      <c r="H2416" s="308"/>
      <c r="I2416" s="308"/>
      <c r="J2416" s="308"/>
      <c r="K2416" s="308"/>
      <c r="L2416" s="308"/>
      <c r="M2416" s="308"/>
      <c r="N2416" s="308"/>
      <c r="O2416" s="309"/>
      <c r="P2416" s="308" t="str">
        <f t="shared" si="65"/>
        <v>Truncate table FSF085;</v>
      </c>
      <c r="Q2416" s="308"/>
      <c r="R2416" s="308"/>
    </row>
    <row r="2417" spans="1:18" s="306" customFormat="1" x14ac:dyDescent="0.25">
      <c r="A2417" s="71"/>
      <c r="B2417" s="307" t="s">
        <v>3214</v>
      </c>
      <c r="C2417" s="308"/>
      <c r="D2417" s="308" t="s">
        <v>29</v>
      </c>
      <c r="E2417" s="308"/>
      <c r="F2417" s="308"/>
      <c r="G2417" s="308" t="s">
        <v>35</v>
      </c>
      <c r="H2417" s="308"/>
      <c r="I2417" s="308"/>
      <c r="J2417" s="308"/>
      <c r="K2417" s="308"/>
      <c r="L2417" s="308"/>
      <c r="M2417" s="308"/>
      <c r="N2417" s="308"/>
      <c r="O2417" s="309"/>
      <c r="P2417" s="308" t="str">
        <f t="shared" ref="P2417:P2480" si="66">IF(D2417="Datos","Truncate table "&amp; B2417&amp; ";","")</f>
        <v>Truncate table FSF086;</v>
      </c>
      <c r="Q2417" s="308"/>
      <c r="R2417" s="308"/>
    </row>
    <row r="2418" spans="1:18" s="306" customFormat="1" x14ac:dyDescent="0.25">
      <c r="A2418" s="71"/>
      <c r="B2418" s="307" t="s">
        <v>3215</v>
      </c>
      <c r="C2418" s="308"/>
      <c r="D2418" s="308" t="s">
        <v>29</v>
      </c>
      <c r="E2418" s="308"/>
      <c r="F2418" s="308"/>
      <c r="G2418" s="308" t="s">
        <v>35</v>
      </c>
      <c r="H2418" s="308"/>
      <c r="I2418" s="308"/>
      <c r="J2418" s="308"/>
      <c r="K2418" s="308"/>
      <c r="L2418" s="308"/>
      <c r="M2418" s="308"/>
      <c r="N2418" s="308"/>
      <c r="O2418" s="309"/>
      <c r="P2418" s="308" t="str">
        <f t="shared" si="66"/>
        <v>Truncate table FSF087;</v>
      </c>
      <c r="Q2418" s="308"/>
      <c r="R2418" s="308"/>
    </row>
    <row r="2419" spans="1:18" s="306" customFormat="1" x14ac:dyDescent="0.25">
      <c r="A2419" s="71"/>
      <c r="B2419" s="307" t="s">
        <v>3216</v>
      </c>
      <c r="C2419" s="308"/>
      <c r="D2419" s="308" t="s">
        <v>29</v>
      </c>
      <c r="E2419" s="308"/>
      <c r="F2419" s="308"/>
      <c r="G2419" s="308" t="s">
        <v>35</v>
      </c>
      <c r="H2419" s="308"/>
      <c r="I2419" s="308"/>
      <c r="J2419" s="308"/>
      <c r="K2419" s="308"/>
      <c r="L2419" s="308"/>
      <c r="M2419" s="308"/>
      <c r="N2419" s="308"/>
      <c r="O2419" s="309"/>
      <c r="P2419" s="308" t="str">
        <f t="shared" si="66"/>
        <v>Truncate table FSF088;</v>
      </c>
      <c r="Q2419" s="308"/>
      <c r="R2419" s="308"/>
    </row>
    <row r="2420" spans="1:18" s="306" customFormat="1" x14ac:dyDescent="0.25">
      <c r="A2420" s="71"/>
      <c r="B2420" s="307" t="s">
        <v>3217</v>
      </c>
      <c r="C2420" s="308"/>
      <c r="D2420" s="308" t="s">
        <v>29</v>
      </c>
      <c r="E2420" s="308"/>
      <c r="F2420" s="308"/>
      <c r="G2420" s="308" t="s">
        <v>35</v>
      </c>
      <c r="H2420" s="308"/>
      <c r="I2420" s="308"/>
      <c r="J2420" s="308"/>
      <c r="K2420" s="308"/>
      <c r="L2420" s="308"/>
      <c r="M2420" s="308"/>
      <c r="N2420" s="308"/>
      <c r="O2420" s="309"/>
      <c r="P2420" s="308" t="str">
        <f t="shared" si="66"/>
        <v>Truncate table FSF089;</v>
      </c>
      <c r="Q2420" s="308"/>
      <c r="R2420" s="308"/>
    </row>
    <row r="2421" spans="1:18" s="306" customFormat="1" x14ac:dyDescent="0.25">
      <c r="A2421" s="71"/>
      <c r="B2421" s="307" t="s">
        <v>3218</v>
      </c>
      <c r="C2421" s="308"/>
      <c r="D2421" s="308" t="s">
        <v>29</v>
      </c>
      <c r="E2421" s="308"/>
      <c r="F2421" s="308"/>
      <c r="G2421" s="308" t="s">
        <v>35</v>
      </c>
      <c r="H2421" s="308"/>
      <c r="I2421" s="308"/>
      <c r="J2421" s="308"/>
      <c r="K2421" s="308"/>
      <c r="L2421" s="308"/>
      <c r="M2421" s="308"/>
      <c r="N2421" s="308"/>
      <c r="O2421" s="309"/>
      <c r="P2421" s="308" t="str">
        <f t="shared" si="66"/>
        <v>Truncate table FSF090;</v>
      </c>
      <c r="Q2421" s="308"/>
      <c r="R2421" s="308"/>
    </row>
    <row r="2422" spans="1:18" x14ac:dyDescent="0.25">
      <c r="B2422" s="19" t="s">
        <v>3219</v>
      </c>
      <c r="C2422" s="118" t="s">
        <v>10123</v>
      </c>
      <c r="D2422" s="16" t="s">
        <v>29</v>
      </c>
      <c r="E2422" s="16"/>
      <c r="F2422" s="5"/>
      <c r="G2422" s="16" t="s">
        <v>35</v>
      </c>
      <c r="H2422" s="16"/>
      <c r="I2422" s="16"/>
      <c r="J2422" s="16"/>
      <c r="K2422" s="16"/>
      <c r="L2422" s="16"/>
      <c r="M2422" s="16"/>
      <c r="N2422" s="16"/>
      <c r="O2422" s="17"/>
      <c r="P2422" s="5" t="str">
        <f t="shared" si="66"/>
        <v>Truncate table FSF091;</v>
      </c>
      <c r="Q2422" s="5"/>
      <c r="R2422" s="5"/>
    </row>
    <row r="2423" spans="1:18" x14ac:dyDescent="0.25">
      <c r="B2423" s="19" t="s">
        <v>3220</v>
      </c>
      <c r="C2423" s="118" t="s">
        <v>10124</v>
      </c>
      <c r="D2423" s="16" t="s">
        <v>29</v>
      </c>
      <c r="E2423" s="16"/>
      <c r="F2423" s="5"/>
      <c r="G2423" s="16" t="s">
        <v>35</v>
      </c>
      <c r="H2423" s="16"/>
      <c r="I2423" s="16"/>
      <c r="J2423" s="16"/>
      <c r="K2423" s="16"/>
      <c r="L2423" s="16"/>
      <c r="M2423" s="16"/>
      <c r="N2423" s="16"/>
      <c r="O2423" s="17"/>
      <c r="P2423" s="5" t="str">
        <f t="shared" si="66"/>
        <v>Truncate table FSF092;</v>
      </c>
      <c r="Q2423" s="5"/>
      <c r="R2423" s="5"/>
    </row>
    <row r="2424" spans="1:18" x14ac:dyDescent="0.25">
      <c r="B2424" s="19" t="s">
        <v>3221</v>
      </c>
      <c r="C2424" s="16"/>
      <c r="D2424" s="16" t="s">
        <v>29</v>
      </c>
      <c r="E2424" s="16"/>
      <c r="F2424" s="5"/>
      <c r="G2424" s="16" t="s">
        <v>35</v>
      </c>
      <c r="H2424" s="16"/>
      <c r="I2424" s="16"/>
      <c r="J2424" s="16"/>
      <c r="K2424" s="16"/>
      <c r="L2424" s="16"/>
      <c r="M2424" s="16"/>
      <c r="N2424" s="16"/>
      <c r="O2424" s="17"/>
      <c r="P2424" s="5" t="str">
        <f t="shared" si="66"/>
        <v>Truncate table FSF093;</v>
      </c>
      <c r="Q2424" s="5"/>
      <c r="R2424" s="5"/>
    </row>
    <row r="2425" spans="1:18" x14ac:dyDescent="0.25">
      <c r="B2425" s="19" t="s">
        <v>3222</v>
      </c>
      <c r="C2425" s="16"/>
      <c r="D2425" s="16" t="s">
        <v>29</v>
      </c>
      <c r="E2425" s="16"/>
      <c r="F2425" s="5"/>
      <c r="G2425" s="16" t="s">
        <v>35</v>
      </c>
      <c r="H2425" s="16"/>
      <c r="I2425" s="16"/>
      <c r="J2425" s="16"/>
      <c r="K2425" s="16"/>
      <c r="L2425" s="16"/>
      <c r="M2425" s="16"/>
      <c r="N2425" s="16"/>
      <c r="O2425" s="17"/>
      <c r="P2425" s="5" t="str">
        <f t="shared" si="66"/>
        <v>Truncate table FSF094;</v>
      </c>
      <c r="Q2425" s="5"/>
      <c r="R2425" s="5"/>
    </row>
    <row r="2426" spans="1:18" x14ac:dyDescent="0.25">
      <c r="B2426" s="19" t="s">
        <v>3223</v>
      </c>
      <c r="C2426" s="16"/>
      <c r="D2426" s="16" t="s">
        <v>29</v>
      </c>
      <c r="E2426" s="16"/>
      <c r="F2426" s="5"/>
      <c r="G2426" s="16" t="s">
        <v>35</v>
      </c>
      <c r="H2426" s="16"/>
      <c r="I2426" s="16"/>
      <c r="J2426" s="16"/>
      <c r="K2426" s="16"/>
      <c r="L2426" s="16"/>
      <c r="M2426" s="16"/>
      <c r="N2426" s="16"/>
      <c r="O2426" s="17"/>
      <c r="P2426" s="5" t="str">
        <f t="shared" si="66"/>
        <v>Truncate table FSF095;</v>
      </c>
      <c r="Q2426" s="5"/>
      <c r="R2426" s="5"/>
    </row>
    <row r="2427" spans="1:18" x14ac:dyDescent="0.25">
      <c r="B2427" s="19" t="s">
        <v>3224</v>
      </c>
      <c r="C2427" s="16"/>
      <c r="D2427" s="16" t="s">
        <v>29</v>
      </c>
      <c r="E2427" s="16"/>
      <c r="F2427" s="5"/>
      <c r="G2427" s="16" t="s">
        <v>35</v>
      </c>
      <c r="H2427" s="16"/>
      <c r="I2427" s="16"/>
      <c r="J2427" s="16"/>
      <c r="K2427" s="16"/>
      <c r="L2427" s="16"/>
      <c r="M2427" s="16"/>
      <c r="N2427" s="16"/>
      <c r="O2427" s="17"/>
      <c r="P2427" s="5" t="str">
        <f t="shared" si="66"/>
        <v>Truncate table FSF096;</v>
      </c>
      <c r="Q2427" s="5"/>
      <c r="R2427" s="5"/>
    </row>
    <row r="2428" spans="1:18" x14ac:dyDescent="0.25">
      <c r="B2428" s="19" t="s">
        <v>3225</v>
      </c>
      <c r="C2428" s="16"/>
      <c r="D2428" s="16" t="s">
        <v>29</v>
      </c>
      <c r="E2428" s="16"/>
      <c r="F2428" s="5"/>
      <c r="G2428" s="16" t="s">
        <v>35</v>
      </c>
      <c r="H2428" s="16"/>
      <c r="I2428" s="16"/>
      <c r="J2428" s="16"/>
      <c r="K2428" s="16"/>
      <c r="L2428" s="16"/>
      <c r="M2428" s="16"/>
      <c r="N2428" s="16"/>
      <c r="O2428" s="17"/>
      <c r="P2428" s="5" t="str">
        <f t="shared" si="66"/>
        <v>Truncate table FSF097;</v>
      </c>
      <c r="Q2428" s="5"/>
      <c r="R2428" s="5"/>
    </row>
    <row r="2429" spans="1:18" x14ac:dyDescent="0.25">
      <c r="B2429" s="19" t="s">
        <v>3226</v>
      </c>
      <c r="C2429" s="16"/>
      <c r="D2429" s="16" t="s">
        <v>29</v>
      </c>
      <c r="E2429" s="16"/>
      <c r="F2429" s="5"/>
      <c r="G2429" s="16" t="s">
        <v>35</v>
      </c>
      <c r="H2429" s="16"/>
      <c r="I2429" s="16"/>
      <c r="J2429" s="16"/>
      <c r="K2429" s="16"/>
      <c r="L2429" s="16"/>
      <c r="M2429" s="16"/>
      <c r="N2429" s="16"/>
      <c r="O2429" s="17"/>
      <c r="P2429" s="5" t="str">
        <f t="shared" si="66"/>
        <v>Truncate table FSF098;</v>
      </c>
      <c r="Q2429" s="5"/>
      <c r="R2429" s="5"/>
    </row>
    <row r="2430" spans="1:18" x14ac:dyDescent="0.25">
      <c r="B2430" s="19" t="s">
        <v>3227</v>
      </c>
      <c r="C2430" s="16"/>
      <c r="D2430" s="16" t="s">
        <v>29</v>
      </c>
      <c r="E2430" s="16"/>
      <c r="F2430" s="5"/>
      <c r="G2430" s="16" t="s">
        <v>35</v>
      </c>
      <c r="H2430" s="16"/>
      <c r="I2430" s="16"/>
      <c r="J2430" s="16"/>
      <c r="K2430" s="16"/>
      <c r="L2430" s="16"/>
      <c r="M2430" s="16"/>
      <c r="N2430" s="16"/>
      <c r="O2430" s="17"/>
      <c r="P2430" s="5" t="str">
        <f t="shared" si="66"/>
        <v>Truncate table FSF099;</v>
      </c>
      <c r="Q2430" s="5"/>
      <c r="R2430" s="5"/>
    </row>
    <row r="2431" spans="1:18" x14ac:dyDescent="0.25">
      <c r="B2431" s="19" t="s">
        <v>3228</v>
      </c>
      <c r="C2431" s="16"/>
      <c r="D2431" s="16" t="s">
        <v>29</v>
      </c>
      <c r="E2431" s="16"/>
      <c r="F2431" s="5"/>
      <c r="G2431" s="16" t="s">
        <v>35</v>
      </c>
      <c r="H2431" s="16"/>
      <c r="I2431" s="16"/>
      <c r="J2431" s="16"/>
      <c r="K2431" s="16"/>
      <c r="L2431" s="16"/>
      <c r="M2431" s="16"/>
      <c r="N2431" s="16"/>
      <c r="O2431" s="17"/>
      <c r="P2431" s="5" t="str">
        <f t="shared" si="66"/>
        <v>Truncate table FSF100;</v>
      </c>
      <c r="Q2431" s="5"/>
      <c r="R2431" s="5"/>
    </row>
    <row r="2432" spans="1:18" x14ac:dyDescent="0.25">
      <c r="B2432" s="19" t="s">
        <v>3229</v>
      </c>
      <c r="C2432" s="16"/>
      <c r="D2432" s="16" t="s">
        <v>29</v>
      </c>
      <c r="E2432" s="16"/>
      <c r="F2432" s="5"/>
      <c r="G2432" s="16" t="s">
        <v>35</v>
      </c>
      <c r="H2432" s="16"/>
      <c r="I2432" s="16"/>
      <c r="J2432" s="16"/>
      <c r="K2432" s="16"/>
      <c r="L2432" s="16"/>
      <c r="M2432" s="16"/>
      <c r="N2432" s="16"/>
      <c r="O2432" s="17"/>
      <c r="P2432" s="5" t="str">
        <f t="shared" si="66"/>
        <v>Truncate table FSF101;</v>
      </c>
      <c r="Q2432" s="5"/>
      <c r="R2432" s="5"/>
    </row>
    <row r="2433" spans="2:18" x14ac:dyDescent="0.25">
      <c r="B2433" s="19" t="s">
        <v>3230</v>
      </c>
      <c r="C2433" s="16"/>
      <c r="D2433" s="16" t="s">
        <v>29</v>
      </c>
      <c r="E2433" s="16"/>
      <c r="F2433" s="5"/>
      <c r="G2433" s="16" t="s">
        <v>35</v>
      </c>
      <c r="H2433" s="16"/>
      <c r="I2433" s="16"/>
      <c r="J2433" s="16"/>
      <c r="K2433" s="16"/>
      <c r="L2433" s="16"/>
      <c r="M2433" s="16"/>
      <c r="N2433" s="16"/>
      <c r="O2433" s="17"/>
      <c r="P2433" s="5" t="str">
        <f t="shared" si="66"/>
        <v>Truncate table FSF102;</v>
      </c>
      <c r="Q2433" s="5"/>
      <c r="R2433" s="5"/>
    </row>
    <row r="2434" spans="2:18" x14ac:dyDescent="0.25">
      <c r="B2434" s="19" t="s">
        <v>3231</v>
      </c>
      <c r="C2434" s="16"/>
      <c r="D2434" s="16" t="s">
        <v>29</v>
      </c>
      <c r="E2434" s="16"/>
      <c r="F2434" s="5"/>
      <c r="G2434" s="16" t="s">
        <v>35</v>
      </c>
      <c r="H2434" s="16"/>
      <c r="I2434" s="16"/>
      <c r="J2434" s="16"/>
      <c r="K2434" s="16"/>
      <c r="L2434" s="16"/>
      <c r="M2434" s="16"/>
      <c r="N2434" s="16"/>
      <c r="O2434" s="17"/>
      <c r="P2434" s="5" t="str">
        <f t="shared" si="66"/>
        <v>Truncate table FSF103;</v>
      </c>
      <c r="Q2434" s="5"/>
      <c r="R2434" s="5"/>
    </row>
    <row r="2435" spans="2:18" x14ac:dyDescent="0.25">
      <c r="B2435" s="19" t="s">
        <v>3232</v>
      </c>
      <c r="C2435" s="16"/>
      <c r="D2435" s="16" t="s">
        <v>29</v>
      </c>
      <c r="E2435" s="16"/>
      <c r="F2435" s="5"/>
      <c r="G2435" s="16" t="s">
        <v>35</v>
      </c>
      <c r="H2435" s="16"/>
      <c r="I2435" s="16"/>
      <c r="J2435" s="16"/>
      <c r="K2435" s="16"/>
      <c r="L2435" s="16"/>
      <c r="M2435" s="16"/>
      <c r="N2435" s="16"/>
      <c r="O2435" s="17"/>
      <c r="P2435" s="5" t="str">
        <f t="shared" si="66"/>
        <v>Truncate table FSF104;</v>
      </c>
      <c r="Q2435" s="5"/>
      <c r="R2435" s="5"/>
    </row>
    <row r="2436" spans="2:18" x14ac:dyDescent="0.25">
      <c r="B2436" s="19" t="s">
        <v>3233</v>
      </c>
      <c r="C2436" s="16"/>
      <c r="D2436" s="16" t="s">
        <v>29</v>
      </c>
      <c r="E2436" s="16"/>
      <c r="F2436" s="5"/>
      <c r="G2436" s="16" t="s">
        <v>35</v>
      </c>
      <c r="H2436" s="16"/>
      <c r="I2436" s="16"/>
      <c r="J2436" s="16"/>
      <c r="K2436" s="16"/>
      <c r="L2436" s="16"/>
      <c r="M2436" s="16"/>
      <c r="N2436" s="16"/>
      <c r="O2436" s="17"/>
      <c r="P2436" s="5" t="str">
        <f t="shared" si="66"/>
        <v>Truncate table FSF105;</v>
      </c>
      <c r="Q2436" s="5"/>
      <c r="R2436" s="5"/>
    </row>
    <row r="2437" spans="2:18" x14ac:dyDescent="0.25">
      <c r="B2437" s="19" t="s">
        <v>3234</v>
      </c>
      <c r="C2437" s="16"/>
      <c r="D2437" s="16" t="s">
        <v>29</v>
      </c>
      <c r="E2437" s="16"/>
      <c r="F2437" s="5"/>
      <c r="G2437" s="16" t="s">
        <v>35</v>
      </c>
      <c r="H2437" s="16"/>
      <c r="I2437" s="16"/>
      <c r="J2437" s="16"/>
      <c r="K2437" s="16"/>
      <c r="L2437" s="16"/>
      <c r="M2437" s="16"/>
      <c r="N2437" s="16"/>
      <c r="O2437" s="17"/>
      <c r="P2437" s="5" t="str">
        <f t="shared" si="66"/>
        <v>Truncate table FSF106;</v>
      </c>
      <c r="Q2437" s="5"/>
      <c r="R2437" s="5"/>
    </row>
    <row r="2438" spans="2:18" x14ac:dyDescent="0.25">
      <c r="B2438" s="19" t="s">
        <v>3235</v>
      </c>
      <c r="C2438" s="16"/>
      <c r="D2438" s="16" t="s">
        <v>29</v>
      </c>
      <c r="E2438" s="16"/>
      <c r="F2438" s="5"/>
      <c r="G2438" s="16" t="s">
        <v>35</v>
      </c>
      <c r="H2438" s="16"/>
      <c r="I2438" s="16"/>
      <c r="J2438" s="16"/>
      <c r="K2438" s="16"/>
      <c r="L2438" s="16"/>
      <c r="M2438" s="16"/>
      <c r="N2438" s="16"/>
      <c r="O2438" s="17"/>
      <c r="P2438" s="5" t="str">
        <f t="shared" si="66"/>
        <v>Truncate table FSF107;</v>
      </c>
      <c r="Q2438" s="5"/>
      <c r="R2438" s="5"/>
    </row>
    <row r="2439" spans="2:18" x14ac:dyDescent="0.25">
      <c r="B2439" s="19" t="s">
        <v>3236</v>
      </c>
      <c r="C2439" s="16"/>
      <c r="D2439" s="16" t="s">
        <v>29</v>
      </c>
      <c r="E2439" s="16"/>
      <c r="F2439" s="5"/>
      <c r="G2439" s="16" t="s">
        <v>35</v>
      </c>
      <c r="H2439" s="16"/>
      <c r="I2439" s="16"/>
      <c r="J2439" s="16"/>
      <c r="K2439" s="16"/>
      <c r="L2439" s="16"/>
      <c r="M2439" s="16"/>
      <c r="N2439" s="16"/>
      <c r="O2439" s="17"/>
      <c r="P2439" s="5" t="str">
        <f t="shared" si="66"/>
        <v>Truncate table FSF108;</v>
      </c>
      <c r="Q2439" s="5"/>
      <c r="R2439" s="5"/>
    </row>
    <row r="2440" spans="2:18" x14ac:dyDescent="0.25">
      <c r="B2440" s="19" t="s">
        <v>3237</v>
      </c>
      <c r="C2440" s="16"/>
      <c r="D2440" s="16" t="s">
        <v>29</v>
      </c>
      <c r="E2440" s="16"/>
      <c r="F2440" s="5"/>
      <c r="G2440" s="16" t="s">
        <v>35</v>
      </c>
      <c r="H2440" s="16"/>
      <c r="I2440" s="16"/>
      <c r="J2440" s="16"/>
      <c r="K2440" s="16"/>
      <c r="L2440" s="16"/>
      <c r="M2440" s="16"/>
      <c r="N2440" s="16"/>
      <c r="O2440" s="17"/>
      <c r="P2440" s="5" t="str">
        <f t="shared" si="66"/>
        <v>Truncate table FSF109;</v>
      </c>
      <c r="Q2440" s="5"/>
      <c r="R2440" s="5"/>
    </row>
    <row r="2441" spans="2:18" x14ac:dyDescent="0.25">
      <c r="B2441" s="19" t="s">
        <v>3238</v>
      </c>
      <c r="C2441" s="16"/>
      <c r="D2441" s="16" t="s">
        <v>29</v>
      </c>
      <c r="E2441" s="16"/>
      <c r="F2441" s="5"/>
      <c r="G2441" s="16" t="s">
        <v>35</v>
      </c>
      <c r="H2441" s="16"/>
      <c r="I2441" s="16"/>
      <c r="J2441" s="16"/>
      <c r="K2441" s="16"/>
      <c r="L2441" s="16"/>
      <c r="M2441" s="16"/>
      <c r="N2441" s="16"/>
      <c r="O2441" s="17"/>
      <c r="P2441" s="5" t="str">
        <f t="shared" si="66"/>
        <v>Truncate table FSF110;</v>
      </c>
      <c r="Q2441" s="5"/>
      <c r="R2441" s="5"/>
    </row>
    <row r="2442" spans="2:18" x14ac:dyDescent="0.25">
      <c r="B2442" s="19" t="s">
        <v>3239</v>
      </c>
      <c r="C2442" s="16"/>
      <c r="D2442" s="16" t="s">
        <v>29</v>
      </c>
      <c r="E2442" s="16"/>
      <c r="F2442" s="5"/>
      <c r="G2442" s="16" t="s">
        <v>35</v>
      </c>
      <c r="H2442" s="16"/>
      <c r="I2442" s="16"/>
      <c r="J2442" s="16"/>
      <c r="K2442" s="16"/>
      <c r="L2442" s="16"/>
      <c r="M2442" s="16"/>
      <c r="N2442" s="16"/>
      <c r="O2442" s="17"/>
      <c r="P2442" s="5" t="str">
        <f t="shared" si="66"/>
        <v>Truncate table FSF111;</v>
      </c>
      <c r="Q2442" s="5"/>
      <c r="R2442" s="5"/>
    </row>
    <row r="2443" spans="2:18" x14ac:dyDescent="0.25">
      <c r="B2443" s="19" t="s">
        <v>3240</v>
      </c>
      <c r="C2443" s="16"/>
      <c r="D2443" s="16" t="s">
        <v>29</v>
      </c>
      <c r="E2443" s="16"/>
      <c r="F2443" s="5"/>
      <c r="G2443" s="16" t="s">
        <v>35</v>
      </c>
      <c r="H2443" s="16"/>
      <c r="I2443" s="16"/>
      <c r="J2443" s="16"/>
      <c r="K2443" s="16"/>
      <c r="L2443" s="16"/>
      <c r="M2443" s="16"/>
      <c r="N2443" s="16"/>
      <c r="O2443" s="17"/>
      <c r="P2443" s="5" t="str">
        <f t="shared" si="66"/>
        <v>Truncate table FSF112;</v>
      </c>
      <c r="Q2443" s="5"/>
      <c r="R2443" s="5"/>
    </row>
    <row r="2444" spans="2:18" x14ac:dyDescent="0.25">
      <c r="B2444" s="19" t="s">
        <v>3241</v>
      </c>
      <c r="C2444" s="16"/>
      <c r="D2444" s="16" t="s">
        <v>29</v>
      </c>
      <c r="E2444" s="16"/>
      <c r="F2444" s="5"/>
      <c r="G2444" s="16" t="s">
        <v>35</v>
      </c>
      <c r="H2444" s="16"/>
      <c r="I2444" s="16"/>
      <c r="J2444" s="16"/>
      <c r="K2444" s="16"/>
      <c r="L2444" s="16"/>
      <c r="M2444" s="16"/>
      <c r="N2444" s="16"/>
      <c r="O2444" s="17"/>
      <c r="P2444" s="5" t="str">
        <f t="shared" si="66"/>
        <v>Truncate table FSF113;</v>
      </c>
      <c r="Q2444" s="5"/>
      <c r="R2444" s="5"/>
    </row>
    <row r="2445" spans="2:18" x14ac:dyDescent="0.25">
      <c r="B2445" s="19" t="s">
        <v>3242</v>
      </c>
      <c r="C2445" s="16"/>
      <c r="D2445" s="16" t="s">
        <v>29</v>
      </c>
      <c r="E2445" s="16"/>
      <c r="F2445" s="5"/>
      <c r="G2445" s="16" t="s">
        <v>35</v>
      </c>
      <c r="H2445" s="16"/>
      <c r="I2445" s="16"/>
      <c r="J2445" s="16"/>
      <c r="K2445" s="16"/>
      <c r="L2445" s="16"/>
      <c r="M2445" s="16"/>
      <c r="N2445" s="16"/>
      <c r="O2445" s="17"/>
      <c r="P2445" s="5" t="str">
        <f t="shared" si="66"/>
        <v>Truncate table FSF114;</v>
      </c>
      <c r="Q2445" s="5"/>
      <c r="R2445" s="5"/>
    </row>
    <row r="2446" spans="2:18" x14ac:dyDescent="0.25">
      <c r="B2446" s="19" t="s">
        <v>3243</v>
      </c>
      <c r="C2446" s="16"/>
      <c r="D2446" s="16" t="s">
        <v>29</v>
      </c>
      <c r="E2446" s="16"/>
      <c r="F2446" s="5"/>
      <c r="G2446" s="16" t="s">
        <v>35</v>
      </c>
      <c r="H2446" s="16"/>
      <c r="I2446" s="16"/>
      <c r="J2446" s="16"/>
      <c r="K2446" s="16"/>
      <c r="L2446" s="16"/>
      <c r="M2446" s="16"/>
      <c r="N2446" s="16"/>
      <c r="O2446" s="17"/>
      <c r="P2446" s="5" t="str">
        <f t="shared" si="66"/>
        <v>Truncate table FSF115;</v>
      </c>
      <c r="Q2446" s="5"/>
      <c r="R2446" s="5"/>
    </row>
    <row r="2447" spans="2:18" x14ac:dyDescent="0.25">
      <c r="B2447" s="19" t="s">
        <v>3244</v>
      </c>
      <c r="C2447" s="16"/>
      <c r="D2447" s="16" t="s">
        <v>29</v>
      </c>
      <c r="E2447" s="16"/>
      <c r="F2447" s="5"/>
      <c r="G2447" s="16" t="s">
        <v>35</v>
      </c>
      <c r="H2447" s="16"/>
      <c r="I2447" s="16"/>
      <c r="J2447" s="16"/>
      <c r="K2447" s="16"/>
      <c r="L2447" s="16"/>
      <c r="M2447" s="16"/>
      <c r="N2447" s="16"/>
      <c r="O2447" s="17"/>
      <c r="P2447" s="5" t="str">
        <f t="shared" si="66"/>
        <v>Truncate table FSF116;</v>
      </c>
      <c r="Q2447" s="5"/>
      <c r="R2447" s="5"/>
    </row>
    <row r="2448" spans="2:18" x14ac:dyDescent="0.25">
      <c r="B2448" s="19" t="s">
        <v>3245</v>
      </c>
      <c r="C2448" s="16"/>
      <c r="D2448" s="16" t="s">
        <v>29</v>
      </c>
      <c r="E2448" s="16"/>
      <c r="F2448" s="5"/>
      <c r="G2448" s="16" t="s">
        <v>35</v>
      </c>
      <c r="H2448" s="16"/>
      <c r="I2448" s="16"/>
      <c r="J2448" s="16"/>
      <c r="K2448" s="16"/>
      <c r="L2448" s="16"/>
      <c r="M2448" s="16"/>
      <c r="N2448" s="16"/>
      <c r="O2448" s="17"/>
      <c r="P2448" s="5" t="str">
        <f t="shared" si="66"/>
        <v>Truncate table FSF117;</v>
      </c>
      <c r="Q2448" s="5"/>
      <c r="R2448" s="5"/>
    </row>
    <row r="2449" spans="2:18" x14ac:dyDescent="0.25">
      <c r="B2449" s="19" t="s">
        <v>3246</v>
      </c>
      <c r="C2449" s="16"/>
      <c r="D2449" s="16" t="s">
        <v>29</v>
      </c>
      <c r="E2449" s="16"/>
      <c r="F2449" s="5"/>
      <c r="G2449" s="16" t="s">
        <v>35</v>
      </c>
      <c r="H2449" s="16"/>
      <c r="I2449" s="16"/>
      <c r="J2449" s="16"/>
      <c r="K2449" s="16"/>
      <c r="L2449" s="16"/>
      <c r="M2449" s="16"/>
      <c r="N2449" s="16"/>
      <c r="O2449" s="17"/>
      <c r="P2449" s="5" t="str">
        <f t="shared" si="66"/>
        <v>Truncate table FSF118;</v>
      </c>
      <c r="Q2449" s="5"/>
      <c r="R2449" s="5"/>
    </row>
    <row r="2450" spans="2:18" x14ac:dyDescent="0.25">
      <c r="B2450" s="19" t="s">
        <v>3247</v>
      </c>
      <c r="C2450" s="16"/>
      <c r="D2450" s="16" t="s">
        <v>29</v>
      </c>
      <c r="E2450" s="16"/>
      <c r="F2450" s="5"/>
      <c r="G2450" s="16" t="s">
        <v>35</v>
      </c>
      <c r="H2450" s="16"/>
      <c r="I2450" s="16"/>
      <c r="J2450" s="16"/>
      <c r="K2450" s="16"/>
      <c r="L2450" s="16"/>
      <c r="M2450" s="16"/>
      <c r="N2450" s="16"/>
      <c r="O2450" s="17"/>
      <c r="P2450" s="5" t="str">
        <f t="shared" si="66"/>
        <v>Truncate table FSF119;</v>
      </c>
      <c r="Q2450" s="5"/>
      <c r="R2450" s="5"/>
    </row>
    <row r="2451" spans="2:18" x14ac:dyDescent="0.25">
      <c r="B2451" s="19" t="s">
        <v>3248</v>
      </c>
      <c r="C2451" s="16"/>
      <c r="D2451" s="16" t="s">
        <v>29</v>
      </c>
      <c r="E2451" s="16"/>
      <c r="F2451" s="5"/>
      <c r="G2451" s="16" t="s">
        <v>35</v>
      </c>
      <c r="H2451" s="16"/>
      <c r="I2451" s="16"/>
      <c r="J2451" s="16"/>
      <c r="K2451" s="16"/>
      <c r="L2451" s="16"/>
      <c r="M2451" s="16"/>
      <c r="N2451" s="16"/>
      <c r="O2451" s="17"/>
      <c r="P2451" s="5" t="str">
        <f t="shared" si="66"/>
        <v>Truncate table FSF120;</v>
      </c>
      <c r="Q2451" s="5"/>
      <c r="R2451" s="5"/>
    </row>
    <row r="2452" spans="2:18" x14ac:dyDescent="0.25">
      <c r="B2452" s="19" t="s">
        <v>3249</v>
      </c>
      <c r="C2452" s="16"/>
      <c r="D2452" s="16" t="s">
        <v>29</v>
      </c>
      <c r="E2452" s="16"/>
      <c r="F2452" s="5"/>
      <c r="G2452" s="16" t="s">
        <v>35</v>
      </c>
      <c r="H2452" s="16"/>
      <c r="I2452" s="16"/>
      <c r="J2452" s="16"/>
      <c r="K2452" s="16"/>
      <c r="L2452" s="16"/>
      <c r="M2452" s="16"/>
      <c r="N2452" s="16"/>
      <c r="O2452" s="17"/>
      <c r="P2452" s="5" t="str">
        <f t="shared" si="66"/>
        <v>Truncate table FSF121;</v>
      </c>
      <c r="Q2452" s="5"/>
      <c r="R2452" s="5"/>
    </row>
    <row r="2453" spans="2:18" x14ac:dyDescent="0.25">
      <c r="B2453" s="19" t="s">
        <v>3250</v>
      </c>
      <c r="C2453" s="16"/>
      <c r="D2453" s="16" t="s">
        <v>29</v>
      </c>
      <c r="E2453" s="16"/>
      <c r="F2453" s="5"/>
      <c r="G2453" s="16" t="s">
        <v>35</v>
      </c>
      <c r="H2453" s="16"/>
      <c r="I2453" s="16"/>
      <c r="J2453" s="16"/>
      <c r="K2453" s="16"/>
      <c r="L2453" s="16"/>
      <c r="M2453" s="16"/>
      <c r="N2453" s="16"/>
      <c r="O2453" s="17"/>
      <c r="P2453" s="5" t="str">
        <f t="shared" si="66"/>
        <v>Truncate table FSFA01;</v>
      </c>
      <c r="Q2453" s="5"/>
      <c r="R2453" s="5"/>
    </row>
    <row r="2454" spans="2:18" x14ac:dyDescent="0.25">
      <c r="B2454" s="19" t="s">
        <v>3251</v>
      </c>
      <c r="C2454" s="16"/>
      <c r="D2454" s="16" t="s">
        <v>29</v>
      </c>
      <c r="E2454" s="16"/>
      <c r="F2454" s="5"/>
      <c r="G2454" s="16" t="s">
        <v>35</v>
      </c>
      <c r="H2454" s="16"/>
      <c r="I2454" s="16"/>
      <c r="J2454" s="16"/>
      <c r="K2454" s="16"/>
      <c r="L2454" s="16"/>
      <c r="M2454" s="16"/>
      <c r="N2454" s="16"/>
      <c r="O2454" s="17"/>
      <c r="P2454" s="5" t="str">
        <f t="shared" si="66"/>
        <v>Truncate table FSFB01;</v>
      </c>
      <c r="Q2454" s="5"/>
      <c r="R2454" s="5"/>
    </row>
    <row r="2455" spans="2:18" x14ac:dyDescent="0.25">
      <c r="B2455" s="19" t="s">
        <v>3252</v>
      </c>
      <c r="C2455" s="16"/>
      <c r="D2455" s="16" t="s">
        <v>29</v>
      </c>
      <c r="E2455" s="16"/>
      <c r="F2455" s="5"/>
      <c r="G2455" s="16" t="s">
        <v>35</v>
      </c>
      <c r="H2455" s="16"/>
      <c r="I2455" s="16"/>
      <c r="J2455" s="16"/>
      <c r="K2455" s="16"/>
      <c r="L2455" s="16"/>
      <c r="M2455" s="16"/>
      <c r="N2455" s="16"/>
      <c r="O2455" s="17"/>
      <c r="P2455" s="5" t="str">
        <f t="shared" si="66"/>
        <v>Truncate table FSFBC1;</v>
      </c>
      <c r="Q2455" s="5"/>
      <c r="R2455" s="5"/>
    </row>
    <row r="2456" spans="2:18" x14ac:dyDescent="0.25">
      <c r="B2456" s="19" t="s">
        <v>3253</v>
      </c>
      <c r="C2456" s="16"/>
      <c r="D2456" s="16" t="s">
        <v>29</v>
      </c>
      <c r="E2456" s="16"/>
      <c r="F2456" s="5"/>
      <c r="G2456" s="16" t="s">
        <v>35</v>
      </c>
      <c r="H2456" s="16"/>
      <c r="I2456" s="16"/>
      <c r="J2456" s="16"/>
      <c r="K2456" s="16"/>
      <c r="L2456" s="16"/>
      <c r="M2456" s="16"/>
      <c r="N2456" s="16"/>
      <c r="O2456" s="17"/>
      <c r="P2456" s="5" t="str">
        <f t="shared" si="66"/>
        <v>Truncate table FSFBC2;</v>
      </c>
      <c r="Q2456" s="5"/>
      <c r="R2456" s="5"/>
    </row>
    <row r="2457" spans="2:18" x14ac:dyDescent="0.25">
      <c r="B2457" s="19" t="s">
        <v>3254</v>
      </c>
      <c r="C2457" s="16"/>
      <c r="D2457" s="16" t="s">
        <v>29</v>
      </c>
      <c r="E2457" s="16"/>
      <c r="F2457" s="5"/>
      <c r="G2457" s="16" t="s">
        <v>35</v>
      </c>
      <c r="H2457" s="16"/>
      <c r="I2457" s="16"/>
      <c r="J2457" s="16"/>
      <c r="K2457" s="16"/>
      <c r="L2457" s="16"/>
      <c r="M2457" s="16"/>
      <c r="N2457" s="16"/>
      <c r="O2457" s="17"/>
      <c r="P2457" s="5" t="str">
        <f t="shared" si="66"/>
        <v>Truncate table FSFBC3;</v>
      </c>
      <c r="Q2457" s="5"/>
      <c r="R2457" s="5"/>
    </row>
    <row r="2458" spans="2:18" x14ac:dyDescent="0.25">
      <c r="B2458" s="19" t="s">
        <v>3255</v>
      </c>
      <c r="C2458" s="16"/>
      <c r="D2458" s="16" t="s">
        <v>29</v>
      </c>
      <c r="E2458" s="16"/>
      <c r="F2458" s="5"/>
      <c r="G2458" s="16" t="s">
        <v>35</v>
      </c>
      <c r="H2458" s="16"/>
      <c r="I2458" s="16"/>
      <c r="J2458" s="16"/>
      <c r="K2458" s="16"/>
      <c r="L2458" s="16"/>
      <c r="M2458" s="16"/>
      <c r="N2458" s="16"/>
      <c r="O2458" s="17"/>
      <c r="P2458" s="5" t="str">
        <f t="shared" si="66"/>
        <v>Truncate table FSFBC4;</v>
      </c>
      <c r="Q2458" s="5"/>
      <c r="R2458" s="5"/>
    </row>
    <row r="2459" spans="2:18" x14ac:dyDescent="0.25">
      <c r="B2459" s="19" t="s">
        <v>3256</v>
      </c>
      <c r="C2459" s="16"/>
      <c r="D2459" s="16" t="s">
        <v>29</v>
      </c>
      <c r="E2459" s="16"/>
      <c r="F2459" s="5"/>
      <c r="G2459" s="16" t="s">
        <v>35</v>
      </c>
      <c r="H2459" s="16"/>
      <c r="I2459" s="16"/>
      <c r="J2459" s="16"/>
      <c r="K2459" s="16"/>
      <c r="L2459" s="16"/>
      <c r="M2459" s="16"/>
      <c r="N2459" s="16"/>
      <c r="O2459" s="17"/>
      <c r="P2459" s="5" t="str">
        <f t="shared" si="66"/>
        <v>Truncate table FSFBC5;</v>
      </c>
      <c r="Q2459" s="5"/>
      <c r="R2459" s="5"/>
    </row>
    <row r="2460" spans="2:18" x14ac:dyDescent="0.25">
      <c r="B2460" s="19" t="s">
        <v>3257</v>
      </c>
      <c r="C2460" s="16"/>
      <c r="D2460" s="16" t="s">
        <v>29</v>
      </c>
      <c r="E2460" s="16"/>
      <c r="F2460" s="5"/>
      <c r="G2460" s="16" t="s">
        <v>35</v>
      </c>
      <c r="H2460" s="16"/>
      <c r="I2460" s="16"/>
      <c r="J2460" s="16"/>
      <c r="K2460" s="16"/>
      <c r="L2460" s="16"/>
      <c r="M2460" s="16"/>
      <c r="N2460" s="16"/>
      <c r="O2460" s="17"/>
      <c r="P2460" s="5" t="str">
        <f t="shared" si="66"/>
        <v>Truncate table FSFBC6;</v>
      </c>
      <c r="Q2460" s="5"/>
      <c r="R2460" s="5"/>
    </row>
    <row r="2461" spans="2:18" x14ac:dyDescent="0.25">
      <c r="B2461" s="19" t="s">
        <v>3258</v>
      </c>
      <c r="C2461" s="16"/>
      <c r="D2461" s="16" t="s">
        <v>29</v>
      </c>
      <c r="E2461" s="16"/>
      <c r="F2461" s="5"/>
      <c r="G2461" s="16" t="s">
        <v>35</v>
      </c>
      <c r="H2461" s="16"/>
      <c r="I2461" s="16"/>
      <c r="J2461" s="16"/>
      <c r="K2461" s="16"/>
      <c r="L2461" s="16"/>
      <c r="M2461" s="16"/>
      <c r="N2461" s="16"/>
      <c r="O2461" s="17"/>
      <c r="P2461" s="5" t="str">
        <f t="shared" si="66"/>
        <v>Truncate table FSFBC7;</v>
      </c>
      <c r="Q2461" s="5"/>
      <c r="R2461" s="5"/>
    </row>
    <row r="2462" spans="2:18" x14ac:dyDescent="0.25">
      <c r="B2462" s="19" t="s">
        <v>3259</v>
      </c>
      <c r="C2462" s="16"/>
      <c r="D2462" s="16" t="s">
        <v>29</v>
      </c>
      <c r="E2462" s="16"/>
      <c r="F2462" s="5"/>
      <c r="G2462" s="16" t="s">
        <v>35</v>
      </c>
      <c r="H2462" s="16"/>
      <c r="I2462" s="16"/>
      <c r="J2462" s="16"/>
      <c r="K2462" s="16"/>
      <c r="L2462" s="16"/>
      <c r="M2462" s="16"/>
      <c r="N2462" s="16"/>
      <c r="O2462" s="17"/>
      <c r="P2462" s="5" t="str">
        <f t="shared" si="66"/>
        <v>Truncate table FSFBC8;</v>
      </c>
      <c r="Q2462" s="5"/>
      <c r="R2462" s="5"/>
    </row>
    <row r="2463" spans="2:18" x14ac:dyDescent="0.25">
      <c r="B2463" s="19" t="s">
        <v>3260</v>
      </c>
      <c r="C2463" s="16"/>
      <c r="D2463" s="16" t="s">
        <v>29</v>
      </c>
      <c r="E2463" s="16"/>
      <c r="F2463" s="5"/>
      <c r="G2463" s="16" t="s">
        <v>35</v>
      </c>
      <c r="H2463" s="16"/>
      <c r="I2463" s="16"/>
      <c r="J2463" s="16"/>
      <c r="K2463" s="16"/>
      <c r="L2463" s="16"/>
      <c r="M2463" s="16"/>
      <c r="N2463" s="16"/>
      <c r="O2463" s="17"/>
      <c r="P2463" s="5" t="str">
        <f t="shared" si="66"/>
        <v>Truncate table FSFBC9;</v>
      </c>
      <c r="Q2463" s="5"/>
      <c r="R2463" s="5"/>
    </row>
    <row r="2464" spans="2:18" x14ac:dyDescent="0.25">
      <c r="B2464" s="19" t="s">
        <v>3261</v>
      </c>
      <c r="C2464" s="16"/>
      <c r="D2464" s="16" t="s">
        <v>29</v>
      </c>
      <c r="E2464" s="16"/>
      <c r="F2464" s="5"/>
      <c r="G2464" s="16" t="s">
        <v>35</v>
      </c>
      <c r="H2464" s="16"/>
      <c r="I2464" s="16"/>
      <c r="J2464" s="16"/>
      <c r="K2464" s="16"/>
      <c r="L2464" s="16"/>
      <c r="M2464" s="16"/>
      <c r="N2464" s="16"/>
      <c r="O2464" s="17"/>
      <c r="P2464" s="5" t="str">
        <f t="shared" si="66"/>
        <v>Truncate table FSFC01;</v>
      </c>
      <c r="Q2464" s="5"/>
      <c r="R2464" s="5"/>
    </row>
    <row r="2465" spans="2:18" x14ac:dyDescent="0.25">
      <c r="B2465" s="19" t="s">
        <v>3262</v>
      </c>
      <c r="C2465" s="16"/>
      <c r="D2465" s="16" t="s">
        <v>29</v>
      </c>
      <c r="E2465" s="16"/>
      <c r="F2465" s="5"/>
      <c r="G2465" s="16" t="s">
        <v>35</v>
      </c>
      <c r="H2465" s="16"/>
      <c r="I2465" s="16"/>
      <c r="J2465" s="16"/>
      <c r="K2465" s="16"/>
      <c r="L2465" s="16"/>
      <c r="M2465" s="16"/>
      <c r="N2465" s="16"/>
      <c r="O2465" s="17"/>
      <c r="P2465" s="5" t="str">
        <f t="shared" si="66"/>
        <v>Truncate table FSFC01L;</v>
      </c>
      <c r="Q2465" s="5"/>
      <c r="R2465" s="5"/>
    </row>
    <row r="2466" spans="2:18" x14ac:dyDescent="0.25">
      <c r="B2466" s="19" t="s">
        <v>3263</v>
      </c>
      <c r="C2466" s="16"/>
      <c r="D2466" s="16" t="s">
        <v>29</v>
      </c>
      <c r="E2466" s="16"/>
      <c r="F2466" s="5"/>
      <c r="G2466" s="16" t="s">
        <v>35</v>
      </c>
      <c r="H2466" s="16"/>
      <c r="I2466" s="16"/>
      <c r="J2466" s="16"/>
      <c r="K2466" s="16"/>
      <c r="L2466" s="16"/>
      <c r="M2466" s="16"/>
      <c r="N2466" s="16"/>
      <c r="O2466" s="17"/>
      <c r="P2466" s="5" t="str">
        <f t="shared" si="66"/>
        <v>Truncate table FSFC02;</v>
      </c>
      <c r="Q2466" s="5"/>
      <c r="R2466" s="5"/>
    </row>
    <row r="2467" spans="2:18" x14ac:dyDescent="0.25">
      <c r="B2467" s="19" t="s">
        <v>3264</v>
      </c>
      <c r="C2467" s="16"/>
      <c r="D2467" s="16" t="s">
        <v>29</v>
      </c>
      <c r="E2467" s="16"/>
      <c r="F2467" s="5"/>
      <c r="G2467" s="16" t="s">
        <v>35</v>
      </c>
      <c r="H2467" s="16"/>
      <c r="I2467" s="16"/>
      <c r="J2467" s="16"/>
      <c r="K2467" s="16"/>
      <c r="L2467" s="16"/>
      <c r="M2467" s="16"/>
      <c r="N2467" s="16"/>
      <c r="O2467" s="17"/>
      <c r="P2467" s="5" t="str">
        <f t="shared" si="66"/>
        <v>Truncate table FSFC02L;</v>
      </c>
      <c r="Q2467" s="5"/>
      <c r="R2467" s="5"/>
    </row>
    <row r="2468" spans="2:18" x14ac:dyDescent="0.25">
      <c r="B2468" s="19" t="s">
        <v>3265</v>
      </c>
      <c r="C2468" s="16"/>
      <c r="D2468" s="16" t="s">
        <v>29</v>
      </c>
      <c r="E2468" s="16"/>
      <c r="F2468" s="5"/>
      <c r="G2468" s="16" t="s">
        <v>35</v>
      </c>
      <c r="H2468" s="16"/>
      <c r="I2468" s="16"/>
      <c r="J2468" s="16"/>
      <c r="K2468" s="16"/>
      <c r="L2468" s="16"/>
      <c r="M2468" s="16"/>
      <c r="N2468" s="16"/>
      <c r="O2468" s="17"/>
      <c r="P2468" s="5" t="str">
        <f t="shared" si="66"/>
        <v>Truncate table FSFC03;</v>
      </c>
      <c r="Q2468" s="5"/>
      <c r="R2468" s="5"/>
    </row>
    <row r="2469" spans="2:18" x14ac:dyDescent="0.25">
      <c r="B2469" s="19" t="s">
        <v>3266</v>
      </c>
      <c r="C2469" s="16"/>
      <c r="D2469" s="16" t="s">
        <v>29</v>
      </c>
      <c r="E2469" s="16"/>
      <c r="F2469" s="5"/>
      <c r="G2469" s="16" t="s">
        <v>35</v>
      </c>
      <c r="H2469" s="16"/>
      <c r="I2469" s="16"/>
      <c r="J2469" s="16"/>
      <c r="K2469" s="16"/>
      <c r="L2469" s="16"/>
      <c r="M2469" s="16"/>
      <c r="N2469" s="16"/>
      <c r="O2469" s="17"/>
      <c r="P2469" s="5" t="str">
        <f t="shared" si="66"/>
        <v>Truncate table FSFC03L;</v>
      </c>
      <c r="Q2469" s="5"/>
      <c r="R2469" s="5"/>
    </row>
    <row r="2470" spans="2:18" x14ac:dyDescent="0.25">
      <c r="B2470" s="19" t="s">
        <v>3267</v>
      </c>
      <c r="C2470" s="16"/>
      <c r="D2470" s="16" t="s">
        <v>29</v>
      </c>
      <c r="E2470" s="16"/>
      <c r="F2470" s="5"/>
      <c r="G2470" s="16" t="s">
        <v>35</v>
      </c>
      <c r="H2470" s="16"/>
      <c r="I2470" s="16"/>
      <c r="J2470" s="16"/>
      <c r="K2470" s="16"/>
      <c r="L2470" s="16"/>
      <c r="M2470" s="16"/>
      <c r="N2470" s="16"/>
      <c r="O2470" s="17"/>
      <c r="P2470" s="5" t="str">
        <f t="shared" si="66"/>
        <v>Truncate table FSFC04;</v>
      </c>
      <c r="Q2470" s="5"/>
      <c r="R2470" s="5"/>
    </row>
    <row r="2471" spans="2:18" x14ac:dyDescent="0.25">
      <c r="B2471" s="19" t="s">
        <v>3268</v>
      </c>
      <c r="C2471" s="16"/>
      <c r="D2471" s="16" t="s">
        <v>29</v>
      </c>
      <c r="E2471" s="16"/>
      <c r="F2471" s="5"/>
      <c r="G2471" s="16" t="s">
        <v>35</v>
      </c>
      <c r="H2471" s="16"/>
      <c r="I2471" s="16"/>
      <c r="J2471" s="16"/>
      <c r="K2471" s="16"/>
      <c r="L2471" s="16"/>
      <c r="M2471" s="16"/>
      <c r="N2471" s="16"/>
      <c r="O2471" s="17"/>
      <c r="P2471" s="5" t="str">
        <f t="shared" si="66"/>
        <v>Truncate table FSFC04L;</v>
      </c>
      <c r="Q2471" s="5"/>
      <c r="R2471" s="5"/>
    </row>
    <row r="2472" spans="2:18" x14ac:dyDescent="0.25">
      <c r="B2472" s="19" t="s">
        <v>3269</v>
      </c>
      <c r="C2472" s="16"/>
      <c r="D2472" s="16" t="s">
        <v>29</v>
      </c>
      <c r="E2472" s="16"/>
      <c r="F2472" s="5"/>
      <c r="G2472" s="16" t="s">
        <v>35</v>
      </c>
      <c r="H2472" s="16"/>
      <c r="I2472" s="16"/>
      <c r="J2472" s="16"/>
      <c r="K2472" s="16"/>
      <c r="L2472" s="16"/>
      <c r="M2472" s="16"/>
      <c r="N2472" s="16"/>
      <c r="O2472" s="17"/>
      <c r="P2472" s="5" t="str">
        <f t="shared" si="66"/>
        <v>Truncate table FSFC05;</v>
      </c>
      <c r="Q2472" s="5"/>
      <c r="R2472" s="5"/>
    </row>
    <row r="2473" spans="2:18" x14ac:dyDescent="0.25">
      <c r="B2473" s="19" t="s">
        <v>3270</v>
      </c>
      <c r="C2473" s="16"/>
      <c r="D2473" s="16" t="s">
        <v>29</v>
      </c>
      <c r="E2473" s="16"/>
      <c r="F2473" s="5"/>
      <c r="G2473" s="16" t="s">
        <v>35</v>
      </c>
      <c r="H2473" s="16"/>
      <c r="I2473" s="16"/>
      <c r="J2473" s="16"/>
      <c r="K2473" s="16"/>
      <c r="L2473" s="16"/>
      <c r="M2473" s="16"/>
      <c r="N2473" s="16"/>
      <c r="O2473" s="17"/>
      <c r="P2473" s="5" t="str">
        <f t="shared" si="66"/>
        <v>Truncate table FSFC05L;</v>
      </c>
      <c r="Q2473" s="5"/>
      <c r="R2473" s="5"/>
    </row>
    <row r="2474" spans="2:18" x14ac:dyDescent="0.25">
      <c r="B2474" s="19" t="s">
        <v>3271</v>
      </c>
      <c r="C2474" s="16"/>
      <c r="D2474" s="16" t="s">
        <v>29</v>
      </c>
      <c r="E2474" s="16"/>
      <c r="F2474" s="5"/>
      <c r="G2474" s="16" t="s">
        <v>35</v>
      </c>
      <c r="H2474" s="16"/>
      <c r="I2474" s="16"/>
      <c r="J2474" s="16"/>
      <c r="K2474" s="16"/>
      <c r="L2474" s="16"/>
      <c r="M2474" s="16"/>
      <c r="N2474" s="16"/>
      <c r="O2474" s="17"/>
      <c r="P2474" s="5" t="str">
        <f t="shared" si="66"/>
        <v>Truncate table FSFC06;</v>
      </c>
      <c r="Q2474" s="5"/>
      <c r="R2474" s="5"/>
    </row>
    <row r="2475" spans="2:18" x14ac:dyDescent="0.25">
      <c r="B2475" s="19" t="s">
        <v>3272</v>
      </c>
      <c r="C2475" s="16"/>
      <c r="D2475" s="16" t="s">
        <v>29</v>
      </c>
      <c r="E2475" s="16"/>
      <c r="F2475" s="5"/>
      <c r="G2475" s="16" t="s">
        <v>35</v>
      </c>
      <c r="H2475" s="16"/>
      <c r="I2475" s="16"/>
      <c r="J2475" s="16"/>
      <c r="K2475" s="16"/>
      <c r="L2475" s="16"/>
      <c r="M2475" s="16"/>
      <c r="N2475" s="16"/>
      <c r="O2475" s="17"/>
      <c r="P2475" s="5" t="str">
        <f t="shared" si="66"/>
        <v>Truncate table FSFC06L;</v>
      </c>
      <c r="Q2475" s="5"/>
      <c r="R2475" s="5"/>
    </row>
    <row r="2476" spans="2:18" x14ac:dyDescent="0.25">
      <c r="B2476" s="19" t="s">
        <v>3273</v>
      </c>
      <c r="C2476" s="16" t="s">
        <v>3274</v>
      </c>
      <c r="D2476" s="16" t="s">
        <v>8152</v>
      </c>
      <c r="E2476" s="16" t="s">
        <v>3275</v>
      </c>
      <c r="F2476" s="5" t="s">
        <v>8218</v>
      </c>
      <c r="G2476" s="16" t="s">
        <v>35</v>
      </c>
      <c r="H2476" s="16"/>
      <c r="I2476" s="16"/>
      <c r="J2476" s="16"/>
      <c r="K2476" s="16"/>
      <c r="L2476" s="16"/>
      <c r="M2476" s="229"/>
      <c r="N2476" s="16"/>
      <c r="O2476" s="17" t="s">
        <v>38</v>
      </c>
      <c r="P2476" s="5" t="str">
        <f t="shared" si="66"/>
        <v/>
      </c>
      <c r="Q2476" s="5"/>
      <c r="R2476" s="5"/>
    </row>
    <row r="2477" spans="2:18" x14ac:dyDescent="0.25">
      <c r="B2477" s="19" t="s">
        <v>3276</v>
      </c>
      <c r="C2477" s="16"/>
      <c r="D2477" s="16" t="s">
        <v>29</v>
      </c>
      <c r="E2477" s="16"/>
      <c r="F2477" s="5"/>
      <c r="G2477" s="16" t="s">
        <v>35</v>
      </c>
      <c r="H2477" s="16"/>
      <c r="I2477" s="16"/>
      <c r="J2477" s="16"/>
      <c r="K2477" s="16"/>
      <c r="L2477" s="16"/>
      <c r="M2477" s="16"/>
      <c r="N2477" s="16"/>
      <c r="O2477" s="17"/>
      <c r="P2477" s="5" t="str">
        <f t="shared" si="66"/>
        <v>Truncate table FSFC07L;</v>
      </c>
      <c r="Q2477" s="5"/>
      <c r="R2477" s="5"/>
    </row>
    <row r="2478" spans="2:18" x14ac:dyDescent="0.25">
      <c r="B2478" s="19" t="s">
        <v>3277</v>
      </c>
      <c r="C2478" s="16"/>
      <c r="D2478" s="16" t="s">
        <v>29</v>
      </c>
      <c r="E2478" s="16"/>
      <c r="F2478" s="5"/>
      <c r="G2478" s="16" t="s">
        <v>35</v>
      </c>
      <c r="H2478" s="16"/>
      <c r="I2478" s="16"/>
      <c r="J2478" s="16"/>
      <c r="K2478" s="16"/>
      <c r="L2478" s="16"/>
      <c r="M2478" s="16"/>
      <c r="N2478" s="16"/>
      <c r="O2478" s="17"/>
      <c r="P2478" s="5" t="str">
        <f t="shared" si="66"/>
        <v>Truncate table FSFC08;</v>
      </c>
      <c r="Q2478" s="5"/>
      <c r="R2478" s="5"/>
    </row>
    <row r="2479" spans="2:18" x14ac:dyDescent="0.25">
      <c r="B2479" s="19" t="s">
        <v>3278</v>
      </c>
      <c r="C2479" s="16"/>
      <c r="D2479" s="16" t="s">
        <v>29</v>
      </c>
      <c r="E2479" s="16"/>
      <c r="F2479" s="5"/>
      <c r="G2479" s="16" t="s">
        <v>35</v>
      </c>
      <c r="H2479" s="16"/>
      <c r="I2479" s="16"/>
      <c r="J2479" s="16"/>
      <c r="K2479" s="16"/>
      <c r="L2479" s="16"/>
      <c r="M2479" s="16"/>
      <c r="N2479" s="16"/>
      <c r="O2479" s="17"/>
      <c r="P2479" s="5" t="str">
        <f t="shared" si="66"/>
        <v>Truncate table FSFC09;</v>
      </c>
      <c r="Q2479" s="5"/>
      <c r="R2479" s="5"/>
    </row>
    <row r="2480" spans="2:18" x14ac:dyDescent="0.25">
      <c r="B2480" s="19" t="s">
        <v>3279</v>
      </c>
      <c r="C2480" s="16"/>
      <c r="D2480" s="16" t="s">
        <v>29</v>
      </c>
      <c r="E2480" s="16"/>
      <c r="F2480" s="5"/>
      <c r="G2480" s="16" t="s">
        <v>35</v>
      </c>
      <c r="H2480" s="16"/>
      <c r="I2480" s="16"/>
      <c r="J2480" s="16"/>
      <c r="K2480" s="16"/>
      <c r="L2480" s="16"/>
      <c r="M2480" s="16"/>
      <c r="N2480" s="16"/>
      <c r="O2480" s="17"/>
      <c r="P2480" s="5" t="str">
        <f t="shared" si="66"/>
        <v>Truncate table FSFC10;</v>
      </c>
      <c r="Q2480" s="5"/>
      <c r="R2480" s="5"/>
    </row>
    <row r="2481" spans="2:18" x14ac:dyDescent="0.25">
      <c r="B2481" s="19" t="s">
        <v>3280</v>
      </c>
      <c r="C2481" s="16"/>
      <c r="D2481" s="16" t="s">
        <v>29</v>
      </c>
      <c r="E2481" s="16"/>
      <c r="F2481" s="5"/>
      <c r="G2481" s="16" t="s">
        <v>35</v>
      </c>
      <c r="H2481" s="16"/>
      <c r="I2481" s="16"/>
      <c r="J2481" s="16"/>
      <c r="K2481" s="16"/>
      <c r="L2481" s="16"/>
      <c r="M2481" s="16"/>
      <c r="N2481" s="16"/>
      <c r="O2481" s="17"/>
      <c r="P2481" s="5" t="str">
        <f t="shared" ref="P2481:P2544" si="67">IF(D2481="Datos","Truncate table "&amp; B2481&amp; ";","")</f>
        <v>Truncate table FSFC10L;</v>
      </c>
      <c r="Q2481" s="5"/>
      <c r="R2481" s="5"/>
    </row>
    <row r="2482" spans="2:18" x14ac:dyDescent="0.25">
      <c r="B2482" s="19" t="s">
        <v>3281</v>
      </c>
      <c r="C2482" s="16"/>
      <c r="D2482" s="16" t="s">
        <v>29</v>
      </c>
      <c r="E2482" s="16"/>
      <c r="F2482" s="5"/>
      <c r="G2482" s="16" t="s">
        <v>35</v>
      </c>
      <c r="H2482" s="16"/>
      <c r="I2482" s="16"/>
      <c r="J2482" s="16"/>
      <c r="K2482" s="16"/>
      <c r="L2482" s="16"/>
      <c r="M2482" s="16"/>
      <c r="N2482" s="16"/>
      <c r="O2482" s="17"/>
      <c r="P2482" s="5" t="str">
        <f t="shared" si="67"/>
        <v>Truncate table FSFC11;</v>
      </c>
      <c r="Q2482" s="5"/>
      <c r="R2482" s="5"/>
    </row>
    <row r="2483" spans="2:18" x14ac:dyDescent="0.25">
      <c r="B2483" s="19" t="s">
        <v>3282</v>
      </c>
      <c r="C2483" s="16"/>
      <c r="D2483" s="16" t="s">
        <v>29</v>
      </c>
      <c r="E2483" s="16"/>
      <c r="F2483" s="5"/>
      <c r="G2483" s="16" t="s">
        <v>35</v>
      </c>
      <c r="H2483" s="16"/>
      <c r="I2483" s="16"/>
      <c r="J2483" s="16"/>
      <c r="K2483" s="16"/>
      <c r="L2483" s="16"/>
      <c r="M2483" s="16"/>
      <c r="N2483" s="16"/>
      <c r="O2483" s="17"/>
      <c r="P2483" s="5" t="str">
        <f t="shared" si="67"/>
        <v>Truncate table FSFC11L;</v>
      </c>
      <c r="Q2483" s="5"/>
      <c r="R2483" s="5"/>
    </row>
    <row r="2484" spans="2:18" x14ac:dyDescent="0.25">
      <c r="B2484" s="19" t="s">
        <v>3283</v>
      </c>
      <c r="C2484" s="16"/>
      <c r="D2484" s="16" t="s">
        <v>29</v>
      </c>
      <c r="E2484" s="16"/>
      <c r="F2484" s="5"/>
      <c r="G2484" s="16" t="s">
        <v>35</v>
      </c>
      <c r="H2484" s="16"/>
      <c r="I2484" s="16"/>
      <c r="J2484" s="16"/>
      <c r="K2484" s="16"/>
      <c r="L2484" s="16"/>
      <c r="M2484" s="16"/>
      <c r="N2484" s="16"/>
      <c r="O2484" s="17"/>
      <c r="P2484" s="5" t="str">
        <f t="shared" si="67"/>
        <v>Truncate table FSFC12;</v>
      </c>
      <c r="Q2484" s="5"/>
      <c r="R2484" s="5"/>
    </row>
    <row r="2485" spans="2:18" x14ac:dyDescent="0.25">
      <c r="B2485" s="19" t="s">
        <v>3284</v>
      </c>
      <c r="C2485" s="16"/>
      <c r="D2485" s="16" t="s">
        <v>29</v>
      </c>
      <c r="E2485" s="16"/>
      <c r="F2485" s="5"/>
      <c r="G2485" s="16" t="s">
        <v>35</v>
      </c>
      <c r="H2485" s="16"/>
      <c r="I2485" s="16"/>
      <c r="J2485" s="16"/>
      <c r="K2485" s="16"/>
      <c r="L2485" s="16"/>
      <c r="M2485" s="16"/>
      <c r="N2485" s="16"/>
      <c r="O2485" s="17"/>
      <c r="P2485" s="5" t="str">
        <f t="shared" si="67"/>
        <v>Truncate table FSFC13;</v>
      </c>
      <c r="Q2485" s="5"/>
      <c r="R2485" s="5"/>
    </row>
    <row r="2486" spans="2:18" x14ac:dyDescent="0.25">
      <c r="B2486" s="19" t="s">
        <v>3285</v>
      </c>
      <c r="C2486" s="16" t="s">
        <v>3286</v>
      </c>
      <c r="D2486" s="16" t="s">
        <v>29</v>
      </c>
      <c r="E2486" s="16"/>
      <c r="F2486" s="5"/>
      <c r="G2486" s="16" t="s">
        <v>35</v>
      </c>
      <c r="H2486" s="16"/>
      <c r="I2486" s="16"/>
      <c r="J2486" s="16"/>
      <c r="K2486" s="16"/>
      <c r="L2486" s="16"/>
      <c r="M2486" s="16"/>
      <c r="N2486" s="16"/>
      <c r="O2486" s="17"/>
      <c r="P2486" s="5" t="str">
        <f t="shared" si="67"/>
        <v>Truncate table FSFC14;</v>
      </c>
      <c r="Q2486" s="5"/>
      <c r="R2486" s="5"/>
    </row>
    <row r="2487" spans="2:18" x14ac:dyDescent="0.25">
      <c r="B2487" s="19" t="s">
        <v>3287</v>
      </c>
      <c r="C2487" s="16" t="s">
        <v>3288</v>
      </c>
      <c r="D2487" s="16" t="s">
        <v>29</v>
      </c>
      <c r="E2487" s="16" t="s">
        <v>3007</v>
      </c>
      <c r="F2487" s="5" t="s">
        <v>3133</v>
      </c>
      <c r="G2487" s="16" t="s">
        <v>28</v>
      </c>
      <c r="H2487" s="16" t="s">
        <v>36</v>
      </c>
      <c r="I2487" s="16"/>
      <c r="J2487" s="16"/>
      <c r="K2487" s="16"/>
      <c r="L2487" s="16"/>
      <c r="M2487" s="16"/>
      <c r="N2487" s="16"/>
      <c r="O2487" s="17" t="s">
        <v>38</v>
      </c>
      <c r="P2487" s="5" t="str">
        <f t="shared" si="67"/>
        <v>Truncate table FSFC15;</v>
      </c>
      <c r="Q2487" s="5"/>
      <c r="R2487" s="5"/>
    </row>
    <row r="2488" spans="2:18" x14ac:dyDescent="0.25">
      <c r="B2488" s="19" t="s">
        <v>3289</v>
      </c>
      <c r="C2488" s="16"/>
      <c r="D2488" s="16" t="s">
        <v>29</v>
      </c>
      <c r="E2488" s="16" t="s">
        <v>3007</v>
      </c>
      <c r="F2488" s="5" t="s">
        <v>3133</v>
      </c>
      <c r="G2488" s="16" t="s">
        <v>28</v>
      </c>
      <c r="H2488" s="16" t="s">
        <v>36</v>
      </c>
      <c r="I2488" s="16"/>
      <c r="J2488" s="16"/>
      <c r="K2488" s="16"/>
      <c r="L2488" s="16"/>
      <c r="M2488" s="16"/>
      <c r="N2488" s="16"/>
      <c r="O2488" s="17" t="s">
        <v>38</v>
      </c>
      <c r="P2488" s="5" t="str">
        <f t="shared" si="67"/>
        <v>Truncate table FSFC15L;</v>
      </c>
      <c r="Q2488" s="5"/>
      <c r="R2488" s="5"/>
    </row>
    <row r="2489" spans="2:18" x14ac:dyDescent="0.25">
      <c r="B2489" s="19" t="s">
        <v>3290</v>
      </c>
      <c r="C2489" s="16"/>
      <c r="D2489" s="16" t="s">
        <v>29</v>
      </c>
      <c r="E2489" s="16"/>
      <c r="F2489" s="5"/>
      <c r="G2489" s="16" t="s">
        <v>35</v>
      </c>
      <c r="H2489" s="16"/>
      <c r="I2489" s="16"/>
      <c r="J2489" s="16"/>
      <c r="K2489" s="16"/>
      <c r="L2489" s="16"/>
      <c r="M2489" s="16"/>
      <c r="N2489" s="16"/>
      <c r="O2489" s="17"/>
      <c r="P2489" s="5" t="str">
        <f t="shared" si="67"/>
        <v>Truncate table FSFC16;</v>
      </c>
      <c r="Q2489" s="5"/>
      <c r="R2489" s="5"/>
    </row>
    <row r="2490" spans="2:18" x14ac:dyDescent="0.25">
      <c r="B2490" s="19" t="s">
        <v>3291</v>
      </c>
      <c r="C2490" s="16"/>
      <c r="D2490" s="16" t="s">
        <v>29</v>
      </c>
      <c r="E2490" s="16"/>
      <c r="F2490" s="5"/>
      <c r="G2490" s="16" t="s">
        <v>35</v>
      </c>
      <c r="H2490" s="16"/>
      <c r="I2490" s="16"/>
      <c r="J2490" s="16"/>
      <c r="K2490" s="16"/>
      <c r="L2490" s="16"/>
      <c r="M2490" s="16"/>
      <c r="N2490" s="16"/>
      <c r="O2490" s="17"/>
      <c r="P2490" s="5" t="str">
        <f t="shared" si="67"/>
        <v>Truncate table FSFC17;</v>
      </c>
      <c r="Q2490" s="5"/>
      <c r="R2490" s="5"/>
    </row>
    <row r="2491" spans="2:18" x14ac:dyDescent="0.25">
      <c r="B2491" s="19" t="s">
        <v>3292</v>
      </c>
      <c r="C2491" s="16"/>
      <c r="D2491" s="16" t="s">
        <v>29</v>
      </c>
      <c r="E2491" s="16"/>
      <c r="F2491" s="5"/>
      <c r="G2491" s="16" t="s">
        <v>35</v>
      </c>
      <c r="H2491" s="16"/>
      <c r="I2491" s="16"/>
      <c r="J2491" s="16"/>
      <c r="K2491" s="16"/>
      <c r="L2491" s="16"/>
      <c r="M2491" s="16"/>
      <c r="N2491" s="16"/>
      <c r="O2491" s="17"/>
      <c r="P2491" s="5" t="str">
        <f t="shared" si="67"/>
        <v>Truncate table FSFC17L;</v>
      </c>
      <c r="Q2491" s="5"/>
      <c r="R2491" s="5"/>
    </row>
    <row r="2492" spans="2:18" ht="75" x14ac:dyDescent="0.25">
      <c r="B2492" s="19" t="s">
        <v>3293</v>
      </c>
      <c r="C2492" s="16" t="s">
        <v>8534</v>
      </c>
      <c r="D2492" s="16" t="s">
        <v>8152</v>
      </c>
      <c r="E2492" s="16" t="s">
        <v>8230</v>
      </c>
      <c r="F2492" s="5" t="s">
        <v>8218</v>
      </c>
      <c r="G2492" s="16" t="s">
        <v>35</v>
      </c>
      <c r="H2492" s="16" t="s">
        <v>36</v>
      </c>
      <c r="I2492" s="16"/>
      <c r="J2492" s="16"/>
      <c r="K2492" s="16"/>
      <c r="L2492" s="125" t="s">
        <v>8532</v>
      </c>
      <c r="M2492" s="125"/>
      <c r="N2492" s="16"/>
      <c r="O2492" s="17" t="s">
        <v>38</v>
      </c>
      <c r="P2492" s="5" t="str">
        <f t="shared" si="67"/>
        <v/>
      </c>
      <c r="Q2492" s="5"/>
      <c r="R2492" s="5"/>
    </row>
    <row r="2493" spans="2:18" ht="75" x14ac:dyDescent="0.25">
      <c r="B2493" s="19" t="s">
        <v>3294</v>
      </c>
      <c r="C2493" s="16" t="s">
        <v>3295</v>
      </c>
      <c r="D2493" s="16" t="s">
        <v>8152</v>
      </c>
      <c r="E2493" s="16" t="s">
        <v>8230</v>
      </c>
      <c r="F2493" s="5" t="s">
        <v>8218</v>
      </c>
      <c r="G2493" s="16" t="s">
        <v>35</v>
      </c>
      <c r="H2493" s="16" t="s">
        <v>36</v>
      </c>
      <c r="I2493" s="16"/>
      <c r="J2493" s="16"/>
      <c r="K2493" s="16"/>
      <c r="L2493" s="125" t="s">
        <v>8532</v>
      </c>
      <c r="M2493" s="125"/>
      <c r="N2493" s="16"/>
      <c r="O2493" s="17" t="s">
        <v>38</v>
      </c>
      <c r="P2493" s="5" t="str">
        <f t="shared" si="67"/>
        <v/>
      </c>
      <c r="Q2493" s="5"/>
      <c r="R2493" s="5"/>
    </row>
    <row r="2494" spans="2:18" x14ac:dyDescent="0.25">
      <c r="B2494" s="19" t="s">
        <v>3296</v>
      </c>
      <c r="C2494" s="16" t="s">
        <v>3297</v>
      </c>
      <c r="D2494" s="16" t="s">
        <v>8152</v>
      </c>
      <c r="E2494" s="16" t="s">
        <v>3275</v>
      </c>
      <c r="F2494" s="5" t="s">
        <v>8218</v>
      </c>
      <c r="G2494" s="16" t="s">
        <v>35</v>
      </c>
      <c r="H2494" s="16"/>
      <c r="I2494" s="16"/>
      <c r="J2494" s="16"/>
      <c r="K2494" s="16"/>
      <c r="L2494" s="16"/>
      <c r="M2494" s="229"/>
      <c r="N2494" s="16"/>
      <c r="O2494" s="17" t="s">
        <v>38</v>
      </c>
      <c r="P2494" s="5" t="str">
        <f t="shared" si="67"/>
        <v/>
      </c>
      <c r="Q2494" s="5"/>
      <c r="R2494" s="5"/>
    </row>
    <row r="2495" spans="2:18" x14ac:dyDescent="0.25">
      <c r="B2495" s="19" t="s">
        <v>3298</v>
      </c>
      <c r="C2495" s="16"/>
      <c r="D2495" s="16" t="s">
        <v>29</v>
      </c>
      <c r="E2495" s="16"/>
      <c r="F2495" s="5"/>
      <c r="G2495" s="16" t="s">
        <v>35</v>
      </c>
      <c r="H2495" s="16"/>
      <c r="I2495" s="16"/>
      <c r="J2495" s="16"/>
      <c r="K2495" s="16"/>
      <c r="L2495" s="16"/>
      <c r="M2495" s="16"/>
      <c r="N2495" s="16"/>
      <c r="O2495" s="17"/>
      <c r="P2495" s="5" t="str">
        <f t="shared" si="67"/>
        <v>Truncate table FSFC21;</v>
      </c>
      <c r="Q2495" s="5"/>
      <c r="R2495" s="5"/>
    </row>
    <row r="2496" spans="2:18" x14ac:dyDescent="0.25">
      <c r="B2496" s="19" t="s">
        <v>3299</v>
      </c>
      <c r="C2496" s="16"/>
      <c r="D2496" s="16" t="s">
        <v>29</v>
      </c>
      <c r="E2496" s="16"/>
      <c r="F2496" s="5"/>
      <c r="G2496" s="16" t="s">
        <v>35</v>
      </c>
      <c r="H2496" s="16"/>
      <c r="I2496" s="16"/>
      <c r="J2496" s="16"/>
      <c r="K2496" s="16"/>
      <c r="L2496" s="16"/>
      <c r="M2496" s="16"/>
      <c r="N2496" s="16"/>
      <c r="O2496" s="17"/>
      <c r="P2496" s="5" t="str">
        <f t="shared" si="67"/>
        <v>Truncate table FSFC22;</v>
      </c>
      <c r="Q2496" s="5"/>
      <c r="R2496" s="5"/>
    </row>
    <row r="2497" spans="2:18" x14ac:dyDescent="0.25">
      <c r="B2497" s="19" t="s">
        <v>3300</v>
      </c>
      <c r="C2497" s="16"/>
      <c r="D2497" s="16" t="s">
        <v>29</v>
      </c>
      <c r="E2497" s="16"/>
      <c r="F2497" s="5"/>
      <c r="G2497" s="16" t="s">
        <v>35</v>
      </c>
      <c r="H2497" s="16"/>
      <c r="I2497" s="16"/>
      <c r="J2497" s="16"/>
      <c r="K2497" s="16"/>
      <c r="L2497" s="16"/>
      <c r="M2497" s="16"/>
      <c r="N2497" s="16"/>
      <c r="O2497" s="17"/>
      <c r="P2497" s="5" t="str">
        <f t="shared" si="67"/>
        <v>Truncate table FSFC23;</v>
      </c>
      <c r="Q2497" s="5"/>
      <c r="R2497" s="5"/>
    </row>
    <row r="2498" spans="2:18" x14ac:dyDescent="0.25">
      <c r="B2498" s="19" t="s">
        <v>3301</v>
      </c>
      <c r="C2498" s="16"/>
      <c r="D2498" s="16" t="s">
        <v>29</v>
      </c>
      <c r="E2498" s="16"/>
      <c r="F2498" s="5"/>
      <c r="G2498" s="16" t="s">
        <v>35</v>
      </c>
      <c r="H2498" s="16"/>
      <c r="I2498" s="16"/>
      <c r="J2498" s="16"/>
      <c r="K2498" s="16"/>
      <c r="L2498" s="16"/>
      <c r="M2498" s="16"/>
      <c r="N2498" s="16"/>
      <c r="O2498" s="17"/>
      <c r="P2498" s="5" t="str">
        <f t="shared" si="67"/>
        <v>Truncate table FSFC24;</v>
      </c>
      <c r="Q2498" s="5"/>
      <c r="R2498" s="5"/>
    </row>
    <row r="2499" spans="2:18" x14ac:dyDescent="0.25">
      <c r="B2499" s="19" t="s">
        <v>3302</v>
      </c>
      <c r="C2499" s="16"/>
      <c r="D2499" s="16" t="s">
        <v>29</v>
      </c>
      <c r="E2499" s="16"/>
      <c r="F2499" s="5"/>
      <c r="G2499" s="16" t="s">
        <v>35</v>
      </c>
      <c r="H2499" s="16"/>
      <c r="I2499" s="16"/>
      <c r="J2499" s="16"/>
      <c r="K2499" s="16"/>
      <c r="L2499" s="16"/>
      <c r="M2499" s="16"/>
      <c r="N2499" s="16"/>
      <c r="O2499" s="17"/>
      <c r="P2499" s="5" t="str">
        <f t="shared" si="67"/>
        <v>Truncate table FSFC25;</v>
      </c>
      <c r="Q2499" s="5"/>
      <c r="R2499" s="5"/>
    </row>
    <row r="2500" spans="2:18" x14ac:dyDescent="0.25">
      <c r="B2500" s="19" t="s">
        <v>3303</v>
      </c>
      <c r="C2500" s="16"/>
      <c r="D2500" s="16" t="s">
        <v>29</v>
      </c>
      <c r="E2500" s="16"/>
      <c r="F2500" s="5"/>
      <c r="G2500" s="16" t="s">
        <v>35</v>
      </c>
      <c r="H2500" s="16"/>
      <c r="I2500" s="16"/>
      <c r="J2500" s="16"/>
      <c r="K2500" s="16"/>
      <c r="L2500" s="16"/>
      <c r="M2500" s="16"/>
      <c r="N2500" s="16"/>
      <c r="O2500" s="17"/>
      <c r="P2500" s="5" t="str">
        <f t="shared" si="67"/>
        <v>Truncate table FSFC26;</v>
      </c>
      <c r="Q2500" s="5"/>
      <c r="R2500" s="5"/>
    </row>
    <row r="2501" spans="2:18" x14ac:dyDescent="0.25">
      <c r="B2501" s="19" t="s">
        <v>3304</v>
      </c>
      <c r="C2501" s="16"/>
      <c r="D2501" s="16" t="s">
        <v>29</v>
      </c>
      <c r="E2501" s="16"/>
      <c r="F2501" s="5"/>
      <c r="G2501" s="16" t="s">
        <v>35</v>
      </c>
      <c r="H2501" s="16"/>
      <c r="I2501" s="16"/>
      <c r="J2501" s="16"/>
      <c r="K2501" s="16"/>
      <c r="L2501" s="16"/>
      <c r="M2501" s="16"/>
      <c r="N2501" s="16"/>
      <c r="O2501" s="17"/>
      <c r="P2501" s="5" t="str">
        <f t="shared" si="67"/>
        <v>Truncate table FSFC27;</v>
      </c>
      <c r="Q2501" s="5"/>
      <c r="R2501" s="5"/>
    </row>
    <row r="2502" spans="2:18" x14ac:dyDescent="0.25">
      <c r="B2502" s="19" t="s">
        <v>3305</v>
      </c>
      <c r="C2502" s="16"/>
      <c r="D2502" s="16" t="s">
        <v>29</v>
      </c>
      <c r="E2502" s="16"/>
      <c r="F2502" s="5"/>
      <c r="G2502" s="16" t="s">
        <v>35</v>
      </c>
      <c r="H2502" s="16"/>
      <c r="I2502" s="16"/>
      <c r="J2502" s="16"/>
      <c r="K2502" s="16"/>
      <c r="L2502" s="16"/>
      <c r="M2502" s="16"/>
      <c r="N2502" s="16"/>
      <c r="O2502" s="17"/>
      <c r="P2502" s="5" t="str">
        <f t="shared" si="67"/>
        <v>Truncate table FSFC28;</v>
      </c>
      <c r="Q2502" s="5"/>
      <c r="R2502" s="5"/>
    </row>
    <row r="2503" spans="2:18" x14ac:dyDescent="0.25">
      <c r="B2503" s="19" t="s">
        <v>3306</v>
      </c>
      <c r="C2503" s="16"/>
      <c r="D2503" s="16" t="s">
        <v>29</v>
      </c>
      <c r="E2503" s="16"/>
      <c r="F2503" s="5"/>
      <c r="G2503" s="16" t="s">
        <v>35</v>
      </c>
      <c r="H2503" s="16"/>
      <c r="I2503" s="16"/>
      <c r="J2503" s="16"/>
      <c r="K2503" s="16"/>
      <c r="L2503" s="16"/>
      <c r="M2503" s="16"/>
      <c r="N2503" s="16"/>
      <c r="O2503" s="17"/>
      <c r="P2503" s="5" t="str">
        <f t="shared" si="67"/>
        <v>Truncate table FSFC29;</v>
      </c>
      <c r="Q2503" s="5"/>
      <c r="R2503" s="5"/>
    </row>
    <row r="2504" spans="2:18" x14ac:dyDescent="0.25">
      <c r="B2504" s="19" t="s">
        <v>3307</v>
      </c>
      <c r="C2504" s="16"/>
      <c r="D2504" s="16" t="s">
        <v>29</v>
      </c>
      <c r="E2504" s="16"/>
      <c r="F2504" s="5"/>
      <c r="G2504" s="16" t="s">
        <v>35</v>
      </c>
      <c r="H2504" s="16"/>
      <c r="I2504" s="16"/>
      <c r="J2504" s="16"/>
      <c r="K2504" s="16"/>
      <c r="L2504" s="16"/>
      <c r="M2504" s="16"/>
      <c r="N2504" s="16"/>
      <c r="O2504" s="17"/>
      <c r="P2504" s="5" t="str">
        <f t="shared" si="67"/>
        <v>Truncate table FSFC30;</v>
      </c>
      <c r="Q2504" s="5"/>
      <c r="R2504" s="5"/>
    </row>
    <row r="2505" spans="2:18" x14ac:dyDescent="0.25">
      <c r="B2505" s="19" t="s">
        <v>3308</v>
      </c>
      <c r="C2505" s="16"/>
      <c r="D2505" s="16" t="s">
        <v>29</v>
      </c>
      <c r="E2505" s="16"/>
      <c r="F2505" s="5"/>
      <c r="G2505" s="16" t="s">
        <v>35</v>
      </c>
      <c r="H2505" s="16"/>
      <c r="I2505" s="16"/>
      <c r="J2505" s="16"/>
      <c r="K2505" s="16"/>
      <c r="L2505" s="16"/>
      <c r="M2505" s="16"/>
      <c r="N2505" s="16"/>
      <c r="O2505" s="17"/>
      <c r="P2505" s="5" t="str">
        <f t="shared" si="67"/>
        <v>Truncate table FSFC31;</v>
      </c>
      <c r="Q2505" s="5"/>
      <c r="R2505" s="5"/>
    </row>
    <row r="2506" spans="2:18" x14ac:dyDescent="0.25">
      <c r="B2506" s="19" t="s">
        <v>3309</v>
      </c>
      <c r="C2506" s="16"/>
      <c r="D2506" s="16" t="s">
        <v>29</v>
      </c>
      <c r="E2506" s="16"/>
      <c r="F2506" s="5"/>
      <c r="G2506" s="16" t="s">
        <v>35</v>
      </c>
      <c r="H2506" s="16"/>
      <c r="I2506" s="16"/>
      <c r="J2506" s="16"/>
      <c r="K2506" s="16"/>
      <c r="L2506" s="16"/>
      <c r="M2506" s="16"/>
      <c r="N2506" s="16"/>
      <c r="O2506" s="17"/>
      <c r="P2506" s="5" t="str">
        <f t="shared" si="67"/>
        <v>Truncate table FSFC32;</v>
      </c>
      <c r="Q2506" s="5"/>
      <c r="R2506" s="5"/>
    </row>
    <row r="2507" spans="2:18" x14ac:dyDescent="0.25">
      <c r="B2507" s="19" t="s">
        <v>3310</v>
      </c>
      <c r="C2507" s="16"/>
      <c r="D2507" s="16" t="s">
        <v>29</v>
      </c>
      <c r="E2507" s="16"/>
      <c r="F2507" s="5"/>
      <c r="G2507" s="16" t="s">
        <v>35</v>
      </c>
      <c r="H2507" s="16"/>
      <c r="I2507" s="16"/>
      <c r="J2507" s="16"/>
      <c r="K2507" s="16"/>
      <c r="L2507" s="16"/>
      <c r="M2507" s="16"/>
      <c r="N2507" s="16"/>
      <c r="O2507" s="17"/>
      <c r="P2507" s="5" t="str">
        <f t="shared" si="67"/>
        <v>Truncate table FSFCA9;</v>
      </c>
      <c r="Q2507" s="5"/>
      <c r="R2507" s="5"/>
    </row>
    <row r="2508" spans="2:18" x14ac:dyDescent="0.25">
      <c r="B2508" s="19" t="s">
        <v>3311</v>
      </c>
      <c r="C2508" s="16"/>
      <c r="D2508" s="16" t="s">
        <v>29</v>
      </c>
      <c r="E2508" s="16"/>
      <c r="F2508" s="5"/>
      <c r="G2508" s="16" t="s">
        <v>35</v>
      </c>
      <c r="H2508" s="16"/>
      <c r="I2508" s="16"/>
      <c r="J2508" s="16"/>
      <c r="K2508" s="16"/>
      <c r="L2508" s="16"/>
      <c r="M2508" s="16"/>
      <c r="N2508" s="16"/>
      <c r="O2508" s="17"/>
      <c r="P2508" s="5" t="str">
        <f t="shared" si="67"/>
        <v>Truncate table FSFCX1;</v>
      </c>
      <c r="Q2508" s="5"/>
      <c r="R2508" s="5"/>
    </row>
    <row r="2509" spans="2:18" x14ac:dyDescent="0.25">
      <c r="B2509" s="19" t="s">
        <v>3312</v>
      </c>
      <c r="C2509" s="16"/>
      <c r="D2509" s="16" t="s">
        <v>29</v>
      </c>
      <c r="E2509" s="16"/>
      <c r="F2509" s="5"/>
      <c r="G2509" s="16" t="s">
        <v>35</v>
      </c>
      <c r="H2509" s="16"/>
      <c r="I2509" s="16"/>
      <c r="J2509" s="16"/>
      <c r="K2509" s="16"/>
      <c r="L2509" s="16"/>
      <c r="M2509" s="16"/>
      <c r="N2509" s="16"/>
      <c r="O2509" s="17"/>
      <c r="P2509" s="5" t="str">
        <f t="shared" si="67"/>
        <v>Truncate table FSFCX1L;</v>
      </c>
      <c r="Q2509" s="5"/>
      <c r="R2509" s="5"/>
    </row>
    <row r="2510" spans="2:18" x14ac:dyDescent="0.25">
      <c r="B2510" s="19" t="s">
        <v>3313</v>
      </c>
      <c r="C2510" s="16"/>
      <c r="D2510" s="16" t="s">
        <v>29</v>
      </c>
      <c r="E2510" s="16"/>
      <c r="F2510" s="5"/>
      <c r="G2510" s="16" t="s">
        <v>35</v>
      </c>
      <c r="H2510" s="16"/>
      <c r="I2510" s="16"/>
      <c r="J2510" s="16"/>
      <c r="K2510" s="16"/>
      <c r="L2510" s="16"/>
      <c r="M2510" s="16"/>
      <c r="N2510" s="16"/>
      <c r="O2510" s="17"/>
      <c r="P2510" s="5" t="str">
        <f t="shared" si="67"/>
        <v>Truncate table FSFCX2;</v>
      </c>
      <c r="Q2510" s="5"/>
      <c r="R2510" s="5"/>
    </row>
    <row r="2511" spans="2:18" x14ac:dyDescent="0.25">
      <c r="B2511" s="19" t="s">
        <v>3314</v>
      </c>
      <c r="C2511" s="16"/>
      <c r="D2511" s="16" t="s">
        <v>29</v>
      </c>
      <c r="E2511" s="16"/>
      <c r="F2511" s="5"/>
      <c r="G2511" s="16" t="s">
        <v>35</v>
      </c>
      <c r="H2511" s="16"/>
      <c r="I2511" s="16"/>
      <c r="J2511" s="16"/>
      <c r="K2511" s="16"/>
      <c r="L2511" s="16"/>
      <c r="M2511" s="16"/>
      <c r="N2511" s="16"/>
      <c r="O2511" s="17"/>
      <c r="P2511" s="5" t="str">
        <f t="shared" si="67"/>
        <v>Truncate table FSFCX2L;</v>
      </c>
      <c r="Q2511" s="5"/>
      <c r="R2511" s="5"/>
    </row>
    <row r="2512" spans="2:18" x14ac:dyDescent="0.25">
      <c r="B2512" s="19" t="s">
        <v>3315</v>
      </c>
      <c r="C2512" s="16"/>
      <c r="D2512" s="16" t="s">
        <v>29</v>
      </c>
      <c r="E2512" s="16"/>
      <c r="F2512" s="5"/>
      <c r="G2512" s="16" t="s">
        <v>35</v>
      </c>
      <c r="H2512" s="16"/>
      <c r="I2512" s="16"/>
      <c r="J2512" s="16"/>
      <c r="K2512" s="16"/>
      <c r="L2512" s="16"/>
      <c r="M2512" s="16"/>
      <c r="N2512" s="16"/>
      <c r="O2512" s="17"/>
      <c r="P2512" s="5" t="str">
        <f t="shared" si="67"/>
        <v>Truncate table FSFCX3;</v>
      </c>
      <c r="Q2512" s="5"/>
      <c r="R2512" s="5"/>
    </row>
    <row r="2513" spans="2:18" x14ac:dyDescent="0.25">
      <c r="B2513" s="19" t="s">
        <v>3316</v>
      </c>
      <c r="C2513" s="16"/>
      <c r="D2513" s="16" t="s">
        <v>29</v>
      </c>
      <c r="E2513" s="16"/>
      <c r="F2513" s="5"/>
      <c r="G2513" s="16" t="s">
        <v>35</v>
      </c>
      <c r="H2513" s="16"/>
      <c r="I2513" s="16"/>
      <c r="J2513" s="16"/>
      <c r="K2513" s="16"/>
      <c r="L2513" s="16"/>
      <c r="M2513" s="16"/>
      <c r="N2513" s="16"/>
      <c r="O2513" s="17"/>
      <c r="P2513" s="5" t="str">
        <f t="shared" si="67"/>
        <v>Truncate table FSFCX3L;</v>
      </c>
      <c r="Q2513" s="5"/>
      <c r="R2513" s="5"/>
    </row>
    <row r="2514" spans="2:18" x14ac:dyDescent="0.25">
      <c r="B2514" s="19" t="s">
        <v>3317</v>
      </c>
      <c r="C2514" s="16"/>
      <c r="D2514" s="16" t="s">
        <v>29</v>
      </c>
      <c r="E2514" s="16"/>
      <c r="F2514" s="5"/>
      <c r="G2514" s="16" t="s">
        <v>35</v>
      </c>
      <c r="H2514" s="16"/>
      <c r="I2514" s="16"/>
      <c r="J2514" s="16"/>
      <c r="K2514" s="16"/>
      <c r="L2514" s="16"/>
      <c r="M2514" s="16"/>
      <c r="N2514" s="16"/>
      <c r="O2514" s="17"/>
      <c r="P2514" s="5" t="str">
        <f t="shared" si="67"/>
        <v>Truncate table FSFD01;</v>
      </c>
      <c r="Q2514" s="5"/>
      <c r="R2514" s="5"/>
    </row>
    <row r="2515" spans="2:18" x14ac:dyDescent="0.25">
      <c r="B2515" s="19" t="s">
        <v>3318</v>
      </c>
      <c r="C2515" s="16"/>
      <c r="D2515" s="16" t="s">
        <v>29</v>
      </c>
      <c r="E2515" s="16"/>
      <c r="F2515" s="5"/>
      <c r="G2515" s="16" t="s">
        <v>35</v>
      </c>
      <c r="H2515" s="16"/>
      <c r="I2515" s="16"/>
      <c r="J2515" s="16"/>
      <c r="K2515" s="16"/>
      <c r="L2515" s="16"/>
      <c r="M2515" s="16"/>
      <c r="N2515" s="16"/>
      <c r="O2515" s="17"/>
      <c r="P2515" s="5" t="str">
        <f t="shared" si="67"/>
        <v>Truncate table FSFD02;</v>
      </c>
      <c r="Q2515" s="5"/>
      <c r="R2515" s="5"/>
    </row>
    <row r="2516" spans="2:18" x14ac:dyDescent="0.25">
      <c r="B2516" s="19" t="s">
        <v>3319</v>
      </c>
      <c r="C2516" s="16" t="s">
        <v>3320</v>
      </c>
      <c r="D2516" s="16" t="s">
        <v>29</v>
      </c>
      <c r="E2516" s="16" t="s">
        <v>3007</v>
      </c>
      <c r="F2516" s="5" t="s">
        <v>3133</v>
      </c>
      <c r="G2516" s="16" t="s">
        <v>28</v>
      </c>
      <c r="H2516" s="16" t="s">
        <v>36</v>
      </c>
      <c r="I2516" s="16"/>
      <c r="J2516" s="16"/>
      <c r="K2516" s="16"/>
      <c r="L2516" s="16"/>
      <c r="M2516" s="16"/>
      <c r="N2516" s="16"/>
      <c r="O2516" s="17" t="s">
        <v>38</v>
      </c>
      <c r="P2516" s="5" t="str">
        <f t="shared" si="67"/>
        <v>Truncate table FSFD03;</v>
      </c>
      <c r="Q2516" s="5"/>
      <c r="R2516" s="5"/>
    </row>
    <row r="2517" spans="2:18" ht="40.5" x14ac:dyDescent="0.25">
      <c r="B2517" s="4" t="s">
        <v>3321</v>
      </c>
      <c r="C2517" s="5" t="s">
        <v>3322</v>
      </c>
      <c r="D2517" s="16" t="s">
        <v>29</v>
      </c>
      <c r="E2517" s="5" t="s">
        <v>3007</v>
      </c>
      <c r="F2517" s="5" t="s">
        <v>3133</v>
      </c>
      <c r="G2517" s="16" t="s">
        <v>35</v>
      </c>
      <c r="H2517" s="16" t="s">
        <v>36</v>
      </c>
      <c r="I2517" s="5" t="s">
        <v>3323</v>
      </c>
      <c r="J2517" s="5" t="s">
        <v>3324</v>
      </c>
      <c r="K2517" s="5" t="s">
        <v>3325</v>
      </c>
      <c r="L2517" s="5"/>
      <c r="M2517" s="5"/>
      <c r="N2517" s="5"/>
      <c r="O2517" s="17"/>
      <c r="P2517" s="5" t="str">
        <f t="shared" si="67"/>
        <v>Truncate table FSFDUR;</v>
      </c>
      <c r="Q2517" s="5"/>
      <c r="R2517" s="5"/>
    </row>
    <row r="2518" spans="2:18" x14ac:dyDescent="0.25">
      <c r="B2518" s="19" t="s">
        <v>3326</v>
      </c>
      <c r="C2518" s="16"/>
      <c r="D2518" s="16" t="s">
        <v>29</v>
      </c>
      <c r="E2518" s="16"/>
      <c r="F2518" s="5"/>
      <c r="G2518" s="16" t="s">
        <v>35</v>
      </c>
      <c r="H2518" s="16"/>
      <c r="I2518" s="16"/>
      <c r="J2518" s="16"/>
      <c r="K2518" s="16"/>
      <c r="L2518" s="16"/>
      <c r="M2518" s="16"/>
      <c r="N2518" s="16"/>
      <c r="O2518" s="17"/>
      <c r="P2518" s="5" t="str">
        <f t="shared" si="67"/>
        <v>Truncate table FSFE01;</v>
      </c>
      <c r="Q2518" s="5"/>
      <c r="R2518" s="5"/>
    </row>
    <row r="2519" spans="2:18" ht="40.5" x14ac:dyDescent="0.25">
      <c r="B2519" s="4" t="s">
        <v>3327</v>
      </c>
      <c r="C2519" s="5" t="s">
        <v>3328</v>
      </c>
      <c r="D2519" s="248" t="s">
        <v>29</v>
      </c>
      <c r="E2519" s="5" t="s">
        <v>3007</v>
      </c>
      <c r="F2519" s="5" t="s">
        <v>3133</v>
      </c>
      <c r="G2519" s="16" t="s">
        <v>35</v>
      </c>
      <c r="H2519" s="16" t="s">
        <v>36</v>
      </c>
      <c r="I2519" s="5" t="s">
        <v>3329</v>
      </c>
      <c r="J2519" s="5" t="s">
        <v>3330</v>
      </c>
      <c r="K2519" s="5" t="s">
        <v>3331</v>
      </c>
      <c r="L2519" s="5"/>
      <c r="M2519" s="5"/>
      <c r="N2519" s="5"/>
      <c r="O2519" s="17"/>
      <c r="P2519" s="5" t="str">
        <f t="shared" si="67"/>
        <v>Truncate table FSFE06;</v>
      </c>
      <c r="Q2519" s="5"/>
      <c r="R2519" s="5"/>
    </row>
    <row r="2520" spans="2:18" x14ac:dyDescent="0.25">
      <c r="B2520" s="19" t="s">
        <v>3332</v>
      </c>
      <c r="C2520" s="16"/>
      <c r="D2520" s="16" t="s">
        <v>29</v>
      </c>
      <c r="E2520" s="16"/>
      <c r="F2520" s="5"/>
      <c r="G2520" s="16" t="s">
        <v>35</v>
      </c>
      <c r="H2520" s="16"/>
      <c r="I2520" s="16"/>
      <c r="J2520" s="16"/>
      <c r="K2520" s="16"/>
      <c r="L2520" s="16"/>
      <c r="M2520" s="16"/>
      <c r="N2520" s="16"/>
      <c r="O2520" s="17"/>
      <c r="P2520" s="5" t="str">
        <f t="shared" si="67"/>
        <v>Truncate table FSFF00;</v>
      </c>
      <c r="Q2520" s="5"/>
      <c r="R2520" s="5"/>
    </row>
    <row r="2521" spans="2:18" x14ac:dyDescent="0.25">
      <c r="B2521" s="19" t="s">
        <v>3333</v>
      </c>
      <c r="C2521" s="16"/>
      <c r="D2521" s="16" t="s">
        <v>29</v>
      </c>
      <c r="E2521" s="16"/>
      <c r="F2521" s="5"/>
      <c r="G2521" s="16" t="s">
        <v>35</v>
      </c>
      <c r="H2521" s="16"/>
      <c r="I2521" s="16"/>
      <c r="J2521" s="16"/>
      <c r="K2521" s="16"/>
      <c r="L2521" s="16"/>
      <c r="M2521" s="16"/>
      <c r="N2521" s="16"/>
      <c r="O2521" s="17"/>
      <c r="P2521" s="5" t="str">
        <f t="shared" si="67"/>
        <v>Truncate table FSFF01;</v>
      </c>
      <c r="Q2521" s="5"/>
      <c r="R2521" s="5"/>
    </row>
    <row r="2522" spans="2:18" x14ac:dyDescent="0.25">
      <c r="B2522" s="19" t="s">
        <v>3334</v>
      </c>
      <c r="C2522" s="16"/>
      <c r="D2522" s="16" t="s">
        <v>29</v>
      </c>
      <c r="E2522" s="16"/>
      <c r="F2522" s="5"/>
      <c r="G2522" s="16" t="s">
        <v>35</v>
      </c>
      <c r="H2522" s="16"/>
      <c r="I2522" s="16"/>
      <c r="J2522" s="16"/>
      <c r="K2522" s="16"/>
      <c r="L2522" s="16"/>
      <c r="M2522" s="16"/>
      <c r="N2522" s="16"/>
      <c r="O2522" s="17"/>
      <c r="P2522" s="5" t="str">
        <f t="shared" si="67"/>
        <v>Truncate table FSFF02;</v>
      </c>
      <c r="Q2522" s="5"/>
      <c r="R2522" s="5"/>
    </row>
    <row r="2523" spans="2:18" x14ac:dyDescent="0.25">
      <c r="B2523" s="19" t="s">
        <v>3335</v>
      </c>
      <c r="C2523" s="16"/>
      <c r="D2523" s="16" t="s">
        <v>29</v>
      </c>
      <c r="E2523" s="16"/>
      <c r="F2523" s="5"/>
      <c r="G2523" s="16" t="s">
        <v>35</v>
      </c>
      <c r="H2523" s="16"/>
      <c r="I2523" s="16"/>
      <c r="J2523" s="16"/>
      <c r="K2523" s="16"/>
      <c r="L2523" s="16"/>
      <c r="M2523" s="16"/>
      <c r="N2523" s="16"/>
      <c r="O2523" s="17"/>
      <c r="P2523" s="5" t="str">
        <f t="shared" si="67"/>
        <v>Truncate table FSFF03;</v>
      </c>
      <c r="Q2523" s="5"/>
      <c r="R2523" s="5"/>
    </row>
    <row r="2524" spans="2:18" x14ac:dyDescent="0.25">
      <c r="B2524" s="19" t="s">
        <v>3336</v>
      </c>
      <c r="C2524" s="16"/>
      <c r="D2524" s="16" t="s">
        <v>29</v>
      </c>
      <c r="E2524" s="16"/>
      <c r="F2524" s="5"/>
      <c r="G2524" s="16" t="s">
        <v>35</v>
      </c>
      <c r="H2524" s="16"/>
      <c r="I2524" s="16"/>
      <c r="J2524" s="16"/>
      <c r="K2524" s="16"/>
      <c r="L2524" s="16"/>
      <c r="M2524" s="16"/>
      <c r="N2524" s="16"/>
      <c r="O2524" s="17"/>
      <c r="P2524" s="5" t="str">
        <f t="shared" si="67"/>
        <v>Truncate table FSFF04;</v>
      </c>
      <c r="Q2524" s="5"/>
      <c r="R2524" s="5"/>
    </row>
    <row r="2525" spans="2:18" x14ac:dyDescent="0.25">
      <c r="B2525" s="19" t="s">
        <v>3337</v>
      </c>
      <c r="C2525" s="16"/>
      <c r="D2525" s="16" t="s">
        <v>29</v>
      </c>
      <c r="E2525" s="16"/>
      <c r="F2525" s="5"/>
      <c r="G2525" s="16" t="s">
        <v>35</v>
      </c>
      <c r="H2525" s="16"/>
      <c r="I2525" s="16"/>
      <c r="J2525" s="16"/>
      <c r="K2525" s="16"/>
      <c r="L2525" s="16"/>
      <c r="M2525" s="16"/>
      <c r="N2525" s="16"/>
      <c r="O2525" s="17"/>
      <c r="P2525" s="5" t="str">
        <f t="shared" si="67"/>
        <v>Truncate table FSFF05;</v>
      </c>
      <c r="Q2525" s="5"/>
      <c r="R2525" s="5"/>
    </row>
    <row r="2526" spans="2:18" x14ac:dyDescent="0.25">
      <c r="B2526" s="19" t="s">
        <v>3338</v>
      </c>
      <c r="C2526" s="16"/>
      <c r="D2526" s="16" t="s">
        <v>29</v>
      </c>
      <c r="E2526" s="16"/>
      <c r="F2526" s="5"/>
      <c r="G2526" s="16" t="s">
        <v>35</v>
      </c>
      <c r="H2526" s="16"/>
      <c r="I2526" s="16"/>
      <c r="J2526" s="16"/>
      <c r="K2526" s="16"/>
      <c r="L2526" s="16"/>
      <c r="M2526" s="16"/>
      <c r="N2526" s="16"/>
      <c r="O2526" s="17"/>
      <c r="P2526" s="5" t="str">
        <f t="shared" si="67"/>
        <v>Truncate table FSFF06;</v>
      </c>
      <c r="Q2526" s="5"/>
      <c r="R2526" s="5"/>
    </row>
    <row r="2527" spans="2:18" x14ac:dyDescent="0.25">
      <c r="B2527" s="19" t="s">
        <v>3339</v>
      </c>
      <c r="C2527" s="16"/>
      <c r="D2527" s="16" t="s">
        <v>29</v>
      </c>
      <c r="E2527" s="16"/>
      <c r="F2527" s="5"/>
      <c r="G2527" s="16" t="s">
        <v>35</v>
      </c>
      <c r="H2527" s="16"/>
      <c r="I2527" s="16"/>
      <c r="J2527" s="16"/>
      <c r="K2527" s="16"/>
      <c r="L2527" s="16"/>
      <c r="M2527" s="16"/>
      <c r="N2527" s="16"/>
      <c r="O2527" s="17"/>
      <c r="P2527" s="5" t="str">
        <f t="shared" si="67"/>
        <v>Truncate table FSFF07;</v>
      </c>
      <c r="Q2527" s="5"/>
      <c r="R2527" s="5"/>
    </row>
    <row r="2528" spans="2:18" x14ac:dyDescent="0.25">
      <c r="B2528" s="19" t="s">
        <v>3340</v>
      </c>
      <c r="C2528" s="16"/>
      <c r="D2528" s="16" t="s">
        <v>29</v>
      </c>
      <c r="E2528" s="16"/>
      <c r="F2528" s="5"/>
      <c r="G2528" s="16" t="s">
        <v>35</v>
      </c>
      <c r="H2528" s="16"/>
      <c r="I2528" s="16"/>
      <c r="J2528" s="16"/>
      <c r="K2528" s="16"/>
      <c r="L2528" s="16"/>
      <c r="M2528" s="16"/>
      <c r="N2528" s="16"/>
      <c r="O2528" s="17"/>
      <c r="P2528" s="5" t="str">
        <f t="shared" si="67"/>
        <v>Truncate table FSFF08;</v>
      </c>
      <c r="Q2528" s="5"/>
      <c r="R2528" s="5"/>
    </row>
    <row r="2529" spans="2:18" x14ac:dyDescent="0.25">
      <c r="B2529" s="19" t="s">
        <v>3341</v>
      </c>
      <c r="C2529" s="16"/>
      <c r="D2529" s="16" t="s">
        <v>29</v>
      </c>
      <c r="E2529" s="16"/>
      <c r="F2529" s="5"/>
      <c r="G2529" s="16" t="s">
        <v>35</v>
      </c>
      <c r="H2529" s="16"/>
      <c r="I2529" s="16"/>
      <c r="J2529" s="16"/>
      <c r="K2529" s="16"/>
      <c r="L2529" s="16"/>
      <c r="M2529" s="16"/>
      <c r="N2529" s="16"/>
      <c r="O2529" s="17"/>
      <c r="P2529" s="5" t="str">
        <f t="shared" si="67"/>
        <v>Truncate table FSFF09;</v>
      </c>
      <c r="Q2529" s="5"/>
      <c r="R2529" s="5"/>
    </row>
    <row r="2530" spans="2:18" x14ac:dyDescent="0.25">
      <c r="B2530" s="19" t="s">
        <v>3342</v>
      </c>
      <c r="C2530" s="16"/>
      <c r="D2530" s="16" t="s">
        <v>29</v>
      </c>
      <c r="E2530" s="16"/>
      <c r="F2530" s="5"/>
      <c r="G2530" s="16" t="s">
        <v>35</v>
      </c>
      <c r="H2530" s="16"/>
      <c r="I2530" s="16"/>
      <c r="J2530" s="16"/>
      <c r="K2530" s="16"/>
      <c r="L2530" s="16"/>
      <c r="M2530" s="16"/>
      <c r="N2530" s="16"/>
      <c r="O2530" s="17"/>
      <c r="P2530" s="5" t="str">
        <f t="shared" si="67"/>
        <v>Truncate table FSFF10;</v>
      </c>
      <c r="Q2530" s="5"/>
      <c r="R2530" s="5"/>
    </row>
    <row r="2531" spans="2:18" x14ac:dyDescent="0.25">
      <c r="B2531" s="19" t="s">
        <v>3343</v>
      </c>
      <c r="C2531" s="16"/>
      <c r="D2531" s="16" t="s">
        <v>29</v>
      </c>
      <c r="E2531" s="16"/>
      <c r="F2531" s="5"/>
      <c r="G2531" s="16" t="s">
        <v>35</v>
      </c>
      <c r="H2531" s="16"/>
      <c r="I2531" s="16"/>
      <c r="J2531" s="16"/>
      <c r="K2531" s="16"/>
      <c r="L2531" s="16"/>
      <c r="M2531" s="16"/>
      <c r="N2531" s="16"/>
      <c r="O2531" s="17"/>
      <c r="P2531" s="5" t="str">
        <f t="shared" si="67"/>
        <v>Truncate table FSFF11;</v>
      </c>
      <c r="Q2531" s="5"/>
      <c r="R2531" s="5"/>
    </row>
    <row r="2532" spans="2:18" x14ac:dyDescent="0.25">
      <c r="B2532" s="19" t="s">
        <v>3344</v>
      </c>
      <c r="C2532" s="16"/>
      <c r="D2532" s="16" t="s">
        <v>29</v>
      </c>
      <c r="E2532" s="16"/>
      <c r="F2532" s="5"/>
      <c r="G2532" s="16" t="s">
        <v>35</v>
      </c>
      <c r="H2532" s="16"/>
      <c r="I2532" s="16"/>
      <c r="J2532" s="16"/>
      <c r="K2532" s="16"/>
      <c r="L2532" s="16"/>
      <c r="M2532" s="16"/>
      <c r="N2532" s="16"/>
      <c r="O2532" s="17"/>
      <c r="P2532" s="5" t="str">
        <f t="shared" si="67"/>
        <v>Truncate table FSFF12;</v>
      </c>
      <c r="Q2532" s="5"/>
      <c r="R2532" s="5"/>
    </row>
    <row r="2533" spans="2:18" x14ac:dyDescent="0.25">
      <c r="B2533" s="19" t="s">
        <v>3345</v>
      </c>
      <c r="C2533" s="16"/>
      <c r="D2533" s="16" t="s">
        <v>29</v>
      </c>
      <c r="E2533" s="16"/>
      <c r="F2533" s="5"/>
      <c r="G2533" s="16" t="s">
        <v>35</v>
      </c>
      <c r="H2533" s="16"/>
      <c r="I2533" s="16"/>
      <c r="J2533" s="16"/>
      <c r="K2533" s="16"/>
      <c r="L2533" s="16"/>
      <c r="M2533" s="16"/>
      <c r="N2533" s="16"/>
      <c r="O2533" s="17"/>
      <c r="P2533" s="5" t="str">
        <f t="shared" si="67"/>
        <v>Truncate table FSFF13;</v>
      </c>
      <c r="Q2533" s="5"/>
      <c r="R2533" s="5"/>
    </row>
    <row r="2534" spans="2:18" x14ac:dyDescent="0.25">
      <c r="B2534" s="19" t="s">
        <v>3346</v>
      </c>
      <c r="C2534" s="16"/>
      <c r="D2534" s="16" t="s">
        <v>29</v>
      </c>
      <c r="E2534" s="16"/>
      <c r="F2534" s="5"/>
      <c r="G2534" s="16" t="s">
        <v>35</v>
      </c>
      <c r="H2534" s="16"/>
      <c r="I2534" s="16"/>
      <c r="J2534" s="16"/>
      <c r="K2534" s="16"/>
      <c r="L2534" s="16"/>
      <c r="M2534" s="16"/>
      <c r="N2534" s="16"/>
      <c r="O2534" s="17"/>
      <c r="P2534" s="5" t="str">
        <f t="shared" si="67"/>
        <v>Truncate table FSFF14;</v>
      </c>
      <c r="Q2534" s="5"/>
      <c r="R2534" s="5"/>
    </row>
    <row r="2535" spans="2:18" x14ac:dyDescent="0.25">
      <c r="B2535" s="19" t="s">
        <v>3347</v>
      </c>
      <c r="C2535" s="16"/>
      <c r="D2535" s="16" t="s">
        <v>29</v>
      </c>
      <c r="E2535" s="16"/>
      <c r="F2535" s="5"/>
      <c r="G2535" s="16" t="s">
        <v>35</v>
      </c>
      <c r="H2535" s="16"/>
      <c r="I2535" s="16"/>
      <c r="J2535" s="16"/>
      <c r="K2535" s="16"/>
      <c r="L2535" s="16"/>
      <c r="M2535" s="16"/>
      <c r="N2535" s="16"/>
      <c r="O2535" s="17"/>
      <c r="P2535" s="5" t="str">
        <f t="shared" si="67"/>
        <v>Truncate table FSFF15;</v>
      </c>
      <c r="Q2535" s="5"/>
      <c r="R2535" s="5"/>
    </row>
    <row r="2536" spans="2:18" x14ac:dyDescent="0.25">
      <c r="B2536" s="19" t="s">
        <v>3348</v>
      </c>
      <c r="C2536" s="16"/>
      <c r="D2536" s="16" t="s">
        <v>29</v>
      </c>
      <c r="E2536" s="16"/>
      <c r="F2536" s="5"/>
      <c r="G2536" s="16" t="s">
        <v>35</v>
      </c>
      <c r="H2536" s="16"/>
      <c r="I2536" s="16"/>
      <c r="J2536" s="16"/>
      <c r="K2536" s="16"/>
      <c r="L2536" s="16"/>
      <c r="M2536" s="16"/>
      <c r="N2536" s="16"/>
      <c r="O2536" s="17"/>
      <c r="P2536" s="5" t="str">
        <f t="shared" si="67"/>
        <v>Truncate table FSFF16;</v>
      </c>
      <c r="Q2536" s="5"/>
      <c r="R2536" s="5"/>
    </row>
    <row r="2537" spans="2:18" x14ac:dyDescent="0.25">
      <c r="B2537" s="19" t="s">
        <v>3349</v>
      </c>
      <c r="C2537" s="16"/>
      <c r="D2537" s="16" t="s">
        <v>29</v>
      </c>
      <c r="E2537" s="16"/>
      <c r="F2537" s="5"/>
      <c r="G2537" s="16" t="s">
        <v>35</v>
      </c>
      <c r="H2537" s="16"/>
      <c r="I2537" s="16"/>
      <c r="J2537" s="16"/>
      <c r="K2537" s="16"/>
      <c r="L2537" s="16"/>
      <c r="M2537" s="16"/>
      <c r="N2537" s="16"/>
      <c r="O2537" s="17"/>
      <c r="P2537" s="5" t="str">
        <f t="shared" si="67"/>
        <v>Truncate table FSFF17;</v>
      </c>
      <c r="Q2537" s="5"/>
      <c r="R2537" s="5"/>
    </row>
    <row r="2538" spans="2:18" x14ac:dyDescent="0.25">
      <c r="B2538" s="19" t="s">
        <v>3350</v>
      </c>
      <c r="C2538" s="16"/>
      <c r="D2538" s="16" t="s">
        <v>29</v>
      </c>
      <c r="E2538" s="16"/>
      <c r="F2538" s="5"/>
      <c r="G2538" s="16" t="s">
        <v>35</v>
      </c>
      <c r="H2538" s="16"/>
      <c r="I2538" s="16"/>
      <c r="J2538" s="16"/>
      <c r="K2538" s="16"/>
      <c r="L2538" s="16"/>
      <c r="M2538" s="16"/>
      <c r="N2538" s="16"/>
      <c r="O2538" s="17"/>
      <c r="P2538" s="5" t="str">
        <f t="shared" si="67"/>
        <v>Truncate table FSFF18;</v>
      </c>
      <c r="Q2538" s="5"/>
      <c r="R2538" s="5"/>
    </row>
    <row r="2539" spans="2:18" x14ac:dyDescent="0.25">
      <c r="B2539" s="19" t="s">
        <v>3351</v>
      </c>
      <c r="C2539" s="16"/>
      <c r="D2539" s="16" t="s">
        <v>29</v>
      </c>
      <c r="E2539" s="16"/>
      <c r="F2539" s="5"/>
      <c r="G2539" s="16" t="s">
        <v>35</v>
      </c>
      <c r="H2539" s="16"/>
      <c r="I2539" s="16"/>
      <c r="J2539" s="16"/>
      <c r="K2539" s="16"/>
      <c r="L2539" s="16"/>
      <c r="M2539" s="16"/>
      <c r="N2539" s="16"/>
      <c r="O2539" s="17"/>
      <c r="P2539" s="5" t="str">
        <f t="shared" si="67"/>
        <v>Truncate table FSFF19;</v>
      </c>
      <c r="Q2539" s="5"/>
      <c r="R2539" s="5"/>
    </row>
    <row r="2540" spans="2:18" x14ac:dyDescent="0.25">
      <c r="B2540" s="19" t="s">
        <v>3352</v>
      </c>
      <c r="C2540" s="16"/>
      <c r="D2540" s="16" t="s">
        <v>29</v>
      </c>
      <c r="E2540" s="16"/>
      <c r="F2540" s="5"/>
      <c r="G2540" s="16" t="s">
        <v>35</v>
      </c>
      <c r="H2540" s="16"/>
      <c r="I2540" s="16"/>
      <c r="J2540" s="16"/>
      <c r="K2540" s="16"/>
      <c r="L2540" s="16"/>
      <c r="M2540" s="16"/>
      <c r="N2540" s="16"/>
      <c r="O2540" s="17"/>
      <c r="P2540" s="5" t="str">
        <f t="shared" si="67"/>
        <v>Truncate table FSFF20;</v>
      </c>
      <c r="Q2540" s="5"/>
      <c r="R2540" s="5"/>
    </row>
    <row r="2541" spans="2:18" x14ac:dyDescent="0.25">
      <c r="B2541" s="19" t="s">
        <v>3353</v>
      </c>
      <c r="C2541" s="16"/>
      <c r="D2541" s="16" t="s">
        <v>29</v>
      </c>
      <c r="E2541" s="16"/>
      <c r="F2541" s="5"/>
      <c r="G2541" s="16" t="s">
        <v>35</v>
      </c>
      <c r="H2541" s="16"/>
      <c r="I2541" s="16"/>
      <c r="J2541" s="16"/>
      <c r="K2541" s="16"/>
      <c r="L2541" s="16"/>
      <c r="M2541" s="16"/>
      <c r="N2541" s="16"/>
      <c r="O2541" s="17"/>
      <c r="P2541" s="5" t="str">
        <f t="shared" si="67"/>
        <v>Truncate table FSFF21;</v>
      </c>
      <c r="Q2541" s="5"/>
      <c r="R2541" s="5"/>
    </row>
    <row r="2542" spans="2:18" x14ac:dyDescent="0.25">
      <c r="B2542" s="19" t="s">
        <v>3354</v>
      </c>
      <c r="C2542" s="16"/>
      <c r="D2542" s="16" t="s">
        <v>29</v>
      </c>
      <c r="E2542" s="16"/>
      <c r="F2542" s="5"/>
      <c r="G2542" s="16" t="s">
        <v>35</v>
      </c>
      <c r="H2542" s="16"/>
      <c r="I2542" s="16"/>
      <c r="J2542" s="16"/>
      <c r="K2542" s="16"/>
      <c r="L2542" s="16"/>
      <c r="M2542" s="16"/>
      <c r="N2542" s="16"/>
      <c r="O2542" s="17"/>
      <c r="P2542" s="5" t="str">
        <f t="shared" si="67"/>
        <v>Truncate table FSFF22;</v>
      </c>
      <c r="Q2542" s="5"/>
      <c r="R2542" s="5"/>
    </row>
    <row r="2543" spans="2:18" x14ac:dyDescent="0.25">
      <c r="B2543" s="19" t="s">
        <v>3355</v>
      </c>
      <c r="C2543" s="16"/>
      <c r="D2543" s="16" t="s">
        <v>29</v>
      </c>
      <c r="E2543" s="16"/>
      <c r="F2543" s="5"/>
      <c r="G2543" s="16" t="s">
        <v>35</v>
      </c>
      <c r="H2543" s="16"/>
      <c r="I2543" s="16"/>
      <c r="J2543" s="16"/>
      <c r="K2543" s="16"/>
      <c r="L2543" s="16"/>
      <c r="M2543" s="16"/>
      <c r="N2543" s="16"/>
      <c r="O2543" s="17"/>
      <c r="P2543" s="5" t="str">
        <f t="shared" si="67"/>
        <v>Truncate table FSFF23;</v>
      </c>
      <c r="Q2543" s="5"/>
      <c r="R2543" s="5"/>
    </row>
    <row r="2544" spans="2:18" x14ac:dyDescent="0.25">
      <c r="B2544" s="19" t="s">
        <v>3356</v>
      </c>
      <c r="C2544" s="16"/>
      <c r="D2544" s="16" t="s">
        <v>29</v>
      </c>
      <c r="E2544" s="16"/>
      <c r="F2544" s="5"/>
      <c r="G2544" s="16" t="s">
        <v>35</v>
      </c>
      <c r="H2544" s="16"/>
      <c r="I2544" s="16"/>
      <c r="J2544" s="16"/>
      <c r="K2544" s="16"/>
      <c r="L2544" s="16"/>
      <c r="M2544" s="16"/>
      <c r="N2544" s="16"/>
      <c r="O2544" s="17"/>
      <c r="P2544" s="5" t="str">
        <f t="shared" si="67"/>
        <v>Truncate table FSFF24;</v>
      </c>
      <c r="Q2544" s="5"/>
      <c r="R2544" s="5"/>
    </row>
    <row r="2545" spans="2:18" x14ac:dyDescent="0.25">
      <c r="B2545" s="19" t="s">
        <v>3357</v>
      </c>
      <c r="C2545" s="16"/>
      <c r="D2545" s="16" t="s">
        <v>29</v>
      </c>
      <c r="E2545" s="16"/>
      <c r="F2545" s="5"/>
      <c r="G2545" s="16" t="s">
        <v>35</v>
      </c>
      <c r="H2545" s="16"/>
      <c r="I2545" s="16"/>
      <c r="J2545" s="16"/>
      <c r="K2545" s="16"/>
      <c r="L2545" s="16"/>
      <c r="M2545" s="16"/>
      <c r="N2545" s="16"/>
      <c r="O2545" s="17"/>
      <c r="P2545" s="5" t="str">
        <f t="shared" ref="P2545:P2608" si="68">IF(D2545="Datos","Truncate table "&amp; B2545&amp; ";","")</f>
        <v>Truncate table FSFF25;</v>
      </c>
      <c r="Q2545" s="5"/>
      <c r="R2545" s="5"/>
    </row>
    <row r="2546" spans="2:18" x14ac:dyDescent="0.25">
      <c r="B2546" s="19" t="s">
        <v>3358</v>
      </c>
      <c r="C2546" s="16"/>
      <c r="D2546" s="16" t="s">
        <v>29</v>
      </c>
      <c r="E2546" s="16"/>
      <c r="F2546" s="5"/>
      <c r="G2546" s="16" t="s">
        <v>35</v>
      </c>
      <c r="H2546" s="16"/>
      <c r="I2546" s="16"/>
      <c r="J2546" s="16"/>
      <c r="K2546" s="16"/>
      <c r="L2546" s="16"/>
      <c r="M2546" s="16"/>
      <c r="N2546" s="16"/>
      <c r="O2546" s="17"/>
      <c r="P2546" s="5" t="str">
        <f t="shared" si="68"/>
        <v>Truncate table FSFF26;</v>
      </c>
      <c r="Q2546" s="5"/>
      <c r="R2546" s="5"/>
    </row>
    <row r="2547" spans="2:18" x14ac:dyDescent="0.25">
      <c r="B2547" s="19" t="s">
        <v>3359</v>
      </c>
      <c r="C2547" s="16"/>
      <c r="D2547" s="16" t="s">
        <v>29</v>
      </c>
      <c r="E2547" s="16"/>
      <c r="F2547" s="5"/>
      <c r="G2547" s="16" t="s">
        <v>35</v>
      </c>
      <c r="H2547" s="16"/>
      <c r="I2547" s="16"/>
      <c r="J2547" s="16"/>
      <c r="K2547" s="16"/>
      <c r="L2547" s="16"/>
      <c r="M2547" s="16"/>
      <c r="N2547" s="16"/>
      <c r="O2547" s="17"/>
      <c r="P2547" s="5" t="str">
        <f t="shared" si="68"/>
        <v>Truncate table FSFF27;</v>
      </c>
      <c r="Q2547" s="5"/>
      <c r="R2547" s="5"/>
    </row>
    <row r="2548" spans="2:18" x14ac:dyDescent="0.25">
      <c r="B2548" s="19" t="s">
        <v>3360</v>
      </c>
      <c r="C2548" s="16"/>
      <c r="D2548" s="16" t="s">
        <v>29</v>
      </c>
      <c r="E2548" s="16"/>
      <c r="F2548" s="5"/>
      <c r="G2548" s="16" t="s">
        <v>35</v>
      </c>
      <c r="H2548" s="16"/>
      <c r="I2548" s="16"/>
      <c r="J2548" s="16"/>
      <c r="K2548" s="16"/>
      <c r="L2548" s="16"/>
      <c r="M2548" s="16"/>
      <c r="N2548" s="16"/>
      <c r="O2548" s="17"/>
      <c r="P2548" s="5" t="str">
        <f t="shared" si="68"/>
        <v>Truncate table FSFF28;</v>
      </c>
      <c r="Q2548" s="5"/>
      <c r="R2548" s="5"/>
    </row>
    <row r="2549" spans="2:18" x14ac:dyDescent="0.25">
      <c r="B2549" s="19" t="s">
        <v>3361</v>
      </c>
      <c r="C2549" s="16"/>
      <c r="D2549" s="16" t="s">
        <v>29</v>
      </c>
      <c r="E2549" s="16"/>
      <c r="F2549" s="5"/>
      <c r="G2549" s="16" t="s">
        <v>35</v>
      </c>
      <c r="H2549" s="16"/>
      <c r="I2549" s="16"/>
      <c r="J2549" s="16"/>
      <c r="K2549" s="16"/>
      <c r="L2549" s="16"/>
      <c r="M2549" s="16"/>
      <c r="N2549" s="16"/>
      <c r="O2549" s="17"/>
      <c r="P2549" s="5" t="str">
        <f t="shared" si="68"/>
        <v>Truncate table FSFF29;</v>
      </c>
      <c r="Q2549" s="5"/>
      <c r="R2549" s="5"/>
    </row>
    <row r="2550" spans="2:18" x14ac:dyDescent="0.25">
      <c r="B2550" s="19" t="s">
        <v>3362</v>
      </c>
      <c r="C2550" s="16"/>
      <c r="D2550" s="16" t="s">
        <v>29</v>
      </c>
      <c r="E2550" s="16"/>
      <c r="F2550" s="5"/>
      <c r="G2550" s="16" t="s">
        <v>35</v>
      </c>
      <c r="H2550" s="16"/>
      <c r="I2550" s="16"/>
      <c r="J2550" s="16"/>
      <c r="K2550" s="16"/>
      <c r="L2550" s="16"/>
      <c r="M2550" s="16"/>
      <c r="N2550" s="16"/>
      <c r="O2550" s="17"/>
      <c r="P2550" s="5" t="str">
        <f t="shared" si="68"/>
        <v>Truncate table FSFF30;</v>
      </c>
      <c r="Q2550" s="5"/>
      <c r="R2550" s="5"/>
    </row>
    <row r="2551" spans="2:18" x14ac:dyDescent="0.25">
      <c r="B2551" s="19" t="s">
        <v>3363</v>
      </c>
      <c r="C2551" s="16"/>
      <c r="D2551" s="16" t="s">
        <v>29</v>
      </c>
      <c r="E2551" s="16"/>
      <c r="F2551" s="5"/>
      <c r="G2551" s="16" t="s">
        <v>35</v>
      </c>
      <c r="H2551" s="16"/>
      <c r="I2551" s="16"/>
      <c r="J2551" s="16"/>
      <c r="K2551" s="16"/>
      <c r="L2551" s="16"/>
      <c r="M2551" s="16"/>
      <c r="N2551" s="16"/>
      <c r="O2551" s="17"/>
      <c r="P2551" s="5" t="str">
        <f t="shared" si="68"/>
        <v>Truncate table FSFF31;</v>
      </c>
      <c r="Q2551" s="5"/>
      <c r="R2551" s="5"/>
    </row>
    <row r="2552" spans="2:18" x14ac:dyDescent="0.25">
      <c r="B2552" s="19" t="s">
        <v>3364</v>
      </c>
      <c r="C2552" s="16"/>
      <c r="D2552" s="16" t="s">
        <v>29</v>
      </c>
      <c r="E2552" s="16"/>
      <c r="F2552" s="5"/>
      <c r="G2552" s="16" t="s">
        <v>35</v>
      </c>
      <c r="H2552" s="16"/>
      <c r="I2552" s="16"/>
      <c r="J2552" s="16"/>
      <c r="K2552" s="16"/>
      <c r="L2552" s="16"/>
      <c r="M2552" s="16"/>
      <c r="N2552" s="16"/>
      <c r="O2552" s="17"/>
      <c r="P2552" s="5" t="str">
        <f t="shared" si="68"/>
        <v>Truncate table FSFF32;</v>
      </c>
      <c r="Q2552" s="5"/>
      <c r="R2552" s="5"/>
    </row>
    <row r="2553" spans="2:18" x14ac:dyDescent="0.25">
      <c r="B2553" s="19" t="s">
        <v>3365</v>
      </c>
      <c r="C2553" s="16"/>
      <c r="D2553" s="16" t="s">
        <v>29</v>
      </c>
      <c r="E2553" s="16"/>
      <c r="F2553" s="5"/>
      <c r="G2553" s="16" t="s">
        <v>35</v>
      </c>
      <c r="H2553" s="16"/>
      <c r="I2553" s="16"/>
      <c r="J2553" s="16"/>
      <c r="K2553" s="16"/>
      <c r="L2553" s="16"/>
      <c r="M2553" s="16"/>
      <c r="N2553" s="16"/>
      <c r="O2553" s="17"/>
      <c r="P2553" s="5" t="str">
        <f t="shared" si="68"/>
        <v>Truncate table FSFF33;</v>
      </c>
      <c r="Q2553" s="5"/>
      <c r="R2553" s="5"/>
    </row>
    <row r="2554" spans="2:18" x14ac:dyDescent="0.25">
      <c r="B2554" s="19" t="s">
        <v>3366</v>
      </c>
      <c r="C2554" s="16"/>
      <c r="D2554" s="16" t="s">
        <v>29</v>
      </c>
      <c r="E2554" s="16"/>
      <c r="F2554" s="5"/>
      <c r="G2554" s="16" t="s">
        <v>35</v>
      </c>
      <c r="H2554" s="16"/>
      <c r="I2554" s="16"/>
      <c r="J2554" s="16"/>
      <c r="K2554" s="16"/>
      <c r="L2554" s="16"/>
      <c r="M2554" s="16"/>
      <c r="N2554" s="16"/>
      <c r="O2554" s="17"/>
      <c r="P2554" s="5" t="str">
        <f t="shared" si="68"/>
        <v>Truncate table FSFF34;</v>
      </c>
      <c r="Q2554" s="5"/>
      <c r="R2554" s="5"/>
    </row>
    <row r="2555" spans="2:18" x14ac:dyDescent="0.25">
      <c r="B2555" s="19" t="s">
        <v>3367</v>
      </c>
      <c r="C2555" s="16"/>
      <c r="D2555" s="16" t="s">
        <v>29</v>
      </c>
      <c r="E2555" s="16"/>
      <c r="F2555" s="5"/>
      <c r="G2555" s="16" t="s">
        <v>35</v>
      </c>
      <c r="H2555" s="16"/>
      <c r="I2555" s="16"/>
      <c r="J2555" s="16"/>
      <c r="K2555" s="16"/>
      <c r="L2555" s="16"/>
      <c r="M2555" s="16"/>
      <c r="N2555" s="16"/>
      <c r="O2555" s="17"/>
      <c r="P2555" s="5" t="str">
        <f t="shared" si="68"/>
        <v>Truncate table FSFF35;</v>
      </c>
      <c r="Q2555" s="5"/>
      <c r="R2555" s="5"/>
    </row>
    <row r="2556" spans="2:18" x14ac:dyDescent="0.25">
      <c r="B2556" s="19" t="s">
        <v>3368</v>
      </c>
      <c r="C2556" s="16"/>
      <c r="D2556" s="16" t="s">
        <v>29</v>
      </c>
      <c r="E2556" s="16"/>
      <c r="F2556" s="5"/>
      <c r="G2556" s="16" t="s">
        <v>35</v>
      </c>
      <c r="H2556" s="16"/>
      <c r="I2556" s="16"/>
      <c r="J2556" s="16"/>
      <c r="K2556" s="16"/>
      <c r="L2556" s="16"/>
      <c r="M2556" s="16"/>
      <c r="N2556" s="16"/>
      <c r="O2556" s="17"/>
      <c r="P2556" s="5" t="str">
        <f t="shared" si="68"/>
        <v>Truncate table FSFF36;</v>
      </c>
      <c r="Q2556" s="5"/>
      <c r="R2556" s="5"/>
    </row>
    <row r="2557" spans="2:18" x14ac:dyDescent="0.25">
      <c r="B2557" s="19" t="s">
        <v>3369</v>
      </c>
      <c r="C2557" s="16"/>
      <c r="D2557" s="16" t="s">
        <v>29</v>
      </c>
      <c r="E2557" s="16"/>
      <c r="F2557" s="5"/>
      <c r="G2557" s="16" t="s">
        <v>35</v>
      </c>
      <c r="H2557" s="16"/>
      <c r="I2557" s="16"/>
      <c r="J2557" s="16"/>
      <c r="K2557" s="16"/>
      <c r="L2557" s="16"/>
      <c r="M2557" s="16"/>
      <c r="N2557" s="16"/>
      <c r="O2557" s="17"/>
      <c r="P2557" s="5" t="str">
        <f t="shared" si="68"/>
        <v>Truncate table FSFF37;</v>
      </c>
      <c r="Q2557" s="5"/>
      <c r="R2557" s="5"/>
    </row>
    <row r="2558" spans="2:18" x14ac:dyDescent="0.25">
      <c r="B2558" s="19" t="s">
        <v>3370</v>
      </c>
      <c r="C2558" s="16"/>
      <c r="D2558" s="16" t="s">
        <v>29</v>
      </c>
      <c r="E2558" s="16"/>
      <c r="F2558" s="5"/>
      <c r="G2558" s="16" t="s">
        <v>35</v>
      </c>
      <c r="H2558" s="16"/>
      <c r="I2558" s="16"/>
      <c r="J2558" s="16"/>
      <c r="K2558" s="16"/>
      <c r="L2558" s="16"/>
      <c r="M2558" s="16"/>
      <c r="N2558" s="16"/>
      <c r="O2558" s="17"/>
      <c r="P2558" s="5" t="str">
        <f t="shared" si="68"/>
        <v>Truncate table FSFF38;</v>
      </c>
      <c r="Q2558" s="5"/>
      <c r="R2558" s="5"/>
    </row>
    <row r="2559" spans="2:18" x14ac:dyDescent="0.25">
      <c r="B2559" s="19" t="s">
        <v>3371</v>
      </c>
      <c r="C2559" s="16"/>
      <c r="D2559" s="16" t="s">
        <v>29</v>
      </c>
      <c r="E2559" s="16"/>
      <c r="F2559" s="5"/>
      <c r="G2559" s="16" t="s">
        <v>35</v>
      </c>
      <c r="H2559" s="16"/>
      <c r="I2559" s="16"/>
      <c r="J2559" s="16"/>
      <c r="K2559" s="16"/>
      <c r="L2559" s="16"/>
      <c r="M2559" s="16"/>
      <c r="N2559" s="16"/>
      <c r="O2559" s="17"/>
      <c r="P2559" s="5" t="str">
        <f t="shared" si="68"/>
        <v>Truncate table FSFF39;</v>
      </c>
      <c r="Q2559" s="5"/>
      <c r="R2559" s="5"/>
    </row>
    <row r="2560" spans="2:18" x14ac:dyDescent="0.25">
      <c r="B2560" s="19" t="s">
        <v>3372</v>
      </c>
      <c r="C2560" s="16"/>
      <c r="D2560" s="16" t="s">
        <v>29</v>
      </c>
      <c r="E2560" s="16"/>
      <c r="F2560" s="5"/>
      <c r="G2560" s="16" t="s">
        <v>35</v>
      </c>
      <c r="H2560" s="16"/>
      <c r="I2560" s="16"/>
      <c r="J2560" s="16"/>
      <c r="K2560" s="16"/>
      <c r="L2560" s="16"/>
      <c r="M2560" s="16"/>
      <c r="N2560" s="16"/>
      <c r="O2560" s="17"/>
      <c r="P2560" s="5" t="str">
        <f t="shared" si="68"/>
        <v>Truncate table FSFF40;</v>
      </c>
      <c r="Q2560" s="5"/>
      <c r="R2560" s="5"/>
    </row>
    <row r="2561" spans="2:18" x14ac:dyDescent="0.25">
      <c r="B2561" s="19" t="s">
        <v>3373</v>
      </c>
      <c r="C2561" s="16"/>
      <c r="D2561" s="16" t="s">
        <v>29</v>
      </c>
      <c r="E2561" s="16"/>
      <c r="F2561" s="5"/>
      <c r="G2561" s="16" t="s">
        <v>35</v>
      </c>
      <c r="H2561" s="16"/>
      <c r="I2561" s="16"/>
      <c r="J2561" s="16"/>
      <c r="K2561" s="16"/>
      <c r="L2561" s="16"/>
      <c r="M2561" s="16"/>
      <c r="N2561" s="16"/>
      <c r="O2561" s="17"/>
      <c r="P2561" s="5" t="str">
        <f t="shared" si="68"/>
        <v>Truncate table FSFF41;</v>
      </c>
      <c r="Q2561" s="5"/>
      <c r="R2561" s="5"/>
    </row>
    <row r="2562" spans="2:18" x14ac:dyDescent="0.25">
      <c r="B2562" s="19" t="s">
        <v>3374</v>
      </c>
      <c r="C2562" s="16"/>
      <c r="D2562" s="16" t="s">
        <v>29</v>
      </c>
      <c r="E2562" s="16"/>
      <c r="F2562" s="5"/>
      <c r="G2562" s="16" t="s">
        <v>35</v>
      </c>
      <c r="H2562" s="16"/>
      <c r="I2562" s="16"/>
      <c r="J2562" s="16"/>
      <c r="K2562" s="16"/>
      <c r="L2562" s="16"/>
      <c r="M2562" s="16"/>
      <c r="N2562" s="16"/>
      <c r="O2562" s="17"/>
      <c r="P2562" s="5" t="str">
        <f t="shared" si="68"/>
        <v>Truncate table FSFF42;</v>
      </c>
      <c r="Q2562" s="5"/>
      <c r="R2562" s="5"/>
    </row>
    <row r="2563" spans="2:18" x14ac:dyDescent="0.25">
      <c r="B2563" s="19" t="s">
        <v>3375</v>
      </c>
      <c r="C2563" s="16"/>
      <c r="D2563" s="16" t="s">
        <v>29</v>
      </c>
      <c r="E2563" s="16"/>
      <c r="F2563" s="5"/>
      <c r="G2563" s="16" t="s">
        <v>35</v>
      </c>
      <c r="H2563" s="16"/>
      <c r="I2563" s="16"/>
      <c r="J2563" s="16"/>
      <c r="K2563" s="16"/>
      <c r="L2563" s="16"/>
      <c r="M2563" s="16"/>
      <c r="N2563" s="16"/>
      <c r="O2563" s="17"/>
      <c r="P2563" s="5" t="str">
        <f t="shared" si="68"/>
        <v>Truncate table FSFF43;</v>
      </c>
      <c r="Q2563" s="5"/>
      <c r="R2563" s="5"/>
    </row>
    <row r="2564" spans="2:18" x14ac:dyDescent="0.25">
      <c r="B2564" s="19" t="s">
        <v>3376</v>
      </c>
      <c r="C2564" s="16"/>
      <c r="D2564" s="16" t="s">
        <v>29</v>
      </c>
      <c r="E2564" s="16"/>
      <c r="F2564" s="5"/>
      <c r="G2564" s="16" t="s">
        <v>35</v>
      </c>
      <c r="H2564" s="16"/>
      <c r="I2564" s="16"/>
      <c r="J2564" s="16"/>
      <c r="K2564" s="16"/>
      <c r="L2564" s="16"/>
      <c r="M2564" s="16"/>
      <c r="N2564" s="16"/>
      <c r="O2564" s="17"/>
      <c r="P2564" s="5" t="str">
        <f t="shared" si="68"/>
        <v>Truncate table FSFF44;</v>
      </c>
      <c r="Q2564" s="5"/>
      <c r="R2564" s="5"/>
    </row>
    <row r="2565" spans="2:18" x14ac:dyDescent="0.25">
      <c r="B2565" s="19" t="s">
        <v>3377</v>
      </c>
      <c r="C2565" s="16"/>
      <c r="D2565" s="16" t="s">
        <v>29</v>
      </c>
      <c r="E2565" s="16"/>
      <c r="F2565" s="5"/>
      <c r="G2565" s="16" t="s">
        <v>35</v>
      </c>
      <c r="H2565" s="16"/>
      <c r="I2565" s="16"/>
      <c r="J2565" s="16"/>
      <c r="K2565" s="16"/>
      <c r="L2565" s="16"/>
      <c r="M2565" s="16"/>
      <c r="N2565" s="16"/>
      <c r="O2565" s="17"/>
      <c r="P2565" s="5" t="str">
        <f t="shared" si="68"/>
        <v>Truncate table FSFF45;</v>
      </c>
      <c r="Q2565" s="5"/>
      <c r="R2565" s="5"/>
    </row>
    <row r="2566" spans="2:18" x14ac:dyDescent="0.25">
      <c r="B2566" s="19" t="s">
        <v>3378</v>
      </c>
      <c r="C2566" s="16"/>
      <c r="D2566" s="16" t="s">
        <v>29</v>
      </c>
      <c r="E2566" s="16"/>
      <c r="F2566" s="5"/>
      <c r="G2566" s="16" t="s">
        <v>35</v>
      </c>
      <c r="H2566" s="16"/>
      <c r="I2566" s="16"/>
      <c r="J2566" s="16"/>
      <c r="K2566" s="16"/>
      <c r="L2566" s="16"/>
      <c r="M2566" s="16"/>
      <c r="N2566" s="16"/>
      <c r="O2566" s="17"/>
      <c r="P2566" s="5" t="str">
        <f t="shared" si="68"/>
        <v>Truncate table FSFF47;</v>
      </c>
      <c r="Q2566" s="5"/>
      <c r="R2566" s="5"/>
    </row>
    <row r="2567" spans="2:18" x14ac:dyDescent="0.25">
      <c r="B2567" s="19" t="s">
        <v>3379</v>
      </c>
      <c r="C2567" s="16"/>
      <c r="D2567" s="16" t="s">
        <v>29</v>
      </c>
      <c r="E2567" s="16"/>
      <c r="F2567" s="5"/>
      <c r="G2567" s="16" t="s">
        <v>35</v>
      </c>
      <c r="H2567" s="16"/>
      <c r="I2567" s="16"/>
      <c r="J2567" s="16"/>
      <c r="K2567" s="16"/>
      <c r="L2567" s="16"/>
      <c r="M2567" s="16"/>
      <c r="N2567" s="16"/>
      <c r="O2567" s="17"/>
      <c r="P2567" s="5" t="str">
        <f t="shared" si="68"/>
        <v>Truncate table FSFF48;</v>
      </c>
      <c r="Q2567" s="5"/>
      <c r="R2567" s="5"/>
    </row>
    <row r="2568" spans="2:18" x14ac:dyDescent="0.25">
      <c r="B2568" s="19" t="s">
        <v>3380</v>
      </c>
      <c r="C2568" s="16"/>
      <c r="D2568" s="16" t="s">
        <v>29</v>
      </c>
      <c r="E2568" s="16"/>
      <c r="F2568" s="5"/>
      <c r="G2568" s="16" t="s">
        <v>35</v>
      </c>
      <c r="H2568" s="16"/>
      <c r="I2568" s="16"/>
      <c r="J2568" s="16"/>
      <c r="K2568" s="16"/>
      <c r="L2568" s="16"/>
      <c r="M2568" s="16"/>
      <c r="N2568" s="16"/>
      <c r="O2568" s="17"/>
      <c r="P2568" s="5" t="str">
        <f t="shared" si="68"/>
        <v>Truncate table FSFF49;</v>
      </c>
      <c r="Q2568" s="5"/>
      <c r="R2568" s="5"/>
    </row>
    <row r="2569" spans="2:18" x14ac:dyDescent="0.25">
      <c r="B2569" s="19" t="s">
        <v>3381</v>
      </c>
      <c r="C2569" s="16"/>
      <c r="D2569" s="16" t="s">
        <v>29</v>
      </c>
      <c r="E2569" s="16"/>
      <c r="F2569" s="5"/>
      <c r="G2569" s="16" t="s">
        <v>35</v>
      </c>
      <c r="H2569" s="16"/>
      <c r="I2569" s="16"/>
      <c r="J2569" s="16"/>
      <c r="K2569" s="16"/>
      <c r="L2569" s="16"/>
      <c r="M2569" s="16"/>
      <c r="N2569" s="16"/>
      <c r="O2569" s="17"/>
      <c r="P2569" s="5" t="str">
        <f t="shared" si="68"/>
        <v>Truncate table FSFF51;</v>
      </c>
      <c r="Q2569" s="5"/>
      <c r="R2569" s="5"/>
    </row>
    <row r="2570" spans="2:18" x14ac:dyDescent="0.25">
      <c r="B2570" s="19" t="s">
        <v>3382</v>
      </c>
      <c r="C2570" s="16"/>
      <c r="D2570" s="16" t="s">
        <v>29</v>
      </c>
      <c r="E2570" s="16"/>
      <c r="F2570" s="5"/>
      <c r="G2570" s="16" t="s">
        <v>35</v>
      </c>
      <c r="H2570" s="16"/>
      <c r="I2570" s="16"/>
      <c r="J2570" s="16"/>
      <c r="K2570" s="16"/>
      <c r="L2570" s="16"/>
      <c r="M2570" s="16"/>
      <c r="N2570" s="16"/>
      <c r="O2570" s="17"/>
      <c r="P2570" s="5" t="str">
        <f t="shared" si="68"/>
        <v>Truncate table FSFF52;</v>
      </c>
      <c r="Q2570" s="5"/>
      <c r="R2570" s="5"/>
    </row>
    <row r="2571" spans="2:18" x14ac:dyDescent="0.25">
      <c r="B2571" s="19" t="s">
        <v>3383</v>
      </c>
      <c r="C2571" s="16"/>
      <c r="D2571" s="16" t="s">
        <v>29</v>
      </c>
      <c r="E2571" s="16"/>
      <c r="F2571" s="5"/>
      <c r="G2571" s="16" t="s">
        <v>35</v>
      </c>
      <c r="H2571" s="16"/>
      <c r="I2571" s="16"/>
      <c r="J2571" s="16"/>
      <c r="K2571" s="16"/>
      <c r="L2571" s="16"/>
      <c r="M2571" s="16"/>
      <c r="N2571" s="16"/>
      <c r="O2571" s="17"/>
      <c r="P2571" s="5" t="str">
        <f t="shared" si="68"/>
        <v>Truncate table FSFF53;</v>
      </c>
      <c r="Q2571" s="5"/>
      <c r="R2571" s="5"/>
    </row>
    <row r="2572" spans="2:18" x14ac:dyDescent="0.25">
      <c r="B2572" s="19" t="s">
        <v>3384</v>
      </c>
      <c r="C2572" s="16"/>
      <c r="D2572" s="16" t="s">
        <v>29</v>
      </c>
      <c r="E2572" s="16"/>
      <c r="F2572" s="5"/>
      <c r="G2572" s="16" t="s">
        <v>35</v>
      </c>
      <c r="H2572" s="16"/>
      <c r="I2572" s="16"/>
      <c r="J2572" s="16"/>
      <c r="K2572" s="16"/>
      <c r="L2572" s="16"/>
      <c r="M2572" s="16"/>
      <c r="N2572" s="16"/>
      <c r="O2572" s="17"/>
      <c r="P2572" s="5" t="str">
        <f t="shared" si="68"/>
        <v>Truncate table FSFF54;</v>
      </c>
      <c r="Q2572" s="5"/>
      <c r="R2572" s="5"/>
    </row>
    <row r="2573" spans="2:18" x14ac:dyDescent="0.25">
      <c r="B2573" s="19" t="s">
        <v>3385</v>
      </c>
      <c r="C2573" s="16"/>
      <c r="D2573" s="16" t="s">
        <v>29</v>
      </c>
      <c r="E2573" s="16"/>
      <c r="F2573" s="5"/>
      <c r="G2573" s="16" t="s">
        <v>35</v>
      </c>
      <c r="H2573" s="16"/>
      <c r="I2573" s="16"/>
      <c r="J2573" s="16"/>
      <c r="K2573" s="16"/>
      <c r="L2573" s="16"/>
      <c r="M2573" s="16"/>
      <c r="N2573" s="16"/>
      <c r="O2573" s="17"/>
      <c r="P2573" s="5" t="str">
        <f t="shared" si="68"/>
        <v>Truncate table FSFF55;</v>
      </c>
      <c r="Q2573" s="5"/>
      <c r="R2573" s="5"/>
    </row>
    <row r="2574" spans="2:18" x14ac:dyDescent="0.25">
      <c r="B2574" s="19" t="s">
        <v>3386</v>
      </c>
      <c r="C2574" s="16"/>
      <c r="D2574" s="16" t="s">
        <v>29</v>
      </c>
      <c r="E2574" s="16"/>
      <c r="F2574" s="5"/>
      <c r="G2574" s="16" t="s">
        <v>35</v>
      </c>
      <c r="H2574" s="16"/>
      <c r="I2574" s="16"/>
      <c r="J2574" s="16"/>
      <c r="K2574" s="16"/>
      <c r="L2574" s="16"/>
      <c r="M2574" s="16"/>
      <c r="N2574" s="16"/>
      <c r="O2574" s="17"/>
      <c r="P2574" s="5" t="str">
        <f t="shared" si="68"/>
        <v>Truncate table FSFF56;</v>
      </c>
      <c r="Q2574" s="5"/>
      <c r="R2574" s="5"/>
    </row>
    <row r="2575" spans="2:18" x14ac:dyDescent="0.25">
      <c r="B2575" s="19" t="s">
        <v>3387</v>
      </c>
      <c r="C2575" s="16"/>
      <c r="D2575" s="16" t="s">
        <v>29</v>
      </c>
      <c r="E2575" s="16"/>
      <c r="F2575" s="5"/>
      <c r="G2575" s="16" t="s">
        <v>35</v>
      </c>
      <c r="H2575" s="16"/>
      <c r="I2575" s="16"/>
      <c r="J2575" s="16"/>
      <c r="K2575" s="16"/>
      <c r="L2575" s="16"/>
      <c r="M2575" s="16"/>
      <c r="N2575" s="16"/>
      <c r="O2575" s="17"/>
      <c r="P2575" s="5" t="str">
        <f t="shared" si="68"/>
        <v>Truncate table FSFF57;</v>
      </c>
      <c r="Q2575" s="5"/>
      <c r="R2575" s="5"/>
    </row>
    <row r="2576" spans="2:18" x14ac:dyDescent="0.25">
      <c r="B2576" s="19" t="s">
        <v>3388</v>
      </c>
      <c r="C2576" s="16"/>
      <c r="D2576" s="16" t="s">
        <v>29</v>
      </c>
      <c r="E2576" s="16"/>
      <c r="F2576" s="5"/>
      <c r="G2576" s="16" t="s">
        <v>35</v>
      </c>
      <c r="H2576" s="16"/>
      <c r="I2576" s="16"/>
      <c r="J2576" s="16"/>
      <c r="K2576" s="16"/>
      <c r="L2576" s="16"/>
      <c r="M2576" s="16"/>
      <c r="N2576" s="16"/>
      <c r="O2576" s="17"/>
      <c r="P2576" s="5" t="str">
        <f t="shared" si="68"/>
        <v>Truncate table FSFF58;</v>
      </c>
      <c r="Q2576" s="5"/>
      <c r="R2576" s="5"/>
    </row>
    <row r="2577" spans="2:18" x14ac:dyDescent="0.25">
      <c r="B2577" s="19" t="s">
        <v>3389</v>
      </c>
      <c r="C2577" s="16"/>
      <c r="D2577" s="16" t="s">
        <v>29</v>
      </c>
      <c r="E2577" s="16"/>
      <c r="F2577" s="5"/>
      <c r="G2577" s="16" t="s">
        <v>35</v>
      </c>
      <c r="H2577" s="16"/>
      <c r="I2577" s="16"/>
      <c r="J2577" s="16"/>
      <c r="K2577" s="16"/>
      <c r="L2577" s="16"/>
      <c r="M2577" s="16"/>
      <c r="N2577" s="16"/>
      <c r="O2577" s="17"/>
      <c r="P2577" s="5" t="str">
        <f t="shared" si="68"/>
        <v>Truncate table FSFF61;</v>
      </c>
      <c r="Q2577" s="5"/>
      <c r="R2577" s="5"/>
    </row>
    <row r="2578" spans="2:18" x14ac:dyDescent="0.25">
      <c r="B2578" s="19" t="s">
        <v>3390</v>
      </c>
      <c r="C2578" s="16"/>
      <c r="D2578" s="16" t="s">
        <v>29</v>
      </c>
      <c r="E2578" s="16"/>
      <c r="F2578" s="5"/>
      <c r="G2578" s="16" t="s">
        <v>35</v>
      </c>
      <c r="H2578" s="16"/>
      <c r="I2578" s="16"/>
      <c r="J2578" s="16"/>
      <c r="K2578" s="16"/>
      <c r="L2578" s="16"/>
      <c r="M2578" s="16"/>
      <c r="N2578" s="16"/>
      <c r="O2578" s="17"/>
      <c r="P2578" s="5" t="str">
        <f t="shared" si="68"/>
        <v>Truncate table FSFF62;</v>
      </c>
      <c r="Q2578" s="5"/>
      <c r="R2578" s="5"/>
    </row>
    <row r="2579" spans="2:18" x14ac:dyDescent="0.25">
      <c r="B2579" s="19" t="s">
        <v>3391</v>
      </c>
      <c r="C2579" s="16"/>
      <c r="D2579" s="16" t="s">
        <v>29</v>
      </c>
      <c r="E2579" s="16"/>
      <c r="F2579" s="5"/>
      <c r="G2579" s="16" t="s">
        <v>35</v>
      </c>
      <c r="H2579" s="16"/>
      <c r="I2579" s="16"/>
      <c r="J2579" s="16"/>
      <c r="K2579" s="16"/>
      <c r="L2579" s="16"/>
      <c r="M2579" s="16"/>
      <c r="N2579" s="16"/>
      <c r="O2579" s="17"/>
      <c r="P2579" s="5" t="str">
        <f t="shared" si="68"/>
        <v>Truncate table FSFF63;</v>
      </c>
      <c r="Q2579" s="5"/>
      <c r="R2579" s="5"/>
    </row>
    <row r="2580" spans="2:18" x14ac:dyDescent="0.25">
      <c r="B2580" s="19" t="s">
        <v>3392</v>
      </c>
      <c r="C2580" s="16"/>
      <c r="D2580" s="16" t="s">
        <v>29</v>
      </c>
      <c r="E2580" s="16"/>
      <c r="F2580" s="5"/>
      <c r="G2580" s="16" t="s">
        <v>35</v>
      </c>
      <c r="H2580" s="16"/>
      <c r="I2580" s="16"/>
      <c r="J2580" s="16"/>
      <c r="K2580" s="16"/>
      <c r="L2580" s="16"/>
      <c r="M2580" s="16"/>
      <c r="N2580" s="16"/>
      <c r="O2580" s="17"/>
      <c r="P2580" s="5" t="str">
        <f t="shared" si="68"/>
        <v>Truncate table FSFF65;</v>
      </c>
      <c r="Q2580" s="5"/>
      <c r="R2580" s="5"/>
    </row>
    <row r="2581" spans="2:18" x14ac:dyDescent="0.25">
      <c r="B2581" s="19" t="s">
        <v>3393</v>
      </c>
      <c r="C2581" s="16"/>
      <c r="D2581" s="16" t="s">
        <v>29</v>
      </c>
      <c r="E2581" s="16"/>
      <c r="F2581" s="5"/>
      <c r="G2581" s="16" t="s">
        <v>35</v>
      </c>
      <c r="H2581" s="16"/>
      <c r="I2581" s="16"/>
      <c r="J2581" s="16"/>
      <c r="K2581" s="16"/>
      <c r="L2581" s="16"/>
      <c r="M2581" s="16"/>
      <c r="N2581" s="16"/>
      <c r="O2581" s="17"/>
      <c r="P2581" s="5" t="str">
        <f t="shared" si="68"/>
        <v>Truncate table FSFF66;</v>
      </c>
      <c r="Q2581" s="5"/>
      <c r="R2581" s="5"/>
    </row>
    <row r="2582" spans="2:18" x14ac:dyDescent="0.25">
      <c r="B2582" s="19" t="s">
        <v>3394</v>
      </c>
      <c r="C2582" s="16"/>
      <c r="D2582" s="16" t="s">
        <v>29</v>
      </c>
      <c r="E2582" s="16"/>
      <c r="F2582" s="5"/>
      <c r="G2582" s="16" t="s">
        <v>35</v>
      </c>
      <c r="H2582" s="16"/>
      <c r="I2582" s="16"/>
      <c r="J2582" s="16"/>
      <c r="K2582" s="16"/>
      <c r="L2582" s="16"/>
      <c r="M2582" s="16"/>
      <c r="N2582" s="16"/>
      <c r="O2582" s="17"/>
      <c r="P2582" s="5" t="str">
        <f t="shared" si="68"/>
        <v>Truncate table FSFF67;</v>
      </c>
      <c r="Q2582" s="5"/>
      <c r="R2582" s="5"/>
    </row>
    <row r="2583" spans="2:18" x14ac:dyDescent="0.25">
      <c r="B2583" s="19" t="s">
        <v>3395</v>
      </c>
      <c r="C2583" s="16"/>
      <c r="D2583" s="16" t="s">
        <v>29</v>
      </c>
      <c r="E2583" s="16"/>
      <c r="F2583" s="5"/>
      <c r="G2583" s="16" t="s">
        <v>35</v>
      </c>
      <c r="H2583" s="16"/>
      <c r="I2583" s="16"/>
      <c r="J2583" s="16"/>
      <c r="K2583" s="16"/>
      <c r="L2583" s="16"/>
      <c r="M2583" s="16"/>
      <c r="N2583" s="16"/>
      <c r="O2583" s="17"/>
      <c r="P2583" s="5" t="str">
        <f t="shared" si="68"/>
        <v>Truncate table FSFF68;</v>
      </c>
      <c r="Q2583" s="5"/>
      <c r="R2583" s="5"/>
    </row>
    <row r="2584" spans="2:18" x14ac:dyDescent="0.25">
      <c r="B2584" s="19" t="s">
        <v>3396</v>
      </c>
      <c r="C2584" s="16"/>
      <c r="D2584" s="16" t="s">
        <v>29</v>
      </c>
      <c r="E2584" s="16"/>
      <c r="F2584" s="5"/>
      <c r="G2584" s="16" t="s">
        <v>35</v>
      </c>
      <c r="H2584" s="16"/>
      <c r="I2584" s="16"/>
      <c r="J2584" s="16"/>
      <c r="K2584" s="16"/>
      <c r="L2584" s="16"/>
      <c r="M2584" s="16"/>
      <c r="N2584" s="16"/>
      <c r="O2584" s="17"/>
      <c r="P2584" s="5" t="str">
        <f t="shared" si="68"/>
        <v>Truncate table FSFF69;</v>
      </c>
      <c r="Q2584" s="5"/>
      <c r="R2584" s="5"/>
    </row>
    <row r="2585" spans="2:18" x14ac:dyDescent="0.25">
      <c r="B2585" s="19" t="s">
        <v>3397</v>
      </c>
      <c r="C2585" s="16"/>
      <c r="D2585" s="16" t="s">
        <v>29</v>
      </c>
      <c r="E2585" s="16"/>
      <c r="F2585" s="5"/>
      <c r="G2585" s="16" t="s">
        <v>35</v>
      </c>
      <c r="H2585" s="16"/>
      <c r="I2585" s="16"/>
      <c r="J2585" s="16"/>
      <c r="K2585" s="16"/>
      <c r="L2585" s="16"/>
      <c r="M2585" s="16"/>
      <c r="N2585" s="16"/>
      <c r="O2585" s="17"/>
      <c r="P2585" s="5" t="str">
        <f t="shared" si="68"/>
        <v>Truncate table FSFF70;</v>
      </c>
      <c r="Q2585" s="5"/>
      <c r="R2585" s="5"/>
    </row>
    <row r="2586" spans="2:18" x14ac:dyDescent="0.25">
      <c r="B2586" s="19" t="s">
        <v>3398</v>
      </c>
      <c r="C2586" s="16"/>
      <c r="D2586" s="16" t="s">
        <v>29</v>
      </c>
      <c r="E2586" s="16"/>
      <c r="F2586" s="5"/>
      <c r="G2586" s="16" t="s">
        <v>35</v>
      </c>
      <c r="H2586" s="16"/>
      <c r="I2586" s="16"/>
      <c r="J2586" s="16"/>
      <c r="K2586" s="16"/>
      <c r="L2586" s="16"/>
      <c r="M2586" s="16"/>
      <c r="N2586" s="16"/>
      <c r="O2586" s="17"/>
      <c r="P2586" s="5" t="str">
        <f t="shared" si="68"/>
        <v>Truncate table FSFF71;</v>
      </c>
      <c r="Q2586" s="5"/>
      <c r="R2586" s="5"/>
    </row>
    <row r="2587" spans="2:18" x14ac:dyDescent="0.25">
      <c r="B2587" s="19" t="s">
        <v>3399</v>
      </c>
      <c r="C2587" s="16"/>
      <c r="D2587" s="16" t="s">
        <v>29</v>
      </c>
      <c r="E2587" s="16"/>
      <c r="F2587" s="5"/>
      <c r="G2587" s="16" t="s">
        <v>35</v>
      </c>
      <c r="H2587" s="16"/>
      <c r="I2587" s="16"/>
      <c r="J2587" s="16"/>
      <c r="K2587" s="16"/>
      <c r="L2587" s="16"/>
      <c r="M2587" s="16"/>
      <c r="N2587" s="16"/>
      <c r="O2587" s="17"/>
      <c r="P2587" s="5" t="str">
        <f t="shared" si="68"/>
        <v>Truncate table FSFF72;</v>
      </c>
      <c r="Q2587" s="5"/>
      <c r="R2587" s="5"/>
    </row>
    <row r="2588" spans="2:18" x14ac:dyDescent="0.25">
      <c r="B2588" s="19" t="s">
        <v>3400</v>
      </c>
      <c r="C2588" s="16"/>
      <c r="D2588" s="16" t="s">
        <v>29</v>
      </c>
      <c r="E2588" s="16"/>
      <c r="F2588" s="5"/>
      <c r="G2588" s="16" t="s">
        <v>35</v>
      </c>
      <c r="H2588" s="16"/>
      <c r="I2588" s="16"/>
      <c r="J2588" s="16"/>
      <c r="K2588" s="16"/>
      <c r="L2588" s="16"/>
      <c r="M2588" s="16"/>
      <c r="N2588" s="16"/>
      <c r="O2588" s="17"/>
      <c r="P2588" s="5" t="str">
        <f t="shared" si="68"/>
        <v>Truncate table FSFF73;</v>
      </c>
      <c r="Q2588" s="5"/>
      <c r="R2588" s="5"/>
    </row>
    <row r="2589" spans="2:18" x14ac:dyDescent="0.25">
      <c r="B2589" s="19" t="s">
        <v>3401</v>
      </c>
      <c r="C2589" s="16"/>
      <c r="D2589" s="16" t="s">
        <v>29</v>
      </c>
      <c r="E2589" s="16"/>
      <c r="F2589" s="5"/>
      <c r="G2589" s="16" t="s">
        <v>35</v>
      </c>
      <c r="H2589" s="16"/>
      <c r="I2589" s="16"/>
      <c r="J2589" s="16"/>
      <c r="K2589" s="16"/>
      <c r="L2589" s="16"/>
      <c r="M2589" s="16"/>
      <c r="N2589" s="16"/>
      <c r="O2589" s="17"/>
      <c r="P2589" s="5" t="str">
        <f t="shared" si="68"/>
        <v>Truncate table FSFF74;</v>
      </c>
      <c r="Q2589" s="5"/>
      <c r="R2589" s="5"/>
    </row>
    <row r="2590" spans="2:18" x14ac:dyDescent="0.25">
      <c r="B2590" s="19" t="s">
        <v>3402</v>
      </c>
      <c r="C2590" s="16"/>
      <c r="D2590" s="16" t="s">
        <v>29</v>
      </c>
      <c r="E2590" s="16"/>
      <c r="F2590" s="5"/>
      <c r="G2590" s="16" t="s">
        <v>35</v>
      </c>
      <c r="H2590" s="16"/>
      <c r="I2590" s="16"/>
      <c r="J2590" s="16"/>
      <c r="K2590" s="16"/>
      <c r="L2590" s="16"/>
      <c r="M2590" s="16"/>
      <c r="N2590" s="16"/>
      <c r="O2590" s="17"/>
      <c r="P2590" s="5" t="str">
        <f t="shared" si="68"/>
        <v>Truncate table FSFF75;</v>
      </c>
      <c r="Q2590" s="5"/>
      <c r="R2590" s="5"/>
    </row>
    <row r="2591" spans="2:18" x14ac:dyDescent="0.25">
      <c r="B2591" s="19" t="s">
        <v>3403</v>
      </c>
      <c r="C2591" s="16"/>
      <c r="D2591" s="16" t="s">
        <v>29</v>
      </c>
      <c r="E2591" s="16"/>
      <c r="F2591" s="5"/>
      <c r="G2591" s="16" t="s">
        <v>35</v>
      </c>
      <c r="H2591" s="16"/>
      <c r="I2591" s="16"/>
      <c r="J2591" s="16"/>
      <c r="K2591" s="16"/>
      <c r="L2591" s="16"/>
      <c r="M2591" s="16"/>
      <c r="N2591" s="16"/>
      <c r="O2591" s="17"/>
      <c r="P2591" s="5" t="str">
        <f t="shared" si="68"/>
        <v>Truncate table FSFF78;</v>
      </c>
      <c r="Q2591" s="5"/>
      <c r="R2591" s="5"/>
    </row>
    <row r="2592" spans="2:18" x14ac:dyDescent="0.25">
      <c r="B2592" s="19" t="s">
        <v>3404</v>
      </c>
      <c r="C2592" s="16"/>
      <c r="D2592" s="16" t="s">
        <v>29</v>
      </c>
      <c r="E2592" s="16"/>
      <c r="F2592" s="5"/>
      <c r="G2592" s="16" t="s">
        <v>35</v>
      </c>
      <c r="H2592" s="16"/>
      <c r="I2592" s="16"/>
      <c r="J2592" s="16"/>
      <c r="K2592" s="16"/>
      <c r="L2592" s="16"/>
      <c r="M2592" s="16"/>
      <c r="N2592" s="16"/>
      <c r="O2592" s="17"/>
      <c r="P2592" s="5" t="str">
        <f t="shared" si="68"/>
        <v>Truncate table FSFF79;</v>
      </c>
      <c r="Q2592" s="5"/>
      <c r="R2592" s="5"/>
    </row>
    <row r="2593" spans="2:18" x14ac:dyDescent="0.25">
      <c r="B2593" s="19" t="s">
        <v>3405</v>
      </c>
      <c r="C2593" s="16"/>
      <c r="D2593" s="16" t="s">
        <v>29</v>
      </c>
      <c r="E2593" s="16"/>
      <c r="F2593" s="5"/>
      <c r="G2593" s="16" t="s">
        <v>35</v>
      </c>
      <c r="H2593" s="16"/>
      <c r="I2593" s="16"/>
      <c r="J2593" s="16"/>
      <c r="K2593" s="16"/>
      <c r="L2593" s="16"/>
      <c r="M2593" s="16"/>
      <c r="N2593" s="16"/>
      <c r="O2593" s="17"/>
      <c r="P2593" s="5" t="str">
        <f t="shared" si="68"/>
        <v>Truncate table FSFF80;</v>
      </c>
      <c r="Q2593" s="5"/>
      <c r="R2593" s="5"/>
    </row>
    <row r="2594" spans="2:18" x14ac:dyDescent="0.25">
      <c r="B2594" s="19" t="s">
        <v>3406</v>
      </c>
      <c r="C2594" s="16"/>
      <c r="D2594" s="16" t="s">
        <v>29</v>
      </c>
      <c r="E2594" s="16"/>
      <c r="F2594" s="5"/>
      <c r="G2594" s="16" t="s">
        <v>35</v>
      </c>
      <c r="H2594" s="16"/>
      <c r="I2594" s="16"/>
      <c r="J2594" s="16"/>
      <c r="K2594" s="16"/>
      <c r="L2594" s="16"/>
      <c r="M2594" s="16"/>
      <c r="N2594" s="16"/>
      <c r="O2594" s="17"/>
      <c r="P2594" s="5" t="str">
        <f t="shared" si="68"/>
        <v>Truncate table FSFF81;</v>
      </c>
      <c r="Q2594" s="5"/>
      <c r="R2594" s="5"/>
    </row>
    <row r="2595" spans="2:18" x14ac:dyDescent="0.25">
      <c r="B2595" s="19" t="s">
        <v>3407</v>
      </c>
      <c r="C2595" s="16"/>
      <c r="D2595" s="16" t="s">
        <v>29</v>
      </c>
      <c r="E2595" s="16"/>
      <c r="F2595" s="5"/>
      <c r="G2595" s="16" t="s">
        <v>35</v>
      </c>
      <c r="H2595" s="16"/>
      <c r="I2595" s="16"/>
      <c r="J2595" s="16"/>
      <c r="K2595" s="16"/>
      <c r="L2595" s="16"/>
      <c r="M2595" s="16"/>
      <c r="N2595" s="16"/>
      <c r="O2595" s="17"/>
      <c r="P2595" s="5" t="str">
        <f t="shared" si="68"/>
        <v>Truncate table FSFF82;</v>
      </c>
      <c r="Q2595" s="5"/>
      <c r="R2595" s="5"/>
    </row>
    <row r="2596" spans="2:18" x14ac:dyDescent="0.25">
      <c r="B2596" s="19" t="s">
        <v>3408</v>
      </c>
      <c r="C2596" s="16"/>
      <c r="D2596" s="16" t="s">
        <v>29</v>
      </c>
      <c r="E2596" s="16"/>
      <c r="F2596" s="5"/>
      <c r="G2596" s="16" t="s">
        <v>35</v>
      </c>
      <c r="H2596" s="16"/>
      <c r="I2596" s="16"/>
      <c r="J2596" s="16"/>
      <c r="K2596" s="16"/>
      <c r="L2596" s="16"/>
      <c r="M2596" s="16"/>
      <c r="N2596" s="16"/>
      <c r="O2596" s="17"/>
      <c r="P2596" s="5" t="str">
        <f t="shared" si="68"/>
        <v>Truncate table FSFF83;</v>
      </c>
      <c r="Q2596" s="5"/>
      <c r="R2596" s="5"/>
    </row>
    <row r="2597" spans="2:18" x14ac:dyDescent="0.25">
      <c r="B2597" s="19" t="s">
        <v>3409</v>
      </c>
      <c r="C2597" s="16"/>
      <c r="D2597" s="16" t="s">
        <v>29</v>
      </c>
      <c r="E2597" s="16"/>
      <c r="F2597" s="5"/>
      <c r="G2597" s="16" t="s">
        <v>35</v>
      </c>
      <c r="H2597" s="16"/>
      <c r="I2597" s="16"/>
      <c r="J2597" s="16"/>
      <c r="K2597" s="16"/>
      <c r="L2597" s="16"/>
      <c r="M2597" s="16"/>
      <c r="N2597" s="16"/>
      <c r="O2597" s="17"/>
      <c r="P2597" s="5" t="str">
        <f t="shared" si="68"/>
        <v>Truncate table FSFF84;</v>
      </c>
      <c r="Q2597" s="5"/>
      <c r="R2597" s="5"/>
    </row>
    <row r="2598" spans="2:18" x14ac:dyDescent="0.25">
      <c r="B2598" s="19" t="s">
        <v>3410</v>
      </c>
      <c r="C2598" s="16"/>
      <c r="D2598" s="16" t="s">
        <v>29</v>
      </c>
      <c r="E2598" s="16"/>
      <c r="F2598" s="5"/>
      <c r="G2598" s="16" t="s">
        <v>35</v>
      </c>
      <c r="H2598" s="16"/>
      <c r="I2598" s="16"/>
      <c r="J2598" s="16"/>
      <c r="K2598" s="16"/>
      <c r="L2598" s="16"/>
      <c r="M2598" s="16"/>
      <c r="N2598" s="16"/>
      <c r="O2598" s="17"/>
      <c r="P2598" s="5" t="str">
        <f t="shared" si="68"/>
        <v>Truncate table FSFF85;</v>
      </c>
      <c r="Q2598" s="5"/>
      <c r="R2598" s="5"/>
    </row>
    <row r="2599" spans="2:18" x14ac:dyDescent="0.25">
      <c r="B2599" s="19" t="s">
        <v>3411</v>
      </c>
      <c r="C2599" s="16"/>
      <c r="D2599" s="16" t="s">
        <v>29</v>
      </c>
      <c r="E2599" s="16"/>
      <c r="F2599" s="5"/>
      <c r="G2599" s="16" t="s">
        <v>35</v>
      </c>
      <c r="H2599" s="16"/>
      <c r="I2599" s="16"/>
      <c r="J2599" s="16"/>
      <c r="K2599" s="16"/>
      <c r="L2599" s="16"/>
      <c r="M2599" s="16"/>
      <c r="N2599" s="16"/>
      <c r="O2599" s="17"/>
      <c r="P2599" s="5" t="str">
        <f t="shared" si="68"/>
        <v>Truncate table FSFF86;</v>
      </c>
      <c r="Q2599" s="5"/>
      <c r="R2599" s="5"/>
    </row>
    <row r="2600" spans="2:18" x14ac:dyDescent="0.25">
      <c r="B2600" s="19" t="s">
        <v>3412</v>
      </c>
      <c r="C2600" s="16"/>
      <c r="D2600" s="16" t="s">
        <v>29</v>
      </c>
      <c r="E2600" s="16"/>
      <c r="F2600" s="5"/>
      <c r="G2600" s="16" t="s">
        <v>35</v>
      </c>
      <c r="H2600" s="16"/>
      <c r="I2600" s="16"/>
      <c r="J2600" s="16"/>
      <c r="K2600" s="16"/>
      <c r="L2600" s="16"/>
      <c r="M2600" s="16"/>
      <c r="N2600" s="16"/>
      <c r="O2600" s="17"/>
      <c r="P2600" s="5" t="str">
        <f t="shared" si="68"/>
        <v>Truncate table FSFF87;</v>
      </c>
      <c r="Q2600" s="5"/>
      <c r="R2600" s="5"/>
    </row>
    <row r="2601" spans="2:18" x14ac:dyDescent="0.25">
      <c r="B2601" s="19" t="s">
        <v>3413</v>
      </c>
      <c r="C2601" s="16"/>
      <c r="D2601" s="16" t="s">
        <v>29</v>
      </c>
      <c r="E2601" s="16"/>
      <c r="F2601" s="5"/>
      <c r="G2601" s="16" t="s">
        <v>35</v>
      </c>
      <c r="H2601" s="16"/>
      <c r="I2601" s="16"/>
      <c r="J2601" s="16"/>
      <c r="K2601" s="16"/>
      <c r="L2601" s="16"/>
      <c r="M2601" s="16"/>
      <c r="N2601" s="16"/>
      <c r="O2601" s="17"/>
      <c r="P2601" s="5" t="str">
        <f t="shared" si="68"/>
        <v>Truncate table FSFF95;</v>
      </c>
      <c r="Q2601" s="5"/>
      <c r="R2601" s="5"/>
    </row>
    <row r="2602" spans="2:18" x14ac:dyDescent="0.25">
      <c r="B2602" s="19" t="s">
        <v>3414</v>
      </c>
      <c r="C2602" s="16"/>
      <c r="D2602" s="16" t="s">
        <v>29</v>
      </c>
      <c r="E2602" s="16"/>
      <c r="F2602" s="5"/>
      <c r="G2602" s="16" t="s">
        <v>35</v>
      </c>
      <c r="H2602" s="16"/>
      <c r="I2602" s="16"/>
      <c r="J2602" s="16"/>
      <c r="K2602" s="16"/>
      <c r="L2602" s="16"/>
      <c r="M2602" s="16"/>
      <c r="N2602" s="16"/>
      <c r="O2602" s="17"/>
      <c r="P2602" s="5" t="str">
        <f t="shared" si="68"/>
        <v>Truncate table FSFF99;</v>
      </c>
      <c r="Q2602" s="5"/>
      <c r="R2602" s="5"/>
    </row>
    <row r="2603" spans="2:18" x14ac:dyDescent="0.25">
      <c r="B2603" s="19" t="s">
        <v>3415</v>
      </c>
      <c r="C2603" s="16"/>
      <c r="D2603" s="16" t="s">
        <v>29</v>
      </c>
      <c r="E2603" s="16"/>
      <c r="F2603" s="5"/>
      <c r="G2603" s="16" t="s">
        <v>35</v>
      </c>
      <c r="H2603" s="16"/>
      <c r="I2603" s="16"/>
      <c r="J2603" s="16"/>
      <c r="K2603" s="16"/>
      <c r="L2603" s="16"/>
      <c r="M2603" s="16"/>
      <c r="N2603" s="16"/>
      <c r="O2603" s="17"/>
      <c r="P2603" s="5" t="str">
        <f t="shared" si="68"/>
        <v>Truncate table FSFFA0;</v>
      </c>
      <c r="Q2603" s="5"/>
      <c r="R2603" s="5"/>
    </row>
    <row r="2604" spans="2:18" x14ac:dyDescent="0.25">
      <c r="B2604" s="19" t="s">
        <v>3416</v>
      </c>
      <c r="C2604" s="16"/>
      <c r="D2604" s="16" t="s">
        <v>29</v>
      </c>
      <c r="E2604" s="16"/>
      <c r="F2604" s="5"/>
      <c r="G2604" s="16" t="s">
        <v>35</v>
      </c>
      <c r="H2604" s="16"/>
      <c r="I2604" s="16"/>
      <c r="J2604" s="16"/>
      <c r="K2604" s="16"/>
      <c r="L2604" s="16"/>
      <c r="M2604" s="16"/>
      <c r="N2604" s="16"/>
      <c r="O2604" s="17"/>
      <c r="P2604" s="5" t="str">
        <f t="shared" si="68"/>
        <v>Truncate table FSFFA1;</v>
      </c>
      <c r="Q2604" s="5"/>
      <c r="R2604" s="5"/>
    </row>
    <row r="2605" spans="2:18" x14ac:dyDescent="0.25">
      <c r="B2605" s="19" t="s">
        <v>3417</v>
      </c>
      <c r="C2605" s="16"/>
      <c r="D2605" s="16" t="s">
        <v>29</v>
      </c>
      <c r="E2605" s="16"/>
      <c r="F2605" s="5"/>
      <c r="G2605" s="16" t="s">
        <v>35</v>
      </c>
      <c r="H2605" s="16"/>
      <c r="I2605" s="16"/>
      <c r="J2605" s="16"/>
      <c r="K2605" s="16"/>
      <c r="L2605" s="16"/>
      <c r="M2605" s="16"/>
      <c r="N2605" s="16"/>
      <c r="O2605" s="17"/>
      <c r="P2605" s="5" t="str">
        <f t="shared" si="68"/>
        <v>Truncate table FSFFA2;</v>
      </c>
      <c r="Q2605" s="5"/>
      <c r="R2605" s="5"/>
    </row>
    <row r="2606" spans="2:18" x14ac:dyDescent="0.25">
      <c r="B2606" s="19" t="s">
        <v>3418</v>
      </c>
      <c r="C2606" s="16"/>
      <c r="D2606" s="16" t="s">
        <v>29</v>
      </c>
      <c r="E2606" s="16"/>
      <c r="F2606" s="5"/>
      <c r="G2606" s="16" t="s">
        <v>35</v>
      </c>
      <c r="H2606" s="16"/>
      <c r="I2606" s="16"/>
      <c r="J2606" s="16"/>
      <c r="K2606" s="16"/>
      <c r="L2606" s="16"/>
      <c r="M2606" s="16"/>
      <c r="N2606" s="16"/>
      <c r="O2606" s="17"/>
      <c r="P2606" s="5" t="str">
        <f t="shared" si="68"/>
        <v>Truncate table FSFFA3;</v>
      </c>
      <c r="Q2606" s="5"/>
      <c r="R2606" s="5"/>
    </row>
    <row r="2607" spans="2:18" x14ac:dyDescent="0.25">
      <c r="B2607" s="19" t="s">
        <v>3419</v>
      </c>
      <c r="C2607" s="16"/>
      <c r="D2607" s="16" t="s">
        <v>29</v>
      </c>
      <c r="E2607" s="16"/>
      <c r="F2607" s="5"/>
      <c r="G2607" s="16" t="s">
        <v>35</v>
      </c>
      <c r="H2607" s="16"/>
      <c r="I2607" s="16"/>
      <c r="J2607" s="16"/>
      <c r="K2607" s="16"/>
      <c r="L2607" s="16"/>
      <c r="M2607" s="16"/>
      <c r="N2607" s="16"/>
      <c r="O2607" s="17"/>
      <c r="P2607" s="5" t="str">
        <f t="shared" si="68"/>
        <v>Truncate table FSFFA4;</v>
      </c>
      <c r="Q2607" s="5"/>
      <c r="R2607" s="5"/>
    </row>
    <row r="2608" spans="2:18" x14ac:dyDescent="0.25">
      <c r="B2608" s="19" t="s">
        <v>3420</v>
      </c>
      <c r="C2608" s="16"/>
      <c r="D2608" s="16" t="s">
        <v>29</v>
      </c>
      <c r="E2608" s="16"/>
      <c r="F2608" s="5"/>
      <c r="G2608" s="16" t="s">
        <v>35</v>
      </c>
      <c r="H2608" s="16"/>
      <c r="I2608" s="16"/>
      <c r="J2608" s="16"/>
      <c r="K2608" s="16"/>
      <c r="L2608" s="16"/>
      <c r="M2608" s="16"/>
      <c r="N2608" s="16"/>
      <c r="O2608" s="17"/>
      <c r="P2608" s="5" t="str">
        <f t="shared" si="68"/>
        <v>Truncate table FSFFA5;</v>
      </c>
      <c r="Q2608" s="5"/>
      <c r="R2608" s="5"/>
    </row>
    <row r="2609" spans="2:18" x14ac:dyDescent="0.25">
      <c r="B2609" s="19" t="s">
        <v>3421</v>
      </c>
      <c r="C2609" s="16"/>
      <c r="D2609" s="16" t="s">
        <v>29</v>
      </c>
      <c r="E2609" s="16"/>
      <c r="F2609" s="5"/>
      <c r="G2609" s="16" t="s">
        <v>35</v>
      </c>
      <c r="H2609" s="16"/>
      <c r="I2609" s="16"/>
      <c r="J2609" s="16"/>
      <c r="K2609" s="16"/>
      <c r="L2609" s="16"/>
      <c r="M2609" s="16"/>
      <c r="N2609" s="16"/>
      <c r="O2609" s="17"/>
      <c r="P2609" s="5" t="str">
        <f t="shared" ref="P2609:P2672" si="69">IF(D2609="Datos","Truncate table "&amp; B2609&amp; ";","")</f>
        <v>Truncate table FSFFA6;</v>
      </c>
      <c r="Q2609" s="5"/>
      <c r="R2609" s="5"/>
    </row>
    <row r="2610" spans="2:18" x14ac:dyDescent="0.25">
      <c r="B2610" s="19" t="s">
        <v>3422</v>
      </c>
      <c r="C2610" s="16"/>
      <c r="D2610" s="16" t="s">
        <v>29</v>
      </c>
      <c r="E2610" s="16"/>
      <c r="F2610" s="5"/>
      <c r="G2610" s="16" t="s">
        <v>35</v>
      </c>
      <c r="H2610" s="16"/>
      <c r="I2610" s="16"/>
      <c r="J2610" s="16"/>
      <c r="K2610" s="16"/>
      <c r="L2610" s="16"/>
      <c r="M2610" s="16"/>
      <c r="N2610" s="16"/>
      <c r="O2610" s="17"/>
      <c r="P2610" s="5" t="str">
        <f t="shared" si="69"/>
        <v>Truncate table FSFFA7;</v>
      </c>
      <c r="Q2610" s="5"/>
      <c r="R2610" s="5"/>
    </row>
    <row r="2611" spans="2:18" x14ac:dyDescent="0.25">
      <c r="B2611" s="19" t="s">
        <v>3423</v>
      </c>
      <c r="C2611" s="16"/>
      <c r="D2611" s="16" t="s">
        <v>29</v>
      </c>
      <c r="E2611" s="16"/>
      <c r="F2611" s="5"/>
      <c r="G2611" s="16" t="s">
        <v>35</v>
      </c>
      <c r="H2611" s="16"/>
      <c r="I2611" s="16"/>
      <c r="J2611" s="16"/>
      <c r="K2611" s="16"/>
      <c r="L2611" s="16"/>
      <c r="M2611" s="16"/>
      <c r="N2611" s="16"/>
      <c r="O2611" s="17"/>
      <c r="P2611" s="5" t="str">
        <f t="shared" si="69"/>
        <v>Truncate table FSFFA8;</v>
      </c>
      <c r="Q2611" s="5"/>
      <c r="R2611" s="5"/>
    </row>
    <row r="2612" spans="2:18" x14ac:dyDescent="0.25">
      <c r="B2612" s="19" t="s">
        <v>3424</v>
      </c>
      <c r="C2612" s="16"/>
      <c r="D2612" s="16" t="s">
        <v>29</v>
      </c>
      <c r="E2612" s="16"/>
      <c r="F2612" s="5"/>
      <c r="G2612" s="16" t="s">
        <v>35</v>
      </c>
      <c r="H2612" s="16"/>
      <c r="I2612" s="16"/>
      <c r="J2612" s="16"/>
      <c r="K2612" s="16"/>
      <c r="L2612" s="16"/>
      <c r="M2612" s="16"/>
      <c r="N2612" s="16"/>
      <c r="O2612" s="17"/>
      <c r="P2612" s="5" t="str">
        <f t="shared" si="69"/>
        <v>Truncate table FSFFA9;</v>
      </c>
      <c r="Q2612" s="5"/>
      <c r="R2612" s="5"/>
    </row>
    <row r="2613" spans="2:18" x14ac:dyDescent="0.25">
      <c r="B2613" s="19" t="s">
        <v>3425</v>
      </c>
      <c r="C2613" s="16"/>
      <c r="D2613" s="16" t="s">
        <v>29</v>
      </c>
      <c r="E2613" s="16"/>
      <c r="F2613" s="5"/>
      <c r="G2613" s="16" t="s">
        <v>35</v>
      </c>
      <c r="H2613" s="16"/>
      <c r="I2613" s="16"/>
      <c r="J2613" s="16"/>
      <c r="K2613" s="16"/>
      <c r="L2613" s="16"/>
      <c r="M2613" s="16"/>
      <c r="N2613" s="16"/>
      <c r="O2613" s="17"/>
      <c r="P2613" s="5" t="str">
        <f t="shared" si="69"/>
        <v>Truncate table FSFFAA;</v>
      </c>
      <c r="Q2613" s="5"/>
      <c r="R2613" s="5"/>
    </row>
    <row r="2614" spans="2:18" x14ac:dyDescent="0.25">
      <c r="B2614" s="19" t="s">
        <v>3426</v>
      </c>
      <c r="C2614" s="16"/>
      <c r="D2614" s="16" t="s">
        <v>29</v>
      </c>
      <c r="E2614" s="16"/>
      <c r="F2614" s="5"/>
      <c r="G2614" s="16" t="s">
        <v>35</v>
      </c>
      <c r="H2614" s="16"/>
      <c r="I2614" s="16"/>
      <c r="J2614" s="16"/>
      <c r="K2614" s="16"/>
      <c r="L2614" s="16"/>
      <c r="M2614" s="16"/>
      <c r="N2614" s="16"/>
      <c r="O2614" s="17"/>
      <c r="P2614" s="5" t="str">
        <f t="shared" si="69"/>
        <v>Truncate table FSFFAB;</v>
      </c>
      <c r="Q2614" s="5"/>
      <c r="R2614" s="5"/>
    </row>
    <row r="2615" spans="2:18" x14ac:dyDescent="0.25">
      <c r="B2615" s="19" t="s">
        <v>3427</v>
      </c>
      <c r="C2615" s="16"/>
      <c r="D2615" s="16" t="s">
        <v>29</v>
      </c>
      <c r="E2615" s="16"/>
      <c r="F2615" s="5"/>
      <c r="G2615" s="16" t="s">
        <v>35</v>
      </c>
      <c r="H2615" s="16"/>
      <c r="I2615" s="16"/>
      <c r="J2615" s="16"/>
      <c r="K2615" s="16"/>
      <c r="L2615" s="16"/>
      <c r="M2615" s="16"/>
      <c r="N2615" s="16"/>
      <c r="O2615" s="17"/>
      <c r="P2615" s="5" t="str">
        <f t="shared" si="69"/>
        <v>Truncate table FSFFAC;</v>
      </c>
      <c r="Q2615" s="5"/>
      <c r="R2615" s="5"/>
    </row>
    <row r="2616" spans="2:18" x14ac:dyDescent="0.25">
      <c r="B2616" s="19" t="s">
        <v>3428</v>
      </c>
      <c r="C2616" s="16"/>
      <c r="D2616" s="16" t="s">
        <v>29</v>
      </c>
      <c r="E2616" s="16"/>
      <c r="F2616" s="5"/>
      <c r="G2616" s="16" t="s">
        <v>35</v>
      </c>
      <c r="H2616" s="16"/>
      <c r="I2616" s="16"/>
      <c r="J2616" s="16"/>
      <c r="K2616" s="16"/>
      <c r="L2616" s="16"/>
      <c r="M2616" s="16"/>
      <c r="N2616" s="16"/>
      <c r="O2616" s="17"/>
      <c r="P2616" s="5" t="str">
        <f t="shared" si="69"/>
        <v>Truncate table FSFFAD;</v>
      </c>
      <c r="Q2616" s="5"/>
      <c r="R2616" s="5"/>
    </row>
    <row r="2617" spans="2:18" x14ac:dyDescent="0.25">
      <c r="B2617" s="19" t="s">
        <v>3429</v>
      </c>
      <c r="C2617" s="16"/>
      <c r="D2617" s="16" t="s">
        <v>29</v>
      </c>
      <c r="E2617" s="16"/>
      <c r="F2617" s="5"/>
      <c r="G2617" s="16" t="s">
        <v>35</v>
      </c>
      <c r="H2617" s="16"/>
      <c r="I2617" s="16"/>
      <c r="J2617" s="16"/>
      <c r="K2617" s="16"/>
      <c r="L2617" s="16"/>
      <c r="M2617" s="16"/>
      <c r="N2617" s="16"/>
      <c r="O2617" s="17"/>
      <c r="P2617" s="5" t="str">
        <f t="shared" si="69"/>
        <v>Truncate table FSFFAE;</v>
      </c>
      <c r="Q2617" s="5"/>
      <c r="R2617" s="5"/>
    </row>
    <row r="2618" spans="2:18" x14ac:dyDescent="0.25">
      <c r="B2618" s="19" t="s">
        <v>3430</v>
      </c>
      <c r="C2618" s="16"/>
      <c r="D2618" s="16" t="s">
        <v>29</v>
      </c>
      <c r="E2618" s="16"/>
      <c r="F2618" s="5"/>
      <c r="G2618" s="16" t="s">
        <v>35</v>
      </c>
      <c r="H2618" s="16"/>
      <c r="I2618" s="16"/>
      <c r="J2618" s="16"/>
      <c r="K2618" s="16"/>
      <c r="L2618" s="16"/>
      <c r="M2618" s="16"/>
      <c r="N2618" s="16"/>
      <c r="O2618" s="17"/>
      <c r="P2618" s="5" t="str">
        <f t="shared" si="69"/>
        <v>Truncate table FSFFAF;</v>
      </c>
      <c r="Q2618" s="5"/>
      <c r="R2618" s="5"/>
    </row>
    <row r="2619" spans="2:18" x14ac:dyDescent="0.25">
      <c r="B2619" s="19" t="s">
        <v>3431</v>
      </c>
      <c r="C2619" s="16"/>
      <c r="D2619" s="16" t="s">
        <v>29</v>
      </c>
      <c r="E2619" s="16"/>
      <c r="F2619" s="5"/>
      <c r="G2619" s="16" t="s">
        <v>35</v>
      </c>
      <c r="H2619" s="16"/>
      <c r="I2619" s="16"/>
      <c r="J2619" s="16"/>
      <c r="K2619" s="16"/>
      <c r="L2619" s="16"/>
      <c r="M2619" s="16"/>
      <c r="N2619" s="16"/>
      <c r="O2619" s="17"/>
      <c r="P2619" s="5" t="str">
        <f t="shared" si="69"/>
        <v>Truncate table FSFFAG;</v>
      </c>
      <c r="Q2619" s="5"/>
      <c r="R2619" s="5"/>
    </row>
    <row r="2620" spans="2:18" x14ac:dyDescent="0.25">
      <c r="B2620" s="19" t="s">
        <v>3432</v>
      </c>
      <c r="C2620" s="16"/>
      <c r="D2620" s="16" t="s">
        <v>29</v>
      </c>
      <c r="E2620" s="16"/>
      <c r="F2620" s="5"/>
      <c r="G2620" s="16" t="s">
        <v>35</v>
      </c>
      <c r="H2620" s="16"/>
      <c r="I2620" s="16"/>
      <c r="J2620" s="16"/>
      <c r="K2620" s="16"/>
      <c r="L2620" s="16"/>
      <c r="M2620" s="16"/>
      <c r="N2620" s="16"/>
      <c r="O2620" s="17"/>
      <c r="P2620" s="5" t="str">
        <f t="shared" si="69"/>
        <v>Truncate table FSFFAH;</v>
      </c>
      <c r="Q2620" s="5"/>
      <c r="R2620" s="5"/>
    </row>
    <row r="2621" spans="2:18" x14ac:dyDescent="0.25">
      <c r="B2621" s="19" t="s">
        <v>3433</v>
      </c>
      <c r="C2621" s="16"/>
      <c r="D2621" s="16" t="s">
        <v>29</v>
      </c>
      <c r="E2621" s="16"/>
      <c r="F2621" s="5"/>
      <c r="G2621" s="16" t="s">
        <v>35</v>
      </c>
      <c r="H2621" s="16"/>
      <c r="I2621" s="16"/>
      <c r="J2621" s="16"/>
      <c r="K2621" s="16"/>
      <c r="L2621" s="16"/>
      <c r="M2621" s="16"/>
      <c r="N2621" s="16"/>
      <c r="O2621" s="17"/>
      <c r="P2621" s="5" t="str">
        <f t="shared" si="69"/>
        <v>Truncate table FSFFAI;</v>
      </c>
      <c r="Q2621" s="5"/>
      <c r="R2621" s="5"/>
    </row>
    <row r="2622" spans="2:18" x14ac:dyDescent="0.25">
      <c r="B2622" s="19" t="s">
        <v>3434</v>
      </c>
      <c r="C2622" s="16"/>
      <c r="D2622" s="16" t="s">
        <v>29</v>
      </c>
      <c r="E2622" s="16"/>
      <c r="F2622" s="5"/>
      <c r="G2622" s="16" t="s">
        <v>35</v>
      </c>
      <c r="H2622" s="16"/>
      <c r="I2622" s="16"/>
      <c r="J2622" s="16"/>
      <c r="K2622" s="16"/>
      <c r="L2622" s="16"/>
      <c r="M2622" s="16"/>
      <c r="N2622" s="16"/>
      <c r="O2622" s="17"/>
      <c r="P2622" s="5" t="str">
        <f t="shared" si="69"/>
        <v>Truncate table FSFFAJ;</v>
      </c>
      <c r="Q2622" s="5"/>
      <c r="R2622" s="5"/>
    </row>
    <row r="2623" spans="2:18" x14ac:dyDescent="0.25">
      <c r="B2623" s="19" t="s">
        <v>3435</v>
      </c>
      <c r="C2623" s="16"/>
      <c r="D2623" s="16" t="s">
        <v>29</v>
      </c>
      <c r="E2623" s="16"/>
      <c r="F2623" s="5"/>
      <c r="G2623" s="16" t="s">
        <v>35</v>
      </c>
      <c r="H2623" s="16"/>
      <c r="I2623" s="16"/>
      <c r="J2623" s="16"/>
      <c r="K2623" s="16"/>
      <c r="L2623" s="16"/>
      <c r="M2623" s="16"/>
      <c r="N2623" s="16"/>
      <c r="O2623" s="17"/>
      <c r="P2623" s="5" t="str">
        <f t="shared" si="69"/>
        <v>Truncate table FSFFAK;</v>
      </c>
      <c r="Q2623" s="5"/>
      <c r="R2623" s="5"/>
    </row>
    <row r="2624" spans="2:18" x14ac:dyDescent="0.25">
      <c r="B2624" s="19" t="s">
        <v>3436</v>
      </c>
      <c r="C2624" s="16"/>
      <c r="D2624" s="16" t="s">
        <v>29</v>
      </c>
      <c r="E2624" s="16"/>
      <c r="F2624" s="5"/>
      <c r="G2624" s="16" t="s">
        <v>35</v>
      </c>
      <c r="H2624" s="16"/>
      <c r="I2624" s="16"/>
      <c r="J2624" s="16"/>
      <c r="K2624" s="16"/>
      <c r="L2624" s="16"/>
      <c r="M2624" s="16"/>
      <c r="N2624" s="16"/>
      <c r="O2624" s="17"/>
      <c r="P2624" s="5" t="str">
        <f t="shared" si="69"/>
        <v>Truncate table FSFFAL;</v>
      </c>
      <c r="Q2624" s="5"/>
      <c r="R2624" s="5"/>
    </row>
    <row r="2625" spans="2:18" x14ac:dyDescent="0.25">
      <c r="B2625" s="19" t="s">
        <v>3437</v>
      </c>
      <c r="C2625" s="16"/>
      <c r="D2625" s="16" t="s">
        <v>29</v>
      </c>
      <c r="E2625" s="16"/>
      <c r="F2625" s="5"/>
      <c r="G2625" s="16" t="s">
        <v>35</v>
      </c>
      <c r="H2625" s="16"/>
      <c r="I2625" s="16"/>
      <c r="J2625" s="16"/>
      <c r="K2625" s="16"/>
      <c r="L2625" s="16"/>
      <c r="M2625" s="16"/>
      <c r="N2625" s="16"/>
      <c r="O2625" s="17"/>
      <c r="P2625" s="5" t="str">
        <f t="shared" si="69"/>
        <v>Truncate table FSFFAM;</v>
      </c>
      <c r="Q2625" s="5"/>
      <c r="R2625" s="5"/>
    </row>
    <row r="2626" spans="2:18" x14ac:dyDescent="0.25">
      <c r="B2626" s="19" t="s">
        <v>3438</v>
      </c>
      <c r="C2626" s="16"/>
      <c r="D2626" s="16" t="s">
        <v>29</v>
      </c>
      <c r="E2626" s="16"/>
      <c r="F2626" s="5"/>
      <c r="G2626" s="16" t="s">
        <v>35</v>
      </c>
      <c r="H2626" s="16"/>
      <c r="I2626" s="16"/>
      <c r="J2626" s="16"/>
      <c r="K2626" s="16"/>
      <c r="L2626" s="16"/>
      <c r="M2626" s="16"/>
      <c r="N2626" s="16"/>
      <c r="O2626" s="17"/>
      <c r="P2626" s="5" t="str">
        <f t="shared" si="69"/>
        <v>Truncate table FSFFAN;</v>
      </c>
      <c r="Q2626" s="5"/>
      <c r="R2626" s="5"/>
    </row>
    <row r="2627" spans="2:18" x14ac:dyDescent="0.25">
      <c r="B2627" s="19" t="s">
        <v>3439</v>
      </c>
      <c r="C2627" s="16"/>
      <c r="D2627" s="16" t="s">
        <v>29</v>
      </c>
      <c r="E2627" s="16"/>
      <c r="F2627" s="5"/>
      <c r="G2627" s="16" t="s">
        <v>35</v>
      </c>
      <c r="H2627" s="16"/>
      <c r="I2627" s="16"/>
      <c r="J2627" s="16"/>
      <c r="K2627" s="16"/>
      <c r="L2627" s="16"/>
      <c r="M2627" s="16"/>
      <c r="N2627" s="16"/>
      <c r="O2627" s="17"/>
      <c r="P2627" s="5" t="str">
        <f t="shared" si="69"/>
        <v>Truncate table FSFFAO;</v>
      </c>
      <c r="Q2627" s="5"/>
      <c r="R2627" s="5"/>
    </row>
    <row r="2628" spans="2:18" x14ac:dyDescent="0.25">
      <c r="B2628" s="19" t="s">
        <v>3440</v>
      </c>
      <c r="C2628" s="16"/>
      <c r="D2628" s="16" t="s">
        <v>29</v>
      </c>
      <c r="E2628" s="16"/>
      <c r="F2628" s="5"/>
      <c r="G2628" s="16" t="s">
        <v>35</v>
      </c>
      <c r="H2628" s="16"/>
      <c r="I2628" s="16"/>
      <c r="J2628" s="16"/>
      <c r="K2628" s="16"/>
      <c r="L2628" s="16"/>
      <c r="M2628" s="16"/>
      <c r="N2628" s="16"/>
      <c r="O2628" s="17"/>
      <c r="P2628" s="5" t="str">
        <f t="shared" si="69"/>
        <v>Truncate table FSFFAP;</v>
      </c>
      <c r="Q2628" s="5"/>
      <c r="R2628" s="5"/>
    </row>
    <row r="2629" spans="2:18" x14ac:dyDescent="0.25">
      <c r="B2629" s="19" t="s">
        <v>3441</v>
      </c>
      <c r="C2629" s="16"/>
      <c r="D2629" s="16" t="s">
        <v>29</v>
      </c>
      <c r="E2629" s="16"/>
      <c r="F2629" s="5"/>
      <c r="G2629" s="16" t="s">
        <v>35</v>
      </c>
      <c r="H2629" s="16"/>
      <c r="I2629" s="16"/>
      <c r="J2629" s="16"/>
      <c r="K2629" s="16"/>
      <c r="L2629" s="16"/>
      <c r="M2629" s="16"/>
      <c r="N2629" s="16"/>
      <c r="O2629" s="17"/>
      <c r="P2629" s="5" t="str">
        <f t="shared" si="69"/>
        <v>Truncate table FSFFAQ;</v>
      </c>
      <c r="Q2629" s="5"/>
      <c r="R2629" s="5"/>
    </row>
    <row r="2630" spans="2:18" x14ac:dyDescent="0.25">
      <c r="B2630" s="19" t="s">
        <v>3442</v>
      </c>
      <c r="C2630" s="16"/>
      <c r="D2630" s="16" t="s">
        <v>29</v>
      </c>
      <c r="E2630" s="16"/>
      <c r="F2630" s="5"/>
      <c r="G2630" s="16" t="s">
        <v>35</v>
      </c>
      <c r="H2630" s="16"/>
      <c r="I2630" s="16"/>
      <c r="J2630" s="16"/>
      <c r="K2630" s="16"/>
      <c r="L2630" s="16"/>
      <c r="M2630" s="16"/>
      <c r="N2630" s="16"/>
      <c r="O2630" s="17"/>
      <c r="P2630" s="5" t="str">
        <f t="shared" si="69"/>
        <v>Truncate table FSFFAR;</v>
      </c>
      <c r="Q2630" s="5"/>
      <c r="R2630" s="5"/>
    </row>
    <row r="2631" spans="2:18" x14ac:dyDescent="0.25">
      <c r="B2631" s="19" t="s">
        <v>3443</v>
      </c>
      <c r="C2631" s="16"/>
      <c r="D2631" s="16" t="s">
        <v>29</v>
      </c>
      <c r="E2631" s="16"/>
      <c r="F2631" s="5"/>
      <c r="G2631" s="16" t="s">
        <v>35</v>
      </c>
      <c r="H2631" s="16"/>
      <c r="I2631" s="16"/>
      <c r="J2631" s="16"/>
      <c r="K2631" s="16"/>
      <c r="L2631" s="16"/>
      <c r="M2631" s="16"/>
      <c r="N2631" s="16"/>
      <c r="O2631" s="17"/>
      <c r="P2631" s="5" t="str">
        <f t="shared" si="69"/>
        <v>Truncate table FSFFAS;</v>
      </c>
      <c r="Q2631" s="5"/>
      <c r="R2631" s="5"/>
    </row>
    <row r="2632" spans="2:18" x14ac:dyDescent="0.25">
      <c r="B2632" s="19" t="s">
        <v>3444</v>
      </c>
      <c r="C2632" s="16"/>
      <c r="D2632" s="16" t="s">
        <v>29</v>
      </c>
      <c r="E2632" s="16"/>
      <c r="F2632" s="5"/>
      <c r="G2632" s="16" t="s">
        <v>35</v>
      </c>
      <c r="H2632" s="16"/>
      <c r="I2632" s="16"/>
      <c r="J2632" s="16"/>
      <c r="K2632" s="16"/>
      <c r="L2632" s="16"/>
      <c r="M2632" s="16"/>
      <c r="N2632" s="16"/>
      <c r="O2632" s="17"/>
      <c r="P2632" s="5" t="str">
        <f t="shared" si="69"/>
        <v>Truncate table FSFFAT;</v>
      </c>
      <c r="Q2632" s="5"/>
      <c r="R2632" s="5"/>
    </row>
    <row r="2633" spans="2:18" x14ac:dyDescent="0.25">
      <c r="B2633" s="19" t="s">
        <v>3445</v>
      </c>
      <c r="C2633" s="16"/>
      <c r="D2633" s="16" t="s">
        <v>29</v>
      </c>
      <c r="E2633" s="16"/>
      <c r="F2633" s="5"/>
      <c r="G2633" s="16" t="s">
        <v>35</v>
      </c>
      <c r="H2633" s="16"/>
      <c r="I2633" s="16"/>
      <c r="J2633" s="16"/>
      <c r="K2633" s="16"/>
      <c r="L2633" s="16"/>
      <c r="M2633" s="16"/>
      <c r="N2633" s="16"/>
      <c r="O2633" s="17"/>
      <c r="P2633" s="5" t="str">
        <f t="shared" si="69"/>
        <v>Truncate table FSFFAU;</v>
      </c>
      <c r="Q2633" s="5"/>
      <c r="R2633" s="5"/>
    </row>
    <row r="2634" spans="2:18" x14ac:dyDescent="0.25">
      <c r="B2634" s="19" t="s">
        <v>3446</v>
      </c>
      <c r="C2634" s="16"/>
      <c r="D2634" s="16" t="s">
        <v>29</v>
      </c>
      <c r="E2634" s="16"/>
      <c r="F2634" s="5"/>
      <c r="G2634" s="16" t="s">
        <v>35</v>
      </c>
      <c r="H2634" s="16"/>
      <c r="I2634" s="16"/>
      <c r="J2634" s="16"/>
      <c r="K2634" s="16"/>
      <c r="L2634" s="16"/>
      <c r="M2634" s="16"/>
      <c r="N2634" s="16"/>
      <c r="O2634" s="17"/>
      <c r="P2634" s="5" t="str">
        <f t="shared" si="69"/>
        <v>Truncate table FSFFAV;</v>
      </c>
      <c r="Q2634" s="5"/>
      <c r="R2634" s="5"/>
    </row>
    <row r="2635" spans="2:18" x14ac:dyDescent="0.25">
      <c r="B2635" s="19" t="s">
        <v>3447</v>
      </c>
      <c r="C2635" s="16"/>
      <c r="D2635" s="16" t="s">
        <v>29</v>
      </c>
      <c r="E2635" s="16"/>
      <c r="F2635" s="5"/>
      <c r="G2635" s="16" t="s">
        <v>35</v>
      </c>
      <c r="H2635" s="16"/>
      <c r="I2635" s="16"/>
      <c r="J2635" s="16"/>
      <c r="K2635" s="16"/>
      <c r="L2635" s="16"/>
      <c r="M2635" s="16"/>
      <c r="N2635" s="16"/>
      <c r="O2635" s="17"/>
      <c r="P2635" s="5" t="str">
        <f t="shared" si="69"/>
        <v>Truncate table FSFFAW;</v>
      </c>
      <c r="Q2635" s="5"/>
      <c r="R2635" s="5"/>
    </row>
    <row r="2636" spans="2:18" x14ac:dyDescent="0.25">
      <c r="B2636" s="19" t="s">
        <v>3448</v>
      </c>
      <c r="C2636" s="16"/>
      <c r="D2636" s="16" t="s">
        <v>29</v>
      </c>
      <c r="E2636" s="16"/>
      <c r="F2636" s="5"/>
      <c r="G2636" s="16" t="s">
        <v>35</v>
      </c>
      <c r="H2636" s="16"/>
      <c r="I2636" s="16"/>
      <c r="J2636" s="16"/>
      <c r="K2636" s="16"/>
      <c r="L2636" s="16"/>
      <c r="M2636" s="16"/>
      <c r="N2636" s="16"/>
      <c r="O2636" s="17"/>
      <c r="P2636" s="5" t="str">
        <f t="shared" si="69"/>
        <v>Truncate table FSFFAY;</v>
      </c>
      <c r="Q2636" s="5"/>
      <c r="R2636" s="5"/>
    </row>
    <row r="2637" spans="2:18" x14ac:dyDescent="0.25">
      <c r="B2637" s="19" t="s">
        <v>3449</v>
      </c>
      <c r="C2637" s="16"/>
      <c r="D2637" s="16" t="s">
        <v>29</v>
      </c>
      <c r="E2637" s="16"/>
      <c r="F2637" s="5"/>
      <c r="G2637" s="16" t="s">
        <v>35</v>
      </c>
      <c r="H2637" s="16"/>
      <c r="I2637" s="16"/>
      <c r="J2637" s="16"/>
      <c r="K2637" s="16"/>
      <c r="L2637" s="16"/>
      <c r="M2637" s="16"/>
      <c r="N2637" s="16"/>
      <c r="O2637" s="17"/>
      <c r="P2637" s="5" t="str">
        <f t="shared" si="69"/>
        <v>Truncate table FSFFAZ;</v>
      </c>
      <c r="Q2637" s="5"/>
      <c r="R2637" s="5"/>
    </row>
    <row r="2638" spans="2:18" x14ac:dyDescent="0.25">
      <c r="B2638" s="19" t="s">
        <v>3450</v>
      </c>
      <c r="C2638" s="16"/>
      <c r="D2638" s="16" t="s">
        <v>29</v>
      </c>
      <c r="E2638" s="16"/>
      <c r="F2638" s="5"/>
      <c r="G2638" s="16" t="s">
        <v>35</v>
      </c>
      <c r="H2638" s="16"/>
      <c r="I2638" s="16"/>
      <c r="J2638" s="16"/>
      <c r="K2638" s="16"/>
      <c r="L2638" s="16"/>
      <c r="M2638" s="16"/>
      <c r="N2638" s="16"/>
      <c r="O2638" s="17"/>
      <c r="P2638" s="5" t="str">
        <f t="shared" si="69"/>
        <v>Truncate table FSFFB0;</v>
      </c>
      <c r="Q2638" s="5"/>
      <c r="R2638" s="5"/>
    </row>
    <row r="2639" spans="2:18" x14ac:dyDescent="0.25">
      <c r="B2639" s="19" t="s">
        <v>3451</v>
      </c>
      <c r="C2639" s="16"/>
      <c r="D2639" s="16" t="s">
        <v>29</v>
      </c>
      <c r="E2639" s="16"/>
      <c r="F2639" s="5"/>
      <c r="G2639" s="16" t="s">
        <v>35</v>
      </c>
      <c r="H2639" s="16"/>
      <c r="I2639" s="16"/>
      <c r="J2639" s="16"/>
      <c r="K2639" s="16"/>
      <c r="L2639" s="16"/>
      <c r="M2639" s="16"/>
      <c r="N2639" s="16"/>
      <c r="O2639" s="17"/>
      <c r="P2639" s="5" t="str">
        <f t="shared" si="69"/>
        <v>Truncate table FSFFB1;</v>
      </c>
      <c r="Q2639" s="5"/>
      <c r="R2639" s="5"/>
    </row>
    <row r="2640" spans="2:18" x14ac:dyDescent="0.25">
      <c r="B2640" s="19" t="s">
        <v>3452</v>
      </c>
      <c r="C2640" s="16"/>
      <c r="D2640" s="16" t="s">
        <v>29</v>
      </c>
      <c r="E2640" s="16"/>
      <c r="F2640" s="5"/>
      <c r="G2640" s="16" t="s">
        <v>35</v>
      </c>
      <c r="H2640" s="16"/>
      <c r="I2640" s="16"/>
      <c r="J2640" s="16"/>
      <c r="K2640" s="16"/>
      <c r="L2640" s="16"/>
      <c r="M2640" s="16"/>
      <c r="N2640" s="16"/>
      <c r="O2640" s="17"/>
      <c r="P2640" s="5" t="str">
        <f t="shared" si="69"/>
        <v>Truncate table FSFFB2;</v>
      </c>
      <c r="Q2640" s="5"/>
      <c r="R2640" s="5"/>
    </row>
    <row r="2641" spans="2:18" x14ac:dyDescent="0.25">
      <c r="B2641" s="19" t="s">
        <v>3453</v>
      </c>
      <c r="C2641" s="16"/>
      <c r="D2641" s="16" t="s">
        <v>29</v>
      </c>
      <c r="E2641" s="16"/>
      <c r="F2641" s="5"/>
      <c r="G2641" s="16" t="s">
        <v>35</v>
      </c>
      <c r="H2641" s="16"/>
      <c r="I2641" s="16"/>
      <c r="J2641" s="16"/>
      <c r="K2641" s="16"/>
      <c r="L2641" s="16"/>
      <c r="M2641" s="16"/>
      <c r="N2641" s="16"/>
      <c r="O2641" s="17"/>
      <c r="P2641" s="5" t="str">
        <f t="shared" si="69"/>
        <v>Truncate table FSFFB3;</v>
      </c>
      <c r="Q2641" s="5"/>
      <c r="R2641" s="5"/>
    </row>
    <row r="2642" spans="2:18" x14ac:dyDescent="0.25">
      <c r="B2642" s="19" t="s">
        <v>3454</v>
      </c>
      <c r="C2642" s="16"/>
      <c r="D2642" s="16" t="s">
        <v>29</v>
      </c>
      <c r="E2642" s="16"/>
      <c r="F2642" s="5"/>
      <c r="G2642" s="16" t="s">
        <v>35</v>
      </c>
      <c r="H2642" s="16"/>
      <c r="I2642" s="16"/>
      <c r="J2642" s="16"/>
      <c r="K2642" s="16"/>
      <c r="L2642" s="16"/>
      <c r="M2642" s="16"/>
      <c r="N2642" s="16"/>
      <c r="O2642" s="17"/>
      <c r="P2642" s="5" t="str">
        <f t="shared" si="69"/>
        <v>Truncate table FSFFB4;</v>
      </c>
      <c r="Q2642" s="5"/>
      <c r="R2642" s="5"/>
    </row>
    <row r="2643" spans="2:18" x14ac:dyDescent="0.25">
      <c r="B2643" s="19" t="s">
        <v>3455</v>
      </c>
      <c r="C2643" s="16"/>
      <c r="D2643" s="16" t="s">
        <v>29</v>
      </c>
      <c r="E2643" s="16"/>
      <c r="F2643" s="5"/>
      <c r="G2643" s="16" t="s">
        <v>35</v>
      </c>
      <c r="H2643" s="16"/>
      <c r="I2643" s="16"/>
      <c r="J2643" s="16"/>
      <c r="K2643" s="16"/>
      <c r="L2643" s="16"/>
      <c r="M2643" s="16"/>
      <c r="N2643" s="16"/>
      <c r="O2643" s="17"/>
      <c r="P2643" s="5" t="str">
        <f t="shared" si="69"/>
        <v>Truncate table FSFFB5;</v>
      </c>
      <c r="Q2643" s="5"/>
      <c r="R2643" s="5"/>
    </row>
    <row r="2644" spans="2:18" x14ac:dyDescent="0.25">
      <c r="B2644" s="19" t="s">
        <v>3456</v>
      </c>
      <c r="C2644" s="16"/>
      <c r="D2644" s="16" t="s">
        <v>29</v>
      </c>
      <c r="E2644" s="16"/>
      <c r="F2644" s="5"/>
      <c r="G2644" s="16" t="s">
        <v>35</v>
      </c>
      <c r="H2644" s="16"/>
      <c r="I2644" s="16"/>
      <c r="J2644" s="16"/>
      <c r="K2644" s="16"/>
      <c r="L2644" s="16"/>
      <c r="M2644" s="16"/>
      <c r="N2644" s="16"/>
      <c r="O2644" s="17"/>
      <c r="P2644" s="5" t="str">
        <f t="shared" si="69"/>
        <v>Truncate table FSFFB6;</v>
      </c>
      <c r="Q2644" s="5"/>
      <c r="R2644" s="5"/>
    </row>
    <row r="2645" spans="2:18" x14ac:dyDescent="0.25">
      <c r="B2645" s="19" t="s">
        <v>3457</v>
      </c>
      <c r="C2645" s="16"/>
      <c r="D2645" s="16" t="s">
        <v>29</v>
      </c>
      <c r="E2645" s="16"/>
      <c r="F2645" s="5"/>
      <c r="G2645" s="16" t="s">
        <v>35</v>
      </c>
      <c r="H2645" s="16"/>
      <c r="I2645" s="16"/>
      <c r="J2645" s="16"/>
      <c r="K2645" s="16"/>
      <c r="L2645" s="16"/>
      <c r="M2645" s="16"/>
      <c r="N2645" s="16"/>
      <c r="O2645" s="17"/>
      <c r="P2645" s="5" t="str">
        <f t="shared" si="69"/>
        <v>Truncate table FSFFB7;</v>
      </c>
      <c r="Q2645" s="5"/>
      <c r="R2645" s="5"/>
    </row>
    <row r="2646" spans="2:18" x14ac:dyDescent="0.25">
      <c r="B2646" s="19" t="s">
        <v>3458</v>
      </c>
      <c r="C2646" s="16"/>
      <c r="D2646" s="16" t="s">
        <v>29</v>
      </c>
      <c r="E2646" s="16"/>
      <c r="F2646" s="5"/>
      <c r="G2646" s="16" t="s">
        <v>35</v>
      </c>
      <c r="H2646" s="16"/>
      <c r="I2646" s="16"/>
      <c r="J2646" s="16"/>
      <c r="K2646" s="16"/>
      <c r="L2646" s="16"/>
      <c r="M2646" s="16"/>
      <c r="N2646" s="16"/>
      <c r="O2646" s="17"/>
      <c r="P2646" s="5" t="str">
        <f t="shared" si="69"/>
        <v>Truncate table FSFFB8;</v>
      </c>
      <c r="Q2646" s="5"/>
      <c r="R2646" s="5"/>
    </row>
    <row r="2647" spans="2:18" x14ac:dyDescent="0.25">
      <c r="B2647" s="19" t="s">
        <v>3459</v>
      </c>
      <c r="C2647" s="16"/>
      <c r="D2647" s="16" t="s">
        <v>29</v>
      </c>
      <c r="E2647" s="16"/>
      <c r="F2647" s="5"/>
      <c r="G2647" s="16" t="s">
        <v>35</v>
      </c>
      <c r="H2647" s="16"/>
      <c r="I2647" s="16"/>
      <c r="J2647" s="16"/>
      <c r="K2647" s="16"/>
      <c r="L2647" s="16"/>
      <c r="M2647" s="16"/>
      <c r="N2647" s="16"/>
      <c r="O2647" s="17"/>
      <c r="P2647" s="5" t="str">
        <f t="shared" si="69"/>
        <v>Truncate table FSFFB9;</v>
      </c>
      <c r="Q2647" s="5"/>
      <c r="R2647" s="5"/>
    </row>
    <row r="2648" spans="2:18" x14ac:dyDescent="0.25">
      <c r="B2648" s="19" t="s">
        <v>3460</v>
      </c>
      <c r="C2648" s="16"/>
      <c r="D2648" s="16" t="s">
        <v>29</v>
      </c>
      <c r="E2648" s="16"/>
      <c r="F2648" s="5"/>
      <c r="G2648" s="16" t="s">
        <v>35</v>
      </c>
      <c r="H2648" s="16"/>
      <c r="I2648" s="16"/>
      <c r="J2648" s="16"/>
      <c r="K2648" s="16"/>
      <c r="L2648" s="16"/>
      <c r="M2648" s="16"/>
      <c r="N2648" s="16"/>
      <c r="O2648" s="17"/>
      <c r="P2648" s="5" t="str">
        <f t="shared" si="69"/>
        <v>Truncate table FSFFBA;</v>
      </c>
      <c r="Q2648" s="5"/>
      <c r="R2648" s="5"/>
    </row>
    <row r="2649" spans="2:18" x14ac:dyDescent="0.25">
      <c r="B2649" s="19" t="s">
        <v>3461</v>
      </c>
      <c r="C2649" s="16"/>
      <c r="D2649" s="16" t="s">
        <v>29</v>
      </c>
      <c r="E2649" s="16"/>
      <c r="F2649" s="5"/>
      <c r="G2649" s="16" t="s">
        <v>35</v>
      </c>
      <c r="H2649" s="16"/>
      <c r="I2649" s="16"/>
      <c r="J2649" s="16"/>
      <c r="K2649" s="16"/>
      <c r="L2649" s="16"/>
      <c r="M2649" s="16"/>
      <c r="N2649" s="16"/>
      <c r="O2649" s="17"/>
      <c r="P2649" s="5" t="str">
        <f t="shared" si="69"/>
        <v>Truncate table FSFFBB;</v>
      </c>
      <c r="Q2649" s="5"/>
      <c r="R2649" s="5"/>
    </row>
    <row r="2650" spans="2:18" x14ac:dyDescent="0.25">
      <c r="B2650" s="19" t="s">
        <v>3462</v>
      </c>
      <c r="C2650" s="16"/>
      <c r="D2650" s="16" t="s">
        <v>29</v>
      </c>
      <c r="E2650" s="16"/>
      <c r="F2650" s="5"/>
      <c r="G2650" s="16" t="s">
        <v>35</v>
      </c>
      <c r="H2650" s="16"/>
      <c r="I2650" s="16"/>
      <c r="J2650" s="16"/>
      <c r="K2650" s="16"/>
      <c r="L2650" s="16"/>
      <c r="M2650" s="16"/>
      <c r="N2650" s="16"/>
      <c r="O2650" s="17"/>
      <c r="P2650" s="5" t="str">
        <f t="shared" si="69"/>
        <v>Truncate table FSFFBC;</v>
      </c>
      <c r="Q2650" s="5"/>
      <c r="R2650" s="5"/>
    </row>
    <row r="2651" spans="2:18" x14ac:dyDescent="0.25">
      <c r="B2651" s="19" t="s">
        <v>3463</v>
      </c>
      <c r="C2651" s="16"/>
      <c r="D2651" s="16" t="s">
        <v>29</v>
      </c>
      <c r="E2651" s="16"/>
      <c r="F2651" s="5"/>
      <c r="G2651" s="16" t="s">
        <v>35</v>
      </c>
      <c r="H2651" s="16"/>
      <c r="I2651" s="16"/>
      <c r="J2651" s="16"/>
      <c r="K2651" s="16"/>
      <c r="L2651" s="16"/>
      <c r="M2651" s="16"/>
      <c r="N2651" s="16"/>
      <c r="O2651" s="17"/>
      <c r="P2651" s="5" t="str">
        <f t="shared" si="69"/>
        <v>Truncate table FSFFBD;</v>
      </c>
      <c r="Q2651" s="5"/>
      <c r="R2651" s="5"/>
    </row>
    <row r="2652" spans="2:18" x14ac:dyDescent="0.25">
      <c r="B2652" s="19" t="s">
        <v>3464</v>
      </c>
      <c r="C2652" s="16"/>
      <c r="D2652" s="16" t="s">
        <v>29</v>
      </c>
      <c r="E2652" s="16"/>
      <c r="F2652" s="5"/>
      <c r="G2652" s="16" t="s">
        <v>35</v>
      </c>
      <c r="H2652" s="16"/>
      <c r="I2652" s="16"/>
      <c r="J2652" s="16"/>
      <c r="K2652" s="16"/>
      <c r="L2652" s="16"/>
      <c r="M2652" s="16"/>
      <c r="N2652" s="16"/>
      <c r="O2652" s="17"/>
      <c r="P2652" s="5" t="str">
        <f t="shared" si="69"/>
        <v>Truncate table FSFFBE;</v>
      </c>
      <c r="Q2652" s="5"/>
      <c r="R2652" s="5"/>
    </row>
    <row r="2653" spans="2:18" x14ac:dyDescent="0.25">
      <c r="B2653" s="19" t="s">
        <v>3465</v>
      </c>
      <c r="C2653" s="16"/>
      <c r="D2653" s="16" t="s">
        <v>29</v>
      </c>
      <c r="E2653" s="16"/>
      <c r="F2653" s="5"/>
      <c r="G2653" s="16" t="s">
        <v>35</v>
      </c>
      <c r="H2653" s="16"/>
      <c r="I2653" s="16"/>
      <c r="J2653" s="16"/>
      <c r="K2653" s="16"/>
      <c r="L2653" s="16"/>
      <c r="M2653" s="16"/>
      <c r="N2653" s="16"/>
      <c r="O2653" s="17"/>
      <c r="P2653" s="5" t="str">
        <f t="shared" si="69"/>
        <v>Truncate table FSFFBF;</v>
      </c>
      <c r="Q2653" s="5"/>
      <c r="R2653" s="5"/>
    </row>
    <row r="2654" spans="2:18" x14ac:dyDescent="0.25">
      <c r="B2654" s="19" t="s">
        <v>3466</v>
      </c>
      <c r="C2654" s="16"/>
      <c r="D2654" s="16" t="s">
        <v>29</v>
      </c>
      <c r="E2654" s="16"/>
      <c r="F2654" s="5"/>
      <c r="G2654" s="16" t="s">
        <v>35</v>
      </c>
      <c r="H2654" s="16"/>
      <c r="I2654" s="16"/>
      <c r="J2654" s="16"/>
      <c r="K2654" s="16"/>
      <c r="L2654" s="16"/>
      <c r="M2654" s="16"/>
      <c r="N2654" s="16"/>
      <c r="O2654" s="17"/>
      <c r="P2654" s="5" t="str">
        <f t="shared" si="69"/>
        <v>Truncate table FSFFC0;</v>
      </c>
      <c r="Q2654" s="5"/>
      <c r="R2654" s="5"/>
    </row>
    <row r="2655" spans="2:18" x14ac:dyDescent="0.25">
      <c r="B2655" s="19" t="s">
        <v>3467</v>
      </c>
      <c r="C2655" s="16"/>
      <c r="D2655" s="16" t="s">
        <v>29</v>
      </c>
      <c r="E2655" s="16"/>
      <c r="F2655" s="5"/>
      <c r="G2655" s="16" t="s">
        <v>35</v>
      </c>
      <c r="H2655" s="16"/>
      <c r="I2655" s="16"/>
      <c r="J2655" s="16"/>
      <c r="K2655" s="16"/>
      <c r="L2655" s="16"/>
      <c r="M2655" s="16"/>
      <c r="N2655" s="16"/>
      <c r="O2655" s="17"/>
      <c r="P2655" s="5" t="str">
        <f t="shared" si="69"/>
        <v>Truncate table FSFFC1;</v>
      </c>
      <c r="Q2655" s="5"/>
      <c r="R2655" s="5"/>
    </row>
    <row r="2656" spans="2:18" x14ac:dyDescent="0.25">
      <c r="B2656" s="19" t="s">
        <v>3468</v>
      </c>
      <c r="C2656" s="16"/>
      <c r="D2656" s="16" t="s">
        <v>29</v>
      </c>
      <c r="E2656" s="16"/>
      <c r="F2656" s="5"/>
      <c r="G2656" s="16" t="s">
        <v>35</v>
      </c>
      <c r="H2656" s="16"/>
      <c r="I2656" s="16"/>
      <c r="J2656" s="16"/>
      <c r="K2656" s="16"/>
      <c r="L2656" s="16"/>
      <c r="M2656" s="16"/>
      <c r="N2656" s="16"/>
      <c r="O2656" s="17"/>
      <c r="P2656" s="5" t="str">
        <f t="shared" si="69"/>
        <v>Truncate table FSFFC2;</v>
      </c>
      <c r="Q2656" s="5"/>
      <c r="R2656" s="5"/>
    </row>
    <row r="2657" spans="2:18" x14ac:dyDescent="0.25">
      <c r="B2657" s="19" t="s">
        <v>3469</v>
      </c>
      <c r="C2657" s="16"/>
      <c r="D2657" s="16" t="s">
        <v>29</v>
      </c>
      <c r="E2657" s="16"/>
      <c r="F2657" s="5"/>
      <c r="G2657" s="16" t="s">
        <v>35</v>
      </c>
      <c r="H2657" s="16"/>
      <c r="I2657" s="16"/>
      <c r="J2657" s="16"/>
      <c r="K2657" s="16"/>
      <c r="L2657" s="16"/>
      <c r="M2657" s="16"/>
      <c r="N2657" s="16"/>
      <c r="O2657" s="17"/>
      <c r="P2657" s="5" t="str">
        <f t="shared" si="69"/>
        <v>Truncate table FSFFC3;</v>
      </c>
      <c r="Q2657" s="5"/>
      <c r="R2657" s="5"/>
    </row>
    <row r="2658" spans="2:18" x14ac:dyDescent="0.25">
      <c r="B2658" s="19" t="s">
        <v>3470</v>
      </c>
      <c r="C2658" s="16"/>
      <c r="D2658" s="16" t="s">
        <v>29</v>
      </c>
      <c r="E2658" s="16"/>
      <c r="F2658" s="5"/>
      <c r="G2658" s="16" t="s">
        <v>35</v>
      </c>
      <c r="H2658" s="16"/>
      <c r="I2658" s="16"/>
      <c r="J2658" s="16"/>
      <c r="K2658" s="16"/>
      <c r="L2658" s="16"/>
      <c r="M2658" s="16"/>
      <c r="N2658" s="16"/>
      <c r="O2658" s="17"/>
      <c r="P2658" s="5" t="str">
        <f t="shared" si="69"/>
        <v>Truncate table FSFFC4;</v>
      </c>
      <c r="Q2658" s="5"/>
      <c r="R2658" s="5"/>
    </row>
    <row r="2659" spans="2:18" x14ac:dyDescent="0.25">
      <c r="B2659" s="19" t="s">
        <v>3471</v>
      </c>
      <c r="C2659" s="16"/>
      <c r="D2659" s="16" t="s">
        <v>29</v>
      </c>
      <c r="E2659" s="16"/>
      <c r="F2659" s="5"/>
      <c r="G2659" s="16" t="s">
        <v>35</v>
      </c>
      <c r="H2659" s="16"/>
      <c r="I2659" s="16"/>
      <c r="J2659" s="16"/>
      <c r="K2659" s="16"/>
      <c r="L2659" s="16"/>
      <c r="M2659" s="16"/>
      <c r="N2659" s="16"/>
      <c r="O2659" s="17"/>
      <c r="P2659" s="5" t="str">
        <f t="shared" si="69"/>
        <v>Truncate table FSFFC5;</v>
      </c>
      <c r="Q2659" s="5"/>
      <c r="R2659" s="5"/>
    </row>
    <row r="2660" spans="2:18" x14ac:dyDescent="0.25">
      <c r="B2660" s="19" t="s">
        <v>3472</v>
      </c>
      <c r="C2660" s="16"/>
      <c r="D2660" s="16" t="s">
        <v>29</v>
      </c>
      <c r="E2660" s="16"/>
      <c r="F2660" s="5"/>
      <c r="G2660" s="16" t="s">
        <v>35</v>
      </c>
      <c r="H2660" s="16"/>
      <c r="I2660" s="16"/>
      <c r="J2660" s="16"/>
      <c r="K2660" s="16"/>
      <c r="L2660" s="16"/>
      <c r="M2660" s="16"/>
      <c r="N2660" s="16"/>
      <c r="O2660" s="17"/>
      <c r="P2660" s="5" t="str">
        <f t="shared" si="69"/>
        <v>Truncate table FSFFC6;</v>
      </c>
      <c r="Q2660" s="5"/>
      <c r="R2660" s="5"/>
    </row>
    <row r="2661" spans="2:18" x14ac:dyDescent="0.25">
      <c r="B2661" s="19" t="s">
        <v>3473</v>
      </c>
      <c r="C2661" s="16"/>
      <c r="D2661" s="16" t="s">
        <v>29</v>
      </c>
      <c r="E2661" s="16"/>
      <c r="F2661" s="5"/>
      <c r="G2661" s="16" t="s">
        <v>35</v>
      </c>
      <c r="H2661" s="16"/>
      <c r="I2661" s="16"/>
      <c r="J2661" s="16"/>
      <c r="K2661" s="16"/>
      <c r="L2661" s="16"/>
      <c r="M2661" s="16"/>
      <c r="N2661" s="16"/>
      <c r="O2661" s="17"/>
      <c r="P2661" s="5" t="str">
        <f t="shared" si="69"/>
        <v>Truncate table FSFFC7;</v>
      </c>
      <c r="Q2661" s="5"/>
      <c r="R2661" s="5"/>
    </row>
    <row r="2662" spans="2:18" x14ac:dyDescent="0.25">
      <c r="B2662" s="19" t="s">
        <v>3474</v>
      </c>
      <c r="C2662" s="16"/>
      <c r="D2662" s="16" t="s">
        <v>29</v>
      </c>
      <c r="E2662" s="16"/>
      <c r="F2662" s="5"/>
      <c r="G2662" s="16" t="s">
        <v>35</v>
      </c>
      <c r="H2662" s="16"/>
      <c r="I2662" s="16"/>
      <c r="J2662" s="16"/>
      <c r="K2662" s="16"/>
      <c r="L2662" s="16"/>
      <c r="M2662" s="16"/>
      <c r="N2662" s="16"/>
      <c r="O2662" s="17"/>
      <c r="P2662" s="5" t="str">
        <f t="shared" si="69"/>
        <v>Truncate table FSFFC8;</v>
      </c>
      <c r="Q2662" s="5"/>
      <c r="R2662" s="5"/>
    </row>
    <row r="2663" spans="2:18" x14ac:dyDescent="0.25">
      <c r="B2663" s="19" t="s">
        <v>3475</v>
      </c>
      <c r="C2663" s="16"/>
      <c r="D2663" s="16" t="s">
        <v>29</v>
      </c>
      <c r="E2663" s="16"/>
      <c r="F2663" s="5"/>
      <c r="G2663" s="16" t="s">
        <v>35</v>
      </c>
      <c r="H2663" s="16"/>
      <c r="I2663" s="16"/>
      <c r="J2663" s="16"/>
      <c r="K2663" s="16"/>
      <c r="L2663" s="16"/>
      <c r="M2663" s="16"/>
      <c r="N2663" s="16"/>
      <c r="O2663" s="17"/>
      <c r="P2663" s="5" t="str">
        <f t="shared" si="69"/>
        <v>Truncate table FSFFC9;</v>
      </c>
      <c r="Q2663" s="5"/>
      <c r="R2663" s="5"/>
    </row>
    <row r="2664" spans="2:18" x14ac:dyDescent="0.25">
      <c r="B2664" s="19" t="s">
        <v>3476</v>
      </c>
      <c r="C2664" s="16"/>
      <c r="D2664" s="16" t="s">
        <v>29</v>
      </c>
      <c r="E2664" s="16"/>
      <c r="F2664" s="5"/>
      <c r="G2664" s="16" t="s">
        <v>35</v>
      </c>
      <c r="H2664" s="16"/>
      <c r="I2664" s="16"/>
      <c r="J2664" s="16"/>
      <c r="K2664" s="16"/>
      <c r="L2664" s="16"/>
      <c r="M2664" s="16"/>
      <c r="N2664" s="16"/>
      <c r="O2664" s="17"/>
      <c r="P2664" s="5" t="str">
        <f t="shared" si="69"/>
        <v>Truncate table FSFFCA;</v>
      </c>
      <c r="Q2664" s="5"/>
      <c r="R2664" s="5"/>
    </row>
    <row r="2665" spans="2:18" x14ac:dyDescent="0.25">
      <c r="B2665" s="19" t="s">
        <v>3477</v>
      </c>
      <c r="C2665" s="16"/>
      <c r="D2665" s="16" t="s">
        <v>29</v>
      </c>
      <c r="E2665" s="16"/>
      <c r="F2665" s="5"/>
      <c r="G2665" s="16" t="s">
        <v>35</v>
      </c>
      <c r="H2665" s="16"/>
      <c r="I2665" s="16"/>
      <c r="J2665" s="16"/>
      <c r="K2665" s="16"/>
      <c r="L2665" s="16"/>
      <c r="M2665" s="16"/>
      <c r="N2665" s="16"/>
      <c r="O2665" s="17"/>
      <c r="P2665" s="5" t="str">
        <f t="shared" si="69"/>
        <v>Truncate table FSFFCB;</v>
      </c>
      <c r="Q2665" s="5"/>
      <c r="R2665" s="5"/>
    </row>
    <row r="2666" spans="2:18" x14ac:dyDescent="0.25">
      <c r="B2666" s="19" t="s">
        <v>3478</v>
      </c>
      <c r="C2666" s="16"/>
      <c r="D2666" s="16" t="s">
        <v>29</v>
      </c>
      <c r="E2666" s="16"/>
      <c r="F2666" s="5"/>
      <c r="G2666" s="16" t="s">
        <v>35</v>
      </c>
      <c r="H2666" s="16"/>
      <c r="I2666" s="16"/>
      <c r="J2666" s="16"/>
      <c r="K2666" s="16"/>
      <c r="L2666" s="16"/>
      <c r="M2666" s="16"/>
      <c r="N2666" s="16"/>
      <c r="O2666" s="17"/>
      <c r="P2666" s="5" t="str">
        <f t="shared" si="69"/>
        <v>Truncate table FSFFCC;</v>
      </c>
      <c r="Q2666" s="5"/>
      <c r="R2666" s="5"/>
    </row>
    <row r="2667" spans="2:18" x14ac:dyDescent="0.25">
      <c r="B2667" s="19" t="s">
        <v>3479</v>
      </c>
      <c r="C2667" s="16"/>
      <c r="D2667" s="16" t="s">
        <v>29</v>
      </c>
      <c r="E2667" s="16"/>
      <c r="F2667" s="5"/>
      <c r="G2667" s="16" t="s">
        <v>35</v>
      </c>
      <c r="H2667" s="16"/>
      <c r="I2667" s="16"/>
      <c r="J2667" s="16"/>
      <c r="K2667" s="16"/>
      <c r="L2667" s="16"/>
      <c r="M2667" s="16"/>
      <c r="N2667" s="16"/>
      <c r="O2667" s="17"/>
      <c r="P2667" s="5" t="str">
        <f t="shared" si="69"/>
        <v>Truncate table FSFFCD;</v>
      </c>
      <c r="Q2667" s="5"/>
      <c r="R2667" s="5"/>
    </row>
    <row r="2668" spans="2:18" x14ac:dyDescent="0.25">
      <c r="B2668" s="19" t="s">
        <v>3480</v>
      </c>
      <c r="C2668" s="16"/>
      <c r="D2668" s="16" t="s">
        <v>29</v>
      </c>
      <c r="E2668" s="16"/>
      <c r="F2668" s="5"/>
      <c r="G2668" s="16" t="s">
        <v>35</v>
      </c>
      <c r="H2668" s="16"/>
      <c r="I2668" s="16"/>
      <c r="J2668" s="16"/>
      <c r="K2668" s="16"/>
      <c r="L2668" s="16"/>
      <c r="M2668" s="16"/>
      <c r="N2668" s="16"/>
      <c r="O2668" s="17"/>
      <c r="P2668" s="5" t="str">
        <f t="shared" si="69"/>
        <v>Truncate table FSFFCE;</v>
      </c>
      <c r="Q2668" s="5"/>
      <c r="R2668" s="5"/>
    </row>
    <row r="2669" spans="2:18" x14ac:dyDescent="0.25">
      <c r="B2669" s="19" t="s">
        <v>3481</v>
      </c>
      <c r="C2669" s="16"/>
      <c r="D2669" s="16" t="s">
        <v>29</v>
      </c>
      <c r="E2669" s="16"/>
      <c r="F2669" s="28"/>
      <c r="G2669" s="16" t="s">
        <v>35</v>
      </c>
      <c r="H2669" s="16"/>
      <c r="I2669" s="16"/>
      <c r="J2669" s="16"/>
      <c r="K2669" s="16"/>
      <c r="L2669" s="16"/>
      <c r="M2669" s="16"/>
      <c r="N2669" s="16"/>
      <c r="O2669" s="17"/>
      <c r="P2669" s="5" t="str">
        <f t="shared" si="69"/>
        <v>Truncate table FSFFCF;</v>
      </c>
      <c r="Q2669" s="5"/>
      <c r="R2669" s="5"/>
    </row>
    <row r="2670" spans="2:18" x14ac:dyDescent="0.25">
      <c r="B2670" s="19" t="s">
        <v>3482</v>
      </c>
      <c r="C2670" s="16"/>
      <c r="D2670" s="16" t="s">
        <v>29</v>
      </c>
      <c r="E2670" s="16"/>
      <c r="F2670" s="28"/>
      <c r="G2670" s="16" t="s">
        <v>35</v>
      </c>
      <c r="H2670" s="16"/>
      <c r="I2670" s="16"/>
      <c r="J2670" s="16"/>
      <c r="K2670" s="16"/>
      <c r="L2670" s="16"/>
      <c r="M2670" s="16"/>
      <c r="N2670" s="16"/>
      <c r="O2670" s="17"/>
      <c r="P2670" s="5" t="str">
        <f t="shared" si="69"/>
        <v>Truncate table FSFFCG;</v>
      </c>
      <c r="Q2670" s="5"/>
      <c r="R2670" s="5"/>
    </row>
    <row r="2671" spans="2:18" x14ac:dyDescent="0.25">
      <c r="B2671" s="19" t="s">
        <v>3483</v>
      </c>
      <c r="C2671" s="16"/>
      <c r="D2671" s="16" t="s">
        <v>29</v>
      </c>
      <c r="E2671" s="16"/>
      <c r="F2671" s="28"/>
      <c r="G2671" s="16" t="s">
        <v>35</v>
      </c>
      <c r="H2671" s="16"/>
      <c r="I2671" s="16"/>
      <c r="J2671" s="16"/>
      <c r="K2671" s="16"/>
      <c r="L2671" s="16"/>
      <c r="M2671" s="16"/>
      <c r="N2671" s="16"/>
      <c r="O2671" s="17"/>
      <c r="P2671" s="5" t="str">
        <f t="shared" si="69"/>
        <v>Truncate table FSFFCH;</v>
      </c>
      <c r="Q2671" s="5"/>
      <c r="R2671" s="5"/>
    </row>
    <row r="2672" spans="2:18" x14ac:dyDescent="0.25">
      <c r="B2672" s="19" t="s">
        <v>3484</v>
      </c>
      <c r="C2672" s="16"/>
      <c r="D2672" s="16" t="s">
        <v>29</v>
      </c>
      <c r="E2672" s="16"/>
      <c r="F2672" s="28"/>
      <c r="G2672" s="16" t="s">
        <v>35</v>
      </c>
      <c r="H2672" s="16"/>
      <c r="I2672" s="16"/>
      <c r="J2672" s="16"/>
      <c r="K2672" s="16"/>
      <c r="L2672" s="16"/>
      <c r="M2672" s="16"/>
      <c r="N2672" s="16"/>
      <c r="O2672" s="17"/>
      <c r="P2672" s="5" t="str">
        <f t="shared" si="69"/>
        <v>Truncate table FSFFCI;</v>
      </c>
      <c r="Q2672" s="5"/>
      <c r="R2672" s="5"/>
    </row>
    <row r="2673" spans="2:18" x14ac:dyDescent="0.25">
      <c r="B2673" s="19" t="s">
        <v>3485</v>
      </c>
      <c r="C2673" s="16"/>
      <c r="D2673" s="16" t="s">
        <v>29</v>
      </c>
      <c r="E2673" s="16"/>
      <c r="F2673" s="28"/>
      <c r="G2673" s="16" t="s">
        <v>35</v>
      </c>
      <c r="H2673" s="16"/>
      <c r="I2673" s="16"/>
      <c r="J2673" s="16"/>
      <c r="K2673" s="16"/>
      <c r="L2673" s="16"/>
      <c r="M2673" s="16"/>
      <c r="N2673" s="16"/>
      <c r="O2673" s="17"/>
      <c r="P2673" s="5" t="str">
        <f t="shared" ref="P2673:P2736" si="70">IF(D2673="Datos","Truncate table "&amp; B2673&amp; ";","")</f>
        <v>Truncate table FSFFCJ;</v>
      </c>
      <c r="Q2673" s="5"/>
      <c r="R2673" s="5"/>
    </row>
    <row r="2674" spans="2:18" x14ac:dyDescent="0.25">
      <c r="B2674" s="19" t="s">
        <v>3486</v>
      </c>
      <c r="C2674" s="16"/>
      <c r="D2674" s="16" t="s">
        <v>29</v>
      </c>
      <c r="E2674" s="16"/>
      <c r="F2674" s="28"/>
      <c r="G2674" s="16" t="s">
        <v>35</v>
      </c>
      <c r="H2674" s="16"/>
      <c r="I2674" s="16"/>
      <c r="J2674" s="16"/>
      <c r="K2674" s="16"/>
      <c r="L2674" s="16"/>
      <c r="M2674" s="16"/>
      <c r="N2674" s="16"/>
      <c r="O2674" s="17"/>
      <c r="P2674" s="5" t="str">
        <f t="shared" si="70"/>
        <v>Truncate table FSFFCK;</v>
      </c>
      <c r="Q2674" s="5"/>
      <c r="R2674" s="5"/>
    </row>
    <row r="2675" spans="2:18" x14ac:dyDescent="0.25">
      <c r="B2675" s="19" t="s">
        <v>3487</v>
      </c>
      <c r="C2675" s="16"/>
      <c r="D2675" s="16" t="s">
        <v>29</v>
      </c>
      <c r="E2675" s="16"/>
      <c r="F2675" s="28"/>
      <c r="G2675" s="16" t="s">
        <v>35</v>
      </c>
      <c r="H2675" s="16"/>
      <c r="I2675" s="16"/>
      <c r="J2675" s="16"/>
      <c r="K2675" s="16"/>
      <c r="L2675" s="16"/>
      <c r="M2675" s="16"/>
      <c r="N2675" s="16"/>
      <c r="O2675" s="17"/>
      <c r="P2675" s="5" t="str">
        <f t="shared" si="70"/>
        <v>Truncate table FSFFZA;</v>
      </c>
      <c r="Q2675" s="5"/>
      <c r="R2675" s="5"/>
    </row>
    <row r="2676" spans="2:18" x14ac:dyDescent="0.25">
      <c r="B2676" s="19" t="s">
        <v>3488</v>
      </c>
      <c r="C2676" s="16"/>
      <c r="D2676" s="16" t="s">
        <v>29</v>
      </c>
      <c r="E2676" s="16"/>
      <c r="F2676" s="28"/>
      <c r="G2676" s="16" t="s">
        <v>35</v>
      </c>
      <c r="H2676" s="16"/>
      <c r="I2676" s="16"/>
      <c r="J2676" s="16"/>
      <c r="K2676" s="16"/>
      <c r="L2676" s="16"/>
      <c r="M2676" s="16"/>
      <c r="N2676" s="16"/>
      <c r="O2676" s="17"/>
      <c r="P2676" s="5" t="str">
        <f t="shared" si="70"/>
        <v>Truncate table FSFFZB;</v>
      </c>
      <c r="Q2676" s="5"/>
      <c r="R2676" s="5"/>
    </row>
    <row r="2677" spans="2:18" x14ac:dyDescent="0.25">
      <c r="B2677" s="19" t="s">
        <v>3489</v>
      </c>
      <c r="C2677" s="16"/>
      <c r="D2677" s="16" t="s">
        <v>29</v>
      </c>
      <c r="E2677" s="16"/>
      <c r="F2677" s="28"/>
      <c r="G2677" s="16" t="s">
        <v>35</v>
      </c>
      <c r="H2677" s="16"/>
      <c r="I2677" s="16"/>
      <c r="J2677" s="16"/>
      <c r="K2677" s="16"/>
      <c r="L2677" s="16"/>
      <c r="M2677" s="16"/>
      <c r="N2677" s="16"/>
      <c r="O2677" s="17"/>
      <c r="P2677" s="5" t="str">
        <f t="shared" si="70"/>
        <v>Truncate table FSFFZC;</v>
      </c>
      <c r="Q2677" s="5"/>
      <c r="R2677" s="5"/>
    </row>
    <row r="2678" spans="2:18" x14ac:dyDescent="0.25">
      <c r="B2678" s="19" t="s">
        <v>3490</v>
      </c>
      <c r="C2678" s="16"/>
      <c r="D2678" s="16" t="s">
        <v>29</v>
      </c>
      <c r="E2678" s="16"/>
      <c r="F2678" s="28"/>
      <c r="G2678" s="16" t="s">
        <v>35</v>
      </c>
      <c r="H2678" s="16"/>
      <c r="I2678" s="16"/>
      <c r="J2678" s="16"/>
      <c r="K2678" s="16"/>
      <c r="L2678" s="16"/>
      <c r="M2678" s="16"/>
      <c r="N2678" s="16"/>
      <c r="O2678" s="17"/>
      <c r="P2678" s="5" t="str">
        <f t="shared" si="70"/>
        <v>Truncate table FSFFZD;</v>
      </c>
      <c r="Q2678" s="5"/>
      <c r="R2678" s="5"/>
    </row>
    <row r="2679" spans="2:18" x14ac:dyDescent="0.25">
      <c r="B2679" s="19" t="s">
        <v>3491</v>
      </c>
      <c r="C2679" s="16"/>
      <c r="D2679" s="16" t="s">
        <v>29</v>
      </c>
      <c r="E2679" s="16"/>
      <c r="F2679" s="28"/>
      <c r="G2679" s="16" t="s">
        <v>35</v>
      </c>
      <c r="H2679" s="16"/>
      <c r="I2679" s="16"/>
      <c r="J2679" s="16"/>
      <c r="K2679" s="16"/>
      <c r="L2679" s="16"/>
      <c r="M2679" s="16"/>
      <c r="N2679" s="16"/>
      <c r="O2679" s="17"/>
      <c r="P2679" s="5" t="str">
        <f t="shared" si="70"/>
        <v>Truncate table FSFFZE;</v>
      </c>
      <c r="Q2679" s="5"/>
      <c r="R2679" s="5"/>
    </row>
    <row r="2680" spans="2:18" x14ac:dyDescent="0.25">
      <c r="B2680" s="19" t="s">
        <v>3492</v>
      </c>
      <c r="C2680" s="16"/>
      <c r="D2680" s="16" t="s">
        <v>29</v>
      </c>
      <c r="E2680" s="16"/>
      <c r="F2680" s="28"/>
      <c r="G2680" s="16" t="s">
        <v>35</v>
      </c>
      <c r="H2680" s="16"/>
      <c r="I2680" s="16"/>
      <c r="J2680" s="16"/>
      <c r="K2680" s="16"/>
      <c r="L2680" s="16"/>
      <c r="M2680" s="16"/>
      <c r="N2680" s="16"/>
      <c r="O2680" s="17"/>
      <c r="P2680" s="5" t="str">
        <f t="shared" si="70"/>
        <v>Truncate table FSFFZF;</v>
      </c>
      <c r="Q2680" s="5"/>
      <c r="R2680" s="5"/>
    </row>
    <row r="2681" spans="2:18" x14ac:dyDescent="0.25">
      <c r="B2681" s="19" t="s">
        <v>3493</v>
      </c>
      <c r="C2681" s="16"/>
      <c r="D2681" s="16" t="s">
        <v>29</v>
      </c>
      <c r="E2681" s="16"/>
      <c r="F2681" s="28"/>
      <c r="G2681" s="16" t="s">
        <v>35</v>
      </c>
      <c r="H2681" s="16"/>
      <c r="I2681" s="16"/>
      <c r="J2681" s="16"/>
      <c r="K2681" s="16"/>
      <c r="L2681" s="16"/>
      <c r="M2681" s="16"/>
      <c r="N2681" s="16"/>
      <c r="O2681" s="17"/>
      <c r="P2681" s="5" t="str">
        <f t="shared" si="70"/>
        <v>Truncate table FSFFZG;</v>
      </c>
      <c r="Q2681" s="5"/>
      <c r="R2681" s="5"/>
    </row>
    <row r="2682" spans="2:18" x14ac:dyDescent="0.25">
      <c r="B2682" s="19" t="s">
        <v>3494</v>
      </c>
      <c r="C2682" s="16"/>
      <c r="D2682" s="16" t="s">
        <v>29</v>
      </c>
      <c r="E2682" s="16"/>
      <c r="F2682" s="28"/>
      <c r="G2682" s="16" t="s">
        <v>35</v>
      </c>
      <c r="H2682" s="16"/>
      <c r="I2682" s="16"/>
      <c r="J2682" s="16"/>
      <c r="K2682" s="16"/>
      <c r="L2682" s="16"/>
      <c r="M2682" s="16"/>
      <c r="N2682" s="16"/>
      <c r="O2682" s="17"/>
      <c r="P2682" s="5" t="str">
        <f t="shared" si="70"/>
        <v>Truncate table FSFFZH;</v>
      </c>
      <c r="Q2682" s="5"/>
      <c r="R2682" s="5"/>
    </row>
    <row r="2683" spans="2:18" x14ac:dyDescent="0.25">
      <c r="B2683" s="19" t="s">
        <v>3495</v>
      </c>
      <c r="C2683" s="16"/>
      <c r="D2683" s="16" t="s">
        <v>29</v>
      </c>
      <c r="E2683" s="16"/>
      <c r="F2683" s="5"/>
      <c r="G2683" s="16" t="s">
        <v>35</v>
      </c>
      <c r="H2683" s="16"/>
      <c r="I2683" s="16"/>
      <c r="J2683" s="16"/>
      <c r="K2683" s="16"/>
      <c r="L2683" s="16"/>
      <c r="M2683" s="16"/>
      <c r="N2683" s="16"/>
      <c r="O2683" s="17"/>
      <c r="P2683" s="5" t="str">
        <f t="shared" si="70"/>
        <v>Truncate table FSFFZI;</v>
      </c>
      <c r="Q2683" s="5"/>
      <c r="R2683" s="5"/>
    </row>
    <row r="2684" spans="2:18" x14ac:dyDescent="0.25">
      <c r="B2684" s="19" t="s">
        <v>3496</v>
      </c>
      <c r="C2684" s="16"/>
      <c r="D2684" s="16" t="s">
        <v>29</v>
      </c>
      <c r="E2684" s="16"/>
      <c r="F2684" s="5"/>
      <c r="G2684" s="16" t="s">
        <v>35</v>
      </c>
      <c r="H2684" s="16"/>
      <c r="I2684" s="16"/>
      <c r="J2684" s="16"/>
      <c r="K2684" s="16"/>
      <c r="L2684" s="16"/>
      <c r="M2684" s="16"/>
      <c r="N2684" s="16"/>
      <c r="O2684" s="17"/>
      <c r="P2684" s="5" t="str">
        <f t="shared" si="70"/>
        <v>Truncate table FSFFZJ;</v>
      </c>
      <c r="Q2684" s="5"/>
      <c r="R2684" s="5"/>
    </row>
    <row r="2685" spans="2:18" x14ac:dyDescent="0.25">
      <c r="B2685" s="19" t="s">
        <v>3497</v>
      </c>
      <c r="C2685" s="16"/>
      <c r="D2685" s="16" t="s">
        <v>29</v>
      </c>
      <c r="E2685" s="16"/>
      <c r="F2685" s="5"/>
      <c r="G2685" s="16" t="s">
        <v>35</v>
      </c>
      <c r="H2685" s="16"/>
      <c r="I2685" s="16"/>
      <c r="J2685" s="16"/>
      <c r="K2685" s="16"/>
      <c r="L2685" s="16"/>
      <c r="M2685" s="16"/>
      <c r="N2685" s="16"/>
      <c r="O2685" s="17"/>
      <c r="P2685" s="5" t="str">
        <f t="shared" si="70"/>
        <v>Truncate table FSFFZK;</v>
      </c>
      <c r="Q2685" s="5"/>
      <c r="R2685" s="5"/>
    </row>
    <row r="2686" spans="2:18" ht="40.5" x14ac:dyDescent="0.25">
      <c r="B2686" s="4" t="s">
        <v>3498</v>
      </c>
      <c r="C2686" s="5" t="s">
        <v>3499</v>
      </c>
      <c r="D2686" s="248" t="s">
        <v>29</v>
      </c>
      <c r="E2686" s="5" t="s">
        <v>3007</v>
      </c>
      <c r="F2686" s="5" t="s">
        <v>3133</v>
      </c>
      <c r="G2686" s="16" t="s">
        <v>35</v>
      </c>
      <c r="H2686" s="16" t="s">
        <v>36</v>
      </c>
      <c r="I2686" s="5" t="s">
        <v>3500</v>
      </c>
      <c r="J2686" s="5" t="s">
        <v>3501</v>
      </c>
      <c r="K2686" s="5" t="s">
        <v>3331</v>
      </c>
      <c r="L2686" s="5"/>
      <c r="M2686" s="5"/>
      <c r="N2686" s="5"/>
      <c r="O2686" s="17"/>
      <c r="P2686" s="5" t="str">
        <f t="shared" si="70"/>
        <v>Truncate table FSFG07;</v>
      </c>
      <c r="Q2686" s="5"/>
      <c r="R2686" s="5"/>
    </row>
    <row r="2687" spans="2:18" ht="40.5" x14ac:dyDescent="0.25">
      <c r="B2687" s="4" t="s">
        <v>3502</v>
      </c>
      <c r="C2687" s="5" t="s">
        <v>3503</v>
      </c>
      <c r="D2687" s="248" t="s">
        <v>29</v>
      </c>
      <c r="E2687" s="5" t="s">
        <v>3007</v>
      </c>
      <c r="F2687" s="5" t="s">
        <v>3133</v>
      </c>
      <c r="G2687" s="16" t="s">
        <v>35</v>
      </c>
      <c r="H2687" s="16" t="s">
        <v>36</v>
      </c>
      <c r="I2687" s="5" t="s">
        <v>3504</v>
      </c>
      <c r="J2687" s="5" t="s">
        <v>3505</v>
      </c>
      <c r="K2687" s="5" t="s">
        <v>3331</v>
      </c>
      <c r="L2687" s="5"/>
      <c r="M2687" s="5"/>
      <c r="N2687" s="5"/>
      <c r="O2687" s="17"/>
      <c r="P2687" s="5" t="str">
        <f t="shared" si="70"/>
        <v>Truncate table FSFG08;</v>
      </c>
      <c r="Q2687" s="5"/>
      <c r="R2687" s="5"/>
    </row>
    <row r="2688" spans="2:18" ht="40.5" x14ac:dyDescent="0.25">
      <c r="B2688" s="4" t="s">
        <v>3506</v>
      </c>
      <c r="C2688" s="5" t="s">
        <v>3507</v>
      </c>
      <c r="D2688" s="248" t="s">
        <v>29</v>
      </c>
      <c r="E2688" s="5" t="s">
        <v>3007</v>
      </c>
      <c r="F2688" s="5" t="s">
        <v>3133</v>
      </c>
      <c r="G2688" s="16" t="s">
        <v>35</v>
      </c>
      <c r="H2688" s="16" t="s">
        <v>36</v>
      </c>
      <c r="I2688" s="5" t="s">
        <v>3508</v>
      </c>
      <c r="J2688" s="5" t="s">
        <v>3509</v>
      </c>
      <c r="K2688" s="5" t="s">
        <v>3331</v>
      </c>
      <c r="L2688" s="5"/>
      <c r="M2688" s="5"/>
      <c r="N2688" s="5"/>
      <c r="O2688" s="17"/>
      <c r="P2688" s="5" t="str">
        <f t="shared" si="70"/>
        <v>Truncate table FSFG21;</v>
      </c>
      <c r="Q2688" s="5"/>
      <c r="R2688" s="5"/>
    </row>
    <row r="2689" spans="2:22" ht="40.5" x14ac:dyDescent="0.25">
      <c r="B2689" s="4" t="s">
        <v>3510</v>
      </c>
      <c r="C2689" s="5" t="s">
        <v>3511</v>
      </c>
      <c r="D2689" s="248" t="s">
        <v>29</v>
      </c>
      <c r="E2689" s="5" t="s">
        <v>3007</v>
      </c>
      <c r="F2689" s="5" t="s">
        <v>3133</v>
      </c>
      <c r="G2689" s="16" t="s">
        <v>35</v>
      </c>
      <c r="H2689" s="16" t="s">
        <v>36</v>
      </c>
      <c r="I2689" s="5" t="s">
        <v>3512</v>
      </c>
      <c r="J2689" s="5" t="s">
        <v>3513</v>
      </c>
      <c r="K2689" s="5" t="s">
        <v>3331</v>
      </c>
      <c r="L2689" s="5"/>
      <c r="M2689" s="5"/>
      <c r="N2689" s="5"/>
      <c r="O2689" s="17"/>
      <c r="P2689" s="5" t="str">
        <f t="shared" si="70"/>
        <v>Truncate table FSFG22;</v>
      </c>
      <c r="Q2689" s="5"/>
      <c r="R2689" s="5"/>
    </row>
    <row r="2690" spans="2:22" x14ac:dyDescent="0.25">
      <c r="B2690" s="19" t="s">
        <v>3514</v>
      </c>
      <c r="C2690" s="16"/>
      <c r="D2690" s="16" t="s">
        <v>29</v>
      </c>
      <c r="E2690" s="16" t="s">
        <v>3007</v>
      </c>
      <c r="F2690" s="5" t="s">
        <v>3133</v>
      </c>
      <c r="G2690" s="16" t="s">
        <v>28</v>
      </c>
      <c r="H2690" s="16" t="s">
        <v>36</v>
      </c>
      <c r="I2690" s="16"/>
      <c r="J2690" s="16"/>
      <c r="K2690" s="16"/>
      <c r="L2690" s="16"/>
      <c r="M2690" s="16"/>
      <c r="N2690" s="16"/>
      <c r="O2690" s="17" t="s">
        <v>38</v>
      </c>
      <c r="P2690" s="5" t="str">
        <f t="shared" si="70"/>
        <v>Truncate table FSFH22;</v>
      </c>
      <c r="Q2690" s="5"/>
      <c r="R2690" s="5"/>
    </row>
    <row r="2691" spans="2:22" x14ac:dyDescent="0.25">
      <c r="B2691" s="19" t="s">
        <v>3515</v>
      </c>
      <c r="C2691" s="16"/>
      <c r="D2691" s="16" t="s">
        <v>29</v>
      </c>
      <c r="E2691" s="16"/>
      <c r="F2691" s="5"/>
      <c r="G2691" s="16" t="s">
        <v>35</v>
      </c>
      <c r="H2691" s="16"/>
      <c r="I2691" s="16"/>
      <c r="J2691" s="16"/>
      <c r="K2691" s="16"/>
      <c r="L2691" s="16"/>
      <c r="M2691" s="16"/>
      <c r="N2691" s="16"/>
      <c r="O2691" s="17"/>
      <c r="P2691" s="5" t="str">
        <f t="shared" si="70"/>
        <v>Truncate table FSFH25;</v>
      </c>
      <c r="Q2691" s="5"/>
      <c r="R2691" s="5"/>
    </row>
    <row r="2692" spans="2:22" ht="75" x14ac:dyDescent="0.25">
      <c r="B2692" s="19" t="s">
        <v>3516</v>
      </c>
      <c r="C2692" s="16" t="s">
        <v>3517</v>
      </c>
      <c r="D2692" s="16" t="s">
        <v>8152</v>
      </c>
      <c r="E2692" s="16" t="s">
        <v>8230</v>
      </c>
      <c r="F2692" s="5" t="s">
        <v>8218</v>
      </c>
      <c r="G2692" s="16" t="s">
        <v>35</v>
      </c>
      <c r="H2692" s="16" t="s">
        <v>36</v>
      </c>
      <c r="I2692" s="16"/>
      <c r="J2692" s="16"/>
      <c r="K2692" s="16"/>
      <c r="L2692" s="125" t="s">
        <v>8532</v>
      </c>
      <c r="M2692" s="125"/>
      <c r="N2692" s="16"/>
      <c r="O2692" s="17" t="s">
        <v>38</v>
      </c>
      <c r="P2692" s="5" t="str">
        <f t="shared" si="70"/>
        <v/>
      </c>
      <c r="Q2692" s="5"/>
      <c r="R2692" s="5"/>
    </row>
    <row r="2693" spans="2:22" ht="75" x14ac:dyDescent="0.25">
      <c r="B2693" s="19" t="s">
        <v>3518</v>
      </c>
      <c r="C2693" s="16" t="s">
        <v>3519</v>
      </c>
      <c r="D2693" s="16" t="s">
        <v>8152</v>
      </c>
      <c r="E2693" s="16" t="s">
        <v>8230</v>
      </c>
      <c r="F2693" s="5" t="s">
        <v>8218</v>
      </c>
      <c r="G2693" s="16" t="s">
        <v>35</v>
      </c>
      <c r="H2693" s="16" t="s">
        <v>36</v>
      </c>
      <c r="I2693" s="16"/>
      <c r="J2693" s="16"/>
      <c r="K2693" s="16"/>
      <c r="L2693" s="125" t="s">
        <v>8532</v>
      </c>
      <c r="M2693" s="125"/>
      <c r="N2693" s="16"/>
      <c r="O2693" s="17" t="s">
        <v>38</v>
      </c>
      <c r="P2693" s="5" t="str">
        <f t="shared" si="70"/>
        <v/>
      </c>
      <c r="Q2693" s="5"/>
      <c r="R2693" s="5"/>
    </row>
    <row r="2694" spans="2:22" ht="75" x14ac:dyDescent="0.25">
      <c r="B2694" s="19" t="s">
        <v>3520</v>
      </c>
      <c r="C2694" s="16" t="s">
        <v>3521</v>
      </c>
      <c r="D2694" s="16" t="s">
        <v>8152</v>
      </c>
      <c r="E2694" s="16" t="s">
        <v>8230</v>
      </c>
      <c r="F2694" s="5" t="s">
        <v>8218</v>
      </c>
      <c r="G2694" s="16" t="s">
        <v>35</v>
      </c>
      <c r="H2694" s="16" t="s">
        <v>36</v>
      </c>
      <c r="I2694" s="16"/>
      <c r="J2694" s="16"/>
      <c r="K2694" s="16"/>
      <c r="L2694" s="125" t="s">
        <v>8532</v>
      </c>
      <c r="M2694" s="125"/>
      <c r="N2694" s="16"/>
      <c r="O2694" s="17" t="s">
        <v>38</v>
      </c>
      <c r="P2694" s="5" t="str">
        <f t="shared" si="70"/>
        <v/>
      </c>
      <c r="Q2694" s="5"/>
      <c r="R2694" s="5"/>
    </row>
    <row r="2695" spans="2:22" x14ac:dyDescent="0.25">
      <c r="B2695" s="19" t="s">
        <v>3522</v>
      </c>
      <c r="C2695" s="16" t="s">
        <v>3523</v>
      </c>
      <c r="D2695" s="16" t="s">
        <v>29</v>
      </c>
      <c r="E2695" s="16" t="s">
        <v>3275</v>
      </c>
      <c r="F2695" s="16"/>
      <c r="G2695" s="16" t="s">
        <v>35</v>
      </c>
      <c r="H2695" s="16"/>
      <c r="I2695" s="16"/>
      <c r="J2695" s="16"/>
      <c r="K2695" s="16"/>
      <c r="L2695" s="16"/>
      <c r="M2695" s="16"/>
      <c r="N2695" s="16"/>
      <c r="O2695" s="17" t="s">
        <v>38</v>
      </c>
      <c r="P2695" s="16" t="str">
        <f t="shared" si="70"/>
        <v>Truncate table FSFI04;</v>
      </c>
      <c r="Q2695" s="16"/>
      <c r="R2695" s="16"/>
      <c r="S2695"/>
      <c r="T2695"/>
      <c r="U2695"/>
      <c r="V2695"/>
    </row>
    <row r="2696" spans="2:22" ht="75" x14ac:dyDescent="0.25">
      <c r="B2696" s="19" t="s">
        <v>3524</v>
      </c>
      <c r="C2696" s="16" t="s">
        <v>3525</v>
      </c>
      <c r="D2696" s="16" t="s">
        <v>8152</v>
      </c>
      <c r="E2696" s="16" t="s">
        <v>8230</v>
      </c>
      <c r="F2696" s="5" t="s">
        <v>8218</v>
      </c>
      <c r="G2696" s="16" t="s">
        <v>35</v>
      </c>
      <c r="H2696" s="16" t="s">
        <v>36</v>
      </c>
      <c r="I2696" s="16"/>
      <c r="J2696" s="16"/>
      <c r="K2696" s="16"/>
      <c r="L2696" s="125" t="s">
        <v>8532</v>
      </c>
      <c r="M2696" s="125"/>
      <c r="N2696" s="16"/>
      <c r="O2696" s="17" t="s">
        <v>38</v>
      </c>
      <c r="P2696" s="5" t="str">
        <f t="shared" si="70"/>
        <v/>
      </c>
      <c r="Q2696" s="5"/>
      <c r="R2696" s="5"/>
    </row>
    <row r="2697" spans="2:22" x14ac:dyDescent="0.25">
      <c r="B2697" s="19" t="s">
        <v>3526</v>
      </c>
      <c r="C2697" s="16" t="s">
        <v>3527</v>
      </c>
      <c r="D2697" s="16" t="s">
        <v>29</v>
      </c>
      <c r="E2697" s="16" t="s">
        <v>3275</v>
      </c>
      <c r="F2697" s="5"/>
      <c r="G2697" s="16" t="s">
        <v>35</v>
      </c>
      <c r="H2697" s="16"/>
      <c r="I2697" s="16"/>
      <c r="J2697" s="16"/>
      <c r="K2697" s="16"/>
      <c r="L2697" s="16"/>
      <c r="M2697" s="16"/>
      <c r="N2697" s="16"/>
      <c r="O2697" s="17" t="s">
        <v>38</v>
      </c>
      <c r="P2697" s="5" t="str">
        <f t="shared" si="70"/>
        <v>Truncate table FSFI06;</v>
      </c>
      <c r="Q2697" s="5"/>
      <c r="R2697" s="5"/>
    </row>
    <row r="2698" spans="2:22" x14ac:dyDescent="0.25">
      <c r="B2698" s="19" t="s">
        <v>3528</v>
      </c>
      <c r="C2698" s="16" t="s">
        <v>3529</v>
      </c>
      <c r="D2698" s="16" t="s">
        <v>8152</v>
      </c>
      <c r="E2698" s="16" t="s">
        <v>3275</v>
      </c>
      <c r="F2698" s="5" t="s">
        <v>8218</v>
      </c>
      <c r="G2698" s="16" t="s">
        <v>35</v>
      </c>
      <c r="H2698" s="16"/>
      <c r="I2698" s="16"/>
      <c r="J2698" s="16"/>
      <c r="K2698" s="16"/>
      <c r="L2698" s="16"/>
      <c r="M2698" s="229"/>
      <c r="N2698" s="16"/>
      <c r="O2698" s="17" t="s">
        <v>38</v>
      </c>
      <c r="P2698" s="5" t="str">
        <f t="shared" si="70"/>
        <v/>
      </c>
      <c r="Q2698" s="5"/>
      <c r="R2698" s="5"/>
    </row>
    <row r="2699" spans="2:22" x14ac:dyDescent="0.25">
      <c r="B2699" s="19" t="s">
        <v>3530</v>
      </c>
      <c r="C2699" s="16" t="s">
        <v>3531</v>
      </c>
      <c r="D2699" s="16" t="s">
        <v>29</v>
      </c>
      <c r="E2699" s="16" t="s">
        <v>3275</v>
      </c>
      <c r="F2699" s="5"/>
      <c r="G2699" s="16" t="s">
        <v>35</v>
      </c>
      <c r="H2699" s="16"/>
      <c r="I2699" s="16"/>
      <c r="J2699" s="16"/>
      <c r="K2699" s="16"/>
      <c r="L2699" s="16"/>
      <c r="M2699" s="16"/>
      <c r="N2699" s="16"/>
      <c r="O2699" s="17" t="s">
        <v>38</v>
      </c>
      <c r="P2699" s="5" t="str">
        <f t="shared" si="70"/>
        <v>Truncate table FSFI08;</v>
      </c>
      <c r="Q2699" s="5"/>
      <c r="R2699" s="5"/>
    </row>
    <row r="2700" spans="2:22" x14ac:dyDescent="0.25">
      <c r="B2700" s="19" t="s">
        <v>3532</v>
      </c>
      <c r="C2700" s="16" t="s">
        <v>3533</v>
      </c>
      <c r="D2700" s="16" t="s">
        <v>29</v>
      </c>
      <c r="E2700" s="16" t="s">
        <v>3275</v>
      </c>
      <c r="F2700" s="5"/>
      <c r="G2700" s="16" t="s">
        <v>35</v>
      </c>
      <c r="H2700" s="16"/>
      <c r="I2700" s="16"/>
      <c r="J2700" s="16"/>
      <c r="K2700" s="16"/>
      <c r="L2700" s="16"/>
      <c r="M2700" s="16"/>
      <c r="N2700" s="16"/>
      <c r="O2700" s="17" t="s">
        <v>38</v>
      </c>
      <c r="P2700" s="5" t="str">
        <f t="shared" si="70"/>
        <v>Truncate table FSFI09;</v>
      </c>
      <c r="Q2700" s="5"/>
      <c r="R2700" s="5"/>
    </row>
    <row r="2701" spans="2:22" x14ac:dyDescent="0.25">
      <c r="B2701" s="19" t="s">
        <v>3534</v>
      </c>
      <c r="C2701" s="16" t="s">
        <v>3535</v>
      </c>
      <c r="D2701" s="16" t="s">
        <v>29</v>
      </c>
      <c r="E2701" s="16" t="s">
        <v>3275</v>
      </c>
      <c r="F2701" s="5"/>
      <c r="G2701" s="16" t="s">
        <v>35</v>
      </c>
      <c r="H2701" s="16"/>
      <c r="I2701" s="16"/>
      <c r="J2701" s="16"/>
      <c r="K2701" s="16"/>
      <c r="L2701" s="16"/>
      <c r="M2701" s="16"/>
      <c r="N2701" s="16"/>
      <c r="O2701" s="17" t="s">
        <v>38</v>
      </c>
      <c r="P2701" s="5" t="str">
        <f t="shared" si="70"/>
        <v>Truncate table FSFI10;</v>
      </c>
      <c r="Q2701" s="5"/>
      <c r="R2701" s="5"/>
    </row>
    <row r="2702" spans="2:22" ht="75" x14ac:dyDescent="0.25">
      <c r="B2702" s="19" t="s">
        <v>3536</v>
      </c>
      <c r="C2702" s="16" t="s">
        <v>8533</v>
      </c>
      <c r="D2702" s="16" t="s">
        <v>8152</v>
      </c>
      <c r="E2702" s="16" t="s">
        <v>8230</v>
      </c>
      <c r="F2702" s="5" t="s">
        <v>8218</v>
      </c>
      <c r="G2702" s="16" t="s">
        <v>35</v>
      </c>
      <c r="H2702" s="16" t="s">
        <v>36</v>
      </c>
      <c r="I2702" s="16"/>
      <c r="J2702" s="16"/>
      <c r="K2702" s="16"/>
      <c r="L2702" s="125" t="s">
        <v>8532</v>
      </c>
      <c r="M2702" s="125"/>
      <c r="N2702" s="16"/>
      <c r="O2702" s="17" t="s">
        <v>38</v>
      </c>
      <c r="P2702" s="5" t="str">
        <f t="shared" si="70"/>
        <v/>
      </c>
      <c r="Q2702" s="5"/>
      <c r="R2702" s="5"/>
    </row>
    <row r="2703" spans="2:22" x14ac:dyDescent="0.25">
      <c r="B2703" s="19" t="s">
        <v>3537</v>
      </c>
      <c r="C2703" s="16" t="s">
        <v>3538</v>
      </c>
      <c r="D2703" s="16" t="s">
        <v>29</v>
      </c>
      <c r="E2703" s="16" t="s">
        <v>3007</v>
      </c>
      <c r="F2703" s="5" t="s">
        <v>3133</v>
      </c>
      <c r="G2703" s="16" t="s">
        <v>28</v>
      </c>
      <c r="H2703" s="16"/>
      <c r="I2703" s="16"/>
      <c r="J2703" s="16"/>
      <c r="K2703" s="16"/>
      <c r="L2703" s="16"/>
      <c r="M2703" s="16"/>
      <c r="N2703" s="16"/>
      <c r="O2703" s="17" t="s">
        <v>38</v>
      </c>
      <c r="P2703" s="5" t="str">
        <f t="shared" si="70"/>
        <v>Truncate table FSFI12;</v>
      </c>
      <c r="Q2703" s="5"/>
      <c r="R2703" s="5"/>
    </row>
    <row r="2704" spans="2:22" ht="75" x14ac:dyDescent="0.25">
      <c r="B2704" s="19" t="s">
        <v>3539</v>
      </c>
      <c r="C2704" s="16" t="s">
        <v>3540</v>
      </c>
      <c r="D2704" s="16" t="s">
        <v>8152</v>
      </c>
      <c r="E2704" s="16" t="s">
        <v>8230</v>
      </c>
      <c r="F2704" s="5" t="s">
        <v>8218</v>
      </c>
      <c r="G2704" s="16" t="s">
        <v>35</v>
      </c>
      <c r="H2704" s="16" t="s">
        <v>36</v>
      </c>
      <c r="I2704" s="16"/>
      <c r="J2704" s="16"/>
      <c r="K2704" s="16"/>
      <c r="L2704" s="125" t="s">
        <v>8532</v>
      </c>
      <c r="M2704" s="125"/>
      <c r="N2704" s="16"/>
      <c r="O2704" s="17" t="s">
        <v>38</v>
      </c>
      <c r="P2704" s="5" t="str">
        <f t="shared" si="70"/>
        <v/>
      </c>
      <c r="Q2704" s="5"/>
      <c r="R2704" s="5"/>
    </row>
    <row r="2705" spans="2:22" x14ac:dyDescent="0.25">
      <c r="B2705" s="19" t="s">
        <v>3541</v>
      </c>
      <c r="C2705" s="16" t="s">
        <v>3542</v>
      </c>
      <c r="D2705" s="16" t="s">
        <v>29</v>
      </c>
      <c r="E2705" s="16" t="s">
        <v>3275</v>
      </c>
      <c r="F2705" s="5"/>
      <c r="G2705" s="16" t="s">
        <v>35</v>
      </c>
      <c r="H2705" s="16"/>
      <c r="I2705" s="16"/>
      <c r="J2705" s="16"/>
      <c r="K2705" s="16"/>
      <c r="L2705" s="16"/>
      <c r="M2705" s="16"/>
      <c r="N2705" s="16"/>
      <c r="O2705" s="17" t="s">
        <v>38</v>
      </c>
      <c r="P2705" s="5" t="str">
        <f t="shared" si="70"/>
        <v>Truncate table FSFI14;</v>
      </c>
      <c r="Q2705" s="5"/>
      <c r="R2705" s="5"/>
    </row>
    <row r="2706" spans="2:22" x14ac:dyDescent="0.25">
      <c r="B2706" s="19" t="s">
        <v>3543</v>
      </c>
      <c r="C2706" s="16" t="s">
        <v>3544</v>
      </c>
      <c r="D2706" s="16" t="s">
        <v>29</v>
      </c>
      <c r="E2706" s="16" t="s">
        <v>3007</v>
      </c>
      <c r="F2706" s="5" t="s">
        <v>3133</v>
      </c>
      <c r="G2706" s="16" t="s">
        <v>28</v>
      </c>
      <c r="H2706" s="16" t="s">
        <v>36</v>
      </c>
      <c r="I2706" s="16"/>
      <c r="J2706" s="16"/>
      <c r="K2706" s="16"/>
      <c r="L2706" s="16"/>
      <c r="M2706" s="16"/>
      <c r="N2706" s="16"/>
      <c r="O2706" s="17" t="s">
        <v>38</v>
      </c>
      <c r="P2706" s="5" t="str">
        <f t="shared" si="70"/>
        <v>Truncate table FSFI15;</v>
      </c>
      <c r="Q2706" s="5"/>
      <c r="R2706" s="5"/>
    </row>
    <row r="2707" spans="2:22" x14ac:dyDescent="0.25">
      <c r="B2707" s="19" t="s">
        <v>3545</v>
      </c>
      <c r="C2707" s="16" t="s">
        <v>3546</v>
      </c>
      <c r="D2707" s="16" t="s">
        <v>29</v>
      </c>
      <c r="E2707" s="16" t="s">
        <v>3007</v>
      </c>
      <c r="F2707" s="5" t="s">
        <v>3133</v>
      </c>
      <c r="G2707" s="16" t="s">
        <v>28</v>
      </c>
      <c r="H2707" s="16" t="s">
        <v>36</v>
      </c>
      <c r="I2707" s="16"/>
      <c r="J2707" s="16"/>
      <c r="K2707" s="16"/>
      <c r="L2707" s="16"/>
      <c r="M2707" s="16"/>
      <c r="N2707" s="16"/>
      <c r="O2707" s="17" t="s">
        <v>38</v>
      </c>
      <c r="P2707" s="5" t="str">
        <f t="shared" si="70"/>
        <v>Truncate table FSFI16;</v>
      </c>
      <c r="Q2707" s="5"/>
      <c r="R2707" s="5"/>
    </row>
    <row r="2708" spans="2:22" x14ac:dyDescent="0.25">
      <c r="B2708" s="19" t="s">
        <v>3547</v>
      </c>
      <c r="C2708" s="16" t="s">
        <v>3546</v>
      </c>
      <c r="D2708" s="16" t="s">
        <v>29</v>
      </c>
      <c r="E2708" s="16" t="s">
        <v>3007</v>
      </c>
      <c r="F2708" s="5" t="s">
        <v>3133</v>
      </c>
      <c r="G2708" s="16" t="s">
        <v>28</v>
      </c>
      <c r="H2708" s="16" t="s">
        <v>36</v>
      </c>
      <c r="I2708" s="16"/>
      <c r="J2708" s="16"/>
      <c r="K2708" s="16"/>
      <c r="L2708" s="16"/>
      <c r="M2708" s="16"/>
      <c r="N2708" s="16"/>
      <c r="O2708" s="17" t="s">
        <v>38</v>
      </c>
      <c r="P2708" s="5" t="str">
        <f t="shared" si="70"/>
        <v>Truncate table FSFI17;</v>
      </c>
      <c r="Q2708" s="5"/>
      <c r="R2708" s="5"/>
    </row>
    <row r="2709" spans="2:22" x14ac:dyDescent="0.25">
      <c r="B2709" s="19" t="s">
        <v>3548</v>
      </c>
      <c r="C2709" s="16" t="s">
        <v>3549</v>
      </c>
      <c r="D2709" s="16" t="s">
        <v>29</v>
      </c>
      <c r="E2709" s="16" t="s">
        <v>3275</v>
      </c>
      <c r="F2709" s="5"/>
      <c r="G2709" s="16" t="s">
        <v>35</v>
      </c>
      <c r="H2709" s="16"/>
      <c r="I2709" s="16"/>
      <c r="J2709" s="16"/>
      <c r="K2709" s="16"/>
      <c r="L2709" s="16"/>
      <c r="M2709" s="16"/>
      <c r="N2709" s="16"/>
      <c r="O2709" s="17" t="s">
        <v>38</v>
      </c>
      <c r="P2709" s="5" t="str">
        <f t="shared" si="70"/>
        <v>Truncate table FSFI18;</v>
      </c>
      <c r="Q2709" s="5"/>
      <c r="R2709" s="5"/>
    </row>
    <row r="2710" spans="2:22" x14ac:dyDescent="0.25">
      <c r="B2710" s="19" t="s">
        <v>3550</v>
      </c>
      <c r="C2710" s="16" t="s">
        <v>3551</v>
      </c>
      <c r="D2710" s="16" t="s">
        <v>8152</v>
      </c>
      <c r="E2710" s="16" t="s">
        <v>3275</v>
      </c>
      <c r="F2710" s="16" t="s">
        <v>8218</v>
      </c>
      <c r="G2710" s="16" t="s">
        <v>35</v>
      </c>
      <c r="H2710" s="16"/>
      <c r="I2710" s="16"/>
      <c r="J2710" s="16"/>
      <c r="K2710" s="16"/>
      <c r="L2710" s="16"/>
      <c r="M2710" s="16"/>
      <c r="N2710" s="16"/>
      <c r="O2710" s="17" t="s">
        <v>38</v>
      </c>
      <c r="P2710" s="16" t="str">
        <f t="shared" si="70"/>
        <v/>
      </c>
      <c r="Q2710" s="16"/>
      <c r="R2710" s="16"/>
      <c r="S2710"/>
      <c r="T2710"/>
      <c r="U2710"/>
      <c r="V2710"/>
    </row>
    <row r="2711" spans="2:22" x14ac:dyDescent="0.25">
      <c r="B2711" s="19" t="s">
        <v>3552</v>
      </c>
      <c r="C2711" s="16" t="s">
        <v>3553</v>
      </c>
      <c r="D2711" s="16" t="s">
        <v>29</v>
      </c>
      <c r="E2711" s="16"/>
      <c r="F2711" s="5"/>
      <c r="G2711" s="16" t="s">
        <v>35</v>
      </c>
      <c r="H2711" s="16"/>
      <c r="I2711" s="16"/>
      <c r="J2711" s="16"/>
      <c r="K2711" s="16"/>
      <c r="L2711" s="16"/>
      <c r="M2711" s="16"/>
      <c r="N2711" s="16"/>
      <c r="O2711" s="17"/>
      <c r="P2711" s="5" t="str">
        <f t="shared" si="70"/>
        <v>Truncate table FSFI21;</v>
      </c>
      <c r="Q2711" s="5"/>
      <c r="R2711" s="5"/>
    </row>
    <row r="2712" spans="2:22" x14ac:dyDescent="0.25">
      <c r="B2712" s="19" t="s">
        <v>3554</v>
      </c>
      <c r="C2712" s="16" t="s">
        <v>3555</v>
      </c>
      <c r="D2712" s="16" t="s">
        <v>29</v>
      </c>
      <c r="E2712" s="16" t="s">
        <v>3275</v>
      </c>
      <c r="F2712" s="5"/>
      <c r="G2712" s="16" t="s">
        <v>35</v>
      </c>
      <c r="H2712" s="16"/>
      <c r="I2712" s="16"/>
      <c r="J2712" s="16"/>
      <c r="K2712" s="16"/>
      <c r="L2712" s="16"/>
      <c r="M2712" s="16"/>
      <c r="N2712" s="16"/>
      <c r="O2712" s="17" t="s">
        <v>38</v>
      </c>
      <c r="P2712" s="5" t="str">
        <f t="shared" si="70"/>
        <v>Truncate table FSFI22;</v>
      </c>
      <c r="Q2712" s="5"/>
      <c r="R2712" s="5"/>
    </row>
    <row r="2713" spans="2:22" x14ac:dyDescent="0.25">
      <c r="B2713" s="19" t="s">
        <v>3556</v>
      </c>
      <c r="C2713" s="16" t="s">
        <v>3557</v>
      </c>
      <c r="D2713" s="16" t="s">
        <v>29</v>
      </c>
      <c r="E2713" s="16"/>
      <c r="F2713" s="5"/>
      <c r="G2713" s="16" t="s">
        <v>35</v>
      </c>
      <c r="H2713" s="16"/>
      <c r="I2713" s="16"/>
      <c r="J2713" s="16"/>
      <c r="K2713" s="16"/>
      <c r="L2713" s="16"/>
      <c r="M2713" s="16"/>
      <c r="N2713" s="16"/>
      <c r="O2713" s="17"/>
      <c r="P2713" s="5" t="str">
        <f t="shared" si="70"/>
        <v>Truncate table FSFI23;</v>
      </c>
      <c r="Q2713" s="5"/>
      <c r="R2713" s="5"/>
    </row>
    <row r="2714" spans="2:22" x14ac:dyDescent="0.25">
      <c r="B2714" s="19" t="s">
        <v>3558</v>
      </c>
      <c r="C2714" s="16" t="s">
        <v>3557</v>
      </c>
      <c r="D2714" s="16" t="s">
        <v>29</v>
      </c>
      <c r="E2714" s="16"/>
      <c r="F2714" s="5"/>
      <c r="G2714" s="16" t="s">
        <v>35</v>
      </c>
      <c r="H2714" s="16"/>
      <c r="I2714" s="16"/>
      <c r="J2714" s="16"/>
      <c r="K2714" s="16"/>
      <c r="L2714" s="16"/>
      <c r="M2714" s="16"/>
      <c r="N2714" s="16"/>
      <c r="O2714" s="17"/>
      <c r="P2714" s="5" t="str">
        <f t="shared" si="70"/>
        <v>Truncate table FSFI24;</v>
      </c>
      <c r="Q2714" s="5"/>
      <c r="R2714" s="5"/>
    </row>
    <row r="2715" spans="2:22" x14ac:dyDescent="0.25">
      <c r="B2715" s="19" t="s">
        <v>3559</v>
      </c>
      <c r="C2715" s="16" t="s">
        <v>3560</v>
      </c>
      <c r="D2715" s="16" t="s">
        <v>29</v>
      </c>
      <c r="E2715" s="16"/>
      <c r="F2715" s="5"/>
      <c r="G2715" s="16" t="s">
        <v>35</v>
      </c>
      <c r="H2715" s="16"/>
      <c r="I2715" s="16"/>
      <c r="J2715" s="16"/>
      <c r="K2715" s="16"/>
      <c r="L2715" s="16"/>
      <c r="M2715" s="16"/>
      <c r="N2715" s="16"/>
      <c r="O2715" s="17"/>
      <c r="P2715" s="5" t="str">
        <f t="shared" si="70"/>
        <v>Truncate table FSFI25;</v>
      </c>
      <c r="Q2715" s="5"/>
      <c r="R2715" s="5"/>
    </row>
    <row r="2716" spans="2:22" x14ac:dyDescent="0.25">
      <c r="B2716" s="19" t="s">
        <v>3561</v>
      </c>
      <c r="C2716" s="16" t="s">
        <v>3562</v>
      </c>
      <c r="D2716" s="16" t="s">
        <v>29</v>
      </c>
      <c r="E2716" s="16"/>
      <c r="F2716" s="5"/>
      <c r="G2716" s="16" t="s">
        <v>35</v>
      </c>
      <c r="H2716" s="16"/>
      <c r="I2716" s="16"/>
      <c r="J2716" s="16"/>
      <c r="K2716" s="16"/>
      <c r="L2716" s="16"/>
      <c r="M2716" s="16"/>
      <c r="N2716" s="16"/>
      <c r="O2716" s="17"/>
      <c r="P2716" s="5" t="str">
        <f t="shared" si="70"/>
        <v>Truncate table FSFI26;</v>
      </c>
      <c r="Q2716" s="5"/>
      <c r="R2716" s="5"/>
    </row>
    <row r="2717" spans="2:22" x14ac:dyDescent="0.25">
      <c r="B2717" s="19" t="s">
        <v>3563</v>
      </c>
      <c r="C2717" s="16" t="s">
        <v>3564</v>
      </c>
      <c r="D2717" s="16" t="s">
        <v>29</v>
      </c>
      <c r="E2717" s="16"/>
      <c r="F2717" s="5"/>
      <c r="G2717" s="16" t="s">
        <v>35</v>
      </c>
      <c r="H2717" s="16"/>
      <c r="I2717" s="16"/>
      <c r="J2717" s="16"/>
      <c r="K2717" s="16"/>
      <c r="L2717" s="16"/>
      <c r="M2717" s="16"/>
      <c r="N2717" s="16"/>
      <c r="O2717" s="17"/>
      <c r="P2717" s="5" t="str">
        <f t="shared" si="70"/>
        <v>Truncate table FSFI27;</v>
      </c>
      <c r="Q2717" s="5"/>
      <c r="R2717" s="5"/>
    </row>
    <row r="2718" spans="2:22" x14ac:dyDescent="0.25">
      <c r="B2718" s="19" t="s">
        <v>3565</v>
      </c>
      <c r="C2718" s="16" t="s">
        <v>3566</v>
      </c>
      <c r="D2718" s="16" t="s">
        <v>29</v>
      </c>
      <c r="E2718" s="16"/>
      <c r="F2718" s="5"/>
      <c r="G2718" s="16" t="s">
        <v>35</v>
      </c>
      <c r="H2718" s="16"/>
      <c r="I2718" s="16"/>
      <c r="J2718" s="16"/>
      <c r="K2718" s="16"/>
      <c r="L2718" s="16"/>
      <c r="M2718" s="16"/>
      <c r="N2718" s="16"/>
      <c r="O2718" s="17"/>
      <c r="P2718" s="5" t="str">
        <f t="shared" si="70"/>
        <v>Truncate table FSFI28;</v>
      </c>
      <c r="Q2718" s="5"/>
      <c r="R2718" s="5"/>
    </row>
    <row r="2719" spans="2:22" x14ac:dyDescent="0.25">
      <c r="B2719" s="19" t="s">
        <v>3567</v>
      </c>
      <c r="C2719" s="16" t="s">
        <v>3568</v>
      </c>
      <c r="D2719" s="16" t="s">
        <v>29</v>
      </c>
      <c r="E2719" s="16" t="s">
        <v>3275</v>
      </c>
      <c r="F2719" s="5"/>
      <c r="G2719" s="16" t="s">
        <v>35</v>
      </c>
      <c r="H2719" s="16"/>
      <c r="I2719" s="16"/>
      <c r="J2719" s="16"/>
      <c r="K2719" s="16"/>
      <c r="L2719" s="16"/>
      <c r="M2719" s="16"/>
      <c r="N2719" s="16"/>
      <c r="O2719" s="17" t="s">
        <v>38</v>
      </c>
      <c r="P2719" s="5" t="str">
        <f t="shared" si="70"/>
        <v>Truncate table FSFI30;</v>
      </c>
      <c r="Q2719" s="5"/>
      <c r="R2719" s="5"/>
    </row>
    <row r="2720" spans="2:22" x14ac:dyDescent="0.25">
      <c r="B2720" s="19" t="s">
        <v>3569</v>
      </c>
      <c r="C2720" s="16" t="s">
        <v>3570</v>
      </c>
      <c r="D2720" s="16" t="s">
        <v>29</v>
      </c>
      <c r="E2720" s="16"/>
      <c r="F2720" s="5"/>
      <c r="G2720" s="16" t="s">
        <v>35</v>
      </c>
      <c r="H2720" s="16"/>
      <c r="I2720" s="16"/>
      <c r="J2720" s="16"/>
      <c r="K2720" s="16"/>
      <c r="L2720" s="16"/>
      <c r="M2720" s="16"/>
      <c r="N2720" s="16"/>
      <c r="O2720" s="17"/>
      <c r="P2720" s="5" t="str">
        <f t="shared" si="70"/>
        <v>Truncate table FSFI31;</v>
      </c>
      <c r="Q2720" s="5"/>
      <c r="R2720" s="5"/>
    </row>
    <row r="2721" spans="2:18" x14ac:dyDescent="0.25">
      <c r="B2721" s="19" t="s">
        <v>3571</v>
      </c>
      <c r="C2721" s="16" t="s">
        <v>3572</v>
      </c>
      <c r="D2721" s="16" t="s">
        <v>29</v>
      </c>
      <c r="E2721" s="16"/>
      <c r="F2721" s="5"/>
      <c r="G2721" s="16" t="s">
        <v>35</v>
      </c>
      <c r="H2721" s="16"/>
      <c r="I2721" s="16"/>
      <c r="J2721" s="16"/>
      <c r="K2721" s="16"/>
      <c r="L2721" s="16"/>
      <c r="M2721" s="16"/>
      <c r="N2721" s="16"/>
      <c r="O2721" s="17"/>
      <c r="P2721" s="5" t="str">
        <f t="shared" si="70"/>
        <v>Truncate table FSFI32;</v>
      </c>
      <c r="Q2721" s="5"/>
      <c r="R2721" s="5"/>
    </row>
    <row r="2722" spans="2:18" x14ac:dyDescent="0.25">
      <c r="B2722" s="19" t="s">
        <v>3573</v>
      </c>
      <c r="C2722" s="16" t="s">
        <v>3574</v>
      </c>
      <c r="D2722" s="16" t="s">
        <v>8152</v>
      </c>
      <c r="E2722" s="16" t="s">
        <v>3275</v>
      </c>
      <c r="F2722" s="5" t="s">
        <v>8218</v>
      </c>
      <c r="G2722" s="16" t="s">
        <v>35</v>
      </c>
      <c r="H2722" s="16"/>
      <c r="I2722" s="16"/>
      <c r="J2722" s="16"/>
      <c r="K2722" s="16"/>
      <c r="L2722" s="16"/>
      <c r="M2722" s="229"/>
      <c r="N2722" s="16"/>
      <c r="O2722" s="17" t="s">
        <v>38</v>
      </c>
      <c r="P2722" s="5" t="str">
        <f t="shared" si="70"/>
        <v/>
      </c>
      <c r="Q2722" s="5"/>
      <c r="R2722" s="5"/>
    </row>
    <row r="2723" spans="2:18" x14ac:dyDescent="0.25">
      <c r="B2723" s="19" t="s">
        <v>3575</v>
      </c>
      <c r="C2723" s="16" t="s">
        <v>3576</v>
      </c>
      <c r="D2723" s="16" t="s">
        <v>8152</v>
      </c>
      <c r="E2723" s="16" t="s">
        <v>3275</v>
      </c>
      <c r="F2723" s="5" t="s">
        <v>8218</v>
      </c>
      <c r="G2723" s="16" t="s">
        <v>35</v>
      </c>
      <c r="H2723" s="16"/>
      <c r="I2723" s="16"/>
      <c r="J2723" s="16"/>
      <c r="K2723" s="16"/>
      <c r="L2723" s="16"/>
      <c r="M2723" s="229"/>
      <c r="N2723" s="16"/>
      <c r="O2723" s="17" t="s">
        <v>38</v>
      </c>
      <c r="P2723" s="5" t="str">
        <f t="shared" si="70"/>
        <v/>
      </c>
      <c r="Q2723" s="5"/>
      <c r="R2723" s="5"/>
    </row>
    <row r="2724" spans="2:18" x14ac:dyDescent="0.25">
      <c r="B2724" s="19" t="s">
        <v>3577</v>
      </c>
      <c r="C2724" s="16" t="s">
        <v>3578</v>
      </c>
      <c r="D2724" s="16" t="s">
        <v>29</v>
      </c>
      <c r="E2724" s="16" t="s">
        <v>3275</v>
      </c>
      <c r="F2724" s="5"/>
      <c r="G2724" s="16" t="s">
        <v>35</v>
      </c>
      <c r="H2724" s="16"/>
      <c r="I2724" s="16"/>
      <c r="J2724" s="16"/>
      <c r="K2724" s="16"/>
      <c r="L2724" s="16"/>
      <c r="M2724" s="16"/>
      <c r="N2724" s="16"/>
      <c r="O2724" s="17" t="s">
        <v>38</v>
      </c>
      <c r="P2724" s="5" t="str">
        <f t="shared" si="70"/>
        <v>Truncate table FSFI35;</v>
      </c>
      <c r="Q2724" s="5"/>
      <c r="R2724" s="5"/>
    </row>
    <row r="2725" spans="2:18" x14ac:dyDescent="0.25">
      <c r="B2725" s="19" t="s">
        <v>3579</v>
      </c>
      <c r="C2725" s="16" t="s">
        <v>3580</v>
      </c>
      <c r="D2725" s="16" t="s">
        <v>29</v>
      </c>
      <c r="E2725" s="16" t="s">
        <v>3275</v>
      </c>
      <c r="F2725" s="5"/>
      <c r="G2725" s="16" t="s">
        <v>35</v>
      </c>
      <c r="H2725" s="16"/>
      <c r="I2725" s="16"/>
      <c r="J2725" s="16"/>
      <c r="K2725" s="16"/>
      <c r="L2725" s="16"/>
      <c r="M2725" s="16"/>
      <c r="N2725" s="16"/>
      <c r="O2725" s="17" t="s">
        <v>38</v>
      </c>
      <c r="P2725" s="5" t="str">
        <f t="shared" si="70"/>
        <v>Truncate table FSFI36;</v>
      </c>
      <c r="Q2725" s="5"/>
      <c r="R2725" s="5"/>
    </row>
    <row r="2726" spans="2:18" x14ac:dyDescent="0.25">
      <c r="B2726" s="19" t="s">
        <v>3581</v>
      </c>
      <c r="C2726" s="16" t="s">
        <v>3582</v>
      </c>
      <c r="D2726" s="16" t="s">
        <v>29</v>
      </c>
      <c r="E2726" s="16"/>
      <c r="F2726" s="5"/>
      <c r="G2726" s="16" t="s">
        <v>35</v>
      </c>
      <c r="H2726" s="16"/>
      <c r="I2726" s="16"/>
      <c r="J2726" s="16"/>
      <c r="K2726" s="16"/>
      <c r="L2726" s="16"/>
      <c r="M2726" s="16"/>
      <c r="N2726" s="16"/>
      <c r="O2726" s="17"/>
      <c r="P2726" s="5" t="str">
        <f t="shared" si="70"/>
        <v>Truncate table FSFI37;</v>
      </c>
      <c r="Q2726" s="5"/>
      <c r="R2726" s="5"/>
    </row>
    <row r="2727" spans="2:18" x14ac:dyDescent="0.25">
      <c r="B2727" s="19" t="s">
        <v>3583</v>
      </c>
      <c r="C2727" s="16" t="s">
        <v>3584</v>
      </c>
      <c r="D2727" s="16" t="s">
        <v>29</v>
      </c>
      <c r="E2727" s="16" t="s">
        <v>3275</v>
      </c>
      <c r="F2727" s="5"/>
      <c r="G2727" s="16" t="s">
        <v>35</v>
      </c>
      <c r="H2727" s="16"/>
      <c r="I2727" s="16"/>
      <c r="J2727" s="16"/>
      <c r="K2727" s="16"/>
      <c r="L2727" s="16"/>
      <c r="M2727" s="16"/>
      <c r="N2727" s="16"/>
      <c r="O2727" s="17" t="s">
        <v>38</v>
      </c>
      <c r="P2727" s="5" t="str">
        <f t="shared" si="70"/>
        <v>Truncate table FSFI39;</v>
      </c>
      <c r="Q2727" s="5"/>
      <c r="R2727" s="5"/>
    </row>
    <row r="2728" spans="2:18" x14ac:dyDescent="0.25">
      <c r="B2728" s="19" t="s">
        <v>3585</v>
      </c>
      <c r="C2728" s="16" t="s">
        <v>2471</v>
      </c>
      <c r="D2728" s="16" t="s">
        <v>29</v>
      </c>
      <c r="E2728" s="16" t="s">
        <v>3275</v>
      </c>
      <c r="F2728" s="5"/>
      <c r="G2728" s="16" t="s">
        <v>35</v>
      </c>
      <c r="H2728" s="16"/>
      <c r="I2728" s="16"/>
      <c r="J2728" s="16"/>
      <c r="K2728" s="16"/>
      <c r="L2728" s="16"/>
      <c r="M2728" s="16"/>
      <c r="N2728" s="16"/>
      <c r="O2728" s="17" t="s">
        <v>38</v>
      </c>
      <c r="P2728" s="5" t="str">
        <f t="shared" si="70"/>
        <v>Truncate table FSFI41;</v>
      </c>
      <c r="Q2728" s="5"/>
      <c r="R2728" s="5"/>
    </row>
    <row r="2729" spans="2:18" x14ac:dyDescent="0.25">
      <c r="B2729" s="19" t="s">
        <v>3586</v>
      </c>
      <c r="C2729" s="16" t="s">
        <v>3587</v>
      </c>
      <c r="D2729" s="16" t="s">
        <v>29</v>
      </c>
      <c r="E2729" s="16" t="s">
        <v>3275</v>
      </c>
      <c r="F2729" s="5"/>
      <c r="G2729" s="16" t="s">
        <v>35</v>
      </c>
      <c r="H2729" s="16"/>
      <c r="I2729" s="16"/>
      <c r="J2729" s="16"/>
      <c r="K2729" s="16"/>
      <c r="L2729" s="16"/>
      <c r="M2729" s="16"/>
      <c r="N2729" s="16"/>
      <c r="O2729" s="17" t="s">
        <v>38</v>
      </c>
      <c r="P2729" s="5" t="str">
        <f t="shared" si="70"/>
        <v>Truncate table FSFI42;</v>
      </c>
      <c r="Q2729" s="5"/>
      <c r="R2729" s="5"/>
    </row>
    <row r="2730" spans="2:18" x14ac:dyDescent="0.25">
      <c r="B2730" s="19" t="s">
        <v>3588</v>
      </c>
      <c r="C2730" s="16" t="s">
        <v>3589</v>
      </c>
      <c r="D2730" s="16" t="s">
        <v>29</v>
      </c>
      <c r="E2730" s="16" t="s">
        <v>3275</v>
      </c>
      <c r="F2730" s="5"/>
      <c r="G2730" s="16" t="s">
        <v>35</v>
      </c>
      <c r="H2730" s="16"/>
      <c r="I2730" s="16"/>
      <c r="J2730" s="16"/>
      <c r="K2730" s="16"/>
      <c r="L2730" s="16"/>
      <c r="M2730" s="16"/>
      <c r="N2730" s="16"/>
      <c r="O2730" s="17" t="s">
        <v>38</v>
      </c>
      <c r="P2730" s="5" t="str">
        <f t="shared" si="70"/>
        <v>Truncate table FSFI43;</v>
      </c>
      <c r="Q2730" s="5"/>
      <c r="R2730" s="5"/>
    </row>
    <row r="2731" spans="2:18" x14ac:dyDescent="0.25">
      <c r="B2731" s="19" t="s">
        <v>3590</v>
      </c>
      <c r="C2731" s="16" t="s">
        <v>3591</v>
      </c>
      <c r="D2731" s="16" t="s">
        <v>29</v>
      </c>
      <c r="E2731" s="16" t="s">
        <v>3275</v>
      </c>
      <c r="F2731" s="5"/>
      <c r="G2731" s="16" t="s">
        <v>35</v>
      </c>
      <c r="H2731" s="16"/>
      <c r="I2731" s="16"/>
      <c r="J2731" s="16"/>
      <c r="K2731" s="16"/>
      <c r="L2731" s="16"/>
      <c r="M2731" s="16"/>
      <c r="N2731" s="16"/>
      <c r="O2731" s="17" t="s">
        <v>38</v>
      </c>
      <c r="P2731" s="5" t="str">
        <f t="shared" si="70"/>
        <v>Truncate table FSFI44;</v>
      </c>
      <c r="Q2731" s="5"/>
      <c r="R2731" s="5"/>
    </row>
    <row r="2732" spans="2:18" x14ac:dyDescent="0.25">
      <c r="B2732" s="19" t="s">
        <v>3592</v>
      </c>
      <c r="C2732" s="16" t="s">
        <v>3593</v>
      </c>
      <c r="D2732" s="16" t="s">
        <v>29</v>
      </c>
      <c r="E2732" s="16" t="s">
        <v>3275</v>
      </c>
      <c r="F2732" s="5"/>
      <c r="G2732" s="16" t="s">
        <v>35</v>
      </c>
      <c r="H2732" s="16"/>
      <c r="I2732" s="16"/>
      <c r="J2732" s="16"/>
      <c r="K2732" s="16"/>
      <c r="L2732" s="16"/>
      <c r="M2732" s="16"/>
      <c r="N2732" s="16"/>
      <c r="O2732" s="17" t="s">
        <v>38</v>
      </c>
      <c r="P2732" s="5" t="str">
        <f t="shared" si="70"/>
        <v>Truncate table FSFI45;</v>
      </c>
      <c r="Q2732" s="5"/>
      <c r="R2732" s="5"/>
    </row>
    <row r="2733" spans="2:18" x14ac:dyDescent="0.25">
      <c r="B2733" s="19" t="s">
        <v>3594</v>
      </c>
      <c r="C2733" s="16" t="s">
        <v>3595</v>
      </c>
      <c r="D2733" s="16" t="s">
        <v>29</v>
      </c>
      <c r="E2733" s="16"/>
      <c r="F2733" s="5"/>
      <c r="G2733" s="16" t="s">
        <v>35</v>
      </c>
      <c r="H2733" s="16"/>
      <c r="I2733" s="16"/>
      <c r="J2733" s="16"/>
      <c r="K2733" s="16"/>
      <c r="L2733" s="16"/>
      <c r="M2733" s="16"/>
      <c r="N2733" s="16"/>
      <c r="O2733" s="17"/>
      <c r="P2733" s="5" t="str">
        <f t="shared" si="70"/>
        <v>Truncate table FSFI46;</v>
      </c>
      <c r="Q2733" s="5"/>
      <c r="R2733" s="5"/>
    </row>
    <row r="2734" spans="2:18" x14ac:dyDescent="0.25">
      <c r="B2734" s="19" t="s">
        <v>3596</v>
      </c>
      <c r="C2734" s="16" t="s">
        <v>3597</v>
      </c>
      <c r="D2734" s="16" t="s">
        <v>29</v>
      </c>
      <c r="E2734" s="16" t="s">
        <v>3275</v>
      </c>
      <c r="F2734" s="5"/>
      <c r="G2734" s="16" t="s">
        <v>35</v>
      </c>
      <c r="H2734" s="16"/>
      <c r="I2734" s="16"/>
      <c r="J2734" s="16"/>
      <c r="K2734" s="16"/>
      <c r="L2734" s="16"/>
      <c r="M2734" s="16"/>
      <c r="N2734" s="16"/>
      <c r="O2734" s="17" t="s">
        <v>38</v>
      </c>
      <c r="P2734" s="5" t="str">
        <f t="shared" si="70"/>
        <v>Truncate table FSFI47;</v>
      </c>
      <c r="Q2734" s="5"/>
      <c r="R2734" s="5"/>
    </row>
    <row r="2735" spans="2:18" x14ac:dyDescent="0.25">
      <c r="B2735" s="19" t="s">
        <v>3598</v>
      </c>
      <c r="C2735" s="16" t="s">
        <v>3599</v>
      </c>
      <c r="D2735" s="16" t="s">
        <v>29</v>
      </c>
      <c r="E2735" s="16" t="s">
        <v>3275</v>
      </c>
      <c r="F2735" s="5"/>
      <c r="G2735" s="16" t="s">
        <v>35</v>
      </c>
      <c r="H2735" s="16"/>
      <c r="I2735" s="16"/>
      <c r="J2735" s="16"/>
      <c r="K2735" s="16"/>
      <c r="L2735" s="16"/>
      <c r="M2735" s="16"/>
      <c r="N2735" s="16"/>
      <c r="O2735" s="17" t="s">
        <v>38</v>
      </c>
      <c r="P2735" s="5" t="str">
        <f t="shared" si="70"/>
        <v>Truncate table FSFI48;</v>
      </c>
      <c r="Q2735" s="5"/>
      <c r="R2735" s="5"/>
    </row>
    <row r="2736" spans="2:18" x14ac:dyDescent="0.25">
      <c r="B2736" s="19" t="s">
        <v>3600</v>
      </c>
      <c r="C2736" s="16" t="s">
        <v>3601</v>
      </c>
      <c r="D2736" s="16" t="s">
        <v>29</v>
      </c>
      <c r="E2736" s="16" t="s">
        <v>3007</v>
      </c>
      <c r="F2736" s="5" t="s">
        <v>8221</v>
      </c>
      <c r="G2736" s="16" t="s">
        <v>28</v>
      </c>
      <c r="H2736" s="16" t="s">
        <v>36</v>
      </c>
      <c r="I2736" s="16"/>
      <c r="J2736" s="16"/>
      <c r="K2736" s="16"/>
      <c r="L2736" s="16"/>
      <c r="M2736" s="16"/>
      <c r="N2736" s="16"/>
      <c r="O2736" s="17" t="s">
        <v>38</v>
      </c>
      <c r="P2736" s="5" t="str">
        <f t="shared" si="70"/>
        <v>Truncate table FSFI49;</v>
      </c>
      <c r="Q2736" s="5"/>
      <c r="R2736" s="5"/>
    </row>
    <row r="2737" spans="1:22" x14ac:dyDescent="0.25">
      <c r="B2737" s="19" t="s">
        <v>3602</v>
      </c>
      <c r="C2737" s="16" t="s">
        <v>3603</v>
      </c>
      <c r="D2737" s="16" t="s">
        <v>29</v>
      </c>
      <c r="E2737" s="16" t="s">
        <v>3007</v>
      </c>
      <c r="F2737" s="5" t="s">
        <v>8221</v>
      </c>
      <c r="G2737" s="16" t="s">
        <v>28</v>
      </c>
      <c r="H2737" s="16" t="s">
        <v>36</v>
      </c>
      <c r="I2737" s="16"/>
      <c r="J2737" s="16"/>
      <c r="K2737" s="16"/>
      <c r="L2737" s="16"/>
      <c r="M2737" s="16"/>
      <c r="N2737" s="16"/>
      <c r="O2737" s="17" t="s">
        <v>38</v>
      </c>
      <c r="P2737" s="5" t="str">
        <f t="shared" ref="P2737:P2800" si="71">IF(D2737="Datos","Truncate table "&amp; B2737&amp; ";","")</f>
        <v>Truncate table FSFI50;</v>
      </c>
      <c r="Q2737" s="5"/>
      <c r="R2737" s="5"/>
    </row>
    <row r="2738" spans="1:22" x14ac:dyDescent="0.25">
      <c r="B2738" s="19" t="s">
        <v>3604</v>
      </c>
      <c r="C2738" s="16" t="s">
        <v>3605</v>
      </c>
      <c r="D2738" s="16" t="s">
        <v>29</v>
      </c>
      <c r="E2738" s="16" t="s">
        <v>3275</v>
      </c>
      <c r="F2738" s="5" t="s">
        <v>8221</v>
      </c>
      <c r="G2738" s="16" t="s">
        <v>35</v>
      </c>
      <c r="H2738" s="16" t="s">
        <v>36</v>
      </c>
      <c r="I2738" s="16"/>
      <c r="J2738" s="16"/>
      <c r="K2738" s="16"/>
      <c r="L2738" s="16"/>
      <c r="M2738" s="16"/>
      <c r="N2738" s="16"/>
      <c r="O2738" s="17" t="s">
        <v>38</v>
      </c>
      <c r="P2738" s="5" t="str">
        <f t="shared" si="71"/>
        <v>Truncate table FSFI51;</v>
      </c>
      <c r="Q2738" s="5"/>
      <c r="R2738" s="5"/>
    </row>
    <row r="2739" spans="1:22" x14ac:dyDescent="0.25">
      <c r="B2739" s="19" t="s">
        <v>3606</v>
      </c>
      <c r="C2739" s="16" t="s">
        <v>3607</v>
      </c>
      <c r="D2739" s="16" t="s">
        <v>29</v>
      </c>
      <c r="E2739" s="16" t="s">
        <v>3275</v>
      </c>
      <c r="F2739" s="5" t="s">
        <v>8221</v>
      </c>
      <c r="G2739" s="16" t="s">
        <v>35</v>
      </c>
      <c r="H2739" s="16" t="s">
        <v>36</v>
      </c>
      <c r="I2739" s="16"/>
      <c r="J2739" s="16"/>
      <c r="K2739" s="16"/>
      <c r="L2739" s="16"/>
      <c r="M2739" s="16"/>
      <c r="N2739" s="16"/>
      <c r="O2739" s="17" t="s">
        <v>38</v>
      </c>
      <c r="P2739" s="5" t="str">
        <f t="shared" si="71"/>
        <v>Truncate table FSFI52;</v>
      </c>
      <c r="Q2739" s="5"/>
      <c r="R2739" s="5"/>
    </row>
    <row r="2740" spans="1:22" x14ac:dyDescent="0.25">
      <c r="B2740" s="19" t="s">
        <v>3608</v>
      </c>
      <c r="C2740" s="16" t="s">
        <v>3609</v>
      </c>
      <c r="D2740" s="16" t="s">
        <v>29</v>
      </c>
      <c r="E2740" s="16" t="s">
        <v>3275</v>
      </c>
      <c r="F2740" s="5" t="s">
        <v>8221</v>
      </c>
      <c r="G2740" s="16" t="s">
        <v>35</v>
      </c>
      <c r="H2740" s="16" t="s">
        <v>36</v>
      </c>
      <c r="I2740" s="16"/>
      <c r="J2740" s="16"/>
      <c r="K2740" s="16"/>
      <c r="L2740" s="16"/>
      <c r="M2740" s="16"/>
      <c r="N2740" s="16"/>
      <c r="O2740" s="17" t="s">
        <v>38</v>
      </c>
      <c r="P2740" s="5" t="str">
        <f t="shared" si="71"/>
        <v>Truncate table FSFI53;</v>
      </c>
      <c r="Q2740" s="5"/>
      <c r="R2740" s="5"/>
    </row>
    <row r="2741" spans="1:22" x14ac:dyDescent="0.25">
      <c r="B2741" s="19" t="s">
        <v>3610</v>
      </c>
      <c r="C2741" s="301" t="s">
        <v>9809</v>
      </c>
      <c r="D2741" s="16" t="s">
        <v>29</v>
      </c>
      <c r="E2741" s="16" t="s">
        <v>3275</v>
      </c>
      <c r="F2741" s="16" t="s">
        <v>8221</v>
      </c>
      <c r="G2741" s="16" t="s">
        <v>35</v>
      </c>
      <c r="H2741" s="16" t="s">
        <v>36</v>
      </c>
      <c r="I2741" s="16"/>
      <c r="J2741" s="16"/>
      <c r="K2741" s="16"/>
      <c r="L2741" s="16"/>
      <c r="M2741" s="16"/>
      <c r="N2741" s="16"/>
      <c r="O2741" s="17"/>
      <c r="P2741" s="16" t="str">
        <f t="shared" si="71"/>
        <v>Truncate table FSFI54;</v>
      </c>
      <c r="Q2741" s="16"/>
      <c r="R2741" s="16"/>
      <c r="S2741"/>
      <c r="T2741"/>
      <c r="U2741"/>
      <c r="V2741"/>
    </row>
    <row r="2742" spans="1:22" x14ac:dyDescent="0.25">
      <c r="B2742" s="19" t="s">
        <v>3611</v>
      </c>
      <c r="C2742" s="16"/>
      <c r="D2742" s="16" t="s">
        <v>29</v>
      </c>
      <c r="E2742" s="16" t="s">
        <v>3275</v>
      </c>
      <c r="F2742" s="5" t="s">
        <v>8221</v>
      </c>
      <c r="G2742" s="16" t="s">
        <v>35</v>
      </c>
      <c r="H2742" s="16" t="s">
        <v>36</v>
      </c>
      <c r="I2742" s="16"/>
      <c r="J2742" s="16"/>
      <c r="K2742" s="16"/>
      <c r="L2742" s="16"/>
      <c r="M2742" s="16"/>
      <c r="N2742" s="16"/>
      <c r="O2742" s="17" t="s">
        <v>38</v>
      </c>
      <c r="P2742" s="16" t="str">
        <f t="shared" si="71"/>
        <v>Truncate table FSFI55;</v>
      </c>
      <c r="Q2742" s="16"/>
      <c r="R2742" s="16"/>
      <c r="S2742"/>
      <c r="T2742"/>
      <c r="U2742"/>
      <c r="V2742"/>
    </row>
    <row r="2743" spans="1:22" x14ac:dyDescent="0.25">
      <c r="A2743" s="240"/>
      <c r="B2743" s="19" t="s">
        <v>9532</v>
      </c>
      <c r="C2743" s="16"/>
      <c r="D2743" s="16" t="s">
        <v>29</v>
      </c>
      <c r="E2743" s="16"/>
      <c r="F2743" s="16"/>
      <c r="G2743" s="16"/>
      <c r="H2743" s="16" t="s">
        <v>36</v>
      </c>
      <c r="I2743" s="16"/>
      <c r="J2743" s="16"/>
      <c r="K2743" s="16"/>
      <c r="L2743" s="16"/>
      <c r="M2743" s="16"/>
      <c r="N2743" s="16"/>
      <c r="O2743" s="17"/>
      <c r="P2743" s="16" t="str">
        <f t="shared" si="71"/>
        <v>Truncate table FSFI56;</v>
      </c>
      <c r="Q2743" s="16"/>
      <c r="R2743" s="16"/>
    </row>
    <row r="2744" spans="1:22" x14ac:dyDescent="0.25">
      <c r="B2744" s="19" t="s">
        <v>3612</v>
      </c>
      <c r="C2744" s="16" t="s">
        <v>3613</v>
      </c>
      <c r="D2744" s="16" t="s">
        <v>8152</v>
      </c>
      <c r="E2744" s="16" t="s">
        <v>3275</v>
      </c>
      <c r="F2744" s="5" t="s">
        <v>8218</v>
      </c>
      <c r="G2744" s="16" t="s">
        <v>35</v>
      </c>
      <c r="H2744" s="16"/>
      <c r="I2744" s="16"/>
      <c r="J2744" s="16"/>
      <c r="K2744" s="16"/>
      <c r="L2744" s="16"/>
      <c r="M2744" s="229"/>
      <c r="N2744" s="16"/>
      <c r="O2744" s="17" t="s">
        <v>38</v>
      </c>
      <c r="P2744" s="5" t="str">
        <f t="shared" si="71"/>
        <v/>
      </c>
      <c r="Q2744" s="5"/>
      <c r="R2744" s="5"/>
    </row>
    <row r="2745" spans="1:22" x14ac:dyDescent="0.25">
      <c r="B2745" s="19" t="s">
        <v>3614</v>
      </c>
      <c r="C2745" s="16" t="s">
        <v>3615</v>
      </c>
      <c r="D2745" s="16" t="s">
        <v>8152</v>
      </c>
      <c r="E2745" s="16" t="s">
        <v>3275</v>
      </c>
      <c r="F2745" s="5" t="s">
        <v>8218</v>
      </c>
      <c r="G2745" s="16" t="s">
        <v>35</v>
      </c>
      <c r="H2745" s="16"/>
      <c r="I2745" s="16"/>
      <c r="J2745" s="16"/>
      <c r="K2745" s="16"/>
      <c r="L2745" s="16"/>
      <c r="M2745" s="229"/>
      <c r="N2745" s="16"/>
      <c r="O2745" s="17" t="s">
        <v>38</v>
      </c>
      <c r="P2745" s="5" t="str">
        <f t="shared" si="71"/>
        <v/>
      </c>
      <c r="Q2745" s="5"/>
      <c r="R2745" s="5"/>
    </row>
    <row r="2746" spans="1:22" x14ac:dyDescent="0.25">
      <c r="B2746" s="19" t="s">
        <v>3616</v>
      </c>
      <c r="C2746" s="16" t="s">
        <v>3617</v>
      </c>
      <c r="D2746" s="16" t="s">
        <v>29</v>
      </c>
      <c r="E2746" s="16" t="s">
        <v>3275</v>
      </c>
      <c r="F2746" s="5" t="s">
        <v>8221</v>
      </c>
      <c r="G2746" s="16" t="s">
        <v>35</v>
      </c>
      <c r="H2746" s="16" t="s">
        <v>36</v>
      </c>
      <c r="I2746" s="16"/>
      <c r="J2746" s="16"/>
      <c r="K2746" s="16"/>
      <c r="L2746" s="16"/>
      <c r="M2746" s="16"/>
      <c r="N2746" s="16"/>
      <c r="O2746" s="17" t="s">
        <v>38</v>
      </c>
      <c r="P2746" s="5" t="str">
        <f t="shared" si="71"/>
        <v>Truncate table FSFI62;</v>
      </c>
      <c r="Q2746" s="5"/>
      <c r="R2746" s="5"/>
    </row>
    <row r="2747" spans="1:22" x14ac:dyDescent="0.25">
      <c r="B2747" s="19" t="s">
        <v>3618</v>
      </c>
      <c r="C2747" s="16" t="s">
        <v>3619</v>
      </c>
      <c r="D2747" s="16" t="s">
        <v>29</v>
      </c>
      <c r="E2747" s="16" t="s">
        <v>3275</v>
      </c>
      <c r="F2747" s="5" t="s">
        <v>8221</v>
      </c>
      <c r="G2747" s="16" t="s">
        <v>35</v>
      </c>
      <c r="H2747" s="16" t="s">
        <v>36</v>
      </c>
      <c r="I2747" s="16"/>
      <c r="J2747" s="16"/>
      <c r="K2747" s="16"/>
      <c r="L2747" s="16"/>
      <c r="M2747" s="16"/>
      <c r="N2747" s="16"/>
      <c r="O2747" s="17" t="s">
        <v>38</v>
      </c>
      <c r="P2747" s="5" t="str">
        <f t="shared" si="71"/>
        <v>Truncate table FSFI63;</v>
      </c>
      <c r="Q2747" s="5"/>
      <c r="R2747" s="5"/>
    </row>
    <row r="2748" spans="1:22" x14ac:dyDescent="0.25">
      <c r="B2748" s="19" t="s">
        <v>3620</v>
      </c>
      <c r="C2748" s="16" t="s">
        <v>3621</v>
      </c>
      <c r="D2748" s="16" t="s">
        <v>29</v>
      </c>
      <c r="E2748" s="16" t="s">
        <v>3275</v>
      </c>
      <c r="F2748" s="5" t="s">
        <v>8221</v>
      </c>
      <c r="G2748" s="16" t="s">
        <v>35</v>
      </c>
      <c r="H2748" s="16" t="s">
        <v>36</v>
      </c>
      <c r="I2748" s="16"/>
      <c r="J2748" s="16"/>
      <c r="K2748" s="16"/>
      <c r="L2748" s="16"/>
      <c r="M2748" s="16"/>
      <c r="N2748" s="16"/>
      <c r="O2748" s="17" t="s">
        <v>38</v>
      </c>
      <c r="P2748" s="5" t="str">
        <f t="shared" si="71"/>
        <v>Truncate table FSFI64;</v>
      </c>
      <c r="Q2748" s="5"/>
      <c r="R2748" s="5"/>
    </row>
    <row r="2749" spans="1:22" x14ac:dyDescent="0.25">
      <c r="B2749" s="19" t="s">
        <v>3622</v>
      </c>
      <c r="C2749" s="16" t="s">
        <v>3623</v>
      </c>
      <c r="D2749" s="16" t="s">
        <v>29</v>
      </c>
      <c r="E2749" s="16" t="s">
        <v>3275</v>
      </c>
      <c r="F2749" s="5" t="s">
        <v>8221</v>
      </c>
      <c r="G2749" s="16" t="s">
        <v>35</v>
      </c>
      <c r="H2749" s="16" t="s">
        <v>36</v>
      </c>
      <c r="I2749" s="16"/>
      <c r="J2749" s="16"/>
      <c r="K2749" s="16"/>
      <c r="L2749" s="16"/>
      <c r="M2749" s="16"/>
      <c r="N2749" s="16"/>
      <c r="O2749" s="17" t="s">
        <v>38</v>
      </c>
      <c r="P2749" s="5" t="str">
        <f t="shared" si="71"/>
        <v>Truncate table FSFI65;</v>
      </c>
      <c r="Q2749" s="5"/>
      <c r="R2749" s="5"/>
    </row>
    <row r="2750" spans="1:22" x14ac:dyDescent="0.25">
      <c r="B2750" s="19" t="s">
        <v>3624</v>
      </c>
      <c r="C2750" s="16" t="s">
        <v>3625</v>
      </c>
      <c r="D2750" s="16" t="s">
        <v>29</v>
      </c>
      <c r="E2750" s="16" t="s">
        <v>3007</v>
      </c>
      <c r="F2750" s="5" t="s">
        <v>8221</v>
      </c>
      <c r="G2750" s="16" t="s">
        <v>28</v>
      </c>
      <c r="H2750" s="16" t="s">
        <v>36</v>
      </c>
      <c r="I2750" s="16"/>
      <c r="J2750" s="16"/>
      <c r="K2750" s="16"/>
      <c r="L2750" s="16"/>
      <c r="M2750" s="16"/>
      <c r="N2750" s="16"/>
      <c r="O2750" s="17" t="s">
        <v>38</v>
      </c>
      <c r="P2750" s="5" t="str">
        <f t="shared" si="71"/>
        <v>Truncate table FSFI66;</v>
      </c>
      <c r="Q2750" s="5"/>
      <c r="R2750" s="5"/>
    </row>
    <row r="2751" spans="1:22" x14ac:dyDescent="0.25">
      <c r="B2751" s="19" t="s">
        <v>3626</v>
      </c>
      <c r="C2751" s="16" t="s">
        <v>3627</v>
      </c>
      <c r="D2751" s="16" t="s">
        <v>29</v>
      </c>
      <c r="E2751" s="16"/>
      <c r="F2751" s="5"/>
      <c r="G2751" s="16" t="s">
        <v>35</v>
      </c>
      <c r="H2751" s="16" t="s">
        <v>36</v>
      </c>
      <c r="I2751" s="16"/>
      <c r="J2751" s="16"/>
      <c r="K2751" s="16"/>
      <c r="L2751" s="16"/>
      <c r="M2751" s="16"/>
      <c r="N2751" s="16"/>
      <c r="O2751" s="17" t="s">
        <v>38</v>
      </c>
      <c r="P2751" s="5" t="str">
        <f t="shared" si="71"/>
        <v>Truncate table FSFI67;</v>
      </c>
      <c r="Q2751" s="5"/>
      <c r="R2751" s="5"/>
    </row>
    <row r="2752" spans="1:22" x14ac:dyDescent="0.25">
      <c r="B2752" s="19" t="s">
        <v>3628</v>
      </c>
      <c r="C2752" s="16" t="s">
        <v>3629</v>
      </c>
      <c r="D2752" s="16" t="s">
        <v>29</v>
      </c>
      <c r="E2752" s="16" t="s">
        <v>3275</v>
      </c>
      <c r="F2752" s="5" t="s">
        <v>8221</v>
      </c>
      <c r="G2752" s="16" t="s">
        <v>35</v>
      </c>
      <c r="H2752" s="16" t="s">
        <v>36</v>
      </c>
      <c r="I2752" s="16"/>
      <c r="J2752" s="16"/>
      <c r="K2752" s="16"/>
      <c r="L2752" s="16"/>
      <c r="M2752" s="16"/>
      <c r="N2752" s="16"/>
      <c r="O2752" s="17" t="s">
        <v>38</v>
      </c>
      <c r="P2752" s="5" t="str">
        <f t="shared" si="71"/>
        <v>Truncate table FSFI68;</v>
      </c>
      <c r="Q2752" s="5"/>
      <c r="R2752" s="5"/>
    </row>
    <row r="2753" spans="2:22" x14ac:dyDescent="0.25">
      <c r="B2753" s="19" t="s">
        <v>3630</v>
      </c>
      <c r="C2753" s="16"/>
      <c r="D2753" s="16" t="s">
        <v>29</v>
      </c>
      <c r="E2753" s="16"/>
      <c r="F2753" s="16"/>
      <c r="G2753" s="16" t="s">
        <v>35</v>
      </c>
      <c r="H2753" s="16"/>
      <c r="I2753" s="16"/>
      <c r="J2753" s="16"/>
      <c r="K2753" s="16"/>
      <c r="L2753" s="16"/>
      <c r="M2753" s="16"/>
      <c r="N2753" s="16"/>
      <c r="O2753" s="17"/>
      <c r="P2753" s="16" t="str">
        <f t="shared" si="71"/>
        <v>Truncate table FSFI69;</v>
      </c>
      <c r="Q2753" s="16"/>
      <c r="R2753" s="16"/>
      <c r="S2753"/>
      <c r="T2753"/>
      <c r="U2753"/>
      <c r="V2753"/>
    </row>
    <row r="2754" spans="2:22" x14ac:dyDescent="0.25">
      <c r="B2754" s="19" t="s">
        <v>3631</v>
      </c>
      <c r="C2754" s="16" t="s">
        <v>3632</v>
      </c>
      <c r="D2754" s="16" t="s">
        <v>29</v>
      </c>
      <c r="E2754" s="16" t="s">
        <v>3275</v>
      </c>
      <c r="F2754" s="5" t="s">
        <v>8221</v>
      </c>
      <c r="G2754" s="16" t="s">
        <v>35</v>
      </c>
      <c r="H2754" s="16"/>
      <c r="I2754" s="16"/>
      <c r="J2754" s="16"/>
      <c r="K2754" s="16"/>
      <c r="L2754" s="16"/>
      <c r="M2754" s="16"/>
      <c r="N2754" s="16"/>
      <c r="O2754" s="17" t="s">
        <v>38</v>
      </c>
      <c r="P2754" s="5" t="str">
        <f t="shared" si="71"/>
        <v>Truncate table FSFI70;</v>
      </c>
      <c r="Q2754" s="5"/>
      <c r="R2754" s="5"/>
    </row>
    <row r="2755" spans="2:22" x14ac:dyDescent="0.25">
      <c r="B2755" s="19" t="s">
        <v>3633</v>
      </c>
      <c r="C2755" s="16" t="s">
        <v>3634</v>
      </c>
      <c r="D2755" s="16" t="s">
        <v>29</v>
      </c>
      <c r="E2755" s="16" t="s">
        <v>3275</v>
      </c>
      <c r="F2755" s="5" t="s">
        <v>8221</v>
      </c>
      <c r="G2755" s="16" t="s">
        <v>35</v>
      </c>
      <c r="H2755" s="16"/>
      <c r="I2755" s="16"/>
      <c r="J2755" s="16"/>
      <c r="K2755" s="16"/>
      <c r="L2755" s="16"/>
      <c r="M2755" s="16"/>
      <c r="N2755" s="16"/>
      <c r="O2755" s="17" t="s">
        <v>38</v>
      </c>
      <c r="P2755" s="5" t="str">
        <f t="shared" si="71"/>
        <v>Truncate table FSFI71;</v>
      </c>
      <c r="Q2755" s="5"/>
      <c r="R2755" s="5"/>
    </row>
    <row r="2756" spans="2:22" x14ac:dyDescent="0.25">
      <c r="B2756" s="19" t="s">
        <v>3635</v>
      </c>
      <c r="C2756" s="16" t="s">
        <v>3636</v>
      </c>
      <c r="D2756" s="16" t="s">
        <v>29</v>
      </c>
      <c r="E2756" s="16" t="s">
        <v>3275</v>
      </c>
      <c r="F2756" s="5" t="s">
        <v>8221</v>
      </c>
      <c r="G2756" s="16" t="s">
        <v>35</v>
      </c>
      <c r="H2756" s="16"/>
      <c r="I2756" s="16"/>
      <c r="J2756" s="16"/>
      <c r="K2756" s="16"/>
      <c r="L2756" s="16"/>
      <c r="M2756" s="16"/>
      <c r="N2756" s="16"/>
      <c r="O2756" s="17" t="s">
        <v>38</v>
      </c>
      <c r="P2756" s="5" t="str">
        <f t="shared" si="71"/>
        <v>Truncate table FSFI72;</v>
      </c>
      <c r="Q2756" s="5"/>
      <c r="R2756" s="5"/>
    </row>
    <row r="2757" spans="2:22" x14ac:dyDescent="0.25">
      <c r="B2757" s="19" t="s">
        <v>3637</v>
      </c>
      <c r="C2757" s="16" t="s">
        <v>3638</v>
      </c>
      <c r="D2757" s="16" t="s">
        <v>29</v>
      </c>
      <c r="E2757" s="16"/>
      <c r="F2757" s="5" t="s">
        <v>8221</v>
      </c>
      <c r="G2757" s="16" t="s">
        <v>35</v>
      </c>
      <c r="H2757" s="16"/>
      <c r="I2757" s="16"/>
      <c r="J2757" s="16"/>
      <c r="K2757" s="16"/>
      <c r="L2757" s="16"/>
      <c r="M2757" s="16"/>
      <c r="N2757" s="16"/>
      <c r="O2757" s="17"/>
      <c r="P2757" s="5" t="str">
        <f t="shared" si="71"/>
        <v>Truncate table FSFI73;</v>
      </c>
      <c r="Q2757" s="5"/>
      <c r="R2757" s="5"/>
    </row>
    <row r="2758" spans="2:22" x14ac:dyDescent="0.25">
      <c r="B2758" s="19" t="s">
        <v>3639</v>
      </c>
      <c r="C2758" s="16"/>
      <c r="D2758" s="16" t="s">
        <v>29</v>
      </c>
      <c r="E2758" s="16" t="s">
        <v>3275</v>
      </c>
      <c r="F2758" s="5" t="s">
        <v>8221</v>
      </c>
      <c r="G2758" s="16" t="s">
        <v>35</v>
      </c>
      <c r="H2758" s="16"/>
      <c r="I2758" s="16"/>
      <c r="J2758" s="16"/>
      <c r="K2758" s="16"/>
      <c r="L2758" s="16"/>
      <c r="M2758" s="16"/>
      <c r="N2758" s="16"/>
      <c r="O2758" s="17" t="s">
        <v>38</v>
      </c>
      <c r="P2758" s="5" t="str">
        <f t="shared" si="71"/>
        <v>Truncate table FSFI74;</v>
      </c>
      <c r="Q2758" s="5"/>
      <c r="R2758" s="5"/>
    </row>
    <row r="2759" spans="2:22" ht="15.75" thickBot="1" x14ac:dyDescent="0.3">
      <c r="B2759" s="19" t="s">
        <v>3640</v>
      </c>
      <c r="C2759" s="16"/>
      <c r="D2759" s="16" t="s">
        <v>29</v>
      </c>
      <c r="E2759" s="36"/>
      <c r="F2759" s="28"/>
      <c r="G2759" s="16" t="s">
        <v>35</v>
      </c>
      <c r="H2759" s="16"/>
      <c r="I2759" s="16"/>
      <c r="J2759" s="16"/>
      <c r="K2759" s="16"/>
      <c r="L2759" s="16"/>
      <c r="M2759" s="16"/>
      <c r="N2759" s="16"/>
      <c r="O2759" s="17"/>
      <c r="P2759" s="5" t="str">
        <f t="shared" si="71"/>
        <v>Truncate table FSFI75;</v>
      </c>
      <c r="Q2759" s="5"/>
      <c r="R2759" s="5"/>
    </row>
    <row r="2760" spans="2:22" ht="15.75" thickBot="1" x14ac:dyDescent="0.3">
      <c r="B2760" s="19" t="s">
        <v>3641</v>
      </c>
      <c r="C2760" s="16"/>
      <c r="D2760" s="16" t="s">
        <v>29</v>
      </c>
      <c r="E2760" s="36"/>
      <c r="F2760" s="28"/>
      <c r="G2760" s="16" t="s">
        <v>35</v>
      </c>
      <c r="H2760" s="16"/>
      <c r="I2760" s="16"/>
      <c r="J2760" s="16"/>
      <c r="K2760" s="16"/>
      <c r="L2760" s="16"/>
      <c r="M2760" s="16"/>
      <c r="N2760" s="16"/>
      <c r="O2760" s="17"/>
      <c r="P2760" s="5" t="str">
        <f t="shared" si="71"/>
        <v>Truncate table FSFI76;</v>
      </c>
      <c r="Q2760" s="5"/>
      <c r="R2760" s="5"/>
    </row>
    <row r="2761" spans="2:22" x14ac:dyDescent="0.25">
      <c r="B2761" s="19" t="s">
        <v>3642</v>
      </c>
      <c r="C2761" s="16"/>
      <c r="D2761" s="16" t="s">
        <v>29</v>
      </c>
      <c r="E2761" s="16"/>
      <c r="F2761" s="28"/>
      <c r="G2761" s="16" t="s">
        <v>35</v>
      </c>
      <c r="H2761" s="16"/>
      <c r="I2761" s="16"/>
      <c r="J2761" s="16"/>
      <c r="K2761" s="16"/>
      <c r="L2761" s="16"/>
      <c r="M2761" s="16"/>
      <c r="N2761" s="16"/>
      <c r="O2761" s="17"/>
      <c r="P2761" s="5" t="str">
        <f t="shared" si="71"/>
        <v>Truncate table FSFI77;</v>
      </c>
      <c r="Q2761" s="5"/>
      <c r="R2761" s="5"/>
    </row>
    <row r="2762" spans="2:22" x14ac:dyDescent="0.25">
      <c r="B2762" s="19" t="s">
        <v>3643</v>
      </c>
      <c r="C2762" s="16"/>
      <c r="D2762" s="16" t="s">
        <v>29</v>
      </c>
      <c r="E2762" s="16" t="s">
        <v>3007</v>
      </c>
      <c r="F2762" s="28" t="s">
        <v>3133</v>
      </c>
      <c r="G2762" s="16" t="s">
        <v>28</v>
      </c>
      <c r="H2762" s="16" t="s">
        <v>36</v>
      </c>
      <c r="I2762" s="16"/>
      <c r="J2762" s="16"/>
      <c r="K2762" s="16"/>
      <c r="L2762" s="16"/>
      <c r="M2762" s="16"/>
      <c r="N2762" s="16"/>
      <c r="O2762" s="17" t="s">
        <v>38</v>
      </c>
      <c r="P2762" s="5" t="str">
        <f t="shared" si="71"/>
        <v>Truncate table FSFI78;</v>
      </c>
      <c r="Q2762" s="5"/>
      <c r="R2762" s="5"/>
    </row>
    <row r="2763" spans="2:22" x14ac:dyDescent="0.25">
      <c r="B2763" s="19" t="s">
        <v>3644</v>
      </c>
      <c r="C2763" s="16"/>
      <c r="D2763" s="16" t="s">
        <v>29</v>
      </c>
      <c r="E2763" s="16" t="s">
        <v>3007</v>
      </c>
      <c r="F2763" s="5" t="s">
        <v>3133</v>
      </c>
      <c r="G2763" s="16" t="s">
        <v>28</v>
      </c>
      <c r="H2763" s="16" t="s">
        <v>36</v>
      </c>
      <c r="I2763" s="16"/>
      <c r="J2763" s="16"/>
      <c r="K2763" s="16"/>
      <c r="L2763" s="16"/>
      <c r="M2763" s="16"/>
      <c r="N2763" s="16"/>
      <c r="O2763" s="17" t="s">
        <v>38</v>
      </c>
      <c r="P2763" s="5" t="str">
        <f t="shared" si="71"/>
        <v>Truncate table FSFI79;</v>
      </c>
      <c r="Q2763" s="5"/>
      <c r="R2763" s="5"/>
    </row>
    <row r="2764" spans="2:22" x14ac:dyDescent="0.25">
      <c r="B2764" s="19" t="s">
        <v>3645</v>
      </c>
      <c r="C2764" s="16"/>
      <c r="D2764" s="16" t="s">
        <v>29</v>
      </c>
      <c r="E2764" s="16" t="s">
        <v>3007</v>
      </c>
      <c r="F2764" s="5" t="s">
        <v>3133</v>
      </c>
      <c r="G2764" s="16" t="s">
        <v>28</v>
      </c>
      <c r="H2764" s="16" t="s">
        <v>36</v>
      </c>
      <c r="I2764" s="16"/>
      <c r="J2764" s="16"/>
      <c r="K2764" s="16"/>
      <c r="L2764" s="16"/>
      <c r="M2764" s="16"/>
      <c r="N2764" s="16"/>
      <c r="O2764" s="17" t="s">
        <v>38</v>
      </c>
      <c r="P2764" s="5" t="str">
        <f t="shared" si="71"/>
        <v>Truncate table FSFI80;</v>
      </c>
      <c r="Q2764" s="5"/>
      <c r="R2764" s="5"/>
    </row>
    <row r="2765" spans="2:22" x14ac:dyDescent="0.25">
      <c r="B2765" s="19" t="s">
        <v>3646</v>
      </c>
      <c r="C2765" s="16"/>
      <c r="D2765" s="16" t="s">
        <v>29</v>
      </c>
      <c r="E2765" s="16" t="s">
        <v>3007</v>
      </c>
      <c r="F2765" s="5" t="s">
        <v>3133</v>
      </c>
      <c r="G2765" s="16" t="s">
        <v>28</v>
      </c>
      <c r="H2765" s="16" t="s">
        <v>36</v>
      </c>
      <c r="I2765" s="16"/>
      <c r="J2765" s="16"/>
      <c r="K2765" s="16"/>
      <c r="L2765" s="16"/>
      <c r="M2765" s="16"/>
      <c r="N2765" s="16"/>
      <c r="O2765" s="17" t="s">
        <v>38</v>
      </c>
      <c r="P2765" s="5" t="str">
        <f t="shared" si="71"/>
        <v>Truncate table FSFI81;</v>
      </c>
      <c r="Q2765" s="5"/>
      <c r="R2765" s="5"/>
    </row>
    <row r="2766" spans="2:22" x14ac:dyDescent="0.25">
      <c r="B2766" s="19" t="s">
        <v>3647</v>
      </c>
      <c r="C2766" s="16"/>
      <c r="D2766" s="16" t="s">
        <v>29</v>
      </c>
      <c r="E2766" s="16" t="s">
        <v>3275</v>
      </c>
      <c r="F2766" s="5"/>
      <c r="G2766" s="16" t="s">
        <v>35</v>
      </c>
      <c r="H2766" s="16"/>
      <c r="I2766" s="16"/>
      <c r="J2766" s="16"/>
      <c r="K2766" s="16"/>
      <c r="L2766" s="16"/>
      <c r="M2766" s="16"/>
      <c r="N2766" s="16"/>
      <c r="O2766" s="17" t="s">
        <v>38</v>
      </c>
      <c r="P2766" s="5" t="str">
        <f t="shared" si="71"/>
        <v>Truncate table FSFI82;</v>
      </c>
      <c r="Q2766" s="5"/>
      <c r="R2766" s="5"/>
    </row>
    <row r="2767" spans="2:22" x14ac:dyDescent="0.25">
      <c r="B2767" s="19" t="s">
        <v>3648</v>
      </c>
      <c r="C2767" s="16"/>
      <c r="D2767" s="16" t="s">
        <v>29</v>
      </c>
      <c r="E2767" s="16" t="s">
        <v>3275</v>
      </c>
      <c r="F2767" s="5"/>
      <c r="G2767" s="16" t="s">
        <v>35</v>
      </c>
      <c r="H2767" s="16"/>
      <c r="I2767" s="16"/>
      <c r="J2767" s="16"/>
      <c r="K2767" s="16"/>
      <c r="L2767" s="16"/>
      <c r="M2767" s="16"/>
      <c r="N2767" s="16"/>
      <c r="O2767" s="17" t="s">
        <v>38</v>
      </c>
      <c r="P2767" s="5" t="str">
        <f t="shared" si="71"/>
        <v>Truncate table FSFI83;</v>
      </c>
      <c r="Q2767" s="5"/>
      <c r="R2767" s="5"/>
    </row>
    <row r="2768" spans="2:22" ht="40.5" x14ac:dyDescent="0.25">
      <c r="B2768" s="4" t="s">
        <v>3649</v>
      </c>
      <c r="C2768" s="5" t="s">
        <v>3650</v>
      </c>
      <c r="D2768" s="248" t="s">
        <v>29</v>
      </c>
      <c r="E2768" s="5" t="s">
        <v>3007</v>
      </c>
      <c r="F2768" s="5" t="s">
        <v>3133</v>
      </c>
      <c r="G2768" s="16" t="s">
        <v>35</v>
      </c>
      <c r="H2768" s="16" t="s">
        <v>36</v>
      </c>
      <c r="I2768" s="5" t="s">
        <v>3651</v>
      </c>
      <c r="J2768" s="5" t="s">
        <v>3652</v>
      </c>
      <c r="K2768" s="5" t="s">
        <v>3331</v>
      </c>
      <c r="L2768" s="5"/>
      <c r="M2768" s="5"/>
      <c r="N2768" s="5"/>
      <c r="O2768" s="17"/>
      <c r="P2768" s="5" t="str">
        <f t="shared" si="71"/>
        <v>Truncate table FSFI84;</v>
      </c>
      <c r="Q2768" s="5"/>
      <c r="R2768" s="5"/>
    </row>
    <row r="2769" spans="1:18" x14ac:dyDescent="0.25">
      <c r="B2769" s="19" t="s">
        <v>3653</v>
      </c>
      <c r="C2769" s="16"/>
      <c r="D2769" s="16" t="s">
        <v>29</v>
      </c>
      <c r="E2769" s="16"/>
      <c r="F2769" s="5"/>
      <c r="G2769" s="16" t="s">
        <v>35</v>
      </c>
      <c r="H2769" s="16"/>
      <c r="I2769" s="16"/>
      <c r="J2769" s="16"/>
      <c r="K2769" s="16"/>
      <c r="L2769" s="16"/>
      <c r="M2769" s="16"/>
      <c r="N2769" s="16"/>
      <c r="O2769" s="17"/>
      <c r="P2769" s="5" t="str">
        <f t="shared" si="71"/>
        <v>Truncate table FSFI85;</v>
      </c>
      <c r="Q2769" s="5"/>
      <c r="R2769" s="5"/>
    </row>
    <row r="2770" spans="1:18" x14ac:dyDescent="0.25">
      <c r="B2770" s="19" t="s">
        <v>3654</v>
      </c>
      <c r="C2770" s="16"/>
      <c r="D2770" s="16" t="s">
        <v>29</v>
      </c>
      <c r="E2770" s="16"/>
      <c r="F2770" s="5"/>
      <c r="G2770" s="16" t="s">
        <v>35</v>
      </c>
      <c r="H2770" s="16"/>
      <c r="I2770" s="16"/>
      <c r="J2770" s="16"/>
      <c r="K2770" s="16"/>
      <c r="L2770" s="16"/>
      <c r="M2770" s="16"/>
      <c r="N2770" s="16"/>
      <c r="O2770" s="17"/>
      <c r="P2770" s="5" t="str">
        <f t="shared" si="71"/>
        <v>Truncate table FSFI86;</v>
      </c>
      <c r="Q2770" s="5"/>
      <c r="R2770" s="5"/>
    </row>
    <row r="2771" spans="1:18" ht="40.5" x14ac:dyDescent="0.25">
      <c r="B2771" s="4" t="s">
        <v>3655</v>
      </c>
      <c r="C2771" s="5" t="s">
        <v>3656</v>
      </c>
      <c r="D2771" s="16" t="s">
        <v>29</v>
      </c>
      <c r="E2771" s="5" t="s">
        <v>3007</v>
      </c>
      <c r="F2771" s="5" t="s">
        <v>3133</v>
      </c>
      <c r="G2771" s="16" t="s">
        <v>35</v>
      </c>
      <c r="H2771" s="16" t="s">
        <v>36</v>
      </c>
      <c r="I2771" s="5" t="s">
        <v>3657</v>
      </c>
      <c r="J2771" s="5" t="s">
        <v>3658</v>
      </c>
      <c r="K2771" s="5" t="s">
        <v>3331</v>
      </c>
      <c r="L2771" s="5"/>
      <c r="M2771" s="5"/>
      <c r="N2771" s="5"/>
      <c r="O2771" s="17"/>
      <c r="P2771" s="5" t="str">
        <f t="shared" si="71"/>
        <v>Truncate table FSFI88;</v>
      </c>
      <c r="Q2771" s="5"/>
      <c r="R2771" s="5"/>
    </row>
    <row r="2772" spans="1:18" ht="67.5" x14ac:dyDescent="0.25">
      <c r="B2772" s="19" t="s">
        <v>3659</v>
      </c>
      <c r="C2772" s="16" t="s">
        <v>8535</v>
      </c>
      <c r="D2772" s="16" t="s">
        <v>8152</v>
      </c>
      <c r="E2772" s="16" t="s">
        <v>8230</v>
      </c>
      <c r="F2772" s="5" t="s">
        <v>8218</v>
      </c>
      <c r="G2772" s="16" t="s">
        <v>35</v>
      </c>
      <c r="H2772" s="16" t="s">
        <v>36</v>
      </c>
      <c r="I2772" s="16"/>
      <c r="J2772" s="16"/>
      <c r="K2772" s="16"/>
      <c r="L2772" s="16" t="s">
        <v>8532</v>
      </c>
      <c r="M2772" s="16"/>
      <c r="N2772" s="16"/>
      <c r="O2772" s="17" t="s">
        <v>38</v>
      </c>
      <c r="P2772" s="5" t="str">
        <f t="shared" si="71"/>
        <v/>
      </c>
      <c r="Q2772" s="5"/>
      <c r="R2772" s="5"/>
    </row>
    <row r="2773" spans="1:18" ht="67.5" x14ac:dyDescent="0.25">
      <c r="B2773" s="19" t="s">
        <v>3660</v>
      </c>
      <c r="C2773" s="16" t="s">
        <v>8536</v>
      </c>
      <c r="D2773" s="16" t="s">
        <v>8152</v>
      </c>
      <c r="E2773" s="16" t="s">
        <v>8230</v>
      </c>
      <c r="F2773" s="5" t="s">
        <v>8218</v>
      </c>
      <c r="G2773" s="16" t="s">
        <v>35</v>
      </c>
      <c r="H2773" s="16" t="s">
        <v>36</v>
      </c>
      <c r="I2773" s="16"/>
      <c r="J2773" s="16"/>
      <c r="K2773" s="16"/>
      <c r="L2773" s="16" t="s">
        <v>8532</v>
      </c>
      <c r="M2773" s="16"/>
      <c r="N2773" s="16"/>
      <c r="O2773" s="17" t="s">
        <v>38</v>
      </c>
      <c r="P2773" s="5" t="str">
        <f t="shared" si="71"/>
        <v/>
      </c>
      <c r="Q2773" s="5"/>
      <c r="R2773" s="5"/>
    </row>
    <row r="2774" spans="1:18" ht="67.5" x14ac:dyDescent="0.25">
      <c r="B2774" s="19" t="s">
        <v>3661</v>
      </c>
      <c r="C2774" s="16" t="s">
        <v>8537</v>
      </c>
      <c r="D2774" s="16" t="s">
        <v>8152</v>
      </c>
      <c r="E2774" s="16" t="s">
        <v>8230</v>
      </c>
      <c r="F2774" s="5" t="s">
        <v>8218</v>
      </c>
      <c r="G2774" s="16" t="s">
        <v>35</v>
      </c>
      <c r="H2774" s="16" t="s">
        <v>36</v>
      </c>
      <c r="I2774" s="16"/>
      <c r="J2774" s="16"/>
      <c r="K2774" s="16"/>
      <c r="L2774" s="16" t="s">
        <v>8532</v>
      </c>
      <c r="M2774" s="16"/>
      <c r="N2774" s="16"/>
      <c r="O2774" s="17" t="s">
        <v>38</v>
      </c>
      <c r="P2774" s="5" t="str">
        <f t="shared" si="71"/>
        <v/>
      </c>
      <c r="Q2774" s="5"/>
      <c r="R2774" s="5"/>
    </row>
    <row r="2775" spans="1:18" ht="67.5" x14ac:dyDescent="0.25">
      <c r="B2775" s="19" t="s">
        <v>3662</v>
      </c>
      <c r="C2775" s="16" t="s">
        <v>8538</v>
      </c>
      <c r="D2775" s="16" t="s">
        <v>8152</v>
      </c>
      <c r="E2775" s="16" t="s">
        <v>8230</v>
      </c>
      <c r="F2775" s="5" t="s">
        <v>8218</v>
      </c>
      <c r="G2775" s="16" t="s">
        <v>35</v>
      </c>
      <c r="H2775" s="16" t="s">
        <v>36</v>
      </c>
      <c r="I2775" s="16"/>
      <c r="J2775" s="16"/>
      <c r="K2775" s="16"/>
      <c r="L2775" s="16" t="s">
        <v>8532</v>
      </c>
      <c r="M2775" s="16"/>
      <c r="N2775" s="16"/>
      <c r="O2775" s="17"/>
      <c r="P2775" s="5" t="str">
        <f t="shared" si="71"/>
        <v/>
      </c>
      <c r="Q2775" s="5"/>
      <c r="R2775" s="5"/>
    </row>
    <row r="2776" spans="1:18" ht="67.5" x14ac:dyDescent="0.25">
      <c r="B2776" s="19" t="s">
        <v>3663</v>
      </c>
      <c r="C2776" s="16" t="s">
        <v>8539</v>
      </c>
      <c r="D2776" s="16" t="s">
        <v>8152</v>
      </c>
      <c r="E2776" s="16" t="s">
        <v>8230</v>
      </c>
      <c r="F2776" s="5" t="s">
        <v>8218</v>
      </c>
      <c r="G2776" s="16" t="s">
        <v>35</v>
      </c>
      <c r="H2776" s="16" t="s">
        <v>36</v>
      </c>
      <c r="I2776" s="16"/>
      <c r="J2776" s="16"/>
      <c r="K2776" s="16"/>
      <c r="L2776" s="16" t="s">
        <v>8532</v>
      </c>
      <c r="M2776" s="16"/>
      <c r="N2776" s="16"/>
      <c r="O2776" s="17" t="s">
        <v>38</v>
      </c>
      <c r="P2776" s="5" t="str">
        <f t="shared" si="71"/>
        <v/>
      </c>
      <c r="Q2776" s="5"/>
      <c r="R2776" s="5"/>
    </row>
    <row r="2777" spans="1:18" s="227" customFormat="1" x14ac:dyDescent="0.25">
      <c r="A2777" s="388"/>
      <c r="B2777" s="19" t="s">
        <v>3664</v>
      </c>
      <c r="C2777" s="183" t="s">
        <v>9810</v>
      </c>
      <c r="D2777" s="16" t="s">
        <v>29</v>
      </c>
      <c r="E2777" s="16" t="s">
        <v>3007</v>
      </c>
      <c r="F2777" s="16" t="s">
        <v>3133</v>
      </c>
      <c r="G2777" s="16" t="s">
        <v>35</v>
      </c>
      <c r="H2777" s="16" t="s">
        <v>36</v>
      </c>
      <c r="I2777" s="16"/>
      <c r="J2777" s="16"/>
      <c r="K2777" s="16"/>
      <c r="L2777" s="16"/>
      <c r="M2777" s="16"/>
      <c r="N2777" s="16"/>
      <c r="O2777" s="17"/>
      <c r="P2777" s="16" t="str">
        <f t="shared" si="71"/>
        <v>Truncate table FSFI95;</v>
      </c>
      <c r="Q2777" s="16"/>
      <c r="R2777" s="16"/>
    </row>
    <row r="2778" spans="1:18" x14ac:dyDescent="0.25">
      <c r="B2778" s="19" t="s">
        <v>3665</v>
      </c>
      <c r="C2778" s="16"/>
      <c r="D2778" s="16" t="s">
        <v>29</v>
      </c>
      <c r="E2778" s="16"/>
      <c r="F2778" s="5"/>
      <c r="G2778" s="16" t="s">
        <v>35</v>
      </c>
      <c r="H2778" s="16"/>
      <c r="I2778" s="16"/>
      <c r="J2778" s="16"/>
      <c r="K2778" s="16"/>
      <c r="L2778" s="16"/>
      <c r="M2778" s="16"/>
      <c r="N2778" s="16"/>
      <c r="O2778" s="17"/>
      <c r="P2778" s="5" t="str">
        <f t="shared" si="71"/>
        <v>Truncate table FSFI96;</v>
      </c>
      <c r="Q2778" s="5"/>
      <c r="R2778" s="5"/>
    </row>
    <row r="2779" spans="1:18" x14ac:dyDescent="0.25">
      <c r="B2779" s="19" t="s">
        <v>3666</v>
      </c>
      <c r="C2779" s="16"/>
      <c r="D2779" s="16" t="s">
        <v>29</v>
      </c>
      <c r="E2779" s="16"/>
      <c r="F2779" s="5"/>
      <c r="G2779" s="16" t="s">
        <v>35</v>
      </c>
      <c r="H2779" s="16"/>
      <c r="I2779" s="16"/>
      <c r="J2779" s="16"/>
      <c r="K2779" s="16"/>
      <c r="L2779" s="16"/>
      <c r="M2779" s="16"/>
      <c r="N2779" s="16"/>
      <c r="O2779" s="17"/>
      <c r="P2779" s="5" t="str">
        <f t="shared" si="71"/>
        <v>Truncate table FSFI97;</v>
      </c>
      <c r="Q2779" s="5"/>
      <c r="R2779" s="5"/>
    </row>
    <row r="2780" spans="1:18" x14ac:dyDescent="0.25">
      <c r="B2780" s="19" t="s">
        <v>3667</v>
      </c>
      <c r="C2780" s="16"/>
      <c r="D2780" s="16" t="s">
        <v>29</v>
      </c>
      <c r="E2780" s="16" t="s">
        <v>3007</v>
      </c>
      <c r="F2780" s="5" t="s">
        <v>3133</v>
      </c>
      <c r="G2780" s="16" t="s">
        <v>28</v>
      </c>
      <c r="H2780" s="16" t="s">
        <v>36</v>
      </c>
      <c r="I2780" s="16"/>
      <c r="J2780" s="16"/>
      <c r="K2780" s="16"/>
      <c r="L2780" s="16"/>
      <c r="M2780" s="16"/>
      <c r="N2780" s="16"/>
      <c r="O2780" s="17" t="s">
        <v>38</v>
      </c>
      <c r="P2780" s="5" t="str">
        <f t="shared" si="71"/>
        <v>Truncate table FSFI99;</v>
      </c>
      <c r="Q2780" s="5"/>
      <c r="R2780" s="5"/>
    </row>
    <row r="2781" spans="1:18" x14ac:dyDescent="0.25">
      <c r="B2781" s="19" t="s">
        <v>3668</v>
      </c>
      <c r="C2781" s="16" t="s">
        <v>3669</v>
      </c>
      <c r="D2781" s="16" t="s">
        <v>8152</v>
      </c>
      <c r="E2781" s="16" t="s">
        <v>3275</v>
      </c>
      <c r="F2781" s="5" t="s">
        <v>8218</v>
      </c>
      <c r="G2781" s="16" t="s">
        <v>35</v>
      </c>
      <c r="H2781" s="16"/>
      <c r="I2781" s="16"/>
      <c r="J2781" s="16"/>
      <c r="K2781" s="16"/>
      <c r="L2781" s="16"/>
      <c r="M2781" s="229"/>
      <c r="N2781" s="16"/>
      <c r="O2781" s="17" t="s">
        <v>38</v>
      </c>
      <c r="P2781" s="5" t="str">
        <f t="shared" si="71"/>
        <v/>
      </c>
      <c r="Q2781" s="5"/>
      <c r="R2781" s="5"/>
    </row>
    <row r="2782" spans="1:18" x14ac:dyDescent="0.25">
      <c r="B2782" s="19" t="s">
        <v>3670</v>
      </c>
      <c r="C2782" s="16"/>
      <c r="D2782" s="16" t="s">
        <v>29</v>
      </c>
      <c r="E2782" s="16"/>
      <c r="F2782" s="5"/>
      <c r="G2782" s="16" t="s">
        <v>35</v>
      </c>
      <c r="H2782" s="16"/>
      <c r="I2782" s="16"/>
      <c r="J2782" s="16"/>
      <c r="K2782" s="16"/>
      <c r="L2782" s="16"/>
      <c r="M2782" s="16"/>
      <c r="N2782" s="16"/>
      <c r="O2782" s="17"/>
      <c r="P2782" s="5" t="str">
        <f t="shared" si="71"/>
        <v>Truncate table FSFIAA;</v>
      </c>
      <c r="Q2782" s="5"/>
      <c r="R2782" s="5"/>
    </row>
    <row r="2783" spans="1:18" x14ac:dyDescent="0.25">
      <c r="B2783" s="19" t="s">
        <v>3671</v>
      </c>
      <c r="C2783" s="16"/>
      <c r="D2783" s="16" t="s">
        <v>29</v>
      </c>
      <c r="E2783" s="16"/>
      <c r="F2783" s="5"/>
      <c r="G2783" s="16" t="s">
        <v>35</v>
      </c>
      <c r="H2783" s="16"/>
      <c r="I2783" s="16"/>
      <c r="J2783" s="16"/>
      <c r="K2783" s="16"/>
      <c r="L2783" s="16"/>
      <c r="M2783" s="16"/>
      <c r="N2783" s="16"/>
      <c r="O2783" s="17"/>
      <c r="P2783" s="5" t="str">
        <f t="shared" si="71"/>
        <v>Truncate table FSFIAB;</v>
      </c>
      <c r="Q2783" s="5"/>
      <c r="R2783" s="5"/>
    </row>
    <row r="2784" spans="1:18" x14ac:dyDescent="0.25">
      <c r="B2784" s="19" t="s">
        <v>3672</v>
      </c>
      <c r="C2784" s="16"/>
      <c r="D2784" s="16" t="s">
        <v>29</v>
      </c>
      <c r="E2784" s="16"/>
      <c r="F2784" s="5"/>
      <c r="G2784" s="16" t="s">
        <v>35</v>
      </c>
      <c r="H2784" s="16"/>
      <c r="I2784" s="16"/>
      <c r="J2784" s="16"/>
      <c r="K2784" s="16"/>
      <c r="L2784" s="16"/>
      <c r="M2784" s="16"/>
      <c r="N2784" s="16"/>
      <c r="O2784" s="17"/>
      <c r="P2784" s="5" t="str">
        <f t="shared" si="71"/>
        <v>Truncate table FSFIAC;</v>
      </c>
      <c r="Q2784" s="5"/>
      <c r="R2784" s="5"/>
    </row>
    <row r="2785" spans="1:18" x14ac:dyDescent="0.25">
      <c r="B2785" s="19" t="s">
        <v>3673</v>
      </c>
      <c r="C2785" s="16"/>
      <c r="D2785" s="16" t="s">
        <v>29</v>
      </c>
      <c r="E2785" s="16"/>
      <c r="F2785" s="5"/>
      <c r="G2785" s="16" t="s">
        <v>35</v>
      </c>
      <c r="H2785" s="16"/>
      <c r="I2785" s="16"/>
      <c r="J2785" s="16"/>
      <c r="K2785" s="16"/>
      <c r="L2785" s="16"/>
      <c r="M2785" s="16"/>
      <c r="N2785" s="16"/>
      <c r="O2785" s="17"/>
      <c r="P2785" s="5" t="str">
        <f t="shared" si="71"/>
        <v>Truncate table FSFIAD;</v>
      </c>
      <c r="Q2785" s="5"/>
      <c r="R2785" s="5"/>
    </row>
    <row r="2786" spans="1:18" x14ac:dyDescent="0.25">
      <c r="B2786" s="19" t="s">
        <v>3674</v>
      </c>
      <c r="C2786" s="16"/>
      <c r="D2786" s="16" t="s">
        <v>29</v>
      </c>
      <c r="E2786" s="16"/>
      <c r="F2786" s="5"/>
      <c r="G2786" s="16" t="s">
        <v>35</v>
      </c>
      <c r="H2786" s="16"/>
      <c r="I2786" s="16"/>
      <c r="J2786" s="16"/>
      <c r="K2786" s="16"/>
      <c r="L2786" s="16"/>
      <c r="M2786" s="16"/>
      <c r="N2786" s="16"/>
      <c r="O2786" s="17"/>
      <c r="P2786" s="5" t="str">
        <f t="shared" si="71"/>
        <v>Truncate table FSFIAE;</v>
      </c>
      <c r="Q2786" s="5"/>
      <c r="R2786" s="5"/>
    </row>
    <row r="2787" spans="1:18" x14ac:dyDescent="0.25">
      <c r="B2787" s="19" t="s">
        <v>3675</v>
      </c>
      <c r="C2787" s="16"/>
      <c r="D2787" s="16" t="s">
        <v>29</v>
      </c>
      <c r="E2787" s="16"/>
      <c r="F2787" s="5"/>
      <c r="G2787" s="16" t="s">
        <v>35</v>
      </c>
      <c r="H2787" s="16"/>
      <c r="I2787" s="16"/>
      <c r="J2787" s="16"/>
      <c r="K2787" s="16"/>
      <c r="L2787" s="16"/>
      <c r="M2787" s="16"/>
      <c r="N2787" s="16"/>
      <c r="O2787" s="17"/>
      <c r="P2787" s="5" t="str">
        <f t="shared" si="71"/>
        <v>Truncate table FSFIAF;</v>
      </c>
      <c r="Q2787" s="5"/>
      <c r="R2787" s="5"/>
    </row>
    <row r="2788" spans="1:18" x14ac:dyDescent="0.25">
      <c r="B2788" s="19" t="s">
        <v>3676</v>
      </c>
      <c r="C2788" s="16"/>
      <c r="D2788" s="16" t="s">
        <v>29</v>
      </c>
      <c r="E2788" s="16"/>
      <c r="F2788" s="5"/>
      <c r="G2788" s="16" t="s">
        <v>35</v>
      </c>
      <c r="H2788" s="16"/>
      <c r="I2788" s="16"/>
      <c r="J2788" s="16"/>
      <c r="K2788" s="16"/>
      <c r="L2788" s="16"/>
      <c r="M2788" s="16"/>
      <c r="N2788" s="16"/>
      <c r="O2788" s="17"/>
      <c r="P2788" s="5" t="str">
        <f t="shared" si="71"/>
        <v>Truncate table FSFIAG;</v>
      </c>
      <c r="Q2788" s="5"/>
      <c r="R2788" s="5"/>
    </row>
    <row r="2789" spans="1:18" s="227" customFormat="1" x14ac:dyDescent="0.25">
      <c r="A2789" s="388"/>
      <c r="B2789" s="19" t="s">
        <v>3677</v>
      </c>
      <c r="C2789" s="183" t="s">
        <v>9811</v>
      </c>
      <c r="D2789" s="16" t="s">
        <v>29</v>
      </c>
      <c r="E2789" s="16" t="s">
        <v>3007</v>
      </c>
      <c r="F2789" s="16" t="s">
        <v>3133</v>
      </c>
      <c r="G2789" s="16" t="s">
        <v>28</v>
      </c>
      <c r="H2789" s="16" t="s">
        <v>36</v>
      </c>
      <c r="I2789" s="16"/>
      <c r="J2789" s="16"/>
      <c r="K2789" s="16"/>
      <c r="L2789" s="16"/>
      <c r="M2789" s="16"/>
      <c r="N2789" s="16"/>
      <c r="O2789" s="17" t="s">
        <v>38</v>
      </c>
      <c r="P2789" s="16" t="str">
        <f t="shared" si="71"/>
        <v>Truncate table FSFIAH;</v>
      </c>
      <c r="Q2789" s="16"/>
      <c r="R2789" s="16"/>
    </row>
    <row r="2790" spans="1:18" x14ac:dyDescent="0.25">
      <c r="B2790" s="19" t="s">
        <v>3678</v>
      </c>
      <c r="C2790" s="16"/>
      <c r="D2790" s="16" t="s">
        <v>29</v>
      </c>
      <c r="E2790" s="16"/>
      <c r="F2790" s="5"/>
      <c r="G2790" s="16" t="s">
        <v>35</v>
      </c>
      <c r="H2790" s="16"/>
      <c r="I2790" s="16"/>
      <c r="J2790" s="16"/>
      <c r="K2790" s="16"/>
      <c r="L2790" s="16"/>
      <c r="M2790" s="16"/>
      <c r="N2790" s="16"/>
      <c r="O2790" s="17"/>
      <c r="P2790" s="5" t="str">
        <f t="shared" si="71"/>
        <v>Truncate table FSFIAI;</v>
      </c>
      <c r="Q2790" s="5"/>
      <c r="R2790" s="5"/>
    </row>
    <row r="2791" spans="1:18" x14ac:dyDescent="0.25">
      <c r="B2791" s="19" t="s">
        <v>3679</v>
      </c>
      <c r="C2791" s="16"/>
      <c r="D2791" s="16" t="s">
        <v>29</v>
      </c>
      <c r="E2791" s="16" t="s">
        <v>3275</v>
      </c>
      <c r="F2791" s="5"/>
      <c r="G2791" s="16" t="s">
        <v>35</v>
      </c>
      <c r="H2791" s="16"/>
      <c r="I2791" s="16"/>
      <c r="J2791" s="16"/>
      <c r="K2791" s="16"/>
      <c r="L2791" s="16"/>
      <c r="M2791" s="16"/>
      <c r="N2791" s="16"/>
      <c r="O2791" s="17" t="s">
        <v>38</v>
      </c>
      <c r="P2791" s="5" t="str">
        <f t="shared" si="71"/>
        <v>Truncate table FSFIAJ;</v>
      </c>
      <c r="Q2791" s="5"/>
      <c r="R2791" s="5"/>
    </row>
    <row r="2792" spans="1:18" s="227" customFormat="1" x14ac:dyDescent="0.25">
      <c r="A2792" s="388"/>
      <c r="B2792" s="19" t="s">
        <v>3680</v>
      </c>
      <c r="C2792" s="183" t="s">
        <v>9812</v>
      </c>
      <c r="D2792" s="16" t="s">
        <v>29</v>
      </c>
      <c r="E2792" s="16" t="s">
        <v>3275</v>
      </c>
      <c r="F2792" s="16" t="s">
        <v>3133</v>
      </c>
      <c r="G2792" s="16" t="s">
        <v>35</v>
      </c>
      <c r="H2792" s="16" t="s">
        <v>36</v>
      </c>
      <c r="I2792" s="16"/>
      <c r="J2792" s="16"/>
      <c r="K2792" s="16"/>
      <c r="L2792" s="16"/>
      <c r="M2792" s="16"/>
      <c r="N2792" s="16"/>
      <c r="O2792" s="17" t="s">
        <v>38</v>
      </c>
      <c r="P2792" s="16" t="str">
        <f t="shared" si="71"/>
        <v>Truncate table FSFIAK;</v>
      </c>
      <c r="Q2792" s="16"/>
      <c r="R2792" s="16"/>
    </row>
    <row r="2793" spans="1:18" s="227" customFormat="1" x14ac:dyDescent="0.25">
      <c r="A2793" s="388"/>
      <c r="B2793" s="19" t="s">
        <v>3681</v>
      </c>
      <c r="C2793" s="304" t="s">
        <v>9813</v>
      </c>
      <c r="D2793" s="16" t="s">
        <v>29</v>
      </c>
      <c r="E2793" s="16" t="s">
        <v>3275</v>
      </c>
      <c r="F2793" s="16" t="s">
        <v>3133</v>
      </c>
      <c r="G2793" s="16" t="s">
        <v>35</v>
      </c>
      <c r="H2793" s="16" t="s">
        <v>36</v>
      </c>
      <c r="I2793" s="16"/>
      <c r="J2793" s="16"/>
      <c r="K2793" s="16"/>
      <c r="L2793" s="16"/>
      <c r="M2793" s="16"/>
      <c r="N2793" s="16"/>
      <c r="O2793" s="17" t="s">
        <v>38</v>
      </c>
      <c r="P2793" s="16" t="str">
        <f t="shared" si="71"/>
        <v>Truncate table FSFIAL;</v>
      </c>
      <c r="Q2793" s="16"/>
      <c r="R2793" s="16"/>
    </row>
    <row r="2794" spans="1:18" s="227" customFormat="1" x14ac:dyDescent="0.25">
      <c r="A2794" s="388"/>
      <c r="B2794" s="19" t="s">
        <v>3682</v>
      </c>
      <c r="C2794" s="16"/>
      <c r="D2794" s="16" t="s">
        <v>29</v>
      </c>
      <c r="E2794" s="16"/>
      <c r="F2794" s="16"/>
      <c r="G2794" s="16" t="s">
        <v>35</v>
      </c>
      <c r="H2794" s="16"/>
      <c r="I2794" s="16"/>
      <c r="J2794" s="16"/>
      <c r="K2794" s="16"/>
      <c r="L2794" s="16"/>
      <c r="M2794" s="16"/>
      <c r="N2794" s="16"/>
      <c r="O2794" s="17"/>
      <c r="P2794" s="16" t="str">
        <f t="shared" si="71"/>
        <v>Truncate table FSFIAM;</v>
      </c>
      <c r="Q2794" s="16"/>
      <c r="R2794" s="16"/>
    </row>
    <row r="2795" spans="1:18" s="227" customFormat="1" x14ac:dyDescent="0.25">
      <c r="A2795" s="388"/>
      <c r="B2795" s="19" t="s">
        <v>3683</v>
      </c>
      <c r="C2795" s="304" t="s">
        <v>9814</v>
      </c>
      <c r="D2795" s="16" t="s">
        <v>29</v>
      </c>
      <c r="E2795" s="16" t="s">
        <v>3275</v>
      </c>
      <c r="F2795" s="16" t="s">
        <v>3133</v>
      </c>
      <c r="G2795" s="16" t="s">
        <v>35</v>
      </c>
      <c r="H2795" s="16" t="s">
        <v>36</v>
      </c>
      <c r="I2795" s="16"/>
      <c r="J2795" s="16"/>
      <c r="K2795" s="16"/>
      <c r="L2795" s="16"/>
      <c r="M2795" s="16"/>
      <c r="N2795" s="16"/>
      <c r="O2795" s="17" t="s">
        <v>38</v>
      </c>
      <c r="P2795" s="16" t="str">
        <f t="shared" si="71"/>
        <v>Truncate table FSFIAN;</v>
      </c>
      <c r="Q2795" s="16"/>
      <c r="R2795" s="16"/>
    </row>
    <row r="2796" spans="1:18" x14ac:dyDescent="0.25">
      <c r="B2796" s="19" t="s">
        <v>3684</v>
      </c>
      <c r="C2796" s="303" t="s">
        <v>9815</v>
      </c>
      <c r="D2796" s="16" t="s">
        <v>8152</v>
      </c>
      <c r="E2796" s="16" t="s">
        <v>3275</v>
      </c>
      <c r="F2796" s="5" t="s">
        <v>8218</v>
      </c>
      <c r="G2796" s="16" t="s">
        <v>35</v>
      </c>
      <c r="H2796" s="16"/>
      <c r="I2796" s="16"/>
      <c r="J2796" s="16"/>
      <c r="K2796" s="16"/>
      <c r="L2796" s="16"/>
      <c r="M2796" s="229"/>
      <c r="N2796" s="16"/>
      <c r="O2796" s="17" t="s">
        <v>38</v>
      </c>
      <c r="P2796" s="5" t="str">
        <f t="shared" si="71"/>
        <v/>
      </c>
      <c r="Q2796" s="5"/>
      <c r="R2796" s="5"/>
    </row>
    <row r="2797" spans="1:18" s="227" customFormat="1" x14ac:dyDescent="0.25">
      <c r="A2797" s="388"/>
      <c r="B2797" s="19" t="s">
        <v>3685</v>
      </c>
      <c r="C2797" s="304" t="s">
        <v>9815</v>
      </c>
      <c r="D2797" s="16" t="s">
        <v>29</v>
      </c>
      <c r="E2797" s="16" t="s">
        <v>3275</v>
      </c>
      <c r="F2797" s="16" t="s">
        <v>3133</v>
      </c>
      <c r="G2797" s="16" t="s">
        <v>35</v>
      </c>
      <c r="H2797" s="16" t="s">
        <v>36</v>
      </c>
      <c r="I2797" s="16"/>
      <c r="J2797" s="16"/>
      <c r="K2797" s="16"/>
      <c r="L2797" s="16"/>
      <c r="M2797" s="16"/>
      <c r="N2797" s="16"/>
      <c r="O2797" s="17" t="s">
        <v>38</v>
      </c>
      <c r="P2797" s="16" t="str">
        <f t="shared" si="71"/>
        <v>Truncate table FSFIAP;</v>
      </c>
      <c r="Q2797" s="16"/>
      <c r="R2797" s="16"/>
    </row>
    <row r="2798" spans="1:18" x14ac:dyDescent="0.25">
      <c r="B2798" s="19" t="s">
        <v>3686</v>
      </c>
      <c r="D2798" s="16" t="s">
        <v>29</v>
      </c>
      <c r="E2798" s="16"/>
      <c r="F2798" s="5"/>
      <c r="G2798" s="16" t="s">
        <v>35</v>
      </c>
      <c r="H2798" s="16"/>
      <c r="I2798" s="16"/>
      <c r="J2798" s="16"/>
      <c r="K2798" s="16"/>
      <c r="L2798" s="16"/>
      <c r="M2798" s="16"/>
      <c r="N2798" s="16"/>
      <c r="O2798" s="17"/>
      <c r="P2798" s="5" t="str">
        <f t="shared" si="71"/>
        <v>Truncate table FSFIAQ;</v>
      </c>
      <c r="Q2798" s="5"/>
      <c r="R2798" s="5"/>
    </row>
    <row r="2799" spans="1:18" x14ac:dyDescent="0.25">
      <c r="B2799" s="19" t="s">
        <v>3687</v>
      </c>
      <c r="C2799" s="16"/>
      <c r="D2799" s="16" t="s">
        <v>29</v>
      </c>
      <c r="E2799" s="16"/>
      <c r="F2799" s="5"/>
      <c r="G2799" s="16" t="s">
        <v>35</v>
      </c>
      <c r="H2799" s="16"/>
      <c r="I2799" s="16"/>
      <c r="J2799" s="16"/>
      <c r="K2799" s="16"/>
      <c r="L2799" s="16"/>
      <c r="M2799" s="16"/>
      <c r="N2799" s="16"/>
      <c r="O2799" s="17"/>
      <c r="P2799" s="5" t="str">
        <f t="shared" si="71"/>
        <v>Truncate table FSFIAR;</v>
      </c>
      <c r="Q2799" s="5"/>
      <c r="R2799" s="5"/>
    </row>
    <row r="2800" spans="1:18" x14ac:dyDescent="0.25">
      <c r="B2800" s="19" t="s">
        <v>3688</v>
      </c>
      <c r="C2800" s="16"/>
      <c r="D2800" s="16" t="s">
        <v>29</v>
      </c>
      <c r="E2800" s="16"/>
      <c r="F2800" s="5"/>
      <c r="G2800" s="16" t="s">
        <v>35</v>
      </c>
      <c r="H2800" s="16"/>
      <c r="I2800" s="16"/>
      <c r="J2800" s="16"/>
      <c r="K2800" s="16"/>
      <c r="L2800" s="16"/>
      <c r="M2800" s="16"/>
      <c r="N2800" s="16"/>
      <c r="O2800" s="17"/>
      <c r="P2800" s="5" t="str">
        <f t="shared" si="71"/>
        <v>Truncate table FSFIAS;</v>
      </c>
      <c r="Q2800" s="5"/>
      <c r="R2800" s="5"/>
    </row>
    <row r="2801" spans="1:22" x14ac:dyDescent="0.25">
      <c r="B2801" s="19" t="s">
        <v>3689</v>
      </c>
      <c r="C2801" s="16"/>
      <c r="D2801" s="16" t="s">
        <v>29</v>
      </c>
      <c r="E2801" s="16"/>
      <c r="F2801" s="5"/>
      <c r="G2801" s="16" t="s">
        <v>35</v>
      </c>
      <c r="H2801" s="16"/>
      <c r="I2801" s="16"/>
      <c r="J2801" s="16"/>
      <c r="K2801" s="16"/>
      <c r="L2801" s="16"/>
      <c r="M2801" s="16"/>
      <c r="N2801" s="16"/>
      <c r="O2801" s="17"/>
      <c r="P2801" s="5" t="str">
        <f t="shared" ref="P2801:P2864" si="72">IF(D2801="Datos","Truncate table "&amp; B2801&amp; ";","")</f>
        <v>Truncate table FSFIAT;</v>
      </c>
      <c r="Q2801" s="5"/>
      <c r="R2801" s="5"/>
    </row>
    <row r="2802" spans="1:22" x14ac:dyDescent="0.25">
      <c r="B2802" s="19" t="s">
        <v>3690</v>
      </c>
      <c r="C2802" s="16"/>
      <c r="D2802" s="16" t="s">
        <v>29</v>
      </c>
      <c r="E2802" s="16"/>
      <c r="F2802" s="5"/>
      <c r="G2802" s="16" t="s">
        <v>35</v>
      </c>
      <c r="H2802" s="16"/>
      <c r="I2802" s="16"/>
      <c r="J2802" s="16"/>
      <c r="K2802" s="16"/>
      <c r="L2802" s="16"/>
      <c r="M2802" s="16"/>
      <c r="N2802" s="16"/>
      <c r="O2802" s="17"/>
      <c r="P2802" s="5" t="str">
        <f t="shared" si="72"/>
        <v>Truncate table FSFIAU;</v>
      </c>
      <c r="Q2802" s="5"/>
      <c r="R2802" s="5"/>
    </row>
    <row r="2803" spans="1:22" x14ac:dyDescent="0.25">
      <c r="B2803" s="19" t="s">
        <v>3691</v>
      </c>
      <c r="C2803" s="16"/>
      <c r="D2803" s="16" t="s">
        <v>29</v>
      </c>
      <c r="E2803" s="16"/>
      <c r="F2803" s="5"/>
      <c r="G2803" s="16" t="s">
        <v>35</v>
      </c>
      <c r="H2803" s="16"/>
      <c r="I2803" s="16"/>
      <c r="J2803" s="16"/>
      <c r="K2803" s="16"/>
      <c r="L2803" s="16"/>
      <c r="M2803" s="16"/>
      <c r="N2803" s="16"/>
      <c r="O2803" s="17"/>
      <c r="P2803" s="5" t="str">
        <f t="shared" si="72"/>
        <v>Truncate table FSFIAV;</v>
      </c>
      <c r="Q2803" s="5"/>
      <c r="R2803" s="5"/>
    </row>
    <row r="2804" spans="1:22" x14ac:dyDescent="0.25">
      <c r="B2804" s="19" t="s">
        <v>3692</v>
      </c>
      <c r="C2804" s="16"/>
      <c r="D2804" s="16" t="s">
        <v>29</v>
      </c>
      <c r="E2804" s="16"/>
      <c r="F2804" s="5"/>
      <c r="G2804" s="16" t="s">
        <v>35</v>
      </c>
      <c r="H2804" s="16"/>
      <c r="I2804" s="16"/>
      <c r="J2804" s="16"/>
      <c r="K2804" s="16"/>
      <c r="L2804" s="16"/>
      <c r="M2804" s="16"/>
      <c r="N2804" s="16"/>
      <c r="O2804" s="17"/>
      <c r="P2804" s="5" t="str">
        <f t="shared" si="72"/>
        <v>Truncate table FSFIAW;</v>
      </c>
      <c r="Q2804" s="5"/>
      <c r="R2804" s="5"/>
    </row>
    <row r="2805" spans="1:22" x14ac:dyDescent="0.25">
      <c r="B2805" s="19" t="s">
        <v>3693</v>
      </c>
      <c r="C2805" s="304" t="s">
        <v>9816</v>
      </c>
      <c r="D2805" s="16" t="s">
        <v>29</v>
      </c>
      <c r="E2805" s="16" t="s">
        <v>3275</v>
      </c>
      <c r="F2805" s="16" t="s">
        <v>3133</v>
      </c>
      <c r="G2805" s="16" t="s">
        <v>35</v>
      </c>
      <c r="H2805" s="16" t="s">
        <v>36</v>
      </c>
      <c r="I2805" s="16"/>
      <c r="J2805" s="16"/>
      <c r="K2805" s="16"/>
      <c r="L2805" s="16"/>
      <c r="M2805" s="16"/>
      <c r="N2805" s="16"/>
      <c r="O2805" s="17"/>
      <c r="P2805" s="16" t="str">
        <f t="shared" si="72"/>
        <v>Truncate table FSFIAX;</v>
      </c>
      <c r="Q2805" s="16"/>
      <c r="R2805" s="16"/>
      <c r="S2805"/>
      <c r="T2805"/>
      <c r="U2805"/>
      <c r="V2805"/>
    </row>
    <row r="2806" spans="1:22" x14ac:dyDescent="0.25">
      <c r="B2806" s="19" t="s">
        <v>3694</v>
      </c>
      <c r="C2806" s="304" t="s">
        <v>9817</v>
      </c>
      <c r="D2806" s="16" t="s">
        <v>29</v>
      </c>
      <c r="E2806" s="16" t="s">
        <v>3275</v>
      </c>
      <c r="F2806" s="16" t="s">
        <v>3133</v>
      </c>
      <c r="G2806" s="16" t="s">
        <v>35</v>
      </c>
      <c r="H2806" s="16" t="s">
        <v>36</v>
      </c>
      <c r="I2806" s="16"/>
      <c r="J2806" s="16"/>
      <c r="K2806" s="16"/>
      <c r="L2806" s="16"/>
      <c r="M2806" s="16"/>
      <c r="N2806" s="16"/>
      <c r="O2806" s="17"/>
      <c r="P2806" s="16" t="str">
        <f t="shared" si="72"/>
        <v>Truncate table FSFIAY;</v>
      </c>
      <c r="Q2806" s="16"/>
      <c r="R2806" s="16"/>
      <c r="S2806"/>
      <c r="T2806"/>
      <c r="U2806"/>
      <c r="V2806"/>
    </row>
    <row r="2807" spans="1:22" x14ac:dyDescent="0.25">
      <c r="B2807" s="19" t="s">
        <v>3695</v>
      </c>
      <c r="C2807" s="304" t="s">
        <v>9818</v>
      </c>
      <c r="D2807" s="16" t="s">
        <v>29</v>
      </c>
      <c r="E2807" s="16" t="s">
        <v>3275</v>
      </c>
      <c r="F2807" s="16" t="s">
        <v>3133</v>
      </c>
      <c r="G2807" s="16" t="s">
        <v>35</v>
      </c>
      <c r="H2807" s="16" t="s">
        <v>36</v>
      </c>
      <c r="I2807" s="16"/>
      <c r="J2807" s="16"/>
      <c r="K2807" s="16"/>
      <c r="L2807" s="16"/>
      <c r="M2807" s="16"/>
      <c r="N2807" s="16"/>
      <c r="O2807" s="17"/>
      <c r="P2807" s="16" t="str">
        <f t="shared" si="72"/>
        <v>Truncate table FSFIAZ;</v>
      </c>
      <c r="Q2807" s="16"/>
      <c r="R2807" s="16"/>
      <c r="S2807"/>
      <c r="T2807"/>
      <c r="U2807"/>
      <c r="V2807"/>
    </row>
    <row r="2808" spans="1:22" x14ac:dyDescent="0.25">
      <c r="B2808" s="19" t="s">
        <v>3696</v>
      </c>
      <c r="C2808" s="16"/>
      <c r="D2808" s="16" t="s">
        <v>29</v>
      </c>
      <c r="E2808" s="16"/>
      <c r="F2808" s="5"/>
      <c r="G2808" s="16" t="s">
        <v>35</v>
      </c>
      <c r="H2808" s="16"/>
      <c r="I2808" s="16"/>
      <c r="J2808" s="16"/>
      <c r="K2808" s="16"/>
      <c r="L2808" s="16"/>
      <c r="M2808" s="16"/>
      <c r="N2808" s="16"/>
      <c r="O2808" s="17"/>
      <c r="P2808" s="5" t="str">
        <f t="shared" si="72"/>
        <v>Truncate table FSFIBA;</v>
      </c>
      <c r="Q2808" s="5"/>
      <c r="R2808" s="5"/>
    </row>
    <row r="2809" spans="1:22" s="227" customFormat="1" x14ac:dyDescent="0.25">
      <c r="A2809" s="388"/>
      <c r="B2809" s="19" t="s">
        <v>3697</v>
      </c>
      <c r="C2809" s="183" t="s">
        <v>9819</v>
      </c>
      <c r="D2809" s="16" t="s">
        <v>29</v>
      </c>
      <c r="E2809" s="16" t="s">
        <v>3275</v>
      </c>
      <c r="F2809" s="16" t="s">
        <v>3133</v>
      </c>
      <c r="G2809" s="16" t="s">
        <v>35</v>
      </c>
      <c r="H2809" s="16" t="s">
        <v>36</v>
      </c>
      <c r="I2809" s="16"/>
      <c r="J2809" s="16"/>
      <c r="K2809" s="16"/>
      <c r="L2809" s="16"/>
      <c r="M2809" s="16"/>
      <c r="N2809" s="16"/>
      <c r="O2809" s="17" t="s">
        <v>38</v>
      </c>
      <c r="P2809" s="16" t="str">
        <f t="shared" si="72"/>
        <v>Truncate table FSFIBB;</v>
      </c>
      <c r="Q2809" s="16"/>
      <c r="R2809" s="16"/>
    </row>
    <row r="2810" spans="1:22" x14ac:dyDescent="0.25">
      <c r="B2810" s="19" t="s">
        <v>3698</v>
      </c>
      <c r="C2810" s="16"/>
      <c r="D2810" s="16" t="s">
        <v>29</v>
      </c>
      <c r="E2810" s="16" t="s">
        <v>3275</v>
      </c>
      <c r="F2810" s="5"/>
      <c r="G2810" s="16" t="s">
        <v>35</v>
      </c>
      <c r="H2810" s="16"/>
      <c r="I2810" s="16"/>
      <c r="J2810" s="16"/>
      <c r="K2810" s="16"/>
      <c r="L2810" s="16"/>
      <c r="M2810" s="16"/>
      <c r="N2810" s="16"/>
      <c r="O2810" s="17" t="s">
        <v>38</v>
      </c>
      <c r="P2810" s="5" t="str">
        <f t="shared" si="72"/>
        <v>Truncate table FSFIBC;</v>
      </c>
      <c r="Q2810" s="5"/>
      <c r="R2810" s="5"/>
    </row>
    <row r="2811" spans="1:22" x14ac:dyDescent="0.25">
      <c r="B2811" s="19" t="s">
        <v>3699</v>
      </c>
      <c r="C2811" s="16"/>
      <c r="D2811" s="16" t="s">
        <v>29</v>
      </c>
      <c r="E2811" s="16"/>
      <c r="F2811" s="5"/>
      <c r="G2811" s="16" t="s">
        <v>35</v>
      </c>
      <c r="H2811" s="16"/>
      <c r="I2811" s="16"/>
      <c r="J2811" s="16"/>
      <c r="K2811" s="16"/>
      <c r="L2811" s="16"/>
      <c r="M2811" s="16"/>
      <c r="N2811" s="16"/>
      <c r="O2811" s="17"/>
      <c r="P2811" s="5" t="str">
        <f t="shared" si="72"/>
        <v>Truncate table FSFIBD;</v>
      </c>
      <c r="Q2811" s="5"/>
      <c r="R2811" s="5"/>
    </row>
    <row r="2812" spans="1:22" x14ac:dyDescent="0.25">
      <c r="B2812" s="19" t="s">
        <v>3700</v>
      </c>
      <c r="C2812" s="16"/>
      <c r="D2812" s="16" t="s">
        <v>29</v>
      </c>
      <c r="E2812" s="16"/>
      <c r="F2812" s="5"/>
      <c r="G2812" s="16" t="s">
        <v>35</v>
      </c>
      <c r="H2812" s="16"/>
      <c r="I2812" s="16"/>
      <c r="J2812" s="16"/>
      <c r="K2812" s="16"/>
      <c r="L2812" s="16"/>
      <c r="M2812" s="16"/>
      <c r="N2812" s="16"/>
      <c r="O2812" s="17"/>
      <c r="P2812" s="5" t="str">
        <f t="shared" si="72"/>
        <v>Truncate table FSFIBE;</v>
      </c>
      <c r="Q2812" s="5"/>
      <c r="R2812" s="5"/>
    </row>
    <row r="2813" spans="1:22" x14ac:dyDescent="0.25">
      <c r="B2813" s="19" t="s">
        <v>3701</v>
      </c>
      <c r="C2813" s="16"/>
      <c r="D2813" s="16" t="s">
        <v>29</v>
      </c>
      <c r="E2813" s="16" t="s">
        <v>3275</v>
      </c>
      <c r="F2813" s="5"/>
      <c r="G2813" s="16" t="s">
        <v>35</v>
      </c>
      <c r="H2813" s="16"/>
      <c r="I2813" s="16"/>
      <c r="J2813" s="16"/>
      <c r="K2813" s="16"/>
      <c r="L2813" s="16"/>
      <c r="M2813" s="16"/>
      <c r="N2813" s="16"/>
      <c r="O2813" s="17" t="s">
        <v>38</v>
      </c>
      <c r="P2813" s="5" t="str">
        <f t="shared" si="72"/>
        <v>Truncate table FSFIBF;</v>
      </c>
      <c r="Q2813" s="5"/>
      <c r="R2813" s="5"/>
    </row>
    <row r="2814" spans="1:22" x14ac:dyDescent="0.25">
      <c r="B2814" s="19" t="s">
        <v>3702</v>
      </c>
      <c r="C2814" s="16"/>
      <c r="D2814" s="16" t="s">
        <v>29</v>
      </c>
      <c r="E2814" s="16" t="s">
        <v>3275</v>
      </c>
      <c r="F2814" s="5"/>
      <c r="G2814" s="16" t="s">
        <v>35</v>
      </c>
      <c r="H2814" s="16"/>
      <c r="I2814" s="16"/>
      <c r="J2814" s="16"/>
      <c r="K2814" s="16"/>
      <c r="L2814" s="16"/>
      <c r="M2814" s="16"/>
      <c r="N2814" s="16"/>
      <c r="O2814" s="17" t="s">
        <v>38</v>
      </c>
      <c r="P2814" s="5" t="str">
        <f t="shared" si="72"/>
        <v>Truncate table FSFIBG;</v>
      </c>
      <c r="Q2814" s="5"/>
      <c r="R2814" s="5"/>
    </row>
    <row r="2815" spans="1:22" x14ac:dyDescent="0.25">
      <c r="B2815" s="19" t="s">
        <v>3703</v>
      </c>
      <c r="C2815" s="16"/>
      <c r="D2815" s="16" t="s">
        <v>29</v>
      </c>
      <c r="E2815" s="16" t="s">
        <v>3007</v>
      </c>
      <c r="F2815" s="5" t="s">
        <v>3133</v>
      </c>
      <c r="G2815" s="16" t="s">
        <v>28</v>
      </c>
      <c r="H2815" s="16" t="s">
        <v>36</v>
      </c>
      <c r="I2815" s="16"/>
      <c r="J2815" s="16"/>
      <c r="K2815" s="16"/>
      <c r="L2815" s="16"/>
      <c r="M2815" s="16"/>
      <c r="N2815" s="16"/>
      <c r="O2815" s="17" t="s">
        <v>38</v>
      </c>
      <c r="P2815" s="5" t="str">
        <f t="shared" si="72"/>
        <v>Truncate table FSFIBH;</v>
      </c>
      <c r="Q2815" s="5"/>
      <c r="R2815" s="5"/>
    </row>
    <row r="2816" spans="1:22" x14ac:dyDescent="0.25">
      <c r="B2816" s="19" t="s">
        <v>3704</v>
      </c>
      <c r="C2816" s="16" t="s">
        <v>3705</v>
      </c>
      <c r="D2816" s="16" t="s">
        <v>29</v>
      </c>
      <c r="E2816" s="16" t="s">
        <v>3275</v>
      </c>
      <c r="F2816" s="5"/>
      <c r="G2816" s="16" t="s">
        <v>35</v>
      </c>
      <c r="H2816" s="16"/>
      <c r="I2816" s="16"/>
      <c r="J2816" s="16"/>
      <c r="K2816" s="16"/>
      <c r="L2816" s="16"/>
      <c r="M2816" s="16"/>
      <c r="N2816" s="16"/>
      <c r="O2816" s="17" t="s">
        <v>38</v>
      </c>
      <c r="P2816" s="5" t="str">
        <f t="shared" si="72"/>
        <v>Truncate table FSFIBJ;</v>
      </c>
      <c r="Q2816" s="5"/>
      <c r="R2816" s="5"/>
    </row>
    <row r="2817" spans="1:18" x14ac:dyDescent="0.25">
      <c r="B2817" s="19" t="s">
        <v>3706</v>
      </c>
      <c r="C2817" s="16"/>
      <c r="D2817" s="16" t="s">
        <v>29</v>
      </c>
      <c r="E2817" s="16" t="s">
        <v>3275</v>
      </c>
      <c r="F2817" s="5"/>
      <c r="G2817" s="16" t="s">
        <v>35</v>
      </c>
      <c r="H2817" s="16"/>
      <c r="I2817" s="16"/>
      <c r="J2817" s="16"/>
      <c r="K2817" s="16"/>
      <c r="L2817" s="16"/>
      <c r="M2817" s="16"/>
      <c r="N2817" s="16"/>
      <c r="O2817" s="17" t="s">
        <v>38</v>
      </c>
      <c r="P2817" s="5" t="str">
        <f t="shared" si="72"/>
        <v>Truncate table FSFIBK;</v>
      </c>
      <c r="Q2817" s="5"/>
      <c r="R2817" s="5"/>
    </row>
    <row r="2818" spans="1:18" x14ac:dyDescent="0.25">
      <c r="B2818" s="19" t="s">
        <v>3707</v>
      </c>
      <c r="C2818" s="16"/>
      <c r="D2818" s="16" t="s">
        <v>29</v>
      </c>
      <c r="E2818" s="16"/>
      <c r="F2818" s="5"/>
      <c r="G2818" s="16" t="s">
        <v>35</v>
      </c>
      <c r="H2818" s="16"/>
      <c r="I2818" s="16"/>
      <c r="J2818" s="16"/>
      <c r="K2818" s="16"/>
      <c r="L2818" s="16"/>
      <c r="M2818" s="16"/>
      <c r="N2818" s="16"/>
      <c r="O2818" s="17"/>
      <c r="P2818" s="5" t="str">
        <f t="shared" si="72"/>
        <v>Truncate table FSFIBL;</v>
      </c>
      <c r="Q2818" s="5"/>
      <c r="R2818" s="5"/>
    </row>
    <row r="2819" spans="1:18" x14ac:dyDescent="0.25">
      <c r="B2819" s="19" t="s">
        <v>3708</v>
      </c>
      <c r="C2819" s="16"/>
      <c r="D2819" s="16" t="s">
        <v>29</v>
      </c>
      <c r="E2819" s="16"/>
      <c r="F2819" s="5"/>
      <c r="G2819" s="16" t="s">
        <v>35</v>
      </c>
      <c r="H2819" s="16"/>
      <c r="I2819" s="16"/>
      <c r="J2819" s="16"/>
      <c r="K2819" s="16"/>
      <c r="L2819" s="16"/>
      <c r="M2819" s="16"/>
      <c r="N2819" s="16"/>
      <c r="O2819" s="17"/>
      <c r="P2819" s="5" t="str">
        <f t="shared" si="72"/>
        <v>Truncate table FSFIBO;</v>
      </c>
      <c r="Q2819" s="5"/>
      <c r="R2819" s="5"/>
    </row>
    <row r="2820" spans="1:18" x14ac:dyDescent="0.25">
      <c r="B2820" s="19" t="s">
        <v>3709</v>
      </c>
      <c r="C2820" s="16" t="s">
        <v>3710</v>
      </c>
      <c r="D2820" s="16" t="s">
        <v>8152</v>
      </c>
      <c r="E2820" s="16" t="s">
        <v>54</v>
      </c>
      <c r="F2820" s="5" t="s">
        <v>3711</v>
      </c>
      <c r="G2820" s="16" t="s">
        <v>35</v>
      </c>
      <c r="H2820" s="16" t="s">
        <v>36</v>
      </c>
      <c r="I2820" s="16"/>
      <c r="J2820" s="16"/>
      <c r="K2820" s="16"/>
      <c r="L2820" s="16"/>
      <c r="M2820" s="16"/>
      <c r="N2820" s="16"/>
      <c r="O2820" s="17" t="s">
        <v>38</v>
      </c>
      <c r="P2820" s="5" t="str">
        <f t="shared" si="72"/>
        <v/>
      </c>
      <c r="Q2820" s="5"/>
      <c r="R2820" s="5"/>
    </row>
    <row r="2821" spans="1:18" x14ac:dyDescent="0.25">
      <c r="B2821" s="19" t="s">
        <v>3712</v>
      </c>
      <c r="C2821" s="16" t="s">
        <v>3713</v>
      </c>
      <c r="D2821" s="16" t="s">
        <v>8152</v>
      </c>
      <c r="E2821" s="16" t="s">
        <v>54</v>
      </c>
      <c r="F2821" s="5" t="s">
        <v>3711</v>
      </c>
      <c r="G2821" s="16" t="s">
        <v>35</v>
      </c>
      <c r="H2821" s="16" t="s">
        <v>36</v>
      </c>
      <c r="I2821" s="16"/>
      <c r="J2821" s="16"/>
      <c r="K2821" s="16"/>
      <c r="L2821" s="16"/>
      <c r="M2821" s="16"/>
      <c r="N2821" s="16"/>
      <c r="O2821" s="17" t="s">
        <v>387</v>
      </c>
      <c r="P2821" s="5" t="str">
        <f t="shared" si="72"/>
        <v/>
      </c>
      <c r="Q2821" s="5"/>
      <c r="R2821" s="5"/>
    </row>
    <row r="2822" spans="1:18" s="227" customFormat="1" x14ac:dyDescent="0.25">
      <c r="A2822" s="388"/>
      <c r="B2822" s="19" t="s">
        <v>3714</v>
      </c>
      <c r="C2822" s="183" t="s">
        <v>9820</v>
      </c>
      <c r="D2822" s="16" t="s">
        <v>29</v>
      </c>
      <c r="E2822" s="16" t="s">
        <v>3007</v>
      </c>
      <c r="F2822" s="16" t="s">
        <v>3133</v>
      </c>
      <c r="G2822" s="16" t="s">
        <v>28</v>
      </c>
      <c r="H2822" s="16" t="s">
        <v>36</v>
      </c>
      <c r="I2822" s="16"/>
      <c r="J2822" s="16"/>
      <c r="K2822" s="16"/>
      <c r="L2822" s="16"/>
      <c r="M2822" s="16"/>
      <c r="N2822" s="16"/>
      <c r="O2822" s="17" t="s">
        <v>38</v>
      </c>
      <c r="P2822" s="16" t="str">
        <f t="shared" si="72"/>
        <v>Truncate table FSFIBR;</v>
      </c>
      <c r="Q2822" s="16"/>
      <c r="R2822" s="16"/>
    </row>
    <row r="2823" spans="1:18" x14ac:dyDescent="0.25">
      <c r="B2823" s="19" t="s">
        <v>3715</v>
      </c>
      <c r="C2823" s="16" t="s">
        <v>3716</v>
      </c>
      <c r="D2823" s="16" t="s">
        <v>8152</v>
      </c>
      <c r="E2823" s="16" t="s">
        <v>3275</v>
      </c>
      <c r="F2823" s="5" t="s">
        <v>8218</v>
      </c>
      <c r="G2823" s="16" t="s">
        <v>35</v>
      </c>
      <c r="H2823" s="16"/>
      <c r="I2823" s="16"/>
      <c r="J2823" s="16"/>
      <c r="K2823" s="16"/>
      <c r="L2823" s="16"/>
      <c r="M2823" s="229"/>
      <c r="N2823" s="16"/>
      <c r="O2823" s="17" t="s">
        <v>38</v>
      </c>
      <c r="P2823" s="5" t="str">
        <f t="shared" si="72"/>
        <v/>
      </c>
      <c r="Q2823" s="5"/>
      <c r="R2823" s="5"/>
    </row>
    <row r="2824" spans="1:18" x14ac:dyDescent="0.25">
      <c r="B2824" s="19" t="s">
        <v>3717</v>
      </c>
      <c r="C2824" s="16" t="s">
        <v>3718</v>
      </c>
      <c r="D2824" s="16" t="s">
        <v>8152</v>
      </c>
      <c r="E2824" s="16" t="s">
        <v>3275</v>
      </c>
      <c r="F2824" s="5" t="s">
        <v>8218</v>
      </c>
      <c r="G2824" s="16" t="s">
        <v>35</v>
      </c>
      <c r="H2824" s="16"/>
      <c r="I2824" s="16"/>
      <c r="J2824" s="16"/>
      <c r="K2824" s="16"/>
      <c r="L2824" s="16"/>
      <c r="M2824" s="229"/>
      <c r="N2824" s="16"/>
      <c r="O2824" s="17" t="s">
        <v>38</v>
      </c>
      <c r="P2824" s="5" t="str">
        <f t="shared" si="72"/>
        <v/>
      </c>
      <c r="Q2824" s="5"/>
      <c r="R2824" s="5"/>
    </row>
    <row r="2825" spans="1:18" x14ac:dyDescent="0.25">
      <c r="B2825" s="19" t="s">
        <v>3719</v>
      </c>
      <c r="C2825" s="16" t="s">
        <v>3720</v>
      </c>
      <c r="D2825" s="16" t="s">
        <v>8152</v>
      </c>
      <c r="E2825" s="16" t="s">
        <v>3275</v>
      </c>
      <c r="F2825" s="5" t="s">
        <v>8218</v>
      </c>
      <c r="G2825" s="16" t="s">
        <v>35</v>
      </c>
      <c r="H2825" s="16"/>
      <c r="I2825" s="16"/>
      <c r="J2825" s="16"/>
      <c r="K2825" s="16"/>
      <c r="L2825" s="16"/>
      <c r="M2825" s="229"/>
      <c r="N2825" s="16"/>
      <c r="O2825" s="17" t="s">
        <v>38</v>
      </c>
      <c r="P2825" s="5" t="str">
        <f t="shared" si="72"/>
        <v/>
      </c>
      <c r="Q2825" s="5"/>
      <c r="R2825" s="5"/>
    </row>
    <row r="2826" spans="1:18" x14ac:dyDescent="0.25">
      <c r="B2826" s="19" t="s">
        <v>3721</v>
      </c>
      <c r="C2826" s="16" t="s">
        <v>3722</v>
      </c>
      <c r="D2826" s="16" t="s">
        <v>8152</v>
      </c>
      <c r="E2826" s="16" t="s">
        <v>54</v>
      </c>
      <c r="F2826" s="5" t="s">
        <v>3711</v>
      </c>
      <c r="G2826" s="16" t="s">
        <v>35</v>
      </c>
      <c r="H2826" s="16" t="s">
        <v>36</v>
      </c>
      <c r="I2826" s="16"/>
      <c r="J2826" s="16"/>
      <c r="K2826" s="16"/>
      <c r="L2826" s="16"/>
      <c r="M2826" s="16"/>
      <c r="N2826" s="16"/>
      <c r="O2826" s="17" t="s">
        <v>38</v>
      </c>
      <c r="P2826" s="5" t="str">
        <f t="shared" si="72"/>
        <v/>
      </c>
      <c r="Q2826" s="5"/>
      <c r="R2826" s="5"/>
    </row>
    <row r="2827" spans="1:18" x14ac:dyDescent="0.25">
      <c r="B2827" s="19" t="s">
        <v>3723</v>
      </c>
      <c r="C2827" s="21" t="s">
        <v>3724</v>
      </c>
      <c r="D2827" s="16" t="s">
        <v>8152</v>
      </c>
      <c r="E2827" s="16" t="s">
        <v>54</v>
      </c>
      <c r="F2827" s="5" t="s">
        <v>3711</v>
      </c>
      <c r="G2827" s="16" t="s">
        <v>35</v>
      </c>
      <c r="H2827" s="16" t="s">
        <v>36</v>
      </c>
      <c r="I2827" s="16"/>
      <c r="J2827" s="16"/>
      <c r="K2827" s="16"/>
      <c r="L2827" s="16"/>
      <c r="M2827" s="16"/>
      <c r="N2827" s="16"/>
      <c r="O2827" s="17"/>
      <c r="P2827" s="5" t="str">
        <f t="shared" si="72"/>
        <v/>
      </c>
      <c r="Q2827" s="5"/>
      <c r="R2827" s="5"/>
    </row>
    <row r="2828" spans="1:18" x14ac:dyDescent="0.25">
      <c r="B2828" s="19" t="s">
        <v>3725</v>
      </c>
      <c r="C2828" s="16"/>
      <c r="D2828" s="16" t="s">
        <v>29</v>
      </c>
      <c r="E2828" s="16"/>
      <c r="F2828" s="5"/>
      <c r="G2828" s="16" t="s">
        <v>35</v>
      </c>
      <c r="H2828" s="16"/>
      <c r="I2828" s="16"/>
      <c r="J2828" s="16"/>
      <c r="K2828" s="16"/>
      <c r="L2828" s="16"/>
      <c r="M2828" s="16"/>
      <c r="N2828" s="16"/>
      <c r="O2828" s="17"/>
      <c r="P2828" s="5" t="str">
        <f t="shared" si="72"/>
        <v>Truncate table FSFIBX;</v>
      </c>
      <c r="Q2828" s="5"/>
      <c r="R2828" s="5"/>
    </row>
    <row r="2829" spans="1:18" x14ac:dyDescent="0.25">
      <c r="B2829" s="19" t="s">
        <v>3726</v>
      </c>
      <c r="C2829" s="16" t="s">
        <v>3727</v>
      </c>
      <c r="D2829" s="16" t="s">
        <v>8152</v>
      </c>
      <c r="E2829" s="16" t="s">
        <v>3275</v>
      </c>
      <c r="F2829" s="5" t="s">
        <v>8218</v>
      </c>
      <c r="G2829" s="16" t="s">
        <v>35</v>
      </c>
      <c r="H2829" s="16"/>
      <c r="I2829" s="16"/>
      <c r="J2829" s="16"/>
      <c r="K2829" s="16"/>
      <c r="L2829" s="16"/>
      <c r="M2829" s="229"/>
      <c r="N2829" s="16"/>
      <c r="O2829" s="17" t="s">
        <v>38</v>
      </c>
      <c r="P2829" s="5" t="str">
        <f t="shared" si="72"/>
        <v/>
      </c>
      <c r="Q2829" s="5"/>
      <c r="R2829" s="5"/>
    </row>
    <row r="2830" spans="1:18" x14ac:dyDescent="0.25">
      <c r="B2830" s="19" t="s">
        <v>3728</v>
      </c>
      <c r="C2830" s="16"/>
      <c r="D2830" s="16" t="s">
        <v>29</v>
      </c>
      <c r="E2830" s="16" t="s">
        <v>3275</v>
      </c>
      <c r="F2830" s="5"/>
      <c r="G2830" s="16" t="s">
        <v>35</v>
      </c>
      <c r="H2830" s="16"/>
      <c r="I2830" s="16"/>
      <c r="J2830" s="16"/>
      <c r="K2830" s="16"/>
      <c r="L2830" s="16"/>
      <c r="M2830" s="16"/>
      <c r="N2830" s="16"/>
      <c r="O2830" s="17" t="s">
        <v>38</v>
      </c>
      <c r="P2830" s="5" t="str">
        <f t="shared" si="72"/>
        <v>Truncate table FSFIC1;</v>
      </c>
      <c r="Q2830" s="5"/>
      <c r="R2830" s="5"/>
    </row>
    <row r="2831" spans="1:18" x14ac:dyDescent="0.25">
      <c r="B2831" s="19" t="s">
        <v>3729</v>
      </c>
      <c r="C2831" s="16"/>
      <c r="D2831" s="16" t="s">
        <v>29</v>
      </c>
      <c r="E2831" s="16" t="s">
        <v>3275</v>
      </c>
      <c r="F2831" s="5"/>
      <c r="G2831" s="16" t="s">
        <v>35</v>
      </c>
      <c r="H2831" s="16"/>
      <c r="I2831" s="16"/>
      <c r="J2831" s="16"/>
      <c r="K2831" s="16"/>
      <c r="L2831" s="16"/>
      <c r="M2831" s="16"/>
      <c r="N2831" s="16"/>
      <c r="O2831" s="17" t="s">
        <v>38</v>
      </c>
      <c r="P2831" s="5" t="str">
        <f t="shared" si="72"/>
        <v>Truncate table FSFIC2;</v>
      </c>
      <c r="Q2831" s="5"/>
      <c r="R2831" s="5"/>
    </row>
    <row r="2832" spans="1:18" x14ac:dyDescent="0.25">
      <c r="B2832" s="19" t="s">
        <v>3730</v>
      </c>
      <c r="C2832" s="16"/>
      <c r="D2832" s="16" t="s">
        <v>29</v>
      </c>
      <c r="E2832" s="16" t="s">
        <v>3275</v>
      </c>
      <c r="F2832" s="5"/>
      <c r="G2832" s="16" t="s">
        <v>35</v>
      </c>
      <c r="H2832" s="16"/>
      <c r="I2832" s="16"/>
      <c r="J2832" s="16"/>
      <c r="K2832" s="16"/>
      <c r="L2832" s="16"/>
      <c r="M2832" s="16"/>
      <c r="N2832" s="16"/>
      <c r="O2832" s="17" t="s">
        <v>38</v>
      </c>
      <c r="P2832" s="5" t="str">
        <f t="shared" si="72"/>
        <v>Truncate table FSFIC3;</v>
      </c>
      <c r="Q2832" s="5"/>
      <c r="R2832" s="5"/>
    </row>
    <row r="2833" spans="1:18" s="289" customFormat="1" x14ac:dyDescent="0.25">
      <c r="A2833" s="71"/>
      <c r="B2833" s="288" t="s">
        <v>3731</v>
      </c>
      <c r="C2833" s="302" t="s">
        <v>9821</v>
      </c>
      <c r="D2833" s="290" t="s">
        <v>29</v>
      </c>
      <c r="E2833" s="16" t="s">
        <v>3275</v>
      </c>
      <c r="F2833" s="290"/>
      <c r="G2833" s="290" t="s">
        <v>35</v>
      </c>
      <c r="H2833" s="290"/>
      <c r="I2833" s="16"/>
      <c r="J2833" s="16"/>
      <c r="K2833" s="290"/>
      <c r="L2833" s="290"/>
      <c r="M2833" s="290"/>
      <c r="N2833" s="290"/>
      <c r="O2833" s="291"/>
      <c r="P2833" s="290" t="str">
        <f t="shared" si="72"/>
        <v>Truncate table FSFICA;</v>
      </c>
      <c r="Q2833" s="290"/>
      <c r="R2833" s="290"/>
    </row>
    <row r="2834" spans="1:18" x14ac:dyDescent="0.25">
      <c r="B2834" s="19" t="s">
        <v>3732</v>
      </c>
      <c r="C2834" s="16"/>
      <c r="D2834" s="16" t="s">
        <v>29</v>
      </c>
      <c r="E2834" s="16" t="s">
        <v>3007</v>
      </c>
      <c r="F2834" s="5" t="s">
        <v>3133</v>
      </c>
      <c r="G2834" s="16" t="s">
        <v>28</v>
      </c>
      <c r="H2834" s="16" t="s">
        <v>36</v>
      </c>
      <c r="I2834" s="16"/>
      <c r="J2834" s="16"/>
      <c r="K2834" s="16"/>
      <c r="L2834" s="16"/>
      <c r="M2834" s="16"/>
      <c r="N2834" s="16"/>
      <c r="O2834" s="17" t="s">
        <v>38</v>
      </c>
      <c r="P2834" s="5" t="str">
        <f t="shared" si="72"/>
        <v>Truncate table FSFICB;</v>
      </c>
      <c r="Q2834" s="5"/>
      <c r="R2834" s="5"/>
    </row>
    <row r="2835" spans="1:18" x14ac:dyDescent="0.25">
      <c r="B2835" s="19" t="s">
        <v>3733</v>
      </c>
      <c r="C2835" s="16"/>
      <c r="D2835" s="16" t="s">
        <v>29</v>
      </c>
      <c r="E2835" s="16" t="s">
        <v>3007</v>
      </c>
      <c r="F2835" s="5" t="s">
        <v>3133</v>
      </c>
      <c r="G2835" s="16" t="s">
        <v>28</v>
      </c>
      <c r="H2835" s="16" t="s">
        <v>36</v>
      </c>
      <c r="I2835" s="16"/>
      <c r="J2835" s="16"/>
      <c r="K2835" s="16"/>
      <c r="L2835" s="16"/>
      <c r="M2835" s="16"/>
      <c r="N2835" s="16"/>
      <c r="O2835" s="17" t="s">
        <v>38</v>
      </c>
      <c r="P2835" s="5" t="str">
        <f t="shared" si="72"/>
        <v>Truncate table FSFICC;</v>
      </c>
      <c r="Q2835" s="5"/>
      <c r="R2835" s="5"/>
    </row>
    <row r="2836" spans="1:18" s="289" customFormat="1" x14ac:dyDescent="0.25">
      <c r="A2836" s="71"/>
      <c r="B2836" s="288" t="s">
        <v>3734</v>
      </c>
      <c r="C2836" s="302" t="s">
        <v>9822</v>
      </c>
      <c r="D2836" s="290" t="s">
        <v>29</v>
      </c>
      <c r="E2836" s="290"/>
      <c r="F2836" s="290"/>
      <c r="G2836" s="290" t="s">
        <v>35</v>
      </c>
      <c r="H2836" s="290"/>
      <c r="I2836" s="16"/>
      <c r="J2836" s="16"/>
      <c r="K2836" s="290"/>
      <c r="L2836" s="290"/>
      <c r="M2836" s="290"/>
      <c r="N2836" s="290"/>
      <c r="O2836" s="291"/>
      <c r="P2836" s="290" t="str">
        <f t="shared" si="72"/>
        <v>Truncate table FSFICD;</v>
      </c>
      <c r="Q2836" s="290"/>
      <c r="R2836" s="290"/>
    </row>
    <row r="2837" spans="1:18" s="289" customFormat="1" x14ac:dyDescent="0.25">
      <c r="A2837" s="71"/>
      <c r="B2837" s="288" t="s">
        <v>3735</v>
      </c>
      <c r="C2837" s="303" t="s">
        <v>9814</v>
      </c>
      <c r="D2837" s="290" t="s">
        <v>29</v>
      </c>
      <c r="E2837" s="290"/>
      <c r="F2837" s="290"/>
      <c r="G2837" s="290" t="s">
        <v>35</v>
      </c>
      <c r="H2837" s="290"/>
      <c r="I2837" s="16"/>
      <c r="J2837" s="16"/>
      <c r="K2837" s="290"/>
      <c r="L2837" s="290"/>
      <c r="M2837" s="290"/>
      <c r="N2837" s="290"/>
      <c r="O2837" s="291"/>
      <c r="P2837" s="290" t="str">
        <f t="shared" si="72"/>
        <v>Truncate table FSFICE;</v>
      </c>
      <c r="Q2837" s="290"/>
      <c r="R2837" s="290"/>
    </row>
    <row r="2838" spans="1:18" x14ac:dyDescent="0.25">
      <c r="B2838" s="19" t="s">
        <v>3736</v>
      </c>
      <c r="C2838" s="16"/>
      <c r="D2838" s="16" t="s">
        <v>29</v>
      </c>
      <c r="E2838" s="16" t="s">
        <v>3007</v>
      </c>
      <c r="F2838" s="5" t="s">
        <v>3133</v>
      </c>
      <c r="G2838" s="16" t="s">
        <v>28</v>
      </c>
      <c r="H2838" s="16" t="s">
        <v>36</v>
      </c>
      <c r="I2838" s="16"/>
      <c r="J2838" s="16"/>
      <c r="K2838" s="16"/>
      <c r="L2838" s="16"/>
      <c r="M2838" s="16"/>
      <c r="N2838" s="16"/>
      <c r="O2838" s="17" t="s">
        <v>38</v>
      </c>
      <c r="P2838" s="5" t="str">
        <f t="shared" si="72"/>
        <v>Truncate table FSFICF;</v>
      </c>
      <c r="Q2838" s="5"/>
      <c r="R2838" s="5"/>
    </row>
    <row r="2839" spans="1:18" x14ac:dyDescent="0.25">
      <c r="B2839" s="19" t="s">
        <v>3737</v>
      </c>
      <c r="C2839" s="16"/>
      <c r="D2839" s="16" t="s">
        <v>29</v>
      </c>
      <c r="E2839" s="16"/>
      <c r="F2839" s="5"/>
      <c r="G2839" s="16" t="s">
        <v>35</v>
      </c>
      <c r="H2839" s="16"/>
      <c r="I2839" s="16"/>
      <c r="J2839" s="16"/>
      <c r="K2839" s="16"/>
      <c r="L2839" s="16"/>
      <c r="M2839" s="16"/>
      <c r="N2839" s="16"/>
      <c r="O2839" s="17"/>
      <c r="P2839" s="5" t="str">
        <f t="shared" si="72"/>
        <v>Truncate table FSFICI;</v>
      </c>
      <c r="Q2839" s="5"/>
      <c r="R2839" s="5"/>
    </row>
    <row r="2840" spans="1:18" x14ac:dyDescent="0.25">
      <c r="B2840" s="19" t="s">
        <v>3738</v>
      </c>
      <c r="C2840" s="16"/>
      <c r="D2840" s="16" t="s">
        <v>29</v>
      </c>
      <c r="E2840" s="16"/>
      <c r="F2840" s="5"/>
      <c r="G2840" s="16" t="s">
        <v>35</v>
      </c>
      <c r="H2840" s="16"/>
      <c r="I2840" s="16"/>
      <c r="J2840" s="16"/>
      <c r="K2840" s="16"/>
      <c r="L2840" s="16"/>
      <c r="M2840" s="16"/>
      <c r="N2840" s="16"/>
      <c r="O2840" s="17"/>
      <c r="P2840" s="5" t="str">
        <f t="shared" si="72"/>
        <v>Truncate table FSFICJ;</v>
      </c>
      <c r="Q2840" s="5"/>
      <c r="R2840" s="5"/>
    </row>
    <row r="2841" spans="1:18" s="289" customFormat="1" x14ac:dyDescent="0.25">
      <c r="A2841" s="71"/>
      <c r="B2841" s="288" t="s">
        <v>3739</v>
      </c>
      <c r="C2841" s="302" t="s">
        <v>9823</v>
      </c>
      <c r="D2841" s="290" t="s">
        <v>29</v>
      </c>
      <c r="E2841" s="290" t="s">
        <v>3275</v>
      </c>
      <c r="F2841" s="290"/>
      <c r="G2841" s="290" t="s">
        <v>35</v>
      </c>
      <c r="H2841" s="290"/>
      <c r="I2841" s="16"/>
      <c r="J2841" s="16"/>
      <c r="K2841" s="290"/>
      <c r="L2841" s="290"/>
      <c r="M2841" s="290"/>
      <c r="N2841" s="290"/>
      <c r="O2841" s="291" t="s">
        <v>38</v>
      </c>
      <c r="P2841" s="290" t="str">
        <f t="shared" si="72"/>
        <v>Truncate table FSFICK;</v>
      </c>
      <c r="Q2841" s="290"/>
      <c r="R2841" s="290"/>
    </row>
    <row r="2842" spans="1:18" x14ac:dyDescent="0.25">
      <c r="B2842" s="19" t="s">
        <v>3740</v>
      </c>
      <c r="C2842" s="16"/>
      <c r="D2842" s="16" t="s">
        <v>29</v>
      </c>
      <c r="E2842" s="16" t="s">
        <v>3007</v>
      </c>
      <c r="F2842" s="5" t="s">
        <v>3133</v>
      </c>
      <c r="G2842" s="16" t="s">
        <v>28</v>
      </c>
      <c r="H2842" s="16" t="s">
        <v>36</v>
      </c>
      <c r="I2842" s="16"/>
      <c r="J2842" s="16"/>
      <c r="K2842" s="16"/>
      <c r="L2842" s="16"/>
      <c r="M2842" s="16"/>
      <c r="N2842" s="16"/>
      <c r="O2842" s="17" t="s">
        <v>38</v>
      </c>
      <c r="P2842" s="5" t="str">
        <f t="shared" si="72"/>
        <v>Truncate table FSFICL;</v>
      </c>
      <c r="Q2842" s="5"/>
      <c r="R2842" s="5"/>
    </row>
    <row r="2843" spans="1:18" x14ac:dyDescent="0.25">
      <c r="B2843" s="19" t="s">
        <v>3741</v>
      </c>
      <c r="C2843" s="16"/>
      <c r="D2843" s="16" t="s">
        <v>29</v>
      </c>
      <c r="E2843" s="16" t="s">
        <v>3275</v>
      </c>
      <c r="F2843" s="5"/>
      <c r="G2843" s="16" t="s">
        <v>35</v>
      </c>
      <c r="H2843" s="16"/>
      <c r="I2843" s="16"/>
      <c r="J2843" s="16"/>
      <c r="K2843" s="16"/>
      <c r="L2843" s="16"/>
      <c r="M2843" s="16"/>
      <c r="N2843" s="16"/>
      <c r="O2843" s="17" t="s">
        <v>38</v>
      </c>
      <c r="P2843" s="5" t="str">
        <f t="shared" si="72"/>
        <v>Truncate table FSFICM;</v>
      </c>
      <c r="Q2843" s="5"/>
      <c r="R2843" s="5"/>
    </row>
    <row r="2844" spans="1:18" x14ac:dyDescent="0.25">
      <c r="B2844" s="19" t="s">
        <v>3742</v>
      </c>
      <c r="C2844" s="16"/>
      <c r="D2844" s="16" t="s">
        <v>29</v>
      </c>
      <c r="E2844" s="16" t="s">
        <v>3275</v>
      </c>
      <c r="F2844" s="5"/>
      <c r="G2844" s="16" t="s">
        <v>35</v>
      </c>
      <c r="H2844" s="16"/>
      <c r="I2844" s="16"/>
      <c r="J2844" s="16"/>
      <c r="K2844" s="16"/>
      <c r="L2844" s="16"/>
      <c r="M2844" s="16"/>
      <c r="N2844" s="16"/>
      <c r="O2844" s="17" t="s">
        <v>38</v>
      </c>
      <c r="P2844" s="5" t="str">
        <f t="shared" si="72"/>
        <v>Truncate table FSFICN;</v>
      </c>
      <c r="Q2844" s="5"/>
      <c r="R2844" s="5"/>
    </row>
    <row r="2845" spans="1:18" x14ac:dyDescent="0.25">
      <c r="B2845" s="19" t="s">
        <v>3743</v>
      </c>
      <c r="C2845" s="16"/>
      <c r="D2845" s="16" t="s">
        <v>29</v>
      </c>
      <c r="E2845" s="16" t="s">
        <v>3275</v>
      </c>
      <c r="F2845" s="5"/>
      <c r="G2845" s="16" t="s">
        <v>35</v>
      </c>
      <c r="H2845" s="16"/>
      <c r="I2845" s="16"/>
      <c r="J2845" s="16"/>
      <c r="K2845" s="16"/>
      <c r="L2845" s="16"/>
      <c r="M2845" s="16"/>
      <c r="N2845" s="16"/>
      <c r="O2845" s="17" t="s">
        <v>38</v>
      </c>
      <c r="P2845" s="5" t="str">
        <f t="shared" si="72"/>
        <v>Truncate table FSFICO;</v>
      </c>
      <c r="Q2845" s="5"/>
      <c r="R2845" s="5"/>
    </row>
    <row r="2846" spans="1:18" x14ac:dyDescent="0.25">
      <c r="B2846" s="19" t="s">
        <v>3744</v>
      </c>
      <c r="C2846" s="16"/>
      <c r="D2846" s="16" t="s">
        <v>29</v>
      </c>
      <c r="E2846" s="16" t="s">
        <v>3275</v>
      </c>
      <c r="F2846" s="5"/>
      <c r="G2846" s="16" t="s">
        <v>35</v>
      </c>
      <c r="H2846" s="16"/>
      <c r="I2846" s="16"/>
      <c r="J2846" s="16"/>
      <c r="K2846" s="16"/>
      <c r="L2846" s="16"/>
      <c r="M2846" s="16"/>
      <c r="N2846" s="16"/>
      <c r="O2846" s="17" t="s">
        <v>38</v>
      </c>
      <c r="P2846" s="5" t="str">
        <f t="shared" si="72"/>
        <v>Truncate table FSFICP;</v>
      </c>
      <c r="Q2846" s="5"/>
      <c r="R2846" s="5"/>
    </row>
    <row r="2847" spans="1:18" x14ac:dyDescent="0.25">
      <c r="B2847" s="19" t="s">
        <v>3745</v>
      </c>
      <c r="C2847" s="16"/>
      <c r="D2847" s="16" t="s">
        <v>29</v>
      </c>
      <c r="E2847" s="16"/>
      <c r="F2847" s="5"/>
      <c r="G2847" s="16" t="s">
        <v>35</v>
      </c>
      <c r="H2847" s="16"/>
      <c r="I2847" s="16"/>
      <c r="J2847" s="16"/>
      <c r="K2847" s="16"/>
      <c r="L2847" s="16"/>
      <c r="M2847" s="16"/>
      <c r="N2847" s="16"/>
      <c r="O2847" s="17"/>
      <c r="P2847" s="5" t="str">
        <f t="shared" si="72"/>
        <v>Truncate table FSFICQ;</v>
      </c>
      <c r="Q2847" s="5"/>
      <c r="R2847" s="5"/>
    </row>
    <row r="2848" spans="1:18" s="227" customFormat="1" x14ac:dyDescent="0.25">
      <c r="A2848" s="388"/>
      <c r="B2848" s="19" t="s">
        <v>3746</v>
      </c>
      <c r="C2848" s="183" t="s">
        <v>9824</v>
      </c>
      <c r="D2848" s="16" t="s">
        <v>29</v>
      </c>
      <c r="E2848" s="16" t="s">
        <v>3275</v>
      </c>
      <c r="F2848" s="16" t="s">
        <v>3133</v>
      </c>
      <c r="G2848" s="16" t="s">
        <v>35</v>
      </c>
      <c r="H2848" s="16"/>
      <c r="I2848" s="16"/>
      <c r="J2848" s="16"/>
      <c r="K2848" s="16"/>
      <c r="L2848" s="16"/>
      <c r="M2848" s="16"/>
      <c r="N2848" s="16"/>
      <c r="O2848" s="17" t="s">
        <v>38</v>
      </c>
      <c r="P2848" s="16" t="str">
        <f t="shared" si="72"/>
        <v>Truncate table FSFICR;</v>
      </c>
      <c r="Q2848" s="16"/>
      <c r="R2848" s="16"/>
    </row>
    <row r="2849" spans="1:18" x14ac:dyDescent="0.25">
      <c r="B2849" s="19" t="s">
        <v>3747</v>
      </c>
      <c r="C2849" s="16"/>
      <c r="D2849" s="16" t="s">
        <v>29</v>
      </c>
      <c r="E2849" s="16"/>
      <c r="F2849" s="5"/>
      <c r="G2849" s="16" t="s">
        <v>35</v>
      </c>
      <c r="H2849" s="16"/>
      <c r="I2849" s="16"/>
      <c r="J2849" s="16"/>
      <c r="K2849" s="16"/>
      <c r="L2849" s="16"/>
      <c r="M2849" s="16"/>
      <c r="N2849" s="16"/>
      <c r="O2849" s="17"/>
      <c r="P2849" s="5" t="str">
        <f t="shared" si="72"/>
        <v>Truncate table FSFICS;</v>
      </c>
      <c r="Q2849" s="5"/>
      <c r="R2849" s="5"/>
    </row>
    <row r="2850" spans="1:18" s="227" customFormat="1" x14ac:dyDescent="0.25">
      <c r="A2850" s="388"/>
      <c r="B2850" s="19" t="s">
        <v>3748</v>
      </c>
      <c r="C2850" s="183" t="s">
        <v>9825</v>
      </c>
      <c r="D2850" s="16" t="s">
        <v>29</v>
      </c>
      <c r="E2850" s="16" t="s">
        <v>3275</v>
      </c>
      <c r="F2850" s="16" t="s">
        <v>3133</v>
      </c>
      <c r="G2850" s="16" t="s">
        <v>35</v>
      </c>
      <c r="H2850" s="16"/>
      <c r="I2850" s="16"/>
      <c r="J2850" s="16"/>
      <c r="K2850" s="16"/>
      <c r="L2850" s="16"/>
      <c r="M2850" s="16"/>
      <c r="N2850" s="16"/>
      <c r="O2850" s="17" t="s">
        <v>38</v>
      </c>
      <c r="P2850" s="16" t="str">
        <f t="shared" si="72"/>
        <v>Truncate table FSFICT;</v>
      </c>
      <c r="Q2850" s="16"/>
      <c r="R2850" s="16"/>
    </row>
    <row r="2851" spans="1:18" x14ac:dyDescent="0.25">
      <c r="B2851" s="19" t="s">
        <v>3749</v>
      </c>
      <c r="C2851" s="16"/>
      <c r="D2851" s="16" t="s">
        <v>29</v>
      </c>
      <c r="E2851" s="16"/>
      <c r="F2851" s="5"/>
      <c r="G2851" s="16" t="s">
        <v>35</v>
      </c>
      <c r="H2851" s="16"/>
      <c r="I2851" s="16"/>
      <c r="J2851" s="16"/>
      <c r="K2851" s="16"/>
      <c r="L2851" s="16"/>
      <c r="M2851" s="16"/>
      <c r="N2851" s="16"/>
      <c r="O2851" s="17"/>
      <c r="P2851" s="5" t="str">
        <f t="shared" si="72"/>
        <v>Truncate table FSFICU;</v>
      </c>
      <c r="Q2851" s="5"/>
      <c r="R2851" s="5"/>
    </row>
    <row r="2852" spans="1:18" x14ac:dyDescent="0.25">
      <c r="B2852" s="19" t="s">
        <v>3750</v>
      </c>
      <c r="C2852" s="16"/>
      <c r="D2852" s="16" t="s">
        <v>29</v>
      </c>
      <c r="E2852" s="16"/>
      <c r="F2852" s="5"/>
      <c r="G2852" s="16" t="s">
        <v>35</v>
      </c>
      <c r="H2852" s="16"/>
      <c r="I2852" s="16"/>
      <c r="J2852" s="16"/>
      <c r="K2852" s="16"/>
      <c r="L2852" s="16"/>
      <c r="M2852" s="16"/>
      <c r="N2852" s="16"/>
      <c r="O2852" s="17"/>
      <c r="P2852" s="5" t="str">
        <f t="shared" si="72"/>
        <v>Truncate table FSFICV;</v>
      </c>
      <c r="Q2852" s="5"/>
      <c r="R2852" s="5"/>
    </row>
    <row r="2853" spans="1:18" x14ac:dyDescent="0.25">
      <c r="B2853" s="19" t="s">
        <v>3751</v>
      </c>
      <c r="C2853" s="16"/>
      <c r="D2853" s="16" t="s">
        <v>29</v>
      </c>
      <c r="E2853" s="16"/>
      <c r="F2853" s="5"/>
      <c r="G2853" s="16" t="s">
        <v>35</v>
      </c>
      <c r="H2853" s="16"/>
      <c r="I2853" s="16"/>
      <c r="J2853" s="16"/>
      <c r="K2853" s="16"/>
      <c r="L2853" s="16"/>
      <c r="M2853" s="16"/>
      <c r="N2853" s="16"/>
      <c r="O2853" s="17"/>
      <c r="P2853" s="5" t="str">
        <f t="shared" si="72"/>
        <v>Truncate table FSFICW;</v>
      </c>
      <c r="Q2853" s="5"/>
      <c r="R2853" s="5"/>
    </row>
    <row r="2854" spans="1:18" x14ac:dyDescent="0.25">
      <c r="B2854" s="19" t="s">
        <v>3752</v>
      </c>
      <c r="C2854" s="16"/>
      <c r="D2854" s="16" t="s">
        <v>29</v>
      </c>
      <c r="E2854" s="16"/>
      <c r="F2854" s="5"/>
      <c r="G2854" s="16" t="s">
        <v>35</v>
      </c>
      <c r="H2854" s="16"/>
      <c r="I2854" s="16"/>
      <c r="J2854" s="16"/>
      <c r="K2854" s="16"/>
      <c r="L2854" s="16"/>
      <c r="M2854" s="16"/>
      <c r="N2854" s="16"/>
      <c r="O2854" s="17"/>
      <c r="P2854" s="5" t="str">
        <f t="shared" si="72"/>
        <v>Truncate table FSFICX;</v>
      </c>
      <c r="Q2854" s="5"/>
      <c r="R2854" s="5"/>
    </row>
    <row r="2855" spans="1:18" s="227" customFormat="1" x14ac:dyDescent="0.25">
      <c r="A2855" s="388"/>
      <c r="B2855" s="19" t="s">
        <v>3753</v>
      </c>
      <c r="C2855" s="304" t="s">
        <v>9815</v>
      </c>
      <c r="D2855" s="16" t="s">
        <v>29</v>
      </c>
      <c r="E2855" s="16" t="s">
        <v>3275</v>
      </c>
      <c r="F2855" s="16" t="s">
        <v>3133</v>
      </c>
      <c r="G2855" s="16" t="s">
        <v>35</v>
      </c>
      <c r="H2855" s="16"/>
      <c r="I2855" s="16"/>
      <c r="J2855" s="16"/>
      <c r="K2855" s="16"/>
      <c r="L2855" s="16"/>
      <c r="M2855" s="16"/>
      <c r="N2855" s="16"/>
      <c r="O2855" s="17"/>
      <c r="P2855" s="16" t="str">
        <f t="shared" si="72"/>
        <v>Truncate table FSFID1;</v>
      </c>
      <c r="Q2855" s="16"/>
      <c r="R2855" s="16"/>
    </row>
    <row r="2856" spans="1:18" x14ac:dyDescent="0.25">
      <c r="B2856" s="19" t="s">
        <v>3754</v>
      </c>
      <c r="C2856" s="16"/>
      <c r="D2856" s="16" t="s">
        <v>29</v>
      </c>
      <c r="E2856" s="16"/>
      <c r="F2856" s="5"/>
      <c r="G2856" s="16" t="s">
        <v>35</v>
      </c>
      <c r="H2856" s="16"/>
      <c r="I2856" s="16"/>
      <c r="J2856" s="16"/>
      <c r="K2856" s="16"/>
      <c r="L2856" s="16"/>
      <c r="M2856" s="16"/>
      <c r="N2856" s="16"/>
      <c r="O2856" s="17"/>
      <c r="P2856" s="5" t="str">
        <f t="shared" si="72"/>
        <v>Truncate table FSFID5;</v>
      </c>
      <c r="Q2856" s="5"/>
      <c r="R2856" s="5"/>
    </row>
    <row r="2857" spans="1:18" x14ac:dyDescent="0.25">
      <c r="B2857" s="19" t="s">
        <v>3755</v>
      </c>
      <c r="C2857" s="16"/>
      <c r="D2857" s="16" t="s">
        <v>29</v>
      </c>
      <c r="E2857" s="16" t="s">
        <v>3275</v>
      </c>
      <c r="F2857" s="5"/>
      <c r="G2857" s="16" t="s">
        <v>35</v>
      </c>
      <c r="H2857" s="16"/>
      <c r="I2857" s="16"/>
      <c r="J2857" s="16"/>
      <c r="K2857" s="16"/>
      <c r="L2857" s="16"/>
      <c r="M2857" s="16"/>
      <c r="N2857" s="16"/>
      <c r="O2857" s="17" t="s">
        <v>38</v>
      </c>
      <c r="P2857" s="5" t="str">
        <f t="shared" si="72"/>
        <v>Truncate table FSFID6;</v>
      </c>
      <c r="Q2857" s="5"/>
      <c r="R2857" s="5"/>
    </row>
    <row r="2858" spans="1:18" x14ac:dyDescent="0.25">
      <c r="B2858" s="19" t="s">
        <v>3756</v>
      </c>
      <c r="C2858" s="16"/>
      <c r="D2858" s="16" t="s">
        <v>29</v>
      </c>
      <c r="E2858" s="16"/>
      <c r="F2858" s="5"/>
      <c r="G2858" s="16" t="s">
        <v>35</v>
      </c>
      <c r="H2858" s="16"/>
      <c r="I2858" s="16"/>
      <c r="J2858" s="16"/>
      <c r="K2858" s="16"/>
      <c r="L2858" s="16"/>
      <c r="M2858" s="16"/>
      <c r="N2858" s="16"/>
      <c r="O2858" s="17"/>
      <c r="P2858" s="5" t="str">
        <f t="shared" si="72"/>
        <v>Truncate table FSFID7;</v>
      </c>
      <c r="Q2858" s="5"/>
      <c r="R2858" s="5"/>
    </row>
    <row r="2859" spans="1:18" x14ac:dyDescent="0.25">
      <c r="B2859" s="19" t="s">
        <v>3757</v>
      </c>
      <c r="C2859" s="16"/>
      <c r="D2859" s="16" t="s">
        <v>29</v>
      </c>
      <c r="E2859" s="16"/>
      <c r="F2859" s="5"/>
      <c r="G2859" s="16" t="s">
        <v>35</v>
      </c>
      <c r="H2859" s="16"/>
      <c r="I2859" s="16"/>
      <c r="J2859" s="16"/>
      <c r="K2859" s="16"/>
      <c r="L2859" s="16"/>
      <c r="M2859" s="16"/>
      <c r="N2859" s="16"/>
      <c r="O2859" s="17"/>
      <c r="P2859" s="5" t="str">
        <f t="shared" si="72"/>
        <v>Truncate table FSFIDA;</v>
      </c>
      <c r="Q2859" s="5"/>
      <c r="R2859" s="5"/>
    </row>
    <row r="2860" spans="1:18" s="227" customFormat="1" x14ac:dyDescent="0.25">
      <c r="A2860" s="388"/>
      <c r="B2860" s="19" t="s">
        <v>3758</v>
      </c>
      <c r="C2860" s="304" t="s">
        <v>9816</v>
      </c>
      <c r="D2860" s="16" t="s">
        <v>29</v>
      </c>
      <c r="E2860" s="16" t="s">
        <v>3275</v>
      </c>
      <c r="F2860" s="16" t="s">
        <v>3133</v>
      </c>
      <c r="G2860" s="16" t="s">
        <v>35</v>
      </c>
      <c r="H2860" s="16"/>
      <c r="I2860" s="16"/>
      <c r="J2860" s="16"/>
      <c r="K2860" s="16"/>
      <c r="L2860" s="16"/>
      <c r="M2860" s="16"/>
      <c r="N2860" s="16"/>
      <c r="O2860" s="17" t="s">
        <v>38</v>
      </c>
      <c r="P2860" s="16" t="str">
        <f t="shared" si="72"/>
        <v>Truncate table FSFIDC;</v>
      </c>
      <c r="Q2860" s="16"/>
      <c r="R2860" s="16"/>
    </row>
    <row r="2861" spans="1:18" x14ac:dyDescent="0.25">
      <c r="B2861" s="19" t="s">
        <v>3759</v>
      </c>
      <c r="C2861" s="16"/>
      <c r="D2861" s="16" t="s">
        <v>29</v>
      </c>
      <c r="E2861" s="16"/>
      <c r="F2861" s="5"/>
      <c r="G2861" s="16" t="s">
        <v>35</v>
      </c>
      <c r="H2861" s="16"/>
      <c r="I2861" s="16"/>
      <c r="J2861" s="16"/>
      <c r="K2861" s="16"/>
      <c r="L2861" s="16"/>
      <c r="M2861" s="16"/>
      <c r="N2861" s="16"/>
      <c r="O2861" s="17"/>
      <c r="P2861" s="5" t="str">
        <f t="shared" si="72"/>
        <v>Truncate table FSFIDD;</v>
      </c>
      <c r="Q2861" s="5"/>
      <c r="R2861" s="5"/>
    </row>
    <row r="2862" spans="1:18" s="227" customFormat="1" x14ac:dyDescent="0.25">
      <c r="A2862" s="388"/>
      <c r="B2862" s="19" t="s">
        <v>3760</v>
      </c>
      <c r="C2862" s="304" t="s">
        <v>9817</v>
      </c>
      <c r="D2862" s="16" t="s">
        <v>29</v>
      </c>
      <c r="E2862" s="16" t="s">
        <v>3275</v>
      </c>
      <c r="F2862" s="16" t="s">
        <v>3133</v>
      </c>
      <c r="G2862" s="16" t="s">
        <v>35</v>
      </c>
      <c r="H2862" s="16" t="s">
        <v>36</v>
      </c>
      <c r="I2862" s="16"/>
      <c r="J2862" s="16"/>
      <c r="K2862" s="16"/>
      <c r="L2862" s="16"/>
      <c r="M2862" s="16"/>
      <c r="N2862" s="16"/>
      <c r="O2862" s="17" t="s">
        <v>38</v>
      </c>
      <c r="P2862" s="16" t="str">
        <f t="shared" si="72"/>
        <v>Truncate table FSFIDE;</v>
      </c>
      <c r="Q2862" s="16"/>
      <c r="R2862" s="16"/>
    </row>
    <row r="2863" spans="1:18" s="227" customFormat="1" x14ac:dyDescent="0.25">
      <c r="A2863" s="388"/>
      <c r="B2863" s="19" t="s">
        <v>3761</v>
      </c>
      <c r="C2863" s="304" t="s">
        <v>9818</v>
      </c>
      <c r="D2863" s="16" t="s">
        <v>29</v>
      </c>
      <c r="E2863" s="16" t="s">
        <v>3275</v>
      </c>
      <c r="F2863" s="16" t="s">
        <v>3133</v>
      </c>
      <c r="G2863" s="16" t="s">
        <v>35</v>
      </c>
      <c r="H2863" s="16" t="s">
        <v>36</v>
      </c>
      <c r="I2863" s="16"/>
      <c r="J2863" s="16"/>
      <c r="K2863" s="16"/>
      <c r="L2863" s="16"/>
      <c r="M2863" s="16"/>
      <c r="N2863" s="16"/>
      <c r="O2863" s="17" t="s">
        <v>38</v>
      </c>
      <c r="P2863" s="16" t="str">
        <f t="shared" si="72"/>
        <v>Truncate table FSFIDF;</v>
      </c>
      <c r="Q2863" s="16"/>
      <c r="R2863" s="16"/>
    </row>
    <row r="2864" spans="1:18" x14ac:dyDescent="0.25">
      <c r="B2864" s="19" t="s">
        <v>3762</v>
      </c>
      <c r="C2864" s="16"/>
      <c r="D2864" s="16" t="s">
        <v>29</v>
      </c>
      <c r="E2864" s="16"/>
      <c r="F2864" s="5"/>
      <c r="G2864" s="16" t="s">
        <v>35</v>
      </c>
      <c r="H2864" s="16"/>
      <c r="I2864" s="16"/>
      <c r="J2864" s="16"/>
      <c r="K2864" s="16"/>
      <c r="L2864" s="16"/>
      <c r="M2864" s="16"/>
      <c r="N2864" s="16"/>
      <c r="O2864" s="17"/>
      <c r="P2864" s="5" t="str">
        <f t="shared" si="72"/>
        <v>Truncate table FSFIDG;</v>
      </c>
      <c r="Q2864" s="5"/>
      <c r="R2864" s="5"/>
    </row>
    <row r="2865" spans="2:18" x14ac:dyDescent="0.25">
      <c r="B2865" s="19" t="s">
        <v>3763</v>
      </c>
      <c r="C2865" s="16"/>
      <c r="D2865" s="16" t="s">
        <v>29</v>
      </c>
      <c r="E2865" s="16"/>
      <c r="F2865" s="5"/>
      <c r="G2865" s="16" t="s">
        <v>35</v>
      </c>
      <c r="H2865" s="16"/>
      <c r="I2865" s="16"/>
      <c r="J2865" s="16"/>
      <c r="K2865" s="16"/>
      <c r="L2865" s="16"/>
      <c r="M2865" s="16"/>
      <c r="N2865" s="16"/>
      <c r="O2865" s="17"/>
      <c r="P2865" s="5" t="str">
        <f t="shared" ref="P2865:P2928" si="73">IF(D2865="Datos","Truncate table "&amp; B2865&amp; ";","")</f>
        <v>Truncate table FSFL11;</v>
      </c>
      <c r="Q2865" s="5"/>
      <c r="R2865" s="5"/>
    </row>
    <row r="2866" spans="2:18" x14ac:dyDescent="0.25">
      <c r="B2866" s="19" t="s">
        <v>3764</v>
      </c>
      <c r="C2866" s="16"/>
      <c r="D2866" s="16" t="s">
        <v>29</v>
      </c>
      <c r="E2866" s="16"/>
      <c r="F2866" s="5"/>
      <c r="G2866" s="16" t="s">
        <v>35</v>
      </c>
      <c r="H2866" s="16"/>
      <c r="I2866" s="16"/>
      <c r="J2866" s="16"/>
      <c r="K2866" s="16"/>
      <c r="L2866" s="16"/>
      <c r="M2866" s="16"/>
      <c r="N2866" s="16"/>
      <c r="O2866" s="17"/>
      <c r="P2866" s="5" t="str">
        <f t="shared" si="73"/>
        <v>Truncate table FSFL12;</v>
      </c>
      <c r="Q2866" s="5"/>
      <c r="R2866" s="5"/>
    </row>
    <row r="2867" spans="2:18" x14ac:dyDescent="0.25">
      <c r="B2867" s="19" t="s">
        <v>3765</v>
      </c>
      <c r="C2867" s="16"/>
      <c r="D2867" s="16" t="s">
        <v>29</v>
      </c>
      <c r="E2867" s="16"/>
      <c r="F2867" s="5"/>
      <c r="G2867" s="16" t="s">
        <v>35</v>
      </c>
      <c r="H2867" s="16"/>
      <c r="I2867" s="16"/>
      <c r="J2867" s="16"/>
      <c r="K2867" s="16"/>
      <c r="L2867" s="16"/>
      <c r="M2867" s="16"/>
      <c r="N2867" s="16"/>
      <c r="O2867" s="17"/>
      <c r="P2867" s="5" t="str">
        <f t="shared" si="73"/>
        <v>Truncate table FSFL13;</v>
      </c>
      <c r="Q2867" s="5"/>
      <c r="R2867" s="5"/>
    </row>
    <row r="2868" spans="2:18" x14ac:dyDescent="0.25">
      <c r="B2868" s="19" t="s">
        <v>3766</v>
      </c>
      <c r="C2868" s="16"/>
      <c r="D2868" s="16" t="s">
        <v>29</v>
      </c>
      <c r="E2868" s="16"/>
      <c r="F2868" s="5"/>
      <c r="G2868" s="16" t="s">
        <v>35</v>
      </c>
      <c r="H2868" s="16"/>
      <c r="I2868" s="16"/>
      <c r="J2868" s="16"/>
      <c r="K2868" s="16"/>
      <c r="L2868" s="16"/>
      <c r="M2868" s="16"/>
      <c r="N2868" s="16"/>
      <c r="O2868" s="17"/>
      <c r="P2868" s="5" t="str">
        <f t="shared" si="73"/>
        <v>Truncate table FSFL14;</v>
      </c>
      <c r="Q2868" s="5"/>
      <c r="R2868" s="5"/>
    </row>
    <row r="2869" spans="2:18" x14ac:dyDescent="0.25">
      <c r="B2869" s="19" t="s">
        <v>3767</v>
      </c>
      <c r="C2869" s="16"/>
      <c r="D2869" s="16" t="s">
        <v>29</v>
      </c>
      <c r="E2869" s="16"/>
      <c r="F2869" s="5"/>
      <c r="G2869" s="16" t="s">
        <v>35</v>
      </c>
      <c r="H2869" s="16"/>
      <c r="I2869" s="16"/>
      <c r="J2869" s="16"/>
      <c r="K2869" s="16"/>
      <c r="L2869" s="16"/>
      <c r="M2869" s="16"/>
      <c r="N2869" s="16"/>
      <c r="O2869" s="17"/>
      <c r="P2869" s="5" t="str">
        <f t="shared" si="73"/>
        <v>Truncate table FSFL15;</v>
      </c>
      <c r="Q2869" s="5"/>
      <c r="R2869" s="5"/>
    </row>
    <row r="2870" spans="2:18" x14ac:dyDescent="0.25">
      <c r="B2870" s="19" t="s">
        <v>3768</v>
      </c>
      <c r="C2870" s="16"/>
      <c r="D2870" s="16" t="s">
        <v>29</v>
      </c>
      <c r="E2870" s="16"/>
      <c r="F2870" s="5"/>
      <c r="G2870" s="16" t="s">
        <v>35</v>
      </c>
      <c r="H2870" s="16"/>
      <c r="I2870" s="16"/>
      <c r="J2870" s="16"/>
      <c r="K2870" s="16"/>
      <c r="L2870" s="16"/>
      <c r="M2870" s="16"/>
      <c r="N2870" s="16"/>
      <c r="O2870" s="17"/>
      <c r="P2870" s="5" t="str">
        <f t="shared" si="73"/>
        <v>Truncate table FSFL16;</v>
      </c>
      <c r="Q2870" s="5"/>
      <c r="R2870" s="5"/>
    </row>
    <row r="2871" spans="2:18" x14ac:dyDescent="0.25">
      <c r="B2871" s="19" t="s">
        <v>3769</v>
      </c>
      <c r="C2871" s="16"/>
      <c r="D2871" s="16" t="s">
        <v>29</v>
      </c>
      <c r="E2871" s="16"/>
      <c r="F2871" s="5"/>
      <c r="G2871" s="16" t="s">
        <v>35</v>
      </c>
      <c r="H2871" s="16"/>
      <c r="I2871" s="16"/>
      <c r="J2871" s="16"/>
      <c r="K2871" s="16"/>
      <c r="L2871" s="16"/>
      <c r="M2871" s="16"/>
      <c r="N2871" s="16"/>
      <c r="O2871" s="17"/>
      <c r="P2871" s="5" t="str">
        <f t="shared" si="73"/>
        <v>Truncate table FSFL17;</v>
      </c>
      <c r="Q2871" s="5"/>
      <c r="R2871" s="5"/>
    </row>
    <row r="2872" spans="2:18" x14ac:dyDescent="0.25">
      <c r="B2872" s="19" t="s">
        <v>3770</v>
      </c>
      <c r="C2872" s="16"/>
      <c r="D2872" s="16" t="s">
        <v>29</v>
      </c>
      <c r="E2872" s="16"/>
      <c r="F2872" s="5"/>
      <c r="G2872" s="16" t="s">
        <v>35</v>
      </c>
      <c r="H2872" s="16"/>
      <c r="I2872" s="16"/>
      <c r="J2872" s="16"/>
      <c r="K2872" s="16"/>
      <c r="L2872" s="16"/>
      <c r="M2872" s="16"/>
      <c r="N2872" s="16"/>
      <c r="O2872" s="17"/>
      <c r="P2872" s="5" t="str">
        <f t="shared" si="73"/>
        <v>Truncate table FSFL18;</v>
      </c>
      <c r="Q2872" s="5"/>
      <c r="R2872" s="5"/>
    </row>
    <row r="2873" spans="2:18" x14ac:dyDescent="0.25">
      <c r="B2873" s="19" t="s">
        <v>3771</v>
      </c>
      <c r="C2873" s="16"/>
      <c r="D2873" s="16" t="s">
        <v>29</v>
      </c>
      <c r="E2873" s="16"/>
      <c r="F2873" s="5"/>
      <c r="G2873" s="16" t="s">
        <v>35</v>
      </c>
      <c r="H2873" s="16"/>
      <c r="I2873" s="16"/>
      <c r="J2873" s="16"/>
      <c r="K2873" s="16"/>
      <c r="L2873" s="16"/>
      <c r="M2873" s="16"/>
      <c r="N2873" s="16"/>
      <c r="O2873" s="17"/>
      <c r="P2873" s="5" t="str">
        <f t="shared" si="73"/>
        <v>Truncate table FSFL19;</v>
      </c>
      <c r="Q2873" s="5"/>
      <c r="R2873" s="5"/>
    </row>
    <row r="2874" spans="2:18" x14ac:dyDescent="0.25">
      <c r="B2874" s="19" t="s">
        <v>3772</v>
      </c>
      <c r="C2874" s="16"/>
      <c r="D2874" s="16" t="s">
        <v>29</v>
      </c>
      <c r="E2874" s="16"/>
      <c r="F2874" s="5"/>
      <c r="G2874" s="16" t="s">
        <v>35</v>
      </c>
      <c r="H2874" s="16"/>
      <c r="I2874" s="16"/>
      <c r="J2874" s="16"/>
      <c r="K2874" s="16"/>
      <c r="L2874" s="16"/>
      <c r="M2874" s="16"/>
      <c r="N2874" s="16"/>
      <c r="O2874" s="17"/>
      <c r="P2874" s="5" t="str">
        <f t="shared" si="73"/>
        <v>Truncate table FSFL20;</v>
      </c>
      <c r="Q2874" s="5"/>
      <c r="R2874" s="5"/>
    </row>
    <row r="2875" spans="2:18" x14ac:dyDescent="0.25">
      <c r="B2875" s="19" t="s">
        <v>3773</v>
      </c>
      <c r="C2875" s="16"/>
      <c r="D2875" s="16" t="s">
        <v>29</v>
      </c>
      <c r="E2875" s="16"/>
      <c r="F2875" s="5"/>
      <c r="G2875" s="16" t="s">
        <v>35</v>
      </c>
      <c r="H2875" s="16"/>
      <c r="I2875" s="16"/>
      <c r="J2875" s="16"/>
      <c r="K2875" s="16"/>
      <c r="L2875" s="16"/>
      <c r="M2875" s="16"/>
      <c r="N2875" s="16"/>
      <c r="O2875" s="17"/>
      <c r="P2875" s="5" t="str">
        <f t="shared" si="73"/>
        <v>Truncate table FSFL21;</v>
      </c>
      <c r="Q2875" s="5"/>
      <c r="R2875" s="5"/>
    </row>
    <row r="2876" spans="2:18" x14ac:dyDescent="0.25">
      <c r="B2876" s="19" t="s">
        <v>3774</v>
      </c>
      <c r="C2876" s="16"/>
      <c r="D2876" s="16" t="s">
        <v>29</v>
      </c>
      <c r="E2876" s="16"/>
      <c r="F2876" s="5"/>
      <c r="G2876" s="16" t="s">
        <v>35</v>
      </c>
      <c r="H2876" s="16"/>
      <c r="I2876" s="16"/>
      <c r="J2876" s="16"/>
      <c r="K2876" s="16"/>
      <c r="L2876" s="16"/>
      <c r="M2876" s="16"/>
      <c r="N2876" s="16"/>
      <c r="O2876" s="17"/>
      <c r="P2876" s="5" t="str">
        <f t="shared" si="73"/>
        <v>Truncate table FSFL22;</v>
      </c>
      <c r="Q2876" s="5"/>
      <c r="R2876" s="5"/>
    </row>
    <row r="2877" spans="2:18" x14ac:dyDescent="0.25">
      <c r="B2877" s="19" t="s">
        <v>3775</v>
      </c>
      <c r="C2877" s="16"/>
      <c r="D2877" s="16" t="s">
        <v>29</v>
      </c>
      <c r="E2877" s="16"/>
      <c r="F2877" s="5"/>
      <c r="G2877" s="16" t="s">
        <v>35</v>
      </c>
      <c r="H2877" s="16"/>
      <c r="I2877" s="16"/>
      <c r="J2877" s="16"/>
      <c r="K2877" s="16"/>
      <c r="L2877" s="16"/>
      <c r="M2877" s="16"/>
      <c r="N2877" s="16"/>
      <c r="O2877" s="17"/>
      <c r="P2877" s="5" t="str">
        <f t="shared" si="73"/>
        <v>Truncate table FSFL23;</v>
      </c>
      <c r="Q2877" s="5"/>
      <c r="R2877" s="5"/>
    </row>
    <row r="2878" spans="2:18" x14ac:dyDescent="0.25">
      <c r="B2878" s="19" t="s">
        <v>3776</v>
      </c>
      <c r="C2878" s="16"/>
      <c r="D2878" s="16" t="s">
        <v>29</v>
      </c>
      <c r="E2878" s="16"/>
      <c r="F2878" s="5"/>
      <c r="G2878" s="16" t="s">
        <v>35</v>
      </c>
      <c r="H2878" s="16"/>
      <c r="I2878" s="16"/>
      <c r="J2878" s="16"/>
      <c r="K2878" s="16"/>
      <c r="L2878" s="16"/>
      <c r="M2878" s="16"/>
      <c r="N2878" s="16"/>
      <c r="O2878" s="17"/>
      <c r="P2878" s="5" t="str">
        <f t="shared" si="73"/>
        <v>Truncate table FSFL24;</v>
      </c>
      <c r="Q2878" s="5"/>
      <c r="R2878" s="5"/>
    </row>
    <row r="2879" spans="2:18" x14ac:dyDescent="0.25">
      <c r="B2879" s="19" t="s">
        <v>3777</v>
      </c>
      <c r="C2879" s="16"/>
      <c r="D2879" s="16" t="s">
        <v>29</v>
      </c>
      <c r="E2879" s="16"/>
      <c r="F2879" s="5"/>
      <c r="G2879" s="16" t="s">
        <v>35</v>
      </c>
      <c r="H2879" s="16"/>
      <c r="I2879" s="16"/>
      <c r="J2879" s="16"/>
      <c r="K2879" s="16"/>
      <c r="L2879" s="16"/>
      <c r="M2879" s="16"/>
      <c r="N2879" s="16"/>
      <c r="O2879" s="17"/>
      <c r="P2879" s="5" t="str">
        <f t="shared" si="73"/>
        <v>Truncate table FSFL26;</v>
      </c>
      <c r="Q2879" s="5"/>
      <c r="R2879" s="5"/>
    </row>
    <row r="2880" spans="2:18" x14ac:dyDescent="0.25">
      <c r="B2880" s="19" t="s">
        <v>3778</v>
      </c>
      <c r="C2880" s="16"/>
      <c r="D2880" s="16" t="s">
        <v>29</v>
      </c>
      <c r="E2880" s="16"/>
      <c r="F2880" s="5"/>
      <c r="G2880" s="16" t="s">
        <v>35</v>
      </c>
      <c r="H2880" s="16"/>
      <c r="I2880" s="16"/>
      <c r="J2880" s="16"/>
      <c r="K2880" s="16"/>
      <c r="L2880" s="16"/>
      <c r="M2880" s="16"/>
      <c r="N2880" s="16"/>
      <c r="O2880" s="17"/>
      <c r="P2880" s="5" t="str">
        <f t="shared" si="73"/>
        <v>Truncate table FSFL27;</v>
      </c>
      <c r="Q2880" s="5"/>
      <c r="R2880" s="5"/>
    </row>
    <row r="2881" spans="2:18" x14ac:dyDescent="0.25">
      <c r="B2881" s="19" t="s">
        <v>3779</v>
      </c>
      <c r="C2881" s="16"/>
      <c r="D2881" s="16" t="s">
        <v>29</v>
      </c>
      <c r="E2881" s="16"/>
      <c r="F2881" s="5"/>
      <c r="G2881" s="16" t="s">
        <v>35</v>
      </c>
      <c r="H2881" s="16"/>
      <c r="I2881" s="16"/>
      <c r="J2881" s="16"/>
      <c r="K2881" s="16"/>
      <c r="L2881" s="16"/>
      <c r="M2881" s="16"/>
      <c r="N2881" s="16"/>
      <c r="O2881" s="17"/>
      <c r="P2881" s="5" t="str">
        <f t="shared" si="73"/>
        <v>Truncate table FSFL28;</v>
      </c>
      <c r="Q2881" s="5"/>
      <c r="R2881" s="5"/>
    </row>
    <row r="2882" spans="2:18" x14ac:dyDescent="0.25">
      <c r="B2882" s="19" t="s">
        <v>3780</v>
      </c>
      <c r="C2882" s="16"/>
      <c r="D2882" s="16" t="s">
        <v>29</v>
      </c>
      <c r="E2882" s="16"/>
      <c r="F2882" s="5"/>
      <c r="G2882" s="16" t="s">
        <v>35</v>
      </c>
      <c r="H2882" s="16"/>
      <c r="I2882" s="16"/>
      <c r="J2882" s="16"/>
      <c r="K2882" s="16"/>
      <c r="L2882" s="16"/>
      <c r="M2882" s="16"/>
      <c r="N2882" s="16"/>
      <c r="O2882" s="17"/>
      <c r="P2882" s="5" t="str">
        <f t="shared" si="73"/>
        <v>Truncate table FSFL29;</v>
      </c>
      <c r="Q2882" s="5"/>
      <c r="R2882" s="5"/>
    </row>
    <row r="2883" spans="2:18" x14ac:dyDescent="0.25">
      <c r="B2883" s="19" t="s">
        <v>3781</v>
      </c>
      <c r="C2883" s="16"/>
      <c r="D2883" s="16" t="s">
        <v>29</v>
      </c>
      <c r="E2883" s="16"/>
      <c r="F2883" s="5"/>
      <c r="G2883" s="16" t="s">
        <v>35</v>
      </c>
      <c r="H2883" s="16"/>
      <c r="I2883" s="16"/>
      <c r="J2883" s="16"/>
      <c r="K2883" s="16"/>
      <c r="L2883" s="16"/>
      <c r="M2883" s="16"/>
      <c r="N2883" s="16"/>
      <c r="O2883" s="17"/>
      <c r="P2883" s="5" t="str">
        <f t="shared" si="73"/>
        <v>Truncate table FSFL30;</v>
      </c>
      <c r="Q2883" s="5"/>
      <c r="R2883" s="5"/>
    </row>
    <row r="2884" spans="2:18" x14ac:dyDescent="0.25">
      <c r="B2884" s="19" t="s">
        <v>3782</v>
      </c>
      <c r="C2884" s="16"/>
      <c r="D2884" s="16" t="s">
        <v>29</v>
      </c>
      <c r="E2884" s="16"/>
      <c r="F2884" s="5"/>
      <c r="G2884" s="16" t="s">
        <v>35</v>
      </c>
      <c r="H2884" s="16"/>
      <c r="I2884" s="16"/>
      <c r="J2884" s="16"/>
      <c r="K2884" s="16"/>
      <c r="L2884" s="16"/>
      <c r="M2884" s="16"/>
      <c r="N2884" s="16"/>
      <c r="O2884" s="17"/>
      <c r="P2884" s="5" t="str">
        <f t="shared" si="73"/>
        <v>Truncate table FSFL31;</v>
      </c>
      <c r="Q2884" s="5"/>
      <c r="R2884" s="5"/>
    </row>
    <row r="2885" spans="2:18" x14ac:dyDescent="0.25">
      <c r="B2885" s="19" t="s">
        <v>3783</v>
      </c>
      <c r="C2885" s="16"/>
      <c r="D2885" s="16" t="s">
        <v>29</v>
      </c>
      <c r="E2885" s="16"/>
      <c r="F2885" s="5"/>
      <c r="G2885" s="16" t="s">
        <v>35</v>
      </c>
      <c r="H2885" s="16"/>
      <c r="I2885" s="16"/>
      <c r="J2885" s="16"/>
      <c r="K2885" s="16"/>
      <c r="L2885" s="16"/>
      <c r="M2885" s="16"/>
      <c r="N2885" s="16"/>
      <c r="O2885" s="17"/>
      <c r="P2885" s="5" t="str">
        <f t="shared" si="73"/>
        <v>Truncate table FSFL32;</v>
      </c>
      <c r="Q2885" s="5"/>
      <c r="R2885" s="5"/>
    </row>
    <row r="2886" spans="2:18" x14ac:dyDescent="0.25">
      <c r="B2886" s="19" t="s">
        <v>3784</v>
      </c>
      <c r="C2886" s="16"/>
      <c r="D2886" s="16" t="s">
        <v>29</v>
      </c>
      <c r="E2886" s="16"/>
      <c r="F2886" s="5"/>
      <c r="G2886" s="16" t="s">
        <v>35</v>
      </c>
      <c r="H2886" s="16"/>
      <c r="I2886" s="16"/>
      <c r="J2886" s="16"/>
      <c r="K2886" s="16"/>
      <c r="L2886" s="16"/>
      <c r="M2886" s="16"/>
      <c r="N2886" s="16"/>
      <c r="O2886" s="17"/>
      <c r="P2886" s="5" t="str">
        <f t="shared" si="73"/>
        <v>Truncate table FSFL33;</v>
      </c>
      <c r="Q2886" s="5"/>
      <c r="R2886" s="5"/>
    </row>
    <row r="2887" spans="2:18" x14ac:dyDescent="0.25">
      <c r="B2887" s="19" t="s">
        <v>3785</v>
      </c>
      <c r="C2887" s="16"/>
      <c r="D2887" s="16" t="s">
        <v>29</v>
      </c>
      <c r="E2887" s="16"/>
      <c r="F2887" s="5"/>
      <c r="G2887" s="16" t="s">
        <v>35</v>
      </c>
      <c r="H2887" s="16"/>
      <c r="I2887" s="16"/>
      <c r="J2887" s="16"/>
      <c r="K2887" s="16"/>
      <c r="L2887" s="16"/>
      <c r="M2887" s="16"/>
      <c r="N2887" s="16"/>
      <c r="O2887" s="17"/>
      <c r="P2887" s="5" t="str">
        <f t="shared" si="73"/>
        <v>Truncate table FSFL34;</v>
      </c>
      <c r="Q2887" s="5"/>
      <c r="R2887" s="5"/>
    </row>
    <row r="2888" spans="2:18" x14ac:dyDescent="0.25">
      <c r="B2888" s="19" t="s">
        <v>3786</v>
      </c>
      <c r="C2888" s="16"/>
      <c r="D2888" s="16" t="s">
        <v>29</v>
      </c>
      <c r="E2888" s="16"/>
      <c r="F2888" s="5"/>
      <c r="G2888" s="16" t="s">
        <v>35</v>
      </c>
      <c r="H2888" s="16"/>
      <c r="I2888" s="16"/>
      <c r="J2888" s="16"/>
      <c r="K2888" s="16"/>
      <c r="L2888" s="16"/>
      <c r="M2888" s="16"/>
      <c r="N2888" s="16"/>
      <c r="O2888" s="17"/>
      <c r="P2888" s="5" t="str">
        <f t="shared" si="73"/>
        <v>Truncate table FSFL35;</v>
      </c>
      <c r="Q2888" s="5"/>
      <c r="R2888" s="5"/>
    </row>
    <row r="2889" spans="2:18" x14ac:dyDescent="0.25">
      <c r="B2889" s="19" t="s">
        <v>3787</v>
      </c>
      <c r="C2889" s="16"/>
      <c r="D2889" s="16" t="s">
        <v>29</v>
      </c>
      <c r="E2889" s="16"/>
      <c r="F2889" s="5"/>
      <c r="G2889" s="16" t="s">
        <v>35</v>
      </c>
      <c r="H2889" s="16"/>
      <c r="I2889" s="16"/>
      <c r="J2889" s="16"/>
      <c r="K2889" s="16"/>
      <c r="L2889" s="16"/>
      <c r="M2889" s="16"/>
      <c r="N2889" s="16"/>
      <c r="O2889" s="17"/>
      <c r="P2889" s="5" t="str">
        <f t="shared" si="73"/>
        <v>Truncate table FSFL36;</v>
      </c>
      <c r="Q2889" s="5"/>
      <c r="R2889" s="5"/>
    </row>
    <row r="2890" spans="2:18" x14ac:dyDescent="0.25">
      <c r="B2890" s="19" t="s">
        <v>3788</v>
      </c>
      <c r="C2890" s="16"/>
      <c r="D2890" s="16" t="s">
        <v>29</v>
      </c>
      <c r="E2890" s="16"/>
      <c r="F2890" s="5"/>
      <c r="G2890" s="16" t="s">
        <v>35</v>
      </c>
      <c r="H2890" s="16"/>
      <c r="I2890" s="16"/>
      <c r="J2890" s="16"/>
      <c r="K2890" s="16"/>
      <c r="L2890" s="16"/>
      <c r="M2890" s="16"/>
      <c r="N2890" s="16"/>
      <c r="O2890" s="17"/>
      <c r="P2890" s="5" t="str">
        <f t="shared" si="73"/>
        <v>Truncate table FSFL37;</v>
      </c>
      <c r="Q2890" s="5"/>
      <c r="R2890" s="5"/>
    </row>
    <row r="2891" spans="2:18" x14ac:dyDescent="0.25">
      <c r="B2891" s="19" t="s">
        <v>3789</v>
      </c>
      <c r="C2891" s="16"/>
      <c r="D2891" s="16" t="s">
        <v>29</v>
      </c>
      <c r="E2891" s="16"/>
      <c r="F2891" s="5"/>
      <c r="G2891" s="16" t="s">
        <v>35</v>
      </c>
      <c r="H2891" s="16"/>
      <c r="I2891" s="16"/>
      <c r="J2891" s="16"/>
      <c r="K2891" s="16"/>
      <c r="L2891" s="16"/>
      <c r="M2891" s="16"/>
      <c r="N2891" s="16"/>
      <c r="O2891" s="17"/>
      <c r="P2891" s="5" t="str">
        <f t="shared" si="73"/>
        <v>Truncate table FSFL38;</v>
      </c>
      <c r="Q2891" s="5"/>
      <c r="R2891" s="5"/>
    </row>
    <row r="2892" spans="2:18" x14ac:dyDescent="0.25">
      <c r="B2892" s="19" t="s">
        <v>3790</v>
      </c>
      <c r="C2892" s="16"/>
      <c r="D2892" s="16" t="s">
        <v>29</v>
      </c>
      <c r="E2892" s="16"/>
      <c r="F2892" s="5"/>
      <c r="G2892" s="16" t="s">
        <v>35</v>
      </c>
      <c r="H2892" s="16"/>
      <c r="I2892" s="16"/>
      <c r="J2892" s="16"/>
      <c r="K2892" s="16"/>
      <c r="L2892" s="16"/>
      <c r="M2892" s="16"/>
      <c r="N2892" s="16"/>
      <c r="O2892" s="17"/>
      <c r="P2892" s="5" t="str">
        <f t="shared" si="73"/>
        <v>Truncate table FSFL39;</v>
      </c>
      <c r="Q2892" s="5"/>
      <c r="R2892" s="5"/>
    </row>
    <row r="2893" spans="2:18" x14ac:dyDescent="0.25">
      <c r="B2893" s="19" t="s">
        <v>3791</v>
      </c>
      <c r="C2893" s="16"/>
      <c r="D2893" s="16" t="s">
        <v>29</v>
      </c>
      <c r="E2893" s="16"/>
      <c r="F2893" s="5"/>
      <c r="G2893" s="16" t="s">
        <v>35</v>
      </c>
      <c r="H2893" s="16"/>
      <c r="I2893" s="16"/>
      <c r="J2893" s="16"/>
      <c r="K2893" s="16"/>
      <c r="L2893" s="16"/>
      <c r="M2893" s="16"/>
      <c r="N2893" s="16"/>
      <c r="O2893" s="17"/>
      <c r="P2893" s="5" t="str">
        <f t="shared" si="73"/>
        <v>Truncate table FSFL40;</v>
      </c>
      <c r="Q2893" s="5"/>
      <c r="R2893" s="5"/>
    </row>
    <row r="2894" spans="2:18" x14ac:dyDescent="0.25">
      <c r="B2894" s="19" t="s">
        <v>3792</v>
      </c>
      <c r="C2894" s="16"/>
      <c r="D2894" s="16" t="s">
        <v>29</v>
      </c>
      <c r="E2894" s="16"/>
      <c r="F2894" s="5"/>
      <c r="G2894" s="16" t="s">
        <v>35</v>
      </c>
      <c r="H2894" s="16"/>
      <c r="I2894" s="16"/>
      <c r="J2894" s="16"/>
      <c r="K2894" s="16"/>
      <c r="L2894" s="16"/>
      <c r="M2894" s="16"/>
      <c r="N2894" s="16"/>
      <c r="O2894" s="17"/>
      <c r="P2894" s="5" t="str">
        <f t="shared" si="73"/>
        <v>Truncate table FSFL41;</v>
      </c>
      <c r="Q2894" s="5"/>
      <c r="R2894" s="5"/>
    </row>
    <row r="2895" spans="2:18" x14ac:dyDescent="0.25">
      <c r="B2895" s="19" t="s">
        <v>3793</v>
      </c>
      <c r="C2895" s="16"/>
      <c r="D2895" s="16" t="s">
        <v>29</v>
      </c>
      <c r="E2895" s="16"/>
      <c r="F2895" s="5"/>
      <c r="G2895" s="16" t="s">
        <v>35</v>
      </c>
      <c r="H2895" s="16"/>
      <c r="I2895" s="16"/>
      <c r="J2895" s="16"/>
      <c r="K2895" s="16"/>
      <c r="L2895" s="16"/>
      <c r="M2895" s="16"/>
      <c r="N2895" s="16"/>
      <c r="O2895" s="17"/>
      <c r="P2895" s="5" t="str">
        <f t="shared" si="73"/>
        <v>Truncate table FSFL42;</v>
      </c>
      <c r="Q2895" s="5"/>
      <c r="R2895" s="5"/>
    </row>
    <row r="2896" spans="2:18" x14ac:dyDescent="0.25">
      <c r="B2896" s="19" t="s">
        <v>3794</v>
      </c>
      <c r="C2896" s="16"/>
      <c r="D2896" s="16" t="s">
        <v>29</v>
      </c>
      <c r="E2896" s="16"/>
      <c r="F2896" s="5"/>
      <c r="G2896" s="16" t="s">
        <v>35</v>
      </c>
      <c r="H2896" s="16"/>
      <c r="I2896" s="16"/>
      <c r="J2896" s="16"/>
      <c r="K2896" s="16"/>
      <c r="L2896" s="16"/>
      <c r="M2896" s="16"/>
      <c r="N2896" s="16"/>
      <c r="O2896" s="17"/>
      <c r="P2896" s="5" t="str">
        <f t="shared" si="73"/>
        <v>Truncate table FSFL43;</v>
      </c>
      <c r="Q2896" s="5"/>
      <c r="R2896" s="5"/>
    </row>
    <row r="2897" spans="2:18" x14ac:dyDescent="0.25">
      <c r="B2897" s="19" t="s">
        <v>3795</v>
      </c>
      <c r="C2897" s="16"/>
      <c r="D2897" s="16" t="s">
        <v>29</v>
      </c>
      <c r="E2897" s="16"/>
      <c r="F2897" s="5"/>
      <c r="G2897" s="16" t="s">
        <v>35</v>
      </c>
      <c r="H2897" s="16"/>
      <c r="I2897" s="16"/>
      <c r="J2897" s="16"/>
      <c r="K2897" s="16"/>
      <c r="L2897" s="16"/>
      <c r="M2897" s="16"/>
      <c r="N2897" s="16"/>
      <c r="O2897" s="17"/>
      <c r="P2897" s="5" t="str">
        <f t="shared" si="73"/>
        <v>Truncate table FSFL44;</v>
      </c>
      <c r="Q2897" s="5"/>
      <c r="R2897" s="5"/>
    </row>
    <row r="2898" spans="2:18" x14ac:dyDescent="0.25">
      <c r="B2898" s="19" t="s">
        <v>3796</v>
      </c>
      <c r="C2898" s="16"/>
      <c r="D2898" s="16" t="s">
        <v>29</v>
      </c>
      <c r="E2898" s="16"/>
      <c r="F2898" s="5"/>
      <c r="G2898" s="16" t="s">
        <v>35</v>
      </c>
      <c r="H2898" s="16"/>
      <c r="I2898" s="16"/>
      <c r="J2898" s="16"/>
      <c r="K2898" s="16"/>
      <c r="L2898" s="16"/>
      <c r="M2898" s="16"/>
      <c r="N2898" s="16"/>
      <c r="O2898" s="17"/>
      <c r="P2898" s="5" t="str">
        <f t="shared" si="73"/>
        <v>Truncate table FSFL45;</v>
      </c>
      <c r="Q2898" s="5"/>
      <c r="R2898" s="5"/>
    </row>
    <row r="2899" spans="2:18" x14ac:dyDescent="0.25">
      <c r="B2899" s="19" t="s">
        <v>3797</v>
      </c>
      <c r="C2899" s="16"/>
      <c r="D2899" s="16" t="s">
        <v>29</v>
      </c>
      <c r="E2899" s="16"/>
      <c r="F2899" s="5"/>
      <c r="G2899" s="16" t="s">
        <v>35</v>
      </c>
      <c r="H2899" s="16"/>
      <c r="I2899" s="16"/>
      <c r="J2899" s="16"/>
      <c r="K2899" s="16"/>
      <c r="L2899" s="16"/>
      <c r="M2899" s="16"/>
      <c r="N2899" s="16"/>
      <c r="O2899" s="17"/>
      <c r="P2899" s="5" t="str">
        <f t="shared" si="73"/>
        <v>Truncate table FSFL46;</v>
      </c>
      <c r="Q2899" s="5"/>
      <c r="R2899" s="5"/>
    </row>
    <row r="2900" spans="2:18" x14ac:dyDescent="0.25">
      <c r="B2900" s="19" t="s">
        <v>3798</v>
      </c>
      <c r="C2900" s="16"/>
      <c r="D2900" s="16" t="s">
        <v>29</v>
      </c>
      <c r="E2900" s="16"/>
      <c r="F2900" s="5"/>
      <c r="G2900" s="16" t="s">
        <v>35</v>
      </c>
      <c r="H2900" s="16"/>
      <c r="I2900" s="16"/>
      <c r="J2900" s="16"/>
      <c r="K2900" s="16"/>
      <c r="L2900" s="16"/>
      <c r="M2900" s="16"/>
      <c r="N2900" s="16"/>
      <c r="O2900" s="17"/>
      <c r="P2900" s="5" t="str">
        <f t="shared" si="73"/>
        <v>Truncate table FSFL47;</v>
      </c>
      <c r="Q2900" s="5"/>
      <c r="R2900" s="5"/>
    </row>
    <row r="2901" spans="2:18" x14ac:dyDescent="0.25">
      <c r="B2901" s="19" t="s">
        <v>3799</v>
      </c>
      <c r="C2901" s="16"/>
      <c r="D2901" s="16" t="s">
        <v>29</v>
      </c>
      <c r="E2901" s="16"/>
      <c r="F2901" s="5"/>
      <c r="G2901" s="16" t="s">
        <v>35</v>
      </c>
      <c r="H2901" s="16"/>
      <c r="I2901" s="16"/>
      <c r="J2901" s="16"/>
      <c r="K2901" s="16"/>
      <c r="L2901" s="16"/>
      <c r="M2901" s="16"/>
      <c r="N2901" s="16"/>
      <c r="O2901" s="17"/>
      <c r="P2901" s="5" t="str">
        <f t="shared" si="73"/>
        <v>Truncate table FSFL50;</v>
      </c>
      <c r="Q2901" s="5"/>
      <c r="R2901" s="5"/>
    </row>
    <row r="2902" spans="2:18" x14ac:dyDescent="0.25">
      <c r="B2902" s="19" t="s">
        <v>3800</v>
      </c>
      <c r="C2902" s="16"/>
      <c r="D2902" s="16" t="s">
        <v>29</v>
      </c>
      <c r="E2902" s="16"/>
      <c r="F2902" s="5"/>
      <c r="G2902" s="16" t="s">
        <v>35</v>
      </c>
      <c r="H2902" s="16"/>
      <c r="I2902" s="16"/>
      <c r="J2902" s="16"/>
      <c r="K2902" s="16"/>
      <c r="L2902" s="16"/>
      <c r="M2902" s="16"/>
      <c r="N2902" s="16"/>
      <c r="O2902" s="17"/>
      <c r="P2902" s="5" t="str">
        <f t="shared" si="73"/>
        <v>Truncate table FSFL51;</v>
      </c>
      <c r="Q2902" s="5"/>
      <c r="R2902" s="5"/>
    </row>
    <row r="2903" spans="2:18" x14ac:dyDescent="0.25">
      <c r="B2903" s="19" t="s">
        <v>3801</v>
      </c>
      <c r="C2903" s="16"/>
      <c r="D2903" s="16" t="s">
        <v>29</v>
      </c>
      <c r="E2903" s="16"/>
      <c r="F2903" s="5"/>
      <c r="G2903" s="16" t="s">
        <v>35</v>
      </c>
      <c r="H2903" s="16"/>
      <c r="I2903" s="16"/>
      <c r="J2903" s="16"/>
      <c r="K2903" s="16"/>
      <c r="L2903" s="16"/>
      <c r="M2903" s="16"/>
      <c r="N2903" s="16"/>
      <c r="O2903" s="17"/>
      <c r="P2903" s="5" t="str">
        <f t="shared" si="73"/>
        <v>Truncate table FSFL52;</v>
      </c>
      <c r="Q2903" s="5"/>
      <c r="R2903" s="5"/>
    </row>
    <row r="2904" spans="2:18" x14ac:dyDescent="0.25">
      <c r="B2904" s="19" t="s">
        <v>3802</v>
      </c>
      <c r="C2904" s="16"/>
      <c r="D2904" s="16" t="s">
        <v>29</v>
      </c>
      <c r="E2904" s="16"/>
      <c r="F2904" s="5"/>
      <c r="G2904" s="16" t="s">
        <v>35</v>
      </c>
      <c r="H2904" s="16"/>
      <c r="I2904" s="16"/>
      <c r="J2904" s="16"/>
      <c r="K2904" s="16"/>
      <c r="L2904" s="16"/>
      <c r="M2904" s="16"/>
      <c r="N2904" s="16"/>
      <c r="O2904" s="17"/>
      <c r="P2904" s="5" t="str">
        <f t="shared" si="73"/>
        <v>Truncate table FSFL53;</v>
      </c>
      <c r="Q2904" s="5"/>
      <c r="R2904" s="5"/>
    </row>
    <row r="2905" spans="2:18" x14ac:dyDescent="0.25">
      <c r="B2905" s="19" t="s">
        <v>3803</v>
      </c>
      <c r="C2905" s="16"/>
      <c r="D2905" s="16" t="s">
        <v>29</v>
      </c>
      <c r="E2905" s="16"/>
      <c r="F2905" s="5"/>
      <c r="G2905" s="16" t="s">
        <v>35</v>
      </c>
      <c r="H2905" s="16"/>
      <c r="I2905" s="16"/>
      <c r="J2905" s="16"/>
      <c r="K2905" s="16"/>
      <c r="L2905" s="16"/>
      <c r="M2905" s="16"/>
      <c r="N2905" s="16"/>
      <c r="O2905" s="17"/>
      <c r="P2905" s="5" t="str">
        <f t="shared" si="73"/>
        <v>Truncate table FSFL55;</v>
      </c>
      <c r="Q2905" s="5"/>
      <c r="R2905" s="5"/>
    </row>
    <row r="2906" spans="2:18" x14ac:dyDescent="0.25">
      <c r="B2906" s="19" t="s">
        <v>3804</v>
      </c>
      <c r="C2906" s="16"/>
      <c r="D2906" s="16" t="s">
        <v>29</v>
      </c>
      <c r="E2906" s="16"/>
      <c r="F2906" s="5"/>
      <c r="G2906" s="16" t="s">
        <v>35</v>
      </c>
      <c r="H2906" s="16"/>
      <c r="I2906" s="16"/>
      <c r="J2906" s="16"/>
      <c r="K2906" s="16"/>
      <c r="L2906" s="16"/>
      <c r="M2906" s="16"/>
      <c r="N2906" s="16"/>
      <c r="O2906" s="17"/>
      <c r="P2906" s="5" t="str">
        <f t="shared" si="73"/>
        <v>Truncate table FSFL56;</v>
      </c>
      <c r="Q2906" s="5"/>
      <c r="R2906" s="5"/>
    </row>
    <row r="2907" spans="2:18" x14ac:dyDescent="0.25">
      <c r="B2907" s="19" t="s">
        <v>3805</v>
      </c>
      <c r="C2907" s="16"/>
      <c r="D2907" s="16" t="s">
        <v>29</v>
      </c>
      <c r="E2907" s="16"/>
      <c r="F2907" s="5"/>
      <c r="G2907" s="16" t="s">
        <v>35</v>
      </c>
      <c r="H2907" s="16"/>
      <c r="I2907" s="16"/>
      <c r="J2907" s="16"/>
      <c r="K2907" s="16"/>
      <c r="L2907" s="16"/>
      <c r="M2907" s="16"/>
      <c r="N2907" s="16"/>
      <c r="O2907" s="17"/>
      <c r="P2907" s="5" t="str">
        <f t="shared" si="73"/>
        <v>Truncate table FSFL57;</v>
      </c>
      <c r="Q2907" s="5"/>
      <c r="R2907" s="5"/>
    </row>
    <row r="2908" spans="2:18" x14ac:dyDescent="0.25">
      <c r="B2908" s="19" t="s">
        <v>3806</v>
      </c>
      <c r="C2908" s="16"/>
      <c r="D2908" s="16" t="s">
        <v>29</v>
      </c>
      <c r="E2908" s="16"/>
      <c r="F2908" s="5"/>
      <c r="G2908" s="16" t="s">
        <v>35</v>
      </c>
      <c r="H2908" s="16"/>
      <c r="I2908" s="16"/>
      <c r="J2908" s="16"/>
      <c r="K2908" s="16"/>
      <c r="L2908" s="16"/>
      <c r="M2908" s="16"/>
      <c r="N2908" s="16"/>
      <c r="O2908" s="17"/>
      <c r="P2908" s="5" t="str">
        <f t="shared" si="73"/>
        <v>Truncate table FSFLO1;</v>
      </c>
      <c r="Q2908" s="5"/>
      <c r="R2908" s="5"/>
    </row>
    <row r="2909" spans="2:18" x14ac:dyDescent="0.25">
      <c r="B2909" s="19" t="s">
        <v>3807</v>
      </c>
      <c r="C2909" s="16"/>
      <c r="D2909" s="16" t="s">
        <v>29</v>
      </c>
      <c r="E2909" s="16"/>
      <c r="F2909" s="5"/>
      <c r="G2909" s="16" t="s">
        <v>35</v>
      </c>
      <c r="H2909" s="16"/>
      <c r="I2909" s="16"/>
      <c r="J2909" s="16"/>
      <c r="K2909" s="16"/>
      <c r="L2909" s="16"/>
      <c r="M2909" s="16"/>
      <c r="N2909" s="16"/>
      <c r="O2909" s="17"/>
      <c r="P2909" s="5" t="str">
        <f t="shared" si="73"/>
        <v>Truncate table FSFLO2;</v>
      </c>
      <c r="Q2909" s="5"/>
      <c r="R2909" s="5"/>
    </row>
    <row r="2910" spans="2:18" x14ac:dyDescent="0.25">
      <c r="B2910" s="19" t="s">
        <v>3808</v>
      </c>
      <c r="C2910" s="16"/>
      <c r="D2910" s="16" t="s">
        <v>29</v>
      </c>
      <c r="E2910" s="16"/>
      <c r="F2910" s="5"/>
      <c r="G2910" s="16" t="s">
        <v>35</v>
      </c>
      <c r="H2910" s="16"/>
      <c r="I2910" s="16"/>
      <c r="J2910" s="16"/>
      <c r="K2910" s="16"/>
      <c r="L2910" s="16"/>
      <c r="M2910" s="16"/>
      <c r="N2910" s="16"/>
      <c r="O2910" s="17"/>
      <c r="P2910" s="5" t="str">
        <f t="shared" si="73"/>
        <v>Truncate table FSFP01;</v>
      </c>
      <c r="Q2910" s="5"/>
      <c r="R2910" s="5"/>
    </row>
    <row r="2911" spans="2:18" x14ac:dyDescent="0.25">
      <c r="B2911" s="19" t="s">
        <v>3809</v>
      </c>
      <c r="C2911" s="16"/>
      <c r="D2911" s="16" t="s">
        <v>29</v>
      </c>
      <c r="E2911" s="16"/>
      <c r="F2911" s="5"/>
      <c r="G2911" s="16" t="s">
        <v>35</v>
      </c>
      <c r="H2911" s="16"/>
      <c r="I2911" s="16"/>
      <c r="J2911" s="16"/>
      <c r="K2911" s="16"/>
      <c r="L2911" s="16"/>
      <c r="M2911" s="16"/>
      <c r="N2911" s="16"/>
      <c r="O2911" s="17"/>
      <c r="P2911" s="5" t="str">
        <f t="shared" si="73"/>
        <v>Truncate table FSFP02;</v>
      </c>
      <c r="Q2911" s="5"/>
      <c r="R2911" s="5"/>
    </row>
    <row r="2912" spans="2:18" x14ac:dyDescent="0.25">
      <c r="B2912" s="19" t="s">
        <v>3810</v>
      </c>
      <c r="C2912" s="16"/>
      <c r="D2912" s="16" t="s">
        <v>29</v>
      </c>
      <c r="E2912" s="16"/>
      <c r="F2912" s="5"/>
      <c r="G2912" s="16" t="s">
        <v>35</v>
      </c>
      <c r="H2912" s="16"/>
      <c r="I2912" s="16"/>
      <c r="J2912" s="16"/>
      <c r="K2912" s="16"/>
      <c r="L2912" s="16"/>
      <c r="M2912" s="16"/>
      <c r="N2912" s="16"/>
      <c r="O2912" s="17"/>
      <c r="P2912" s="5" t="str">
        <f t="shared" si="73"/>
        <v>Truncate table FSFP03;</v>
      </c>
      <c r="Q2912" s="5"/>
      <c r="R2912" s="5"/>
    </row>
    <row r="2913" spans="2:18" x14ac:dyDescent="0.25">
      <c r="B2913" s="19" t="s">
        <v>3811</v>
      </c>
      <c r="C2913" s="16"/>
      <c r="D2913" s="16" t="s">
        <v>29</v>
      </c>
      <c r="E2913" s="16"/>
      <c r="F2913" s="5"/>
      <c r="G2913" s="16" t="s">
        <v>35</v>
      </c>
      <c r="H2913" s="16"/>
      <c r="I2913" s="16"/>
      <c r="J2913" s="16"/>
      <c r="K2913" s="16"/>
      <c r="L2913" s="16"/>
      <c r="M2913" s="16"/>
      <c r="N2913" s="16"/>
      <c r="O2913" s="17"/>
      <c r="P2913" s="5" t="str">
        <f t="shared" si="73"/>
        <v>Truncate table FSFP04;</v>
      </c>
      <c r="Q2913" s="5"/>
      <c r="R2913" s="5"/>
    </row>
    <row r="2914" spans="2:18" x14ac:dyDescent="0.25">
      <c r="B2914" s="19" t="s">
        <v>3812</v>
      </c>
      <c r="C2914" s="16"/>
      <c r="D2914" s="16" t="s">
        <v>29</v>
      </c>
      <c r="E2914" s="16"/>
      <c r="F2914" s="5"/>
      <c r="G2914" s="16" t="s">
        <v>35</v>
      </c>
      <c r="H2914" s="16"/>
      <c r="I2914" s="16"/>
      <c r="J2914" s="16"/>
      <c r="K2914" s="16"/>
      <c r="L2914" s="16"/>
      <c r="M2914" s="16"/>
      <c r="N2914" s="16"/>
      <c r="O2914" s="17"/>
      <c r="P2914" s="5" t="str">
        <f t="shared" si="73"/>
        <v>Truncate table FSFP05;</v>
      </c>
      <c r="Q2914" s="5"/>
      <c r="R2914" s="5"/>
    </row>
    <row r="2915" spans="2:18" x14ac:dyDescent="0.25">
      <c r="B2915" s="19" t="s">
        <v>3813</v>
      </c>
      <c r="C2915" s="16"/>
      <c r="D2915" s="16" t="s">
        <v>29</v>
      </c>
      <c r="E2915" s="16"/>
      <c r="F2915" s="5"/>
      <c r="G2915" s="16" t="s">
        <v>35</v>
      </c>
      <c r="H2915" s="16"/>
      <c r="I2915" s="16"/>
      <c r="J2915" s="16"/>
      <c r="K2915" s="16"/>
      <c r="L2915" s="16"/>
      <c r="M2915" s="16"/>
      <c r="N2915" s="16"/>
      <c r="O2915" s="17"/>
      <c r="P2915" s="5" t="str">
        <f t="shared" si="73"/>
        <v>Truncate table FSFP06;</v>
      </c>
      <c r="Q2915" s="5"/>
      <c r="R2915" s="5"/>
    </row>
    <row r="2916" spans="2:18" x14ac:dyDescent="0.25">
      <c r="B2916" s="19" t="s">
        <v>3814</v>
      </c>
      <c r="C2916" s="16"/>
      <c r="D2916" s="16" t="s">
        <v>29</v>
      </c>
      <c r="E2916" s="16"/>
      <c r="F2916" s="5"/>
      <c r="G2916" s="16" t="s">
        <v>35</v>
      </c>
      <c r="H2916" s="16"/>
      <c r="I2916" s="16"/>
      <c r="J2916" s="16"/>
      <c r="K2916" s="16"/>
      <c r="L2916" s="16"/>
      <c r="M2916" s="16"/>
      <c r="N2916" s="16"/>
      <c r="O2916" s="17"/>
      <c r="P2916" s="5" t="str">
        <f t="shared" si="73"/>
        <v>Truncate table FSFP07;</v>
      </c>
      <c r="Q2916" s="5"/>
      <c r="R2916" s="5"/>
    </row>
    <row r="2917" spans="2:18" x14ac:dyDescent="0.25">
      <c r="B2917" s="19" t="s">
        <v>3815</v>
      </c>
      <c r="C2917" s="16"/>
      <c r="D2917" s="16" t="s">
        <v>29</v>
      </c>
      <c r="E2917" s="16"/>
      <c r="F2917" s="5"/>
      <c r="G2917" s="16" t="s">
        <v>35</v>
      </c>
      <c r="H2917" s="16"/>
      <c r="I2917" s="16"/>
      <c r="J2917" s="16"/>
      <c r="K2917" s="16"/>
      <c r="L2917" s="16"/>
      <c r="M2917" s="16"/>
      <c r="N2917" s="16"/>
      <c r="O2917" s="17"/>
      <c r="P2917" s="5" t="str">
        <f t="shared" si="73"/>
        <v>Truncate table FSFP08;</v>
      </c>
      <c r="Q2917" s="5"/>
      <c r="R2917" s="5"/>
    </row>
    <row r="2918" spans="2:18" x14ac:dyDescent="0.25">
      <c r="B2918" s="19" t="s">
        <v>3816</v>
      </c>
      <c r="C2918" s="16"/>
      <c r="D2918" s="16" t="s">
        <v>29</v>
      </c>
      <c r="E2918" s="16"/>
      <c r="F2918" s="5"/>
      <c r="G2918" s="16" t="s">
        <v>35</v>
      </c>
      <c r="H2918" s="16"/>
      <c r="I2918" s="16"/>
      <c r="J2918" s="16"/>
      <c r="K2918" s="16"/>
      <c r="L2918" s="16"/>
      <c r="M2918" s="16"/>
      <c r="N2918" s="16"/>
      <c r="O2918" s="17"/>
      <c r="P2918" s="5" t="str">
        <f t="shared" si="73"/>
        <v>Truncate table FSFP09;</v>
      </c>
      <c r="Q2918" s="5"/>
      <c r="R2918" s="5"/>
    </row>
    <row r="2919" spans="2:18" x14ac:dyDescent="0.25">
      <c r="B2919" s="19" t="s">
        <v>3817</v>
      </c>
      <c r="C2919" s="16"/>
      <c r="D2919" s="16" t="s">
        <v>29</v>
      </c>
      <c r="E2919" s="16"/>
      <c r="F2919" s="5"/>
      <c r="G2919" s="16" t="s">
        <v>35</v>
      </c>
      <c r="H2919" s="16"/>
      <c r="I2919" s="16"/>
      <c r="J2919" s="16"/>
      <c r="K2919" s="16"/>
      <c r="L2919" s="16"/>
      <c r="M2919" s="16"/>
      <c r="N2919" s="16"/>
      <c r="O2919" s="17"/>
      <c r="P2919" s="5" t="str">
        <f t="shared" si="73"/>
        <v>Truncate table FSFP10;</v>
      </c>
      <c r="Q2919" s="5"/>
      <c r="R2919" s="5"/>
    </row>
    <row r="2920" spans="2:18" x14ac:dyDescent="0.25">
      <c r="B2920" s="19" t="s">
        <v>3818</v>
      </c>
      <c r="C2920" s="16"/>
      <c r="D2920" s="16" t="s">
        <v>29</v>
      </c>
      <c r="E2920" s="16"/>
      <c r="F2920" s="5"/>
      <c r="G2920" s="16" t="s">
        <v>35</v>
      </c>
      <c r="H2920" s="16"/>
      <c r="I2920" s="16"/>
      <c r="J2920" s="16"/>
      <c r="K2920" s="16"/>
      <c r="L2920" s="16"/>
      <c r="M2920" s="16"/>
      <c r="N2920" s="16"/>
      <c r="O2920" s="17"/>
      <c r="P2920" s="5" t="str">
        <f t="shared" si="73"/>
        <v>Truncate table FSFP11;</v>
      </c>
      <c r="Q2920" s="5"/>
      <c r="R2920" s="5"/>
    </row>
    <row r="2921" spans="2:18" x14ac:dyDescent="0.25">
      <c r="B2921" s="19" t="s">
        <v>3819</v>
      </c>
      <c r="C2921" s="16"/>
      <c r="D2921" s="16" t="s">
        <v>29</v>
      </c>
      <c r="E2921" s="16"/>
      <c r="F2921" s="5"/>
      <c r="G2921" s="16" t="s">
        <v>35</v>
      </c>
      <c r="H2921" s="16"/>
      <c r="I2921" s="16"/>
      <c r="J2921" s="16"/>
      <c r="K2921" s="16"/>
      <c r="L2921" s="16"/>
      <c r="M2921" s="16"/>
      <c r="N2921" s="16"/>
      <c r="O2921" s="17"/>
      <c r="P2921" s="5" t="str">
        <f t="shared" si="73"/>
        <v>Truncate table FSFP12;</v>
      </c>
      <c r="Q2921" s="5"/>
      <c r="R2921" s="5"/>
    </row>
    <row r="2922" spans="2:18" x14ac:dyDescent="0.25">
      <c r="B2922" s="19" t="s">
        <v>3820</v>
      </c>
      <c r="C2922" s="16"/>
      <c r="D2922" s="16" t="s">
        <v>29</v>
      </c>
      <c r="E2922" s="16"/>
      <c r="F2922" s="5"/>
      <c r="G2922" s="16" t="s">
        <v>35</v>
      </c>
      <c r="H2922" s="16"/>
      <c r="I2922" s="16"/>
      <c r="J2922" s="16"/>
      <c r="K2922" s="16"/>
      <c r="L2922" s="16"/>
      <c r="M2922" s="16"/>
      <c r="N2922" s="16"/>
      <c r="O2922" s="17"/>
      <c r="P2922" s="5" t="str">
        <f t="shared" si="73"/>
        <v>Truncate table FSFP13;</v>
      </c>
      <c r="Q2922" s="5"/>
      <c r="R2922" s="5"/>
    </row>
    <row r="2923" spans="2:18" x14ac:dyDescent="0.25">
      <c r="B2923" s="19" t="s">
        <v>3821</v>
      </c>
      <c r="C2923" s="16"/>
      <c r="D2923" s="16" t="s">
        <v>29</v>
      </c>
      <c r="E2923" s="16"/>
      <c r="F2923" s="5"/>
      <c r="G2923" s="16" t="s">
        <v>35</v>
      </c>
      <c r="H2923" s="16"/>
      <c r="I2923" s="16"/>
      <c r="J2923" s="16"/>
      <c r="K2923" s="16"/>
      <c r="L2923" s="16"/>
      <c r="M2923" s="16"/>
      <c r="N2923" s="16"/>
      <c r="O2923" s="17"/>
      <c r="P2923" s="5" t="str">
        <f t="shared" si="73"/>
        <v>Truncate table FSFQ01;</v>
      </c>
      <c r="Q2923" s="5"/>
      <c r="R2923" s="5"/>
    </row>
    <row r="2924" spans="2:18" x14ac:dyDescent="0.25">
      <c r="B2924" s="19" t="s">
        <v>3822</v>
      </c>
      <c r="C2924" s="16"/>
      <c r="D2924" s="16" t="s">
        <v>29</v>
      </c>
      <c r="E2924" s="16"/>
      <c r="F2924" s="5"/>
      <c r="G2924" s="16" t="s">
        <v>35</v>
      </c>
      <c r="H2924" s="16"/>
      <c r="I2924" s="16"/>
      <c r="J2924" s="16"/>
      <c r="K2924" s="16"/>
      <c r="L2924" s="16"/>
      <c r="M2924" s="16"/>
      <c r="N2924" s="16"/>
      <c r="O2924" s="17"/>
      <c r="P2924" s="5" t="str">
        <f t="shared" si="73"/>
        <v>Truncate table FSFQ02;</v>
      </c>
      <c r="Q2924" s="5"/>
      <c r="R2924" s="5"/>
    </row>
    <row r="2925" spans="2:18" x14ac:dyDescent="0.25">
      <c r="B2925" s="19" t="s">
        <v>3823</v>
      </c>
      <c r="C2925" s="16"/>
      <c r="D2925" s="16" t="s">
        <v>29</v>
      </c>
      <c r="E2925" s="16"/>
      <c r="F2925" s="5"/>
      <c r="G2925" s="16" t="s">
        <v>35</v>
      </c>
      <c r="H2925" s="16"/>
      <c r="I2925" s="16"/>
      <c r="J2925" s="16"/>
      <c r="K2925" s="16"/>
      <c r="L2925" s="16"/>
      <c r="M2925" s="16"/>
      <c r="N2925" s="16"/>
      <c r="O2925" s="17"/>
      <c r="P2925" s="5" t="str">
        <f t="shared" si="73"/>
        <v>Truncate table FSFQ03;</v>
      </c>
      <c r="Q2925" s="5"/>
      <c r="R2925" s="5"/>
    </row>
    <row r="2926" spans="2:18" x14ac:dyDescent="0.25">
      <c r="B2926" s="19" t="s">
        <v>3824</v>
      </c>
      <c r="C2926" s="16"/>
      <c r="D2926" s="16" t="s">
        <v>29</v>
      </c>
      <c r="E2926" s="16"/>
      <c r="F2926" s="5"/>
      <c r="G2926" s="16" t="s">
        <v>35</v>
      </c>
      <c r="H2926" s="16"/>
      <c r="I2926" s="16"/>
      <c r="J2926" s="16"/>
      <c r="K2926" s="16"/>
      <c r="L2926" s="16"/>
      <c r="M2926" s="16"/>
      <c r="N2926" s="16"/>
      <c r="O2926" s="17"/>
      <c r="P2926" s="5" t="str">
        <f t="shared" si="73"/>
        <v>Truncate table FSFQ04;</v>
      </c>
      <c r="Q2926" s="5"/>
      <c r="R2926" s="5"/>
    </row>
    <row r="2927" spans="2:18" x14ac:dyDescent="0.25">
      <c r="B2927" s="19" t="s">
        <v>3825</v>
      </c>
      <c r="C2927" s="16"/>
      <c r="D2927" s="16" t="s">
        <v>29</v>
      </c>
      <c r="E2927" s="16"/>
      <c r="F2927" s="5"/>
      <c r="G2927" s="16" t="s">
        <v>35</v>
      </c>
      <c r="H2927" s="16"/>
      <c r="I2927" s="16"/>
      <c r="J2927" s="16"/>
      <c r="K2927" s="16"/>
      <c r="L2927" s="16"/>
      <c r="M2927" s="16"/>
      <c r="N2927" s="16"/>
      <c r="O2927" s="17"/>
      <c r="P2927" s="5" t="str">
        <f t="shared" si="73"/>
        <v>Truncate table FSFQ05;</v>
      </c>
      <c r="Q2927" s="5"/>
      <c r="R2927" s="5"/>
    </row>
    <row r="2928" spans="2:18" x14ac:dyDescent="0.25">
      <c r="B2928" s="19" t="s">
        <v>3826</v>
      </c>
      <c r="C2928" s="16"/>
      <c r="D2928" s="16" t="s">
        <v>29</v>
      </c>
      <c r="E2928" s="16" t="s">
        <v>3275</v>
      </c>
      <c r="F2928" s="5"/>
      <c r="G2928" s="16" t="s">
        <v>35</v>
      </c>
      <c r="H2928" s="16"/>
      <c r="I2928" s="16"/>
      <c r="J2928" s="16"/>
      <c r="K2928" s="16"/>
      <c r="L2928" s="16"/>
      <c r="M2928" s="16"/>
      <c r="N2928" s="16"/>
      <c r="O2928" s="17" t="s">
        <v>38</v>
      </c>
      <c r="P2928" s="5" t="str">
        <f t="shared" si="73"/>
        <v>Truncate table FSFQ06;</v>
      </c>
      <c r="Q2928" s="5"/>
      <c r="R2928" s="5"/>
    </row>
    <row r="2929" spans="2:18" x14ac:dyDescent="0.25">
      <c r="B2929" s="19" t="s">
        <v>3827</v>
      </c>
      <c r="C2929" s="16"/>
      <c r="D2929" s="16" t="s">
        <v>29</v>
      </c>
      <c r="E2929" s="16" t="s">
        <v>3275</v>
      </c>
      <c r="F2929" s="5"/>
      <c r="G2929" s="16" t="s">
        <v>35</v>
      </c>
      <c r="H2929" s="16"/>
      <c r="I2929" s="16"/>
      <c r="J2929" s="16"/>
      <c r="K2929" s="16"/>
      <c r="L2929" s="16"/>
      <c r="M2929" s="16"/>
      <c r="N2929" s="16"/>
      <c r="O2929" s="17" t="s">
        <v>38</v>
      </c>
      <c r="P2929" s="5" t="str">
        <f t="shared" ref="P2929:P2992" si="74">IF(D2929="Datos","Truncate table "&amp; B2929&amp; ";","")</f>
        <v>Truncate table FSFQ07;</v>
      </c>
      <c r="Q2929" s="5"/>
      <c r="R2929" s="5"/>
    </row>
    <row r="2930" spans="2:18" x14ac:dyDescent="0.25">
      <c r="B2930" s="19" t="s">
        <v>3828</v>
      </c>
      <c r="C2930" s="16"/>
      <c r="D2930" s="16" t="s">
        <v>29</v>
      </c>
      <c r="E2930" s="16"/>
      <c r="F2930" s="5"/>
      <c r="G2930" s="16" t="s">
        <v>35</v>
      </c>
      <c r="H2930" s="16"/>
      <c r="I2930" s="16"/>
      <c r="J2930" s="16"/>
      <c r="K2930" s="16"/>
      <c r="L2930" s="16"/>
      <c r="M2930" s="16"/>
      <c r="N2930" s="16"/>
      <c r="O2930" s="17"/>
      <c r="P2930" s="5" t="str">
        <f t="shared" si="74"/>
        <v>Truncate table FSFQ08;</v>
      </c>
      <c r="Q2930" s="5"/>
      <c r="R2930" s="5"/>
    </row>
    <row r="2931" spans="2:18" x14ac:dyDescent="0.25">
      <c r="B2931" s="19" t="s">
        <v>3829</v>
      </c>
      <c r="C2931" s="16"/>
      <c r="D2931" s="16" t="s">
        <v>29</v>
      </c>
      <c r="E2931" s="16"/>
      <c r="F2931" s="5"/>
      <c r="G2931" s="16" t="s">
        <v>35</v>
      </c>
      <c r="H2931" s="16"/>
      <c r="I2931" s="16"/>
      <c r="J2931" s="16"/>
      <c r="K2931" s="16"/>
      <c r="L2931" s="16"/>
      <c r="M2931" s="16"/>
      <c r="N2931" s="16"/>
      <c r="O2931" s="17"/>
      <c r="P2931" s="5" t="str">
        <f t="shared" si="74"/>
        <v>Truncate table FSFQ09;</v>
      </c>
      <c r="Q2931" s="5"/>
      <c r="R2931" s="5"/>
    </row>
    <row r="2932" spans="2:18" x14ac:dyDescent="0.25">
      <c r="B2932" s="19" t="s">
        <v>3830</v>
      </c>
      <c r="C2932" s="16"/>
      <c r="D2932" s="16" t="s">
        <v>29</v>
      </c>
      <c r="E2932" s="16"/>
      <c r="F2932" s="5"/>
      <c r="G2932" s="16" t="s">
        <v>35</v>
      </c>
      <c r="H2932" s="16"/>
      <c r="I2932" s="16"/>
      <c r="J2932" s="16"/>
      <c r="K2932" s="16"/>
      <c r="L2932" s="16"/>
      <c r="M2932" s="16"/>
      <c r="N2932" s="16"/>
      <c r="O2932" s="17"/>
      <c r="P2932" s="5" t="str">
        <f t="shared" si="74"/>
        <v>Truncate table FSFQ11;</v>
      </c>
      <c r="Q2932" s="5"/>
      <c r="R2932" s="5"/>
    </row>
    <row r="2933" spans="2:18" x14ac:dyDescent="0.25">
      <c r="B2933" s="19" t="s">
        <v>3831</v>
      </c>
      <c r="C2933" s="16"/>
      <c r="D2933" s="16" t="s">
        <v>29</v>
      </c>
      <c r="E2933" s="16"/>
      <c r="F2933" s="5"/>
      <c r="G2933" s="16" t="s">
        <v>35</v>
      </c>
      <c r="H2933" s="16"/>
      <c r="I2933" s="16"/>
      <c r="J2933" s="16"/>
      <c r="K2933" s="16"/>
      <c r="L2933" s="16"/>
      <c r="M2933" s="16"/>
      <c r="N2933" s="16"/>
      <c r="O2933" s="17"/>
      <c r="P2933" s="5" t="str">
        <f t="shared" si="74"/>
        <v>Truncate table FSFQ12;</v>
      </c>
      <c r="Q2933" s="5"/>
      <c r="R2933" s="5"/>
    </row>
    <row r="2934" spans="2:18" x14ac:dyDescent="0.25">
      <c r="B2934" s="19" t="s">
        <v>3832</v>
      </c>
      <c r="C2934" s="16"/>
      <c r="D2934" s="16" t="s">
        <v>29</v>
      </c>
      <c r="E2934" s="16"/>
      <c r="F2934" s="5"/>
      <c r="G2934" s="16" t="s">
        <v>35</v>
      </c>
      <c r="H2934" s="16"/>
      <c r="I2934" s="16"/>
      <c r="J2934" s="16"/>
      <c r="K2934" s="16"/>
      <c r="L2934" s="16"/>
      <c r="M2934" s="16"/>
      <c r="N2934" s="16"/>
      <c r="O2934" s="17"/>
      <c r="P2934" s="5" t="str">
        <f t="shared" si="74"/>
        <v>Truncate table FSFQ13;</v>
      </c>
      <c r="Q2934" s="5"/>
      <c r="R2934" s="5"/>
    </row>
    <row r="2935" spans="2:18" x14ac:dyDescent="0.25">
      <c r="B2935" s="19" t="s">
        <v>3833</v>
      </c>
      <c r="C2935" s="16"/>
      <c r="D2935" s="16" t="s">
        <v>29</v>
      </c>
      <c r="E2935" s="16"/>
      <c r="F2935" s="5"/>
      <c r="G2935" s="16" t="s">
        <v>35</v>
      </c>
      <c r="H2935" s="16"/>
      <c r="I2935" s="16"/>
      <c r="J2935" s="16"/>
      <c r="K2935" s="16"/>
      <c r="L2935" s="16"/>
      <c r="M2935" s="16"/>
      <c r="N2935" s="16"/>
      <c r="O2935" s="17"/>
      <c r="P2935" s="5" t="str">
        <f t="shared" si="74"/>
        <v>Truncate table FSFQ14;</v>
      </c>
      <c r="Q2935" s="5"/>
      <c r="R2935" s="5"/>
    </row>
    <row r="2936" spans="2:18" x14ac:dyDescent="0.25">
      <c r="B2936" s="19" t="s">
        <v>3834</v>
      </c>
      <c r="C2936" s="16"/>
      <c r="D2936" s="16" t="s">
        <v>29</v>
      </c>
      <c r="E2936" s="16"/>
      <c r="F2936" s="5"/>
      <c r="G2936" s="16" t="s">
        <v>35</v>
      </c>
      <c r="H2936" s="16"/>
      <c r="I2936" s="16"/>
      <c r="J2936" s="16"/>
      <c r="K2936" s="16"/>
      <c r="L2936" s="16"/>
      <c r="M2936" s="16"/>
      <c r="N2936" s="16"/>
      <c r="O2936" s="17"/>
      <c r="P2936" s="5" t="str">
        <f t="shared" si="74"/>
        <v>Truncate table FSFQ15;</v>
      </c>
      <c r="Q2936" s="5"/>
      <c r="R2936" s="5"/>
    </row>
    <row r="2937" spans="2:18" x14ac:dyDescent="0.25">
      <c r="B2937" s="19" t="s">
        <v>3835</v>
      </c>
      <c r="C2937" s="16"/>
      <c r="D2937" s="16" t="s">
        <v>29</v>
      </c>
      <c r="E2937" s="16"/>
      <c r="F2937" s="5"/>
      <c r="G2937" s="16" t="s">
        <v>35</v>
      </c>
      <c r="H2937" s="16"/>
      <c r="I2937" s="16"/>
      <c r="J2937" s="16"/>
      <c r="K2937" s="16"/>
      <c r="L2937" s="16"/>
      <c r="M2937" s="16"/>
      <c r="N2937" s="16"/>
      <c r="O2937" s="17"/>
      <c r="P2937" s="5" t="str">
        <f t="shared" si="74"/>
        <v>Truncate table FSFQ16;</v>
      </c>
      <c r="Q2937" s="5"/>
      <c r="R2937" s="5"/>
    </row>
    <row r="2938" spans="2:18" x14ac:dyDescent="0.25">
      <c r="B2938" s="19" t="s">
        <v>3836</v>
      </c>
      <c r="C2938" s="16"/>
      <c r="D2938" s="16" t="s">
        <v>29</v>
      </c>
      <c r="E2938" s="16"/>
      <c r="F2938" s="5"/>
      <c r="G2938" s="16" t="s">
        <v>35</v>
      </c>
      <c r="H2938" s="16"/>
      <c r="I2938" s="16"/>
      <c r="J2938" s="16"/>
      <c r="K2938" s="16"/>
      <c r="L2938" s="16"/>
      <c r="M2938" s="16"/>
      <c r="N2938" s="16"/>
      <c r="O2938" s="17"/>
      <c r="P2938" s="5" t="str">
        <f t="shared" si="74"/>
        <v>Truncate table FSFQ17;</v>
      </c>
      <c r="Q2938" s="5"/>
      <c r="R2938" s="5"/>
    </row>
    <row r="2939" spans="2:18" x14ac:dyDescent="0.25">
      <c r="B2939" s="19" t="s">
        <v>3837</v>
      </c>
      <c r="C2939" s="16"/>
      <c r="D2939" s="16" t="s">
        <v>29</v>
      </c>
      <c r="E2939" s="16"/>
      <c r="F2939" s="5"/>
      <c r="G2939" s="16" t="s">
        <v>35</v>
      </c>
      <c r="H2939" s="16"/>
      <c r="I2939" s="16"/>
      <c r="J2939" s="16"/>
      <c r="K2939" s="16"/>
      <c r="L2939" s="16"/>
      <c r="M2939" s="16"/>
      <c r="N2939" s="16"/>
      <c r="O2939" s="17"/>
      <c r="P2939" s="5" t="str">
        <f t="shared" si="74"/>
        <v>Truncate table FSFQ18;</v>
      </c>
      <c r="Q2939" s="5"/>
      <c r="R2939" s="5"/>
    </row>
    <row r="2940" spans="2:18" x14ac:dyDescent="0.25">
      <c r="B2940" s="19" t="s">
        <v>3838</v>
      </c>
      <c r="C2940" s="16"/>
      <c r="D2940" s="16" t="s">
        <v>29</v>
      </c>
      <c r="E2940" s="16"/>
      <c r="F2940" s="5"/>
      <c r="G2940" s="16" t="s">
        <v>35</v>
      </c>
      <c r="H2940" s="16"/>
      <c r="I2940" s="16"/>
      <c r="J2940" s="16"/>
      <c r="K2940" s="16"/>
      <c r="L2940" s="16"/>
      <c r="M2940" s="16"/>
      <c r="N2940" s="16"/>
      <c r="O2940" s="17"/>
      <c r="P2940" s="5" t="str">
        <f t="shared" si="74"/>
        <v>Truncate table FSFQCP;</v>
      </c>
      <c r="Q2940" s="5"/>
      <c r="R2940" s="5"/>
    </row>
    <row r="2941" spans="2:18" x14ac:dyDescent="0.25">
      <c r="B2941" s="19" t="s">
        <v>3839</v>
      </c>
      <c r="C2941" s="16"/>
      <c r="D2941" s="16" t="s">
        <v>29</v>
      </c>
      <c r="E2941" s="16"/>
      <c r="F2941" s="5"/>
      <c r="G2941" s="16" t="s">
        <v>35</v>
      </c>
      <c r="H2941" s="16"/>
      <c r="I2941" s="16"/>
      <c r="J2941" s="16"/>
      <c r="K2941" s="16"/>
      <c r="L2941" s="16"/>
      <c r="M2941" s="16"/>
      <c r="N2941" s="16"/>
      <c r="O2941" s="17"/>
      <c r="P2941" s="5" t="str">
        <f t="shared" si="74"/>
        <v>Truncate table FSFQPI;</v>
      </c>
      <c r="Q2941" s="5"/>
      <c r="R2941" s="5"/>
    </row>
    <row r="2942" spans="2:18" x14ac:dyDescent="0.25">
      <c r="B2942" s="19" t="s">
        <v>3840</v>
      </c>
      <c r="C2942" s="16"/>
      <c r="D2942" s="16" t="s">
        <v>29</v>
      </c>
      <c r="E2942" s="16"/>
      <c r="F2942" s="5"/>
      <c r="G2942" s="16" t="s">
        <v>35</v>
      </c>
      <c r="H2942" s="16"/>
      <c r="I2942" s="16"/>
      <c r="J2942" s="16"/>
      <c r="K2942" s="16"/>
      <c r="L2942" s="16"/>
      <c r="M2942" s="16"/>
      <c r="N2942" s="16"/>
      <c r="O2942" s="17"/>
      <c r="P2942" s="5" t="str">
        <f t="shared" si="74"/>
        <v>Truncate table FSFQPM;</v>
      </c>
      <c r="Q2942" s="5"/>
      <c r="R2942" s="5"/>
    </row>
    <row r="2943" spans="2:18" x14ac:dyDescent="0.25">
      <c r="B2943" s="19" t="s">
        <v>3841</v>
      </c>
      <c r="C2943" s="16"/>
      <c r="D2943" s="16" t="s">
        <v>29</v>
      </c>
      <c r="E2943" s="16"/>
      <c r="F2943" s="5"/>
      <c r="G2943" s="16" t="s">
        <v>35</v>
      </c>
      <c r="H2943" s="16"/>
      <c r="I2943" s="16"/>
      <c r="J2943" s="16"/>
      <c r="K2943" s="16"/>
      <c r="L2943" s="16"/>
      <c r="M2943" s="16"/>
      <c r="N2943" s="16"/>
      <c r="O2943" s="17"/>
      <c r="P2943" s="5" t="str">
        <f t="shared" si="74"/>
        <v>Truncate table FSFQPP;</v>
      </c>
      <c r="Q2943" s="5"/>
      <c r="R2943" s="5"/>
    </row>
    <row r="2944" spans="2:18" x14ac:dyDescent="0.25">
      <c r="B2944" s="19" t="s">
        <v>3842</v>
      </c>
      <c r="C2944" s="16"/>
      <c r="D2944" s="16" t="s">
        <v>29</v>
      </c>
      <c r="E2944" s="16"/>
      <c r="F2944" s="5"/>
      <c r="G2944" s="16" t="s">
        <v>35</v>
      </c>
      <c r="H2944" s="16"/>
      <c r="I2944" s="16"/>
      <c r="J2944" s="16"/>
      <c r="K2944" s="16"/>
      <c r="L2944" s="16"/>
      <c r="M2944" s="16"/>
      <c r="N2944" s="16"/>
      <c r="O2944" s="17"/>
      <c r="P2944" s="5" t="str">
        <f t="shared" si="74"/>
        <v>Truncate table FSFS01;</v>
      </c>
      <c r="Q2944" s="5"/>
      <c r="R2944" s="5"/>
    </row>
    <row r="2945" spans="1:18" x14ac:dyDescent="0.25">
      <c r="B2945" s="19" t="s">
        <v>3843</v>
      </c>
      <c r="C2945" s="16"/>
      <c r="D2945" s="16" t="s">
        <v>29</v>
      </c>
      <c r="E2945" s="16"/>
      <c r="F2945" s="5"/>
      <c r="G2945" s="16" t="s">
        <v>35</v>
      </c>
      <c r="H2945" s="16"/>
      <c r="I2945" s="16"/>
      <c r="J2945" s="16"/>
      <c r="K2945" s="16"/>
      <c r="L2945" s="16"/>
      <c r="M2945" s="16"/>
      <c r="N2945" s="16"/>
      <c r="O2945" s="17"/>
      <c r="P2945" s="5" t="str">
        <f t="shared" si="74"/>
        <v>Truncate table FSFSD1;</v>
      </c>
      <c r="Q2945" s="5"/>
      <c r="R2945" s="5"/>
    </row>
    <row r="2946" spans="1:18" x14ac:dyDescent="0.25">
      <c r="B2946" s="19" t="s">
        <v>3844</v>
      </c>
      <c r="C2946" s="16"/>
      <c r="D2946" s="16" t="s">
        <v>29</v>
      </c>
      <c r="E2946" s="16"/>
      <c r="F2946" s="5"/>
      <c r="G2946" s="16" t="s">
        <v>35</v>
      </c>
      <c r="H2946" s="16"/>
      <c r="I2946" s="16"/>
      <c r="J2946" s="16"/>
      <c r="K2946" s="16"/>
      <c r="L2946" s="16"/>
      <c r="M2946" s="16"/>
      <c r="N2946" s="16"/>
      <c r="O2946" s="17"/>
      <c r="P2946" s="5" t="str">
        <f t="shared" si="74"/>
        <v>Truncate table FSFSD2;</v>
      </c>
      <c r="Q2946" s="5"/>
      <c r="R2946" s="5"/>
    </row>
    <row r="2947" spans="1:18" ht="40.5" x14ac:dyDescent="0.25">
      <c r="B2947" s="4" t="s">
        <v>3845</v>
      </c>
      <c r="C2947" s="5" t="s">
        <v>3846</v>
      </c>
      <c r="D2947" s="25" t="s">
        <v>29</v>
      </c>
      <c r="E2947" s="5" t="s">
        <v>3007</v>
      </c>
      <c r="F2947" s="5" t="s">
        <v>3133</v>
      </c>
      <c r="G2947" s="16" t="s">
        <v>35</v>
      </c>
      <c r="H2947" s="16" t="s">
        <v>36</v>
      </c>
      <c r="I2947" s="5" t="s">
        <v>3847</v>
      </c>
      <c r="J2947" s="5" t="s">
        <v>3848</v>
      </c>
      <c r="K2947" s="5" t="s">
        <v>3331</v>
      </c>
      <c r="L2947" s="5"/>
      <c r="M2947" s="5"/>
      <c r="N2947" s="5"/>
      <c r="O2947" s="17"/>
      <c r="P2947" s="5" t="str">
        <f t="shared" si="74"/>
        <v>Truncate table FSFSD3;</v>
      </c>
      <c r="Q2947" s="5"/>
      <c r="R2947" s="5"/>
    </row>
    <row r="2948" spans="1:18" x14ac:dyDescent="0.25">
      <c r="B2948" s="19" t="s">
        <v>3849</v>
      </c>
      <c r="C2948" s="16"/>
      <c r="D2948" s="16" t="s">
        <v>29</v>
      </c>
      <c r="E2948" s="16"/>
      <c r="F2948" s="5"/>
      <c r="G2948" s="16" t="s">
        <v>35</v>
      </c>
      <c r="H2948" s="16"/>
      <c r="I2948" s="16"/>
      <c r="J2948" s="16"/>
      <c r="K2948" s="16"/>
      <c r="L2948" s="16"/>
      <c r="M2948" s="16"/>
      <c r="N2948" s="16"/>
      <c r="O2948" s="17"/>
      <c r="P2948" s="5" t="str">
        <f t="shared" si="74"/>
        <v>Truncate table FSFSD4;</v>
      </c>
      <c r="Q2948" s="5"/>
      <c r="R2948" s="5"/>
    </row>
    <row r="2949" spans="1:18" x14ac:dyDescent="0.25">
      <c r="B2949" s="19" t="s">
        <v>3850</v>
      </c>
      <c r="C2949" s="16"/>
      <c r="D2949" s="16" t="s">
        <v>29</v>
      </c>
      <c r="E2949" s="16"/>
      <c r="F2949" s="5"/>
      <c r="G2949" s="16" t="s">
        <v>35</v>
      </c>
      <c r="H2949" s="16"/>
      <c r="I2949" s="16"/>
      <c r="J2949" s="16"/>
      <c r="K2949" s="16"/>
      <c r="L2949" s="16"/>
      <c r="M2949" s="16"/>
      <c r="N2949" s="16"/>
      <c r="O2949" s="17"/>
      <c r="P2949" s="5" t="str">
        <f t="shared" si="74"/>
        <v>Truncate table FSFSD5;</v>
      </c>
      <c r="Q2949" s="5"/>
      <c r="R2949" s="5"/>
    </row>
    <row r="2950" spans="1:18" s="227" customFormat="1" x14ac:dyDescent="0.25">
      <c r="A2950" s="388"/>
      <c r="B2950" s="19" t="s">
        <v>3851</v>
      </c>
      <c r="C2950" s="183" t="s">
        <v>9826</v>
      </c>
      <c r="D2950" s="16" t="s">
        <v>29</v>
      </c>
      <c r="E2950" s="16" t="s">
        <v>3007</v>
      </c>
      <c r="F2950" s="16" t="s">
        <v>3133</v>
      </c>
      <c r="G2950" s="16" t="s">
        <v>35</v>
      </c>
      <c r="H2950" s="16" t="s">
        <v>36</v>
      </c>
      <c r="I2950" s="16"/>
      <c r="J2950" s="16"/>
      <c r="K2950" s="16"/>
      <c r="L2950" s="16"/>
      <c r="M2950" s="16"/>
      <c r="N2950" s="16"/>
      <c r="O2950" s="17"/>
      <c r="P2950" s="16" t="str">
        <f t="shared" si="74"/>
        <v>Truncate table FSFSD6;</v>
      </c>
      <c r="Q2950" s="16"/>
      <c r="R2950" s="16"/>
    </row>
    <row r="2951" spans="1:18" s="227" customFormat="1" x14ac:dyDescent="0.25">
      <c r="A2951" s="388"/>
      <c r="B2951" s="19" t="s">
        <v>3852</v>
      </c>
      <c r="C2951" s="183" t="s">
        <v>9827</v>
      </c>
      <c r="D2951" s="16" t="s">
        <v>29</v>
      </c>
      <c r="E2951" s="16" t="s">
        <v>3007</v>
      </c>
      <c r="F2951" s="16" t="s">
        <v>3133</v>
      </c>
      <c r="G2951" s="16" t="s">
        <v>35</v>
      </c>
      <c r="H2951" s="16" t="s">
        <v>36</v>
      </c>
      <c r="I2951" s="16"/>
      <c r="J2951" s="16"/>
      <c r="K2951" s="16"/>
      <c r="L2951" s="16"/>
      <c r="M2951" s="16"/>
      <c r="N2951" s="16"/>
      <c r="O2951" s="17"/>
      <c r="P2951" s="16" t="str">
        <f t="shared" si="74"/>
        <v>Truncate table FSFSD7;</v>
      </c>
      <c r="Q2951" s="16"/>
      <c r="R2951" s="16"/>
    </row>
    <row r="2952" spans="1:18" s="227" customFormat="1" x14ac:dyDescent="0.25">
      <c r="A2952" s="388"/>
      <c r="B2952" s="37" t="s">
        <v>3853</v>
      </c>
      <c r="C2952" s="183" t="s">
        <v>9828</v>
      </c>
      <c r="D2952" s="16" t="s">
        <v>29</v>
      </c>
      <c r="E2952" s="16" t="s">
        <v>3007</v>
      </c>
      <c r="F2952" s="16" t="s">
        <v>3133</v>
      </c>
      <c r="G2952" s="38" t="s">
        <v>35</v>
      </c>
      <c r="H2952" s="16" t="s">
        <v>36</v>
      </c>
      <c r="I2952" s="38"/>
      <c r="J2952" s="38"/>
      <c r="K2952" s="38"/>
      <c r="L2952" s="38"/>
      <c r="M2952" s="38"/>
      <c r="N2952" s="38"/>
      <c r="O2952" s="17"/>
      <c r="P2952" s="16" t="str">
        <f t="shared" si="74"/>
        <v>Truncate table FSFSD8;</v>
      </c>
      <c r="Q2952" s="16"/>
      <c r="R2952" s="16"/>
    </row>
    <row r="2953" spans="1:18" s="227" customFormat="1" x14ac:dyDescent="0.25">
      <c r="A2953" s="388"/>
      <c r="B2953" s="19" t="s">
        <v>3854</v>
      </c>
      <c r="C2953" s="183" t="s">
        <v>9829</v>
      </c>
      <c r="D2953" s="16" t="s">
        <v>29</v>
      </c>
      <c r="E2953" s="16" t="s">
        <v>3007</v>
      </c>
      <c r="F2953" s="16" t="s">
        <v>3133</v>
      </c>
      <c r="G2953" s="16" t="s">
        <v>35</v>
      </c>
      <c r="H2953" s="16" t="s">
        <v>36</v>
      </c>
      <c r="I2953" s="16"/>
      <c r="J2953" s="16"/>
      <c r="K2953" s="16"/>
      <c r="L2953" s="16"/>
      <c r="M2953" s="16"/>
      <c r="N2953" s="16"/>
      <c r="O2953" s="17"/>
      <c r="P2953" s="16" t="str">
        <f t="shared" si="74"/>
        <v>Truncate table FSFSD9;</v>
      </c>
      <c r="Q2953" s="16"/>
      <c r="R2953" s="16"/>
    </row>
    <row r="2954" spans="1:18" x14ac:dyDescent="0.25">
      <c r="B2954" s="19" t="s">
        <v>3855</v>
      </c>
      <c r="C2954" s="16"/>
      <c r="D2954" s="16" t="s">
        <v>29</v>
      </c>
      <c r="E2954" s="16"/>
      <c r="F2954" s="5"/>
      <c r="G2954" s="16" t="s">
        <v>35</v>
      </c>
      <c r="H2954" s="16"/>
      <c r="I2954" s="16"/>
      <c r="J2954" s="16"/>
      <c r="K2954" s="16"/>
      <c r="L2954" s="16"/>
      <c r="M2954" s="16"/>
      <c r="N2954" s="16"/>
      <c r="O2954" s="17"/>
      <c r="P2954" s="5" t="str">
        <f t="shared" si="74"/>
        <v>Truncate table FSFSDA;</v>
      </c>
      <c r="Q2954" s="5"/>
      <c r="R2954" s="5"/>
    </row>
    <row r="2955" spans="1:18" x14ac:dyDescent="0.25">
      <c r="B2955" s="19" t="s">
        <v>3856</v>
      </c>
      <c r="C2955" s="16"/>
      <c r="D2955" s="16" t="s">
        <v>29</v>
      </c>
      <c r="E2955" s="16"/>
      <c r="F2955" s="5"/>
      <c r="G2955" s="16" t="s">
        <v>35</v>
      </c>
      <c r="H2955" s="16"/>
      <c r="I2955" s="16"/>
      <c r="J2955" s="16"/>
      <c r="K2955" s="16"/>
      <c r="L2955" s="16"/>
      <c r="M2955" s="16"/>
      <c r="N2955" s="16"/>
      <c r="O2955" s="17"/>
      <c r="P2955" s="5" t="str">
        <f t="shared" si="74"/>
        <v>Truncate table FSFSDB;</v>
      </c>
      <c r="Q2955" s="5"/>
      <c r="R2955" s="5"/>
    </row>
    <row r="2956" spans="1:18" x14ac:dyDescent="0.25">
      <c r="B2956" s="19" t="s">
        <v>3857</v>
      </c>
      <c r="C2956" s="16"/>
      <c r="D2956" s="16" t="s">
        <v>29</v>
      </c>
      <c r="E2956" s="16"/>
      <c r="F2956" s="5"/>
      <c r="G2956" s="16" t="s">
        <v>35</v>
      </c>
      <c r="H2956" s="16"/>
      <c r="I2956" s="16"/>
      <c r="J2956" s="16"/>
      <c r="K2956" s="16"/>
      <c r="L2956" s="16"/>
      <c r="M2956" s="16"/>
      <c r="N2956" s="16"/>
      <c r="O2956" s="17"/>
      <c r="P2956" s="5" t="str">
        <f t="shared" si="74"/>
        <v>Truncate table FSFSDC;</v>
      </c>
      <c r="Q2956" s="5"/>
      <c r="R2956" s="5"/>
    </row>
    <row r="2957" spans="1:18" x14ac:dyDescent="0.25">
      <c r="B2957" s="19" t="s">
        <v>3858</v>
      </c>
      <c r="C2957" s="16"/>
      <c r="D2957" s="16" t="s">
        <v>29</v>
      </c>
      <c r="E2957" s="16"/>
      <c r="F2957" s="5"/>
      <c r="G2957" s="16" t="s">
        <v>35</v>
      </c>
      <c r="H2957" s="16"/>
      <c r="I2957" s="16"/>
      <c r="J2957" s="16"/>
      <c r="K2957" s="16"/>
      <c r="L2957" s="16"/>
      <c r="M2957" s="16"/>
      <c r="N2957" s="16"/>
      <c r="O2957" s="17"/>
      <c r="P2957" s="5" t="str">
        <f t="shared" si="74"/>
        <v>Truncate table FSFSDD;</v>
      </c>
      <c r="Q2957" s="5"/>
      <c r="R2957" s="5"/>
    </row>
    <row r="2958" spans="1:18" x14ac:dyDescent="0.25">
      <c r="B2958" s="19" t="s">
        <v>3859</v>
      </c>
      <c r="C2958" s="16"/>
      <c r="D2958" s="16" t="s">
        <v>29</v>
      </c>
      <c r="E2958" s="16"/>
      <c r="F2958" s="5"/>
      <c r="G2958" s="16" t="s">
        <v>35</v>
      </c>
      <c r="H2958" s="16"/>
      <c r="I2958" s="16"/>
      <c r="J2958" s="16"/>
      <c r="K2958" s="16"/>
      <c r="L2958" s="16"/>
      <c r="M2958" s="16"/>
      <c r="N2958" s="16"/>
      <c r="O2958" s="17"/>
      <c r="P2958" s="5" t="str">
        <f t="shared" si="74"/>
        <v>Truncate table FSFSDE;</v>
      </c>
      <c r="Q2958" s="5"/>
      <c r="R2958" s="5"/>
    </row>
    <row r="2959" spans="1:18" x14ac:dyDescent="0.25">
      <c r="B2959" s="19" t="s">
        <v>3860</v>
      </c>
      <c r="C2959" s="16"/>
      <c r="D2959" s="16" t="s">
        <v>29</v>
      </c>
      <c r="E2959" s="16"/>
      <c r="F2959" s="5"/>
      <c r="G2959" s="16" t="s">
        <v>35</v>
      </c>
      <c r="H2959" s="16"/>
      <c r="I2959" s="16"/>
      <c r="J2959" s="16"/>
      <c r="K2959" s="16"/>
      <c r="L2959" s="16"/>
      <c r="M2959" s="16"/>
      <c r="N2959" s="16"/>
      <c r="O2959" s="17"/>
      <c r="P2959" s="5" t="str">
        <f t="shared" si="74"/>
        <v>Truncate table FSFSDF;</v>
      </c>
      <c r="Q2959" s="5"/>
      <c r="R2959" s="5"/>
    </row>
    <row r="2960" spans="1:18" x14ac:dyDescent="0.25">
      <c r="B2960" s="19" t="s">
        <v>3861</v>
      </c>
      <c r="C2960" s="16"/>
      <c r="D2960" s="16" t="s">
        <v>29</v>
      </c>
      <c r="E2960" s="16"/>
      <c r="F2960" s="5"/>
      <c r="G2960" s="16" t="s">
        <v>35</v>
      </c>
      <c r="H2960" s="16"/>
      <c r="I2960" s="16"/>
      <c r="J2960" s="16"/>
      <c r="K2960" s="16"/>
      <c r="L2960" s="16"/>
      <c r="M2960" s="16"/>
      <c r="N2960" s="16"/>
      <c r="O2960" s="17"/>
      <c r="P2960" s="5" t="str">
        <f t="shared" si="74"/>
        <v>Truncate table FSFSDG;</v>
      </c>
      <c r="Q2960" s="5"/>
      <c r="R2960" s="5"/>
    </row>
    <row r="2961" spans="1:18" x14ac:dyDescent="0.25">
      <c r="B2961" s="19" t="s">
        <v>3862</v>
      </c>
      <c r="C2961" s="16"/>
      <c r="D2961" s="16" t="s">
        <v>29</v>
      </c>
      <c r="E2961" s="16"/>
      <c r="F2961" s="5"/>
      <c r="G2961" s="16" t="s">
        <v>35</v>
      </c>
      <c r="H2961" s="16"/>
      <c r="I2961" s="16"/>
      <c r="J2961" s="16"/>
      <c r="K2961" s="16"/>
      <c r="L2961" s="16"/>
      <c r="M2961" s="16"/>
      <c r="N2961" s="16"/>
      <c r="O2961" s="17"/>
      <c r="P2961" s="5" t="str">
        <f t="shared" si="74"/>
        <v>Truncate table FSFSDH;</v>
      </c>
      <c r="Q2961" s="5"/>
      <c r="R2961" s="5"/>
    </row>
    <row r="2962" spans="1:18" x14ac:dyDescent="0.25">
      <c r="B2962" s="19" t="s">
        <v>3863</v>
      </c>
      <c r="C2962" s="16"/>
      <c r="D2962" s="16" t="s">
        <v>29</v>
      </c>
      <c r="E2962" s="16"/>
      <c r="F2962" s="5"/>
      <c r="G2962" s="16" t="s">
        <v>35</v>
      </c>
      <c r="H2962" s="16"/>
      <c r="I2962" s="16"/>
      <c r="J2962" s="16"/>
      <c r="K2962" s="16"/>
      <c r="L2962" s="16"/>
      <c r="M2962" s="16"/>
      <c r="N2962" s="16"/>
      <c r="O2962" s="17"/>
      <c r="P2962" s="5" t="str">
        <f t="shared" si="74"/>
        <v>Truncate table FSFSDI;</v>
      </c>
      <c r="Q2962" s="5"/>
      <c r="R2962" s="5"/>
    </row>
    <row r="2963" spans="1:18" x14ac:dyDescent="0.25">
      <c r="B2963" s="19" t="s">
        <v>3864</v>
      </c>
      <c r="C2963" s="16"/>
      <c r="D2963" s="16" t="s">
        <v>29</v>
      </c>
      <c r="E2963" s="16"/>
      <c r="F2963" s="5"/>
      <c r="G2963" s="16" t="s">
        <v>35</v>
      </c>
      <c r="H2963" s="16"/>
      <c r="I2963" s="16"/>
      <c r="J2963" s="16"/>
      <c r="K2963" s="16"/>
      <c r="L2963" s="16"/>
      <c r="M2963" s="16"/>
      <c r="N2963" s="16"/>
      <c r="O2963" s="17"/>
      <c r="P2963" s="5" t="str">
        <f t="shared" si="74"/>
        <v>Truncate table FSFSN1;</v>
      </c>
      <c r="Q2963" s="5"/>
      <c r="R2963" s="5"/>
    </row>
    <row r="2964" spans="1:18" s="227" customFormat="1" x14ac:dyDescent="0.25">
      <c r="A2964" s="388"/>
      <c r="B2964" s="19" t="s">
        <v>3865</v>
      </c>
      <c r="C2964" s="183" t="s">
        <v>9830</v>
      </c>
      <c r="D2964" s="16" t="s">
        <v>29</v>
      </c>
      <c r="E2964" s="16" t="s">
        <v>3007</v>
      </c>
      <c r="F2964" s="16" t="s">
        <v>3133</v>
      </c>
      <c r="G2964" s="16" t="s">
        <v>35</v>
      </c>
      <c r="H2964" s="16" t="s">
        <v>36</v>
      </c>
      <c r="I2964" s="16"/>
      <c r="J2964" s="16"/>
      <c r="K2964" s="16"/>
      <c r="L2964" s="16"/>
      <c r="M2964" s="16"/>
      <c r="N2964" s="16"/>
      <c r="O2964" s="17"/>
      <c r="P2964" s="16" t="str">
        <f t="shared" si="74"/>
        <v>Truncate table FSFSR1;</v>
      </c>
      <c r="Q2964" s="16"/>
      <c r="R2964" s="16"/>
    </row>
    <row r="2965" spans="1:18" s="227" customFormat="1" x14ac:dyDescent="0.25">
      <c r="A2965" s="388"/>
      <c r="B2965" s="19" t="s">
        <v>3866</v>
      </c>
      <c r="C2965" s="183" t="s">
        <v>9831</v>
      </c>
      <c r="D2965" s="16" t="s">
        <v>29</v>
      </c>
      <c r="E2965" s="16" t="s">
        <v>3007</v>
      </c>
      <c r="F2965" s="16" t="s">
        <v>3133</v>
      </c>
      <c r="G2965" s="16" t="s">
        <v>35</v>
      </c>
      <c r="H2965" s="16" t="s">
        <v>36</v>
      </c>
      <c r="I2965" s="16"/>
      <c r="J2965" s="16"/>
      <c r="K2965" s="16"/>
      <c r="L2965" s="16"/>
      <c r="M2965" s="16"/>
      <c r="N2965" s="16"/>
      <c r="O2965" s="17"/>
      <c r="P2965" s="16" t="str">
        <f t="shared" si="74"/>
        <v>Truncate table FSFSR2;</v>
      </c>
      <c r="Q2965" s="16"/>
      <c r="R2965" s="16"/>
    </row>
    <row r="2966" spans="1:18" s="227" customFormat="1" x14ac:dyDescent="0.25">
      <c r="A2966" s="388"/>
      <c r="B2966" s="19" t="s">
        <v>3867</v>
      </c>
      <c r="C2966" s="183" t="s">
        <v>9832</v>
      </c>
      <c r="D2966" s="16" t="s">
        <v>29</v>
      </c>
      <c r="E2966" s="16" t="s">
        <v>3007</v>
      </c>
      <c r="F2966" s="16" t="s">
        <v>3133</v>
      </c>
      <c r="G2966" s="16" t="s">
        <v>35</v>
      </c>
      <c r="H2966" s="16" t="s">
        <v>36</v>
      </c>
      <c r="I2966" s="16"/>
      <c r="J2966" s="16"/>
      <c r="K2966" s="16"/>
      <c r="L2966" s="16"/>
      <c r="M2966" s="16"/>
      <c r="N2966" s="16"/>
      <c r="O2966" s="17"/>
      <c r="P2966" s="16" t="str">
        <f t="shared" si="74"/>
        <v>Truncate table FSFSR3;</v>
      </c>
      <c r="Q2966" s="16"/>
      <c r="R2966" s="16"/>
    </row>
    <row r="2967" spans="1:18" x14ac:dyDescent="0.25">
      <c r="B2967" s="19" t="s">
        <v>3868</v>
      </c>
      <c r="C2967" s="16"/>
      <c r="D2967" s="16" t="s">
        <v>29</v>
      </c>
      <c r="E2967" s="16"/>
      <c r="F2967" s="5"/>
      <c r="G2967" s="16" t="s">
        <v>35</v>
      </c>
      <c r="H2967" s="16"/>
      <c r="I2967" s="16"/>
      <c r="J2967" s="16"/>
      <c r="K2967" s="16"/>
      <c r="L2967" s="16"/>
      <c r="M2967" s="16"/>
      <c r="N2967" s="16"/>
      <c r="O2967" s="17"/>
      <c r="P2967" s="5" t="str">
        <f t="shared" si="74"/>
        <v>Truncate table FSFSR4;</v>
      </c>
      <c r="Q2967" s="5"/>
      <c r="R2967" s="5"/>
    </row>
    <row r="2968" spans="1:18" x14ac:dyDescent="0.25">
      <c r="B2968" s="19" t="s">
        <v>3869</v>
      </c>
      <c r="C2968" s="16"/>
      <c r="D2968" s="16" t="s">
        <v>29</v>
      </c>
      <c r="E2968" s="16"/>
      <c r="F2968" s="5"/>
      <c r="G2968" s="16" t="s">
        <v>35</v>
      </c>
      <c r="H2968" s="16"/>
      <c r="I2968" s="16"/>
      <c r="J2968" s="16"/>
      <c r="K2968" s="16"/>
      <c r="L2968" s="16"/>
      <c r="M2968" s="16"/>
      <c r="N2968" s="16"/>
      <c r="O2968" s="17"/>
      <c r="P2968" s="5" t="str">
        <f t="shared" si="74"/>
        <v>Truncate table FSFSR5;</v>
      </c>
      <c r="Q2968" s="5"/>
      <c r="R2968" s="5"/>
    </row>
    <row r="2969" spans="1:18" x14ac:dyDescent="0.25">
      <c r="B2969" s="19" t="s">
        <v>3870</v>
      </c>
      <c r="C2969" s="16"/>
      <c r="D2969" s="16" t="s">
        <v>29</v>
      </c>
      <c r="E2969" s="16"/>
      <c r="F2969" s="5"/>
      <c r="G2969" s="16" t="s">
        <v>35</v>
      </c>
      <c r="H2969" s="16"/>
      <c r="I2969" s="16"/>
      <c r="J2969" s="16"/>
      <c r="K2969" s="16"/>
      <c r="L2969" s="16"/>
      <c r="M2969" s="16"/>
      <c r="N2969" s="16"/>
      <c r="O2969" s="17" t="s">
        <v>38</v>
      </c>
      <c r="P2969" s="5" t="str">
        <f t="shared" si="74"/>
        <v>Truncate table FSFST1;</v>
      </c>
      <c r="Q2969" s="5"/>
      <c r="R2969" s="5"/>
    </row>
    <row r="2970" spans="1:18" s="227" customFormat="1" x14ac:dyDescent="0.25">
      <c r="A2970" s="388"/>
      <c r="B2970" s="19" t="s">
        <v>3871</v>
      </c>
      <c r="C2970" s="183" t="s">
        <v>9804</v>
      </c>
      <c r="D2970" s="16" t="s">
        <v>29</v>
      </c>
      <c r="E2970" s="16" t="s">
        <v>8230</v>
      </c>
      <c r="F2970" s="16" t="s">
        <v>3133</v>
      </c>
      <c r="G2970" s="16" t="s">
        <v>35</v>
      </c>
      <c r="H2970" s="16" t="s">
        <v>36</v>
      </c>
      <c r="I2970" s="16"/>
      <c r="J2970" s="16"/>
      <c r="K2970" s="16"/>
      <c r="L2970" s="16"/>
      <c r="M2970" s="16"/>
      <c r="N2970" s="16"/>
      <c r="O2970" s="16" t="s">
        <v>38</v>
      </c>
      <c r="P2970" s="16" t="str">
        <f t="shared" si="74"/>
        <v>Truncate table FSFST2;</v>
      </c>
      <c r="Q2970" s="16"/>
      <c r="R2970" s="16"/>
    </row>
    <row r="2971" spans="1:18" s="227" customFormat="1" x14ac:dyDescent="0.25">
      <c r="A2971" s="388"/>
      <c r="B2971" s="19" t="s">
        <v>3872</v>
      </c>
      <c r="C2971" s="298" t="str">
        <f>[3]Hoja1!$C$234</f>
        <v xml:space="preserve">Tipos de Operaciones                                                                                                             </v>
      </c>
      <c r="D2971" s="16" t="s">
        <v>29</v>
      </c>
      <c r="E2971" s="16" t="s">
        <v>8230</v>
      </c>
      <c r="F2971" s="16" t="s">
        <v>3133</v>
      </c>
      <c r="G2971" s="16" t="s">
        <v>35</v>
      </c>
      <c r="H2971" s="16" t="s">
        <v>36</v>
      </c>
      <c r="I2971" s="16"/>
      <c r="J2971" s="16"/>
      <c r="K2971" s="16"/>
      <c r="L2971" s="16"/>
      <c r="M2971" s="16"/>
      <c r="N2971" s="16"/>
      <c r="O2971" s="16" t="s">
        <v>38</v>
      </c>
      <c r="P2971" s="16" t="str">
        <f t="shared" si="74"/>
        <v>Truncate table FSFST3;</v>
      </c>
      <c r="Q2971" s="16"/>
      <c r="R2971" s="16"/>
    </row>
    <row r="2972" spans="1:18" x14ac:dyDescent="0.25">
      <c r="B2972" s="49" t="s">
        <v>3873</v>
      </c>
      <c r="C2972" s="50"/>
      <c r="D2972" s="50" t="s">
        <v>29</v>
      </c>
      <c r="E2972" s="50"/>
      <c r="F2972" s="51"/>
      <c r="G2972" s="50" t="s">
        <v>35</v>
      </c>
      <c r="H2972" s="50"/>
      <c r="I2972" s="16"/>
      <c r="J2972" s="16"/>
      <c r="K2972" s="50"/>
      <c r="L2972" s="50"/>
      <c r="M2972" s="50"/>
      <c r="N2972" s="50"/>
      <c r="O2972" s="52" t="s">
        <v>38</v>
      </c>
      <c r="P2972" s="51" t="str">
        <f t="shared" si="74"/>
        <v>Truncate table FSFST4;</v>
      </c>
      <c r="Q2972" s="5"/>
      <c r="R2972" s="5"/>
    </row>
    <row r="2973" spans="1:18" x14ac:dyDescent="0.25">
      <c r="B2973" s="19" t="s">
        <v>3874</v>
      </c>
      <c r="C2973" s="16"/>
      <c r="D2973" s="16" t="s">
        <v>29</v>
      </c>
      <c r="E2973" s="16"/>
      <c r="F2973" s="5"/>
      <c r="G2973" s="16" t="s">
        <v>35</v>
      </c>
      <c r="H2973" s="16"/>
      <c r="I2973" s="16"/>
      <c r="J2973" s="16"/>
      <c r="K2973" s="16"/>
      <c r="L2973" s="16"/>
      <c r="M2973" s="16"/>
      <c r="N2973" s="16"/>
      <c r="O2973" s="17" t="s">
        <v>38</v>
      </c>
      <c r="P2973" s="5" t="str">
        <f t="shared" si="74"/>
        <v>Truncate table FSFST5;</v>
      </c>
      <c r="Q2973" s="5"/>
      <c r="R2973" s="5"/>
    </row>
    <row r="2974" spans="1:18" x14ac:dyDescent="0.25">
      <c r="B2974" s="19" t="s">
        <v>3875</v>
      </c>
      <c r="C2974" s="16"/>
      <c r="D2974" s="16" t="s">
        <v>29</v>
      </c>
      <c r="E2974" s="16"/>
      <c r="F2974" s="5"/>
      <c r="G2974" s="16" t="s">
        <v>35</v>
      </c>
      <c r="H2974" s="16"/>
      <c r="I2974" s="16"/>
      <c r="J2974" s="16"/>
      <c r="K2974" s="16"/>
      <c r="L2974" s="16"/>
      <c r="M2974" s="16"/>
      <c r="N2974" s="16"/>
      <c r="O2974" s="17" t="s">
        <v>38</v>
      </c>
      <c r="P2974" s="5" t="str">
        <f t="shared" si="74"/>
        <v>Truncate table FSFST6;</v>
      </c>
      <c r="Q2974" s="5"/>
      <c r="R2974" s="5"/>
    </row>
    <row r="2975" spans="1:18" x14ac:dyDescent="0.25">
      <c r="B2975" s="19" t="s">
        <v>3876</v>
      </c>
      <c r="C2975" s="16"/>
      <c r="D2975" s="16" t="s">
        <v>29</v>
      </c>
      <c r="E2975" s="16"/>
      <c r="F2975" s="5"/>
      <c r="G2975" s="16" t="s">
        <v>35</v>
      </c>
      <c r="H2975" s="16"/>
      <c r="I2975" s="16"/>
      <c r="J2975" s="16"/>
      <c r="K2975" s="16"/>
      <c r="L2975" s="16"/>
      <c r="M2975" s="16"/>
      <c r="N2975" s="16"/>
      <c r="O2975" s="17" t="s">
        <v>38</v>
      </c>
      <c r="P2975" s="5" t="str">
        <f t="shared" si="74"/>
        <v>Truncate table FSFST7;</v>
      </c>
      <c r="Q2975" s="5"/>
      <c r="R2975" s="5"/>
    </row>
    <row r="2976" spans="1:18" x14ac:dyDescent="0.25">
      <c r="B2976" s="19" t="s">
        <v>3877</v>
      </c>
      <c r="C2976" s="16"/>
      <c r="D2976" s="16" t="s">
        <v>29</v>
      </c>
      <c r="E2976" s="16"/>
      <c r="F2976" s="5"/>
      <c r="G2976" s="16" t="s">
        <v>35</v>
      </c>
      <c r="H2976" s="16"/>
      <c r="I2976" s="16"/>
      <c r="J2976" s="16"/>
      <c r="K2976" s="16"/>
      <c r="L2976" s="16"/>
      <c r="M2976" s="16"/>
      <c r="N2976" s="16"/>
      <c r="O2976" s="17" t="s">
        <v>38</v>
      </c>
      <c r="P2976" s="5" t="str">
        <f t="shared" si="74"/>
        <v>Truncate table FSFST8;</v>
      </c>
      <c r="Q2976" s="5"/>
      <c r="R2976" s="5"/>
    </row>
    <row r="2977" spans="2:22" x14ac:dyDescent="0.25">
      <c r="B2977" s="19" t="s">
        <v>3878</v>
      </c>
      <c r="C2977" s="16"/>
      <c r="D2977" s="16" t="s">
        <v>29</v>
      </c>
      <c r="E2977" s="16"/>
      <c r="F2977" s="5"/>
      <c r="G2977" s="16" t="s">
        <v>35</v>
      </c>
      <c r="H2977" s="16"/>
      <c r="I2977" s="16"/>
      <c r="J2977" s="16"/>
      <c r="K2977" s="16"/>
      <c r="L2977" s="16"/>
      <c r="M2977" s="16"/>
      <c r="N2977" s="16"/>
      <c r="O2977" s="17" t="s">
        <v>38</v>
      </c>
      <c r="P2977" s="5" t="str">
        <f t="shared" si="74"/>
        <v>Truncate table FSFST9;</v>
      </c>
      <c r="Q2977" s="5"/>
      <c r="R2977" s="5"/>
    </row>
    <row r="2978" spans="2:22" x14ac:dyDescent="0.25">
      <c r="B2978" s="19" t="s">
        <v>3879</v>
      </c>
      <c r="C2978" s="16"/>
      <c r="D2978" s="16" t="s">
        <v>29</v>
      </c>
      <c r="E2978" s="16"/>
      <c r="F2978" s="5"/>
      <c r="G2978" s="16" t="s">
        <v>35</v>
      </c>
      <c r="H2978" s="16"/>
      <c r="I2978" s="16"/>
      <c r="J2978" s="16"/>
      <c r="K2978" s="16"/>
      <c r="L2978" s="16"/>
      <c r="M2978" s="16"/>
      <c r="N2978" s="16"/>
      <c r="O2978" s="17" t="s">
        <v>38</v>
      </c>
      <c r="P2978" s="5" t="str">
        <f t="shared" si="74"/>
        <v>Truncate table FSFSTA;</v>
      </c>
      <c r="Q2978" s="5"/>
      <c r="R2978" s="5"/>
    </row>
    <row r="2979" spans="2:22" x14ac:dyDescent="0.25">
      <c r="B2979" s="19" t="s">
        <v>3880</v>
      </c>
      <c r="C2979" s="183" t="s">
        <v>9805</v>
      </c>
      <c r="D2979" s="16" t="s">
        <v>29</v>
      </c>
      <c r="E2979" s="16" t="s">
        <v>8230</v>
      </c>
      <c r="F2979" s="16" t="s">
        <v>3133</v>
      </c>
      <c r="G2979" s="16" t="s">
        <v>35</v>
      </c>
      <c r="H2979" s="16" t="s">
        <v>36</v>
      </c>
      <c r="I2979" s="16"/>
      <c r="J2979" s="16"/>
      <c r="K2979" s="16"/>
      <c r="L2979" s="16"/>
      <c r="M2979" s="16"/>
      <c r="N2979" s="16"/>
      <c r="O2979" s="16" t="s">
        <v>38</v>
      </c>
      <c r="P2979" s="16" t="str">
        <f t="shared" si="74"/>
        <v>Truncate table FSFSTB;</v>
      </c>
      <c r="Q2979" s="16"/>
      <c r="R2979" s="16"/>
      <c r="S2979"/>
      <c r="T2979"/>
      <c r="U2979"/>
      <c r="V2979"/>
    </row>
    <row r="2980" spans="2:22" x14ac:dyDescent="0.25">
      <c r="B2980" s="19" t="s">
        <v>3881</v>
      </c>
      <c r="C2980" s="183" t="s">
        <v>9806</v>
      </c>
      <c r="D2980" s="16" t="s">
        <v>29</v>
      </c>
      <c r="E2980" s="16" t="s">
        <v>8230</v>
      </c>
      <c r="F2980" s="16" t="s">
        <v>3133</v>
      </c>
      <c r="G2980" s="16" t="s">
        <v>35</v>
      </c>
      <c r="H2980" s="16" t="s">
        <v>36</v>
      </c>
      <c r="I2980" s="16"/>
      <c r="J2980" s="16"/>
      <c r="K2980" s="16"/>
      <c r="L2980" s="16"/>
      <c r="M2980" s="16"/>
      <c r="N2980" s="16"/>
      <c r="O2980" s="16" t="s">
        <v>38</v>
      </c>
      <c r="P2980" s="16" t="str">
        <f t="shared" si="74"/>
        <v>Truncate table FSFSTC;</v>
      </c>
      <c r="Q2980" s="16"/>
      <c r="R2980" s="16"/>
      <c r="S2980"/>
      <c r="T2980"/>
      <c r="U2980"/>
      <c r="V2980"/>
    </row>
    <row r="2981" spans="2:22" x14ac:dyDescent="0.25">
      <c r="B2981" s="19" t="s">
        <v>3882</v>
      </c>
      <c r="C2981" s="16"/>
      <c r="D2981" s="16" t="s">
        <v>29</v>
      </c>
      <c r="E2981" s="16"/>
      <c r="F2981" s="5"/>
      <c r="G2981" s="16" t="s">
        <v>35</v>
      </c>
      <c r="H2981" s="16"/>
      <c r="I2981" s="16"/>
      <c r="J2981" s="16"/>
      <c r="K2981" s="16"/>
      <c r="L2981" s="16"/>
      <c r="M2981" s="16"/>
      <c r="N2981" s="16"/>
      <c r="O2981" s="17" t="s">
        <v>38</v>
      </c>
      <c r="P2981" s="5" t="str">
        <f t="shared" si="74"/>
        <v>Truncate table FSFSTD;</v>
      </c>
      <c r="Q2981" s="5"/>
      <c r="R2981" s="5"/>
    </row>
    <row r="2982" spans="2:22" x14ac:dyDescent="0.25">
      <c r="B2982" s="19" t="s">
        <v>3883</v>
      </c>
      <c r="C2982" s="183" t="s">
        <v>9807</v>
      </c>
      <c r="D2982" s="16" t="s">
        <v>29</v>
      </c>
      <c r="E2982" s="16" t="s">
        <v>8230</v>
      </c>
      <c r="F2982" s="16" t="s">
        <v>3133</v>
      </c>
      <c r="G2982" s="16" t="s">
        <v>35</v>
      </c>
      <c r="H2982" s="16" t="s">
        <v>36</v>
      </c>
      <c r="I2982" s="16"/>
      <c r="J2982" s="16"/>
      <c r="K2982" s="16"/>
      <c r="L2982" s="16"/>
      <c r="M2982" s="16"/>
      <c r="N2982" s="16"/>
      <c r="O2982" s="17" t="s">
        <v>38</v>
      </c>
      <c r="P2982" s="16" t="str">
        <f t="shared" si="74"/>
        <v>Truncate table FSFSTE;</v>
      </c>
      <c r="Q2982" s="16"/>
      <c r="R2982" s="16"/>
      <c r="S2982"/>
      <c r="T2982"/>
      <c r="U2982"/>
      <c r="V2982"/>
    </row>
    <row r="2983" spans="2:22" x14ac:dyDescent="0.25">
      <c r="B2983" s="19" t="s">
        <v>3884</v>
      </c>
      <c r="C2983" s="16"/>
      <c r="D2983" s="16" t="s">
        <v>29</v>
      </c>
      <c r="E2983" s="16"/>
      <c r="F2983" s="5"/>
      <c r="G2983" s="16" t="s">
        <v>35</v>
      </c>
      <c r="H2983" s="16"/>
      <c r="I2983" s="16"/>
      <c r="J2983" s="16"/>
      <c r="K2983" s="16"/>
      <c r="L2983" s="16"/>
      <c r="M2983" s="16"/>
      <c r="N2983" s="16"/>
      <c r="O2983" s="17" t="s">
        <v>38</v>
      </c>
      <c r="P2983" s="5" t="str">
        <f t="shared" si="74"/>
        <v>Truncate table FSFSTF;</v>
      </c>
      <c r="Q2983" s="5"/>
      <c r="R2983" s="5"/>
    </row>
    <row r="2984" spans="2:22" x14ac:dyDescent="0.25">
      <c r="B2984" s="19" t="s">
        <v>3885</v>
      </c>
      <c r="C2984" s="16"/>
      <c r="D2984" s="16" t="s">
        <v>29</v>
      </c>
      <c r="E2984" s="16"/>
      <c r="F2984" s="5"/>
      <c r="G2984" s="16" t="s">
        <v>35</v>
      </c>
      <c r="H2984" s="16"/>
      <c r="I2984" s="16"/>
      <c r="J2984" s="16"/>
      <c r="K2984" s="16"/>
      <c r="L2984" s="16"/>
      <c r="M2984" s="16"/>
      <c r="N2984" s="16"/>
      <c r="O2984" s="17" t="s">
        <v>38</v>
      </c>
      <c r="P2984" s="5" t="str">
        <f t="shared" si="74"/>
        <v>Truncate table FSFSTG;</v>
      </c>
      <c r="Q2984" s="5"/>
      <c r="R2984" s="5"/>
    </row>
    <row r="2985" spans="2:22" x14ac:dyDescent="0.25">
      <c r="B2985" s="19" t="s">
        <v>3886</v>
      </c>
      <c r="C2985" s="16"/>
      <c r="D2985" s="16" t="s">
        <v>29</v>
      </c>
      <c r="E2985" s="16"/>
      <c r="F2985" s="5"/>
      <c r="G2985" s="16" t="s">
        <v>35</v>
      </c>
      <c r="H2985" s="16"/>
      <c r="I2985" s="16"/>
      <c r="J2985" s="16"/>
      <c r="K2985" s="16"/>
      <c r="L2985" s="16"/>
      <c r="M2985" s="16"/>
      <c r="N2985" s="16"/>
      <c r="O2985" s="17" t="s">
        <v>38</v>
      </c>
      <c r="P2985" s="5" t="str">
        <f t="shared" si="74"/>
        <v>Truncate table FSFSTH;</v>
      </c>
      <c r="Q2985" s="5"/>
      <c r="R2985" s="5"/>
    </row>
    <row r="2986" spans="2:22" x14ac:dyDescent="0.25">
      <c r="B2986" s="19" t="s">
        <v>3887</v>
      </c>
      <c r="C2986" s="16"/>
      <c r="D2986" s="16" t="s">
        <v>29</v>
      </c>
      <c r="E2986" s="16"/>
      <c r="F2986" s="5"/>
      <c r="G2986" s="16" t="s">
        <v>35</v>
      </c>
      <c r="H2986" s="16"/>
      <c r="I2986" s="16"/>
      <c r="J2986" s="16"/>
      <c r="K2986" s="16"/>
      <c r="L2986" s="16"/>
      <c r="M2986" s="16"/>
      <c r="N2986" s="16"/>
      <c r="O2986" s="17" t="s">
        <v>38</v>
      </c>
      <c r="P2986" s="5" t="str">
        <f t="shared" si="74"/>
        <v>Truncate table FSFSTI;</v>
      </c>
      <c r="Q2986" s="5"/>
      <c r="R2986" s="5"/>
    </row>
    <row r="2987" spans="2:22" x14ac:dyDescent="0.25">
      <c r="B2987" s="19" t="s">
        <v>3888</v>
      </c>
      <c r="C2987" s="16"/>
      <c r="D2987" s="16" t="s">
        <v>29</v>
      </c>
      <c r="E2987" s="16"/>
      <c r="F2987" s="5"/>
      <c r="G2987" s="16" t="s">
        <v>35</v>
      </c>
      <c r="H2987" s="16"/>
      <c r="I2987" s="16"/>
      <c r="J2987" s="16"/>
      <c r="K2987" s="16"/>
      <c r="L2987" s="16"/>
      <c r="M2987" s="16"/>
      <c r="N2987" s="16"/>
      <c r="O2987" s="17" t="s">
        <v>38</v>
      </c>
      <c r="P2987" s="5" t="str">
        <f t="shared" si="74"/>
        <v>Truncate table FSFSTJ;</v>
      </c>
      <c r="Q2987" s="5"/>
      <c r="R2987" s="5"/>
    </row>
    <row r="2988" spans="2:22" x14ac:dyDescent="0.25">
      <c r="B2988" s="19" t="s">
        <v>3889</v>
      </c>
      <c r="C2988" s="16"/>
      <c r="D2988" s="16" t="s">
        <v>29</v>
      </c>
      <c r="E2988" s="16"/>
      <c r="F2988" s="5"/>
      <c r="G2988" s="16" t="s">
        <v>35</v>
      </c>
      <c r="H2988" s="16"/>
      <c r="I2988" s="16"/>
      <c r="J2988" s="16"/>
      <c r="K2988" s="16"/>
      <c r="L2988" s="16"/>
      <c r="M2988" s="16"/>
      <c r="N2988" s="16"/>
      <c r="O2988" s="17" t="s">
        <v>38</v>
      </c>
      <c r="P2988" s="5" t="str">
        <f t="shared" si="74"/>
        <v>Truncate table FSFSTK;</v>
      </c>
      <c r="Q2988" s="5"/>
      <c r="R2988" s="5"/>
    </row>
    <row r="2989" spans="2:22" x14ac:dyDescent="0.25">
      <c r="B2989" s="19" t="s">
        <v>3890</v>
      </c>
      <c r="C2989" s="16"/>
      <c r="D2989" s="16" t="s">
        <v>29</v>
      </c>
      <c r="E2989" s="16"/>
      <c r="F2989" s="5"/>
      <c r="G2989" s="16" t="s">
        <v>35</v>
      </c>
      <c r="H2989" s="16"/>
      <c r="I2989" s="16"/>
      <c r="J2989" s="16"/>
      <c r="K2989" s="16"/>
      <c r="L2989" s="16"/>
      <c r="M2989" s="16"/>
      <c r="N2989" s="16"/>
      <c r="O2989" s="17" t="s">
        <v>38</v>
      </c>
      <c r="P2989" s="5" t="str">
        <f t="shared" si="74"/>
        <v>Truncate table FSFSTL;</v>
      </c>
      <c r="Q2989" s="5"/>
      <c r="R2989" s="5"/>
    </row>
    <row r="2990" spans="2:22" x14ac:dyDescent="0.25">
      <c r="B2990" s="19" t="s">
        <v>3891</v>
      </c>
      <c r="C2990" s="16"/>
      <c r="D2990" s="16" t="s">
        <v>29</v>
      </c>
      <c r="E2990" s="16"/>
      <c r="F2990" s="5"/>
      <c r="G2990" s="16" t="s">
        <v>35</v>
      </c>
      <c r="H2990" s="16"/>
      <c r="I2990" s="16"/>
      <c r="J2990" s="16"/>
      <c r="K2990" s="16"/>
      <c r="L2990" s="16"/>
      <c r="M2990" s="16"/>
      <c r="N2990" s="16"/>
      <c r="O2990" s="17" t="s">
        <v>38</v>
      </c>
      <c r="P2990" s="5" t="str">
        <f t="shared" si="74"/>
        <v>Truncate table FSFSTM;</v>
      </c>
      <c r="Q2990" s="5"/>
      <c r="R2990" s="5"/>
    </row>
    <row r="2991" spans="2:22" x14ac:dyDescent="0.25">
      <c r="B2991" s="19" t="s">
        <v>3892</v>
      </c>
      <c r="C2991" s="183" t="s">
        <v>9808</v>
      </c>
      <c r="D2991" s="16" t="s">
        <v>29</v>
      </c>
      <c r="E2991" s="16" t="s">
        <v>8230</v>
      </c>
      <c r="F2991" s="16" t="s">
        <v>3133</v>
      </c>
      <c r="G2991" s="16" t="s">
        <v>35</v>
      </c>
      <c r="H2991" s="16" t="s">
        <v>36</v>
      </c>
      <c r="I2991" s="16"/>
      <c r="J2991" s="16"/>
      <c r="K2991" s="16"/>
      <c r="L2991" s="16"/>
      <c r="M2991" s="16"/>
      <c r="N2991" s="16"/>
      <c r="O2991" s="17" t="s">
        <v>38</v>
      </c>
      <c r="P2991" s="16" t="str">
        <f t="shared" si="74"/>
        <v>Truncate table FSFSTN;</v>
      </c>
      <c r="Q2991" s="16"/>
      <c r="R2991" s="16"/>
      <c r="S2991"/>
      <c r="T2991"/>
      <c r="U2991"/>
      <c r="V2991"/>
    </row>
    <row r="2992" spans="2:22" x14ac:dyDescent="0.25">
      <c r="B2992" s="19" t="s">
        <v>3893</v>
      </c>
      <c r="C2992" s="16"/>
      <c r="D2992" s="16" t="s">
        <v>29</v>
      </c>
      <c r="E2992" s="16"/>
      <c r="F2992" s="5"/>
      <c r="G2992" s="16" t="s">
        <v>35</v>
      </c>
      <c r="H2992" s="16"/>
      <c r="I2992" s="16"/>
      <c r="J2992" s="16"/>
      <c r="K2992" s="16"/>
      <c r="L2992" s="16"/>
      <c r="M2992" s="16"/>
      <c r="N2992" s="16"/>
      <c r="O2992" s="17"/>
      <c r="P2992" s="5" t="str">
        <f t="shared" si="74"/>
        <v>Truncate table FSFT01;</v>
      </c>
      <c r="Q2992" s="5"/>
      <c r="R2992" s="5"/>
    </row>
    <row r="2993" spans="1:22" x14ac:dyDescent="0.25">
      <c r="B2993" s="19" t="s">
        <v>3894</v>
      </c>
      <c r="C2993" s="16"/>
      <c r="D2993" s="16" t="s">
        <v>29</v>
      </c>
      <c r="E2993" s="16"/>
      <c r="F2993" s="5"/>
      <c r="G2993" s="16" t="s">
        <v>35</v>
      </c>
      <c r="H2993" s="16"/>
      <c r="I2993" s="16"/>
      <c r="J2993" s="16"/>
      <c r="K2993" s="16"/>
      <c r="L2993" s="16"/>
      <c r="M2993" s="16"/>
      <c r="N2993" s="16"/>
      <c r="O2993" s="17"/>
      <c r="P2993" s="5" t="str">
        <f t="shared" ref="P2993:P3056" si="75">IF(D2993="Datos","Truncate table "&amp; B2993&amp; ";","")</f>
        <v>Truncate table FSFT02;</v>
      </c>
      <c r="Q2993" s="5"/>
      <c r="R2993" s="5"/>
    </row>
    <row r="2994" spans="1:22" x14ac:dyDescent="0.25">
      <c r="B2994" s="19" t="s">
        <v>3895</v>
      </c>
      <c r="C2994" s="183" t="s">
        <v>9800</v>
      </c>
      <c r="D2994" s="16" t="s">
        <v>29</v>
      </c>
      <c r="E2994" s="16" t="s">
        <v>3275</v>
      </c>
      <c r="F2994" s="16" t="s">
        <v>3133</v>
      </c>
      <c r="G2994" s="16" t="s">
        <v>35</v>
      </c>
      <c r="H2994" s="16" t="s">
        <v>36</v>
      </c>
      <c r="I2994" s="16"/>
      <c r="J2994" s="16"/>
      <c r="K2994" s="16"/>
      <c r="L2994" s="16"/>
      <c r="M2994" s="16"/>
      <c r="N2994" s="16"/>
      <c r="O2994" s="17" t="s">
        <v>38</v>
      </c>
      <c r="P2994" s="16" t="str">
        <f t="shared" si="75"/>
        <v>Truncate table FSFT03;</v>
      </c>
      <c r="Q2994" s="16"/>
      <c r="R2994" s="16"/>
      <c r="S2994"/>
      <c r="T2994"/>
      <c r="U2994"/>
      <c r="V2994"/>
    </row>
    <row r="2995" spans="1:22" x14ac:dyDescent="0.25">
      <c r="B2995" s="19" t="s">
        <v>3896</v>
      </c>
      <c r="C2995" s="16"/>
      <c r="D2995" s="16" t="s">
        <v>29</v>
      </c>
      <c r="E2995" s="16"/>
      <c r="F2995" s="5"/>
      <c r="G2995" s="16" t="s">
        <v>35</v>
      </c>
      <c r="H2995" s="16"/>
      <c r="I2995" s="16"/>
      <c r="J2995" s="16"/>
      <c r="K2995" s="16"/>
      <c r="L2995" s="16"/>
      <c r="M2995" s="16"/>
      <c r="N2995" s="16"/>
      <c r="O2995" s="17"/>
      <c r="P2995" s="5" t="str">
        <f t="shared" si="75"/>
        <v>Truncate table FSFT04;</v>
      </c>
      <c r="Q2995" s="5"/>
      <c r="R2995" s="5"/>
    </row>
    <row r="2996" spans="1:22" x14ac:dyDescent="0.25">
      <c r="B2996" s="19" t="s">
        <v>3897</v>
      </c>
      <c r="C2996" s="16"/>
      <c r="D2996" s="16" t="s">
        <v>29</v>
      </c>
      <c r="E2996" s="16" t="s">
        <v>3275</v>
      </c>
      <c r="F2996" s="5"/>
      <c r="G2996" s="16" t="s">
        <v>35</v>
      </c>
      <c r="H2996" s="16"/>
      <c r="I2996" s="16"/>
      <c r="J2996" s="16"/>
      <c r="K2996" s="16"/>
      <c r="L2996" s="16"/>
      <c r="M2996" s="16"/>
      <c r="N2996" s="16"/>
      <c r="O2996" s="17" t="s">
        <v>38</v>
      </c>
      <c r="P2996" s="5" t="str">
        <f t="shared" si="75"/>
        <v>Truncate table FSFT05;</v>
      </c>
      <c r="Q2996" s="5"/>
      <c r="R2996" s="5"/>
    </row>
    <row r="2997" spans="1:22" x14ac:dyDescent="0.25">
      <c r="B2997" s="19" t="s">
        <v>3898</v>
      </c>
      <c r="C2997" s="16"/>
      <c r="D2997" s="16" t="s">
        <v>29</v>
      </c>
      <c r="E2997" s="16"/>
      <c r="F2997" s="5"/>
      <c r="G2997" s="16" t="s">
        <v>35</v>
      </c>
      <c r="H2997" s="16"/>
      <c r="I2997" s="16"/>
      <c r="J2997" s="16"/>
      <c r="K2997" s="16"/>
      <c r="L2997" s="16"/>
      <c r="M2997" s="16"/>
      <c r="N2997" s="16"/>
      <c r="O2997" s="17"/>
      <c r="P2997" s="5" t="str">
        <f t="shared" si="75"/>
        <v>Truncate table FSFT06;</v>
      </c>
      <c r="Q2997" s="5"/>
      <c r="R2997" s="5"/>
    </row>
    <row r="2998" spans="1:22" x14ac:dyDescent="0.25">
      <c r="B2998" s="19" t="s">
        <v>3899</v>
      </c>
      <c r="C2998" s="16"/>
      <c r="D2998" s="16" t="s">
        <v>29</v>
      </c>
      <c r="E2998" s="16"/>
      <c r="F2998" s="5"/>
      <c r="G2998" s="16" t="s">
        <v>35</v>
      </c>
      <c r="H2998" s="16"/>
      <c r="I2998" s="16"/>
      <c r="J2998" s="16"/>
      <c r="K2998" s="16"/>
      <c r="L2998" s="16"/>
      <c r="M2998" s="16"/>
      <c r="N2998" s="16"/>
      <c r="O2998" s="17"/>
      <c r="P2998" s="5" t="str">
        <f t="shared" si="75"/>
        <v>Truncate table FSFT07;</v>
      </c>
      <c r="Q2998" s="5"/>
      <c r="R2998" s="5"/>
    </row>
    <row r="2999" spans="1:22" x14ac:dyDescent="0.25">
      <c r="B2999" s="19" t="s">
        <v>3900</v>
      </c>
      <c r="C2999" s="16"/>
      <c r="D2999" s="16" t="s">
        <v>29</v>
      </c>
      <c r="E2999" s="16"/>
      <c r="F2999" s="5"/>
      <c r="G2999" s="16" t="s">
        <v>35</v>
      </c>
      <c r="H2999" s="16"/>
      <c r="I2999" s="16"/>
      <c r="J2999" s="16"/>
      <c r="K2999" s="16"/>
      <c r="L2999" s="16"/>
      <c r="M2999" s="16"/>
      <c r="N2999" s="16"/>
      <c r="O2999" s="17"/>
      <c r="P2999" s="5" t="str">
        <f t="shared" si="75"/>
        <v>Truncate table FSFT08;</v>
      </c>
      <c r="Q2999" s="5"/>
      <c r="R2999" s="5"/>
    </row>
    <row r="3000" spans="1:22" x14ac:dyDescent="0.25">
      <c r="B3000" s="19" t="s">
        <v>3901</v>
      </c>
      <c r="C3000" s="16"/>
      <c r="D3000" s="16" t="s">
        <v>29</v>
      </c>
      <c r="E3000" s="16"/>
      <c r="F3000" s="5"/>
      <c r="G3000" s="16" t="s">
        <v>35</v>
      </c>
      <c r="H3000" s="16"/>
      <c r="I3000" s="16"/>
      <c r="J3000" s="16"/>
      <c r="K3000" s="16"/>
      <c r="L3000" s="16"/>
      <c r="M3000" s="16"/>
      <c r="N3000" s="16"/>
      <c r="O3000" s="17"/>
      <c r="P3000" s="5" t="str">
        <f t="shared" si="75"/>
        <v>Truncate table FSFT09;</v>
      </c>
      <c r="Q3000" s="5"/>
      <c r="R3000" s="5"/>
    </row>
    <row r="3001" spans="1:22" x14ac:dyDescent="0.25">
      <c r="B3001" s="19" t="s">
        <v>3902</v>
      </c>
      <c r="C3001" s="16"/>
      <c r="D3001" s="16" t="s">
        <v>29</v>
      </c>
      <c r="E3001" s="16" t="s">
        <v>3007</v>
      </c>
      <c r="F3001" s="5" t="s">
        <v>3133</v>
      </c>
      <c r="G3001" s="16" t="s">
        <v>28</v>
      </c>
      <c r="H3001" s="16" t="s">
        <v>36</v>
      </c>
      <c r="I3001" s="16"/>
      <c r="J3001" s="16"/>
      <c r="K3001" s="16"/>
      <c r="L3001" s="16"/>
      <c r="M3001" s="16"/>
      <c r="N3001" s="16"/>
      <c r="O3001" s="17" t="s">
        <v>38</v>
      </c>
      <c r="P3001" s="5" t="str">
        <f t="shared" si="75"/>
        <v>Truncate table FSFT10;</v>
      </c>
      <c r="Q3001" s="5"/>
      <c r="R3001" s="5"/>
    </row>
    <row r="3002" spans="1:22" x14ac:dyDescent="0.25">
      <c r="B3002" s="19" t="s">
        <v>3903</v>
      </c>
      <c r="C3002" s="16"/>
      <c r="D3002" s="16" t="s">
        <v>29</v>
      </c>
      <c r="E3002" s="16" t="s">
        <v>3007</v>
      </c>
      <c r="F3002" s="5" t="s">
        <v>3133</v>
      </c>
      <c r="G3002" s="16" t="s">
        <v>28</v>
      </c>
      <c r="H3002" s="16" t="s">
        <v>36</v>
      </c>
      <c r="I3002" s="16"/>
      <c r="J3002" s="16"/>
      <c r="K3002" s="16"/>
      <c r="L3002" s="16"/>
      <c r="M3002" s="16"/>
      <c r="N3002" s="16"/>
      <c r="O3002" s="17" t="s">
        <v>38</v>
      </c>
      <c r="P3002" s="5" t="str">
        <f t="shared" si="75"/>
        <v>Truncate table FSFT11;</v>
      </c>
      <c r="Q3002" s="5"/>
      <c r="R3002" s="5"/>
    </row>
    <row r="3003" spans="1:22" x14ac:dyDescent="0.25">
      <c r="B3003" s="19" t="s">
        <v>3904</v>
      </c>
      <c r="C3003" s="16"/>
      <c r="D3003" s="16" t="s">
        <v>29</v>
      </c>
      <c r="E3003" s="16"/>
      <c r="F3003" s="5"/>
      <c r="G3003" s="16" t="s">
        <v>35</v>
      </c>
      <c r="H3003" s="16"/>
      <c r="I3003" s="16"/>
      <c r="J3003" s="16"/>
      <c r="K3003" s="16"/>
      <c r="L3003" s="16"/>
      <c r="M3003" s="16"/>
      <c r="N3003" s="16"/>
      <c r="O3003" s="17"/>
      <c r="P3003" s="5" t="str">
        <f t="shared" si="75"/>
        <v>Truncate table FSFT12;</v>
      </c>
      <c r="Q3003" s="5"/>
      <c r="R3003" s="5"/>
    </row>
    <row r="3004" spans="1:22" x14ac:dyDescent="0.25">
      <c r="B3004" s="37" t="s">
        <v>3905</v>
      </c>
      <c r="C3004" s="38"/>
      <c r="D3004" s="38" t="s">
        <v>29</v>
      </c>
      <c r="E3004" s="38"/>
      <c r="F3004" s="10"/>
      <c r="G3004" s="38" t="s">
        <v>35</v>
      </c>
      <c r="H3004" s="38"/>
      <c r="I3004" s="16"/>
      <c r="J3004" s="16"/>
      <c r="K3004" s="38"/>
      <c r="L3004" s="38"/>
      <c r="M3004" s="38"/>
      <c r="N3004" s="38"/>
      <c r="O3004" s="48"/>
      <c r="P3004" s="10" t="str">
        <f t="shared" si="75"/>
        <v>Truncate table FSFT13;</v>
      </c>
      <c r="Q3004" s="10"/>
      <c r="R3004" s="10"/>
    </row>
    <row r="3005" spans="1:22" s="182" customFormat="1" x14ac:dyDescent="0.25">
      <c r="A3005" s="388"/>
      <c r="B3005" s="19" t="s">
        <v>3906</v>
      </c>
      <c r="C3005" s="183" t="s">
        <v>9801</v>
      </c>
      <c r="D3005" s="16" t="s">
        <v>29</v>
      </c>
      <c r="E3005" s="16" t="s">
        <v>3275</v>
      </c>
      <c r="F3005" s="16" t="s">
        <v>3133</v>
      </c>
      <c r="G3005" s="16" t="s">
        <v>35</v>
      </c>
      <c r="H3005" s="16" t="s">
        <v>36</v>
      </c>
      <c r="I3005" s="247"/>
      <c r="J3005" s="17"/>
      <c r="K3005" s="16"/>
      <c r="L3005" s="16"/>
      <c r="M3005" s="16"/>
      <c r="N3005" s="16"/>
      <c r="O3005" s="16" t="s">
        <v>38</v>
      </c>
      <c r="P3005" s="16" t="str">
        <f t="shared" si="75"/>
        <v>Truncate table FSFT14;</v>
      </c>
      <c r="Q3005" s="16"/>
      <c r="R3005" s="16"/>
    </row>
    <row r="3006" spans="1:22" x14ac:dyDescent="0.25">
      <c r="B3006" s="49" t="s">
        <v>3907</v>
      </c>
      <c r="C3006" s="50"/>
      <c r="D3006" s="50" t="s">
        <v>29</v>
      </c>
      <c r="E3006" s="50"/>
      <c r="F3006" s="51"/>
      <c r="G3006" s="50" t="s">
        <v>35</v>
      </c>
      <c r="H3006" s="50"/>
      <c r="I3006" s="16"/>
      <c r="J3006" s="16"/>
      <c r="K3006" s="50"/>
      <c r="L3006" s="50"/>
      <c r="M3006" s="50"/>
      <c r="N3006" s="50"/>
      <c r="O3006" s="52"/>
      <c r="P3006" s="51" t="str">
        <f t="shared" si="75"/>
        <v>Truncate table FSFT15;</v>
      </c>
      <c r="Q3006" s="51"/>
      <c r="R3006" s="51"/>
    </row>
    <row r="3007" spans="1:22" x14ac:dyDescent="0.25">
      <c r="B3007" s="19" t="s">
        <v>3908</v>
      </c>
      <c r="C3007" s="16"/>
      <c r="D3007" s="16" t="s">
        <v>29</v>
      </c>
      <c r="E3007" s="16"/>
      <c r="F3007" s="5"/>
      <c r="G3007" s="16" t="s">
        <v>35</v>
      </c>
      <c r="H3007" s="16"/>
      <c r="I3007" s="16"/>
      <c r="J3007" s="16"/>
      <c r="K3007" s="16"/>
      <c r="L3007" s="16"/>
      <c r="M3007" s="16"/>
      <c r="N3007" s="16"/>
      <c r="O3007" s="17"/>
      <c r="P3007" s="5" t="str">
        <f t="shared" si="75"/>
        <v>Truncate table FSFT16;</v>
      </c>
      <c r="Q3007" s="5"/>
      <c r="R3007" s="5"/>
    </row>
    <row r="3008" spans="1:22" x14ac:dyDescent="0.25">
      <c r="B3008" s="19" t="s">
        <v>3909</v>
      </c>
      <c r="C3008" s="16"/>
      <c r="D3008" s="16" t="s">
        <v>29</v>
      </c>
      <c r="E3008" s="16"/>
      <c r="F3008" s="5"/>
      <c r="G3008" s="16" t="s">
        <v>35</v>
      </c>
      <c r="H3008" s="16"/>
      <c r="I3008" s="16"/>
      <c r="J3008" s="16"/>
      <c r="K3008" s="16"/>
      <c r="L3008" s="16"/>
      <c r="M3008" s="16"/>
      <c r="N3008" s="16"/>
      <c r="O3008" s="17"/>
      <c r="P3008" s="5" t="str">
        <f t="shared" si="75"/>
        <v>Truncate table FSFT17;</v>
      </c>
      <c r="Q3008" s="5"/>
      <c r="R3008" s="5"/>
    </row>
    <row r="3009" spans="2:18" x14ac:dyDescent="0.25">
      <c r="B3009" s="19" t="s">
        <v>3910</v>
      </c>
      <c r="C3009" s="16"/>
      <c r="D3009" s="16" t="s">
        <v>29</v>
      </c>
      <c r="E3009" s="16"/>
      <c r="F3009" s="5"/>
      <c r="G3009" s="16" t="s">
        <v>35</v>
      </c>
      <c r="H3009" s="16"/>
      <c r="I3009" s="16"/>
      <c r="J3009" s="16"/>
      <c r="K3009" s="16"/>
      <c r="L3009" s="16"/>
      <c r="M3009" s="16"/>
      <c r="N3009" s="16"/>
      <c r="O3009" s="17"/>
      <c r="P3009" s="5" t="str">
        <f t="shared" si="75"/>
        <v>Truncate table FSFT18;</v>
      </c>
      <c r="Q3009" s="5"/>
      <c r="R3009" s="5"/>
    </row>
    <row r="3010" spans="2:18" x14ac:dyDescent="0.25">
      <c r="B3010" s="19" t="s">
        <v>3911</v>
      </c>
      <c r="C3010" s="16"/>
      <c r="D3010" s="16" t="s">
        <v>29</v>
      </c>
      <c r="E3010" s="16"/>
      <c r="F3010" s="5"/>
      <c r="G3010" s="16" t="s">
        <v>35</v>
      </c>
      <c r="H3010" s="16"/>
      <c r="I3010" s="16"/>
      <c r="J3010" s="16"/>
      <c r="K3010" s="16"/>
      <c r="L3010" s="16"/>
      <c r="M3010" s="16"/>
      <c r="N3010" s="16"/>
      <c r="O3010" s="17"/>
      <c r="P3010" s="5" t="str">
        <f t="shared" si="75"/>
        <v>Truncate table FSFT19;</v>
      </c>
      <c r="Q3010" s="5"/>
      <c r="R3010" s="5"/>
    </row>
    <row r="3011" spans="2:18" x14ac:dyDescent="0.25">
      <c r="B3011" s="19" t="s">
        <v>3912</v>
      </c>
      <c r="C3011" s="16"/>
      <c r="D3011" s="16" t="s">
        <v>29</v>
      </c>
      <c r="E3011" s="16"/>
      <c r="F3011" s="5"/>
      <c r="G3011" s="16" t="s">
        <v>35</v>
      </c>
      <c r="H3011" s="16"/>
      <c r="I3011" s="16"/>
      <c r="J3011" s="16"/>
      <c r="K3011" s="16"/>
      <c r="L3011" s="16"/>
      <c r="M3011" s="16"/>
      <c r="N3011" s="16"/>
      <c r="O3011" s="17"/>
      <c r="P3011" s="5" t="str">
        <f t="shared" si="75"/>
        <v>Truncate table FSFT20;</v>
      </c>
      <c r="Q3011" s="5"/>
      <c r="R3011" s="5"/>
    </row>
    <row r="3012" spans="2:18" x14ac:dyDescent="0.25">
      <c r="B3012" s="19" t="s">
        <v>3913</v>
      </c>
      <c r="C3012" s="16"/>
      <c r="D3012" s="16" t="s">
        <v>29</v>
      </c>
      <c r="E3012" s="16"/>
      <c r="F3012" s="5"/>
      <c r="G3012" s="16" t="s">
        <v>35</v>
      </c>
      <c r="H3012" s="16"/>
      <c r="I3012" s="16"/>
      <c r="J3012" s="16"/>
      <c r="K3012" s="16"/>
      <c r="L3012" s="16"/>
      <c r="M3012" s="16"/>
      <c r="N3012" s="16"/>
      <c r="O3012" s="17"/>
      <c r="P3012" s="5" t="str">
        <f t="shared" si="75"/>
        <v>Truncate table FSFT21;</v>
      </c>
      <c r="Q3012" s="5"/>
      <c r="R3012" s="5"/>
    </row>
    <row r="3013" spans="2:18" x14ac:dyDescent="0.25">
      <c r="B3013" s="19" t="s">
        <v>3914</v>
      </c>
      <c r="C3013" s="16"/>
      <c r="D3013" s="16" t="s">
        <v>29</v>
      </c>
      <c r="E3013" s="16"/>
      <c r="F3013" s="5"/>
      <c r="G3013" s="16" t="s">
        <v>35</v>
      </c>
      <c r="H3013" s="16"/>
      <c r="I3013" s="16"/>
      <c r="J3013" s="16"/>
      <c r="K3013" s="16"/>
      <c r="L3013" s="16"/>
      <c r="M3013" s="16"/>
      <c r="N3013" s="16"/>
      <c r="O3013" s="17"/>
      <c r="P3013" s="5" t="str">
        <f t="shared" si="75"/>
        <v>Truncate table FSFT22;</v>
      </c>
      <c r="Q3013" s="5"/>
      <c r="R3013" s="5"/>
    </row>
    <row r="3014" spans="2:18" x14ac:dyDescent="0.25">
      <c r="B3014" s="19" t="s">
        <v>3915</v>
      </c>
      <c r="C3014" s="16"/>
      <c r="D3014" s="16" t="s">
        <v>29</v>
      </c>
      <c r="E3014" s="16"/>
      <c r="F3014" s="5"/>
      <c r="G3014" s="16" t="s">
        <v>35</v>
      </c>
      <c r="H3014" s="16"/>
      <c r="I3014" s="16"/>
      <c r="J3014" s="16"/>
      <c r="K3014" s="16"/>
      <c r="L3014" s="16"/>
      <c r="M3014" s="16"/>
      <c r="N3014" s="16"/>
      <c r="O3014" s="17"/>
      <c r="P3014" s="5" t="str">
        <f t="shared" si="75"/>
        <v>Truncate table FSFT23;</v>
      </c>
      <c r="Q3014" s="5"/>
      <c r="R3014" s="5"/>
    </row>
    <row r="3015" spans="2:18" x14ac:dyDescent="0.25">
      <c r="B3015" s="19" t="s">
        <v>3916</v>
      </c>
      <c r="C3015" s="16"/>
      <c r="D3015" s="16" t="s">
        <v>29</v>
      </c>
      <c r="E3015" s="16"/>
      <c r="F3015" s="5"/>
      <c r="G3015" s="16" t="s">
        <v>35</v>
      </c>
      <c r="H3015" s="16"/>
      <c r="I3015" s="16"/>
      <c r="J3015" s="16"/>
      <c r="K3015" s="16"/>
      <c r="L3015" s="16"/>
      <c r="M3015" s="16"/>
      <c r="N3015" s="16"/>
      <c r="O3015" s="17"/>
      <c r="P3015" s="5" t="str">
        <f t="shared" si="75"/>
        <v>Truncate table FSFT24;</v>
      </c>
      <c r="Q3015" s="5"/>
      <c r="R3015" s="5"/>
    </row>
    <row r="3016" spans="2:18" x14ac:dyDescent="0.25">
      <c r="B3016" s="19" t="s">
        <v>3917</v>
      </c>
      <c r="C3016" s="16"/>
      <c r="D3016" s="16" t="s">
        <v>29</v>
      </c>
      <c r="E3016" s="16"/>
      <c r="F3016" s="5"/>
      <c r="G3016" s="16" t="s">
        <v>35</v>
      </c>
      <c r="H3016" s="16"/>
      <c r="I3016" s="16"/>
      <c r="J3016" s="16"/>
      <c r="K3016" s="16"/>
      <c r="L3016" s="16"/>
      <c r="M3016" s="16"/>
      <c r="N3016" s="16"/>
      <c r="O3016" s="17"/>
      <c r="P3016" s="5" t="str">
        <f t="shared" si="75"/>
        <v>Truncate table FSFT25;</v>
      </c>
      <c r="Q3016" s="5"/>
      <c r="R3016" s="5"/>
    </row>
    <row r="3017" spans="2:18" x14ac:dyDescent="0.25">
      <c r="B3017" s="19" t="s">
        <v>3918</v>
      </c>
      <c r="C3017" s="16"/>
      <c r="D3017" s="16" t="s">
        <v>29</v>
      </c>
      <c r="E3017" s="16"/>
      <c r="F3017" s="5"/>
      <c r="G3017" s="16" t="s">
        <v>35</v>
      </c>
      <c r="H3017" s="16"/>
      <c r="I3017" s="16"/>
      <c r="J3017" s="16"/>
      <c r="K3017" s="16"/>
      <c r="L3017" s="16"/>
      <c r="M3017" s="16"/>
      <c r="N3017" s="16"/>
      <c r="O3017" s="17"/>
      <c r="P3017" s="5" t="str">
        <f t="shared" si="75"/>
        <v>Truncate table FSFT26;</v>
      </c>
      <c r="Q3017" s="5"/>
      <c r="R3017" s="5"/>
    </row>
    <row r="3018" spans="2:18" x14ac:dyDescent="0.25">
      <c r="B3018" s="19" t="s">
        <v>3919</v>
      </c>
      <c r="C3018" s="16"/>
      <c r="D3018" s="16" t="s">
        <v>29</v>
      </c>
      <c r="E3018" s="16"/>
      <c r="F3018" s="5"/>
      <c r="G3018" s="16" t="s">
        <v>35</v>
      </c>
      <c r="H3018" s="16"/>
      <c r="I3018" s="16"/>
      <c r="J3018" s="16"/>
      <c r="K3018" s="16"/>
      <c r="L3018" s="16"/>
      <c r="M3018" s="16"/>
      <c r="N3018" s="16"/>
      <c r="O3018" s="17"/>
      <c r="P3018" s="5" t="str">
        <f t="shared" si="75"/>
        <v>Truncate table FSFT27;</v>
      </c>
      <c r="Q3018" s="5"/>
      <c r="R3018" s="5"/>
    </row>
    <row r="3019" spans="2:18" x14ac:dyDescent="0.25">
      <c r="B3019" s="19" t="s">
        <v>3920</v>
      </c>
      <c r="C3019" s="16"/>
      <c r="D3019" s="16" t="s">
        <v>29</v>
      </c>
      <c r="E3019" s="16"/>
      <c r="F3019" s="5"/>
      <c r="G3019" s="16" t="s">
        <v>35</v>
      </c>
      <c r="H3019" s="16"/>
      <c r="I3019" s="16"/>
      <c r="J3019" s="16"/>
      <c r="K3019" s="16"/>
      <c r="L3019" s="16"/>
      <c r="M3019" s="16"/>
      <c r="N3019" s="16"/>
      <c r="O3019" s="17"/>
      <c r="P3019" s="5" t="str">
        <f t="shared" si="75"/>
        <v>Truncate table FSFT28;</v>
      </c>
      <c r="Q3019" s="5"/>
      <c r="R3019" s="5"/>
    </row>
    <row r="3020" spans="2:18" x14ac:dyDescent="0.25">
      <c r="B3020" s="19" t="s">
        <v>3921</v>
      </c>
      <c r="C3020" s="16"/>
      <c r="D3020" s="16" t="s">
        <v>29</v>
      </c>
      <c r="E3020" s="16"/>
      <c r="F3020" s="5"/>
      <c r="G3020" s="16" t="s">
        <v>35</v>
      </c>
      <c r="H3020" s="16"/>
      <c r="I3020" s="16"/>
      <c r="J3020" s="16"/>
      <c r="K3020" s="16"/>
      <c r="L3020" s="16"/>
      <c r="M3020" s="16"/>
      <c r="N3020" s="16"/>
      <c r="O3020" s="17"/>
      <c r="P3020" s="5" t="str">
        <f t="shared" si="75"/>
        <v>Truncate table FSFT29;</v>
      </c>
      <c r="Q3020" s="5"/>
      <c r="R3020" s="5"/>
    </row>
    <row r="3021" spans="2:18" x14ac:dyDescent="0.25">
      <c r="B3021" s="19" t="s">
        <v>3922</v>
      </c>
      <c r="C3021" s="16"/>
      <c r="D3021" s="16" t="s">
        <v>29</v>
      </c>
      <c r="E3021" s="16"/>
      <c r="F3021" s="5"/>
      <c r="G3021" s="16" t="s">
        <v>35</v>
      </c>
      <c r="H3021" s="16"/>
      <c r="I3021" s="16"/>
      <c r="J3021" s="16"/>
      <c r="K3021" s="16"/>
      <c r="L3021" s="16"/>
      <c r="M3021" s="16"/>
      <c r="N3021" s="16"/>
      <c r="O3021" s="17"/>
      <c r="P3021" s="5" t="str">
        <f t="shared" si="75"/>
        <v>Truncate table FSFT30;</v>
      </c>
      <c r="Q3021" s="5"/>
      <c r="R3021" s="5"/>
    </row>
    <row r="3022" spans="2:18" x14ac:dyDescent="0.25">
      <c r="B3022" s="19" t="s">
        <v>3923</v>
      </c>
      <c r="C3022" s="16"/>
      <c r="D3022" s="16" t="s">
        <v>29</v>
      </c>
      <c r="E3022" s="16"/>
      <c r="F3022" s="5"/>
      <c r="G3022" s="16" t="s">
        <v>35</v>
      </c>
      <c r="H3022" s="16"/>
      <c r="I3022" s="16"/>
      <c r="J3022" s="16"/>
      <c r="K3022" s="16"/>
      <c r="L3022" s="16"/>
      <c r="M3022" s="16"/>
      <c r="N3022" s="16"/>
      <c r="O3022" s="17"/>
      <c r="P3022" s="5" t="str">
        <f t="shared" si="75"/>
        <v>Truncate table FSFT31;</v>
      </c>
      <c r="Q3022" s="5"/>
      <c r="R3022" s="5"/>
    </row>
    <row r="3023" spans="2:18" x14ac:dyDescent="0.25">
      <c r="B3023" s="19" t="s">
        <v>3924</v>
      </c>
      <c r="C3023" s="16"/>
      <c r="D3023" s="16" t="s">
        <v>29</v>
      </c>
      <c r="E3023" s="16"/>
      <c r="F3023" s="5"/>
      <c r="G3023" s="16" t="s">
        <v>35</v>
      </c>
      <c r="H3023" s="16"/>
      <c r="I3023" s="16"/>
      <c r="J3023" s="16"/>
      <c r="K3023" s="16"/>
      <c r="L3023" s="16"/>
      <c r="M3023" s="16"/>
      <c r="N3023" s="16"/>
      <c r="O3023" s="17"/>
      <c r="P3023" s="5" t="str">
        <f t="shared" si="75"/>
        <v>Truncate table FSFT32;</v>
      </c>
      <c r="Q3023" s="5"/>
      <c r="R3023" s="5"/>
    </row>
    <row r="3024" spans="2:18" x14ac:dyDescent="0.25">
      <c r="B3024" s="19" t="s">
        <v>3925</v>
      </c>
      <c r="C3024" s="16"/>
      <c r="D3024" s="16" t="s">
        <v>29</v>
      </c>
      <c r="E3024" s="16"/>
      <c r="F3024" s="5"/>
      <c r="G3024" s="16" t="s">
        <v>35</v>
      </c>
      <c r="H3024" s="16"/>
      <c r="I3024" s="16"/>
      <c r="J3024" s="16"/>
      <c r="K3024" s="16"/>
      <c r="L3024" s="16"/>
      <c r="M3024" s="16"/>
      <c r="N3024" s="16"/>
      <c r="O3024" s="17"/>
      <c r="P3024" s="5" t="str">
        <f t="shared" si="75"/>
        <v>Truncate table FSFT33;</v>
      </c>
      <c r="Q3024" s="5"/>
      <c r="R3024" s="5"/>
    </row>
    <row r="3025" spans="2:18" x14ac:dyDescent="0.25">
      <c r="B3025" s="19" t="s">
        <v>3926</v>
      </c>
      <c r="C3025" s="16"/>
      <c r="D3025" s="16" t="s">
        <v>29</v>
      </c>
      <c r="E3025" s="16"/>
      <c r="F3025" s="5"/>
      <c r="G3025" s="16" t="s">
        <v>35</v>
      </c>
      <c r="H3025" s="16"/>
      <c r="I3025" s="16"/>
      <c r="J3025" s="16"/>
      <c r="K3025" s="16"/>
      <c r="L3025" s="16"/>
      <c r="M3025" s="16"/>
      <c r="N3025" s="16"/>
      <c r="O3025" s="17"/>
      <c r="P3025" s="5" t="str">
        <f t="shared" si="75"/>
        <v>Truncate table FSFT34;</v>
      </c>
      <c r="Q3025" s="5"/>
      <c r="R3025" s="5"/>
    </row>
    <row r="3026" spans="2:18" x14ac:dyDescent="0.25">
      <c r="B3026" s="19" t="s">
        <v>3927</v>
      </c>
      <c r="C3026" s="16"/>
      <c r="D3026" s="16" t="s">
        <v>29</v>
      </c>
      <c r="E3026" s="16"/>
      <c r="F3026" s="5"/>
      <c r="G3026" s="16" t="s">
        <v>35</v>
      </c>
      <c r="H3026" s="16"/>
      <c r="I3026" s="16"/>
      <c r="J3026" s="16"/>
      <c r="K3026" s="16"/>
      <c r="L3026" s="16"/>
      <c r="M3026" s="16"/>
      <c r="N3026" s="16"/>
      <c r="O3026" s="17"/>
      <c r="P3026" s="5" t="str">
        <f t="shared" si="75"/>
        <v>Truncate table FSFT35;</v>
      </c>
      <c r="Q3026" s="5"/>
      <c r="R3026" s="5"/>
    </row>
    <row r="3027" spans="2:18" x14ac:dyDescent="0.25">
      <c r="B3027" s="19" t="s">
        <v>3928</v>
      </c>
      <c r="C3027" s="16"/>
      <c r="D3027" s="16" t="s">
        <v>29</v>
      </c>
      <c r="E3027" s="16"/>
      <c r="F3027" s="5"/>
      <c r="G3027" s="16" t="s">
        <v>35</v>
      </c>
      <c r="H3027" s="16"/>
      <c r="I3027" s="16"/>
      <c r="J3027" s="16"/>
      <c r="K3027" s="16"/>
      <c r="L3027" s="16"/>
      <c r="M3027" s="16"/>
      <c r="N3027" s="16"/>
      <c r="O3027" s="17"/>
      <c r="P3027" s="5" t="str">
        <f t="shared" si="75"/>
        <v>Truncate table FSFT36;</v>
      </c>
      <c r="Q3027" s="5"/>
      <c r="R3027" s="5"/>
    </row>
    <row r="3028" spans="2:18" x14ac:dyDescent="0.25">
      <c r="B3028" s="19" t="s">
        <v>3929</v>
      </c>
      <c r="C3028" s="16"/>
      <c r="D3028" s="16" t="s">
        <v>29</v>
      </c>
      <c r="E3028" s="16"/>
      <c r="F3028" s="5"/>
      <c r="G3028" s="16" t="s">
        <v>35</v>
      </c>
      <c r="H3028" s="16"/>
      <c r="I3028" s="16"/>
      <c r="J3028" s="16"/>
      <c r="K3028" s="16"/>
      <c r="L3028" s="16"/>
      <c r="M3028" s="16"/>
      <c r="N3028" s="16"/>
      <c r="O3028" s="17"/>
      <c r="P3028" s="5" t="str">
        <f t="shared" si="75"/>
        <v>Truncate table FSFT37;</v>
      </c>
      <c r="Q3028" s="5"/>
      <c r="R3028" s="5"/>
    </row>
    <row r="3029" spans="2:18" x14ac:dyDescent="0.25">
      <c r="B3029" s="19" t="s">
        <v>3930</v>
      </c>
      <c r="C3029" s="16"/>
      <c r="D3029" s="16" t="s">
        <v>29</v>
      </c>
      <c r="E3029" s="16"/>
      <c r="F3029" s="5"/>
      <c r="G3029" s="16" t="s">
        <v>35</v>
      </c>
      <c r="H3029" s="16"/>
      <c r="I3029" s="16"/>
      <c r="J3029" s="16"/>
      <c r="K3029" s="16"/>
      <c r="L3029" s="16"/>
      <c r="M3029" s="16"/>
      <c r="N3029" s="16"/>
      <c r="O3029" s="17"/>
      <c r="P3029" s="5" t="str">
        <f t="shared" si="75"/>
        <v>Truncate table FSFT38;</v>
      </c>
      <c r="Q3029" s="5"/>
      <c r="R3029" s="5"/>
    </row>
    <row r="3030" spans="2:18" x14ac:dyDescent="0.25">
      <c r="B3030" s="19" t="s">
        <v>3931</v>
      </c>
      <c r="C3030" s="16"/>
      <c r="D3030" s="16" t="s">
        <v>29</v>
      </c>
      <c r="E3030" s="16"/>
      <c r="F3030" s="5"/>
      <c r="G3030" s="16" t="s">
        <v>35</v>
      </c>
      <c r="H3030" s="16"/>
      <c r="I3030" s="16"/>
      <c r="J3030" s="16"/>
      <c r="K3030" s="16"/>
      <c r="L3030" s="16"/>
      <c r="M3030" s="16"/>
      <c r="N3030" s="16"/>
      <c r="O3030" s="17"/>
      <c r="P3030" s="5" t="str">
        <f t="shared" si="75"/>
        <v>Truncate table FSFT39;</v>
      </c>
      <c r="Q3030" s="5"/>
      <c r="R3030" s="5"/>
    </row>
    <row r="3031" spans="2:18" x14ac:dyDescent="0.25">
      <c r="B3031" s="19" t="s">
        <v>3932</v>
      </c>
      <c r="C3031" s="16"/>
      <c r="D3031" s="16" t="s">
        <v>29</v>
      </c>
      <c r="E3031" s="16"/>
      <c r="F3031" s="5"/>
      <c r="G3031" s="16" t="s">
        <v>35</v>
      </c>
      <c r="H3031" s="16"/>
      <c r="I3031" s="16"/>
      <c r="J3031" s="16"/>
      <c r="K3031" s="16"/>
      <c r="L3031" s="16"/>
      <c r="M3031" s="16"/>
      <c r="N3031" s="16"/>
      <c r="O3031" s="17"/>
      <c r="P3031" s="5" t="str">
        <f t="shared" si="75"/>
        <v>Truncate table FSFT40;</v>
      </c>
      <c r="Q3031" s="5"/>
      <c r="R3031" s="5"/>
    </row>
    <row r="3032" spans="2:18" x14ac:dyDescent="0.25">
      <c r="B3032" s="19" t="s">
        <v>3933</v>
      </c>
      <c r="C3032" s="16"/>
      <c r="D3032" s="16" t="s">
        <v>29</v>
      </c>
      <c r="E3032" s="16"/>
      <c r="F3032" s="5"/>
      <c r="G3032" s="16" t="s">
        <v>35</v>
      </c>
      <c r="H3032" s="16"/>
      <c r="I3032" s="16"/>
      <c r="J3032" s="16"/>
      <c r="K3032" s="16"/>
      <c r="L3032" s="16"/>
      <c r="M3032" s="16"/>
      <c r="N3032" s="16"/>
      <c r="O3032" s="17"/>
      <c r="P3032" s="5" t="str">
        <f t="shared" si="75"/>
        <v>Truncate table FSFT41;</v>
      </c>
      <c r="Q3032" s="5"/>
      <c r="R3032" s="5"/>
    </row>
    <row r="3033" spans="2:18" x14ac:dyDescent="0.25">
      <c r="B3033" s="19" t="s">
        <v>3934</v>
      </c>
      <c r="C3033" s="16"/>
      <c r="D3033" s="16" t="s">
        <v>29</v>
      </c>
      <c r="E3033" s="16"/>
      <c r="F3033" s="5"/>
      <c r="G3033" s="16" t="s">
        <v>35</v>
      </c>
      <c r="H3033" s="16"/>
      <c r="I3033" s="16"/>
      <c r="J3033" s="16"/>
      <c r="K3033" s="16"/>
      <c r="L3033" s="16"/>
      <c r="M3033" s="16"/>
      <c r="N3033" s="16"/>
      <c r="O3033" s="17"/>
      <c r="P3033" s="5" t="str">
        <f t="shared" si="75"/>
        <v>Truncate table FSFT42;</v>
      </c>
      <c r="Q3033" s="5"/>
      <c r="R3033" s="5"/>
    </row>
    <row r="3034" spans="2:18" x14ac:dyDescent="0.25">
      <c r="B3034" s="19" t="s">
        <v>3935</v>
      </c>
      <c r="C3034" s="16"/>
      <c r="D3034" s="16" t="s">
        <v>29</v>
      </c>
      <c r="E3034" s="16"/>
      <c r="F3034" s="5"/>
      <c r="G3034" s="16" t="s">
        <v>35</v>
      </c>
      <c r="H3034" s="16"/>
      <c r="I3034" s="16"/>
      <c r="J3034" s="16"/>
      <c r="K3034" s="16"/>
      <c r="L3034" s="16"/>
      <c r="M3034" s="16"/>
      <c r="N3034" s="16"/>
      <c r="O3034" s="17"/>
      <c r="P3034" s="5" t="str">
        <f t="shared" si="75"/>
        <v>Truncate table FSFT43;</v>
      </c>
      <c r="Q3034" s="5"/>
      <c r="R3034" s="5"/>
    </row>
    <row r="3035" spans="2:18" x14ac:dyDescent="0.25">
      <c r="B3035" s="19" t="s">
        <v>3936</v>
      </c>
      <c r="C3035" s="16"/>
      <c r="D3035" s="16" t="s">
        <v>29</v>
      </c>
      <c r="E3035" s="16" t="s">
        <v>3275</v>
      </c>
      <c r="F3035" s="5"/>
      <c r="G3035" s="16" t="s">
        <v>35</v>
      </c>
      <c r="H3035" s="16"/>
      <c r="I3035" s="16"/>
      <c r="J3035" s="16"/>
      <c r="K3035" s="16"/>
      <c r="L3035" s="16"/>
      <c r="M3035" s="16"/>
      <c r="N3035" s="16"/>
      <c r="O3035" s="17" t="s">
        <v>38</v>
      </c>
      <c r="P3035" s="5" t="str">
        <f t="shared" si="75"/>
        <v>Truncate table FSFT44;</v>
      </c>
      <c r="Q3035" s="5"/>
      <c r="R3035" s="5"/>
    </row>
    <row r="3036" spans="2:18" x14ac:dyDescent="0.25">
      <c r="B3036" s="19" t="s">
        <v>3937</v>
      </c>
      <c r="C3036" s="16"/>
      <c r="D3036" s="16" t="s">
        <v>29</v>
      </c>
      <c r="E3036" s="16"/>
      <c r="F3036" s="5"/>
      <c r="G3036" s="16" t="s">
        <v>35</v>
      </c>
      <c r="H3036" s="16"/>
      <c r="I3036" s="16"/>
      <c r="J3036" s="16"/>
      <c r="K3036" s="16"/>
      <c r="L3036" s="16"/>
      <c r="M3036" s="16"/>
      <c r="N3036" s="16"/>
      <c r="O3036" s="17"/>
      <c r="P3036" s="5" t="str">
        <f t="shared" si="75"/>
        <v>Truncate table FSFT45;</v>
      </c>
      <c r="Q3036" s="5"/>
      <c r="R3036" s="5"/>
    </row>
    <row r="3037" spans="2:18" x14ac:dyDescent="0.25">
      <c r="B3037" s="19" t="s">
        <v>3938</v>
      </c>
      <c r="C3037" s="16"/>
      <c r="D3037" s="16" t="s">
        <v>29</v>
      </c>
      <c r="E3037" s="16"/>
      <c r="F3037" s="5"/>
      <c r="G3037" s="16" t="s">
        <v>35</v>
      </c>
      <c r="H3037" s="16"/>
      <c r="I3037" s="16"/>
      <c r="J3037" s="16"/>
      <c r="K3037" s="16"/>
      <c r="L3037" s="16"/>
      <c r="M3037" s="16"/>
      <c r="N3037" s="16"/>
      <c r="O3037" s="17"/>
      <c r="P3037" s="5" t="str">
        <f t="shared" si="75"/>
        <v>Truncate table FSFT46;</v>
      </c>
      <c r="Q3037" s="5"/>
      <c r="R3037" s="5"/>
    </row>
    <row r="3038" spans="2:18" x14ac:dyDescent="0.25">
      <c r="B3038" s="19" t="s">
        <v>3939</v>
      </c>
      <c r="C3038" s="16"/>
      <c r="D3038" s="16" t="s">
        <v>29</v>
      </c>
      <c r="E3038" s="16"/>
      <c r="F3038" s="5"/>
      <c r="G3038" s="16" t="s">
        <v>35</v>
      </c>
      <c r="H3038" s="16"/>
      <c r="I3038" s="16"/>
      <c r="J3038" s="16"/>
      <c r="K3038" s="16"/>
      <c r="L3038" s="16"/>
      <c r="M3038" s="16"/>
      <c r="N3038" s="16"/>
      <c r="O3038" s="17"/>
      <c r="P3038" s="5" t="str">
        <f t="shared" si="75"/>
        <v>Truncate table FSFT47;</v>
      </c>
      <c r="Q3038" s="5"/>
      <c r="R3038" s="5"/>
    </row>
    <row r="3039" spans="2:18" x14ac:dyDescent="0.25">
      <c r="B3039" s="19" t="s">
        <v>3940</v>
      </c>
      <c r="C3039" s="16"/>
      <c r="D3039" s="16" t="s">
        <v>29</v>
      </c>
      <c r="E3039" s="16"/>
      <c r="F3039" s="5"/>
      <c r="G3039" s="16" t="s">
        <v>35</v>
      </c>
      <c r="H3039" s="16"/>
      <c r="I3039" s="16"/>
      <c r="J3039" s="16"/>
      <c r="K3039" s="16"/>
      <c r="L3039" s="16"/>
      <c r="M3039" s="16"/>
      <c r="N3039" s="16"/>
      <c r="O3039" s="17"/>
      <c r="P3039" s="5" t="str">
        <f t="shared" si="75"/>
        <v>Truncate table FSFT48;</v>
      </c>
      <c r="Q3039" s="5"/>
      <c r="R3039" s="5"/>
    </row>
    <row r="3040" spans="2:18" x14ac:dyDescent="0.25">
      <c r="B3040" s="19" t="s">
        <v>3941</v>
      </c>
      <c r="C3040" s="16"/>
      <c r="D3040" s="16" t="s">
        <v>29</v>
      </c>
      <c r="E3040" s="16"/>
      <c r="F3040" s="5"/>
      <c r="G3040" s="16" t="s">
        <v>35</v>
      </c>
      <c r="H3040" s="16"/>
      <c r="I3040" s="16"/>
      <c r="J3040" s="16"/>
      <c r="K3040" s="16"/>
      <c r="L3040" s="16"/>
      <c r="M3040" s="16"/>
      <c r="N3040" s="16"/>
      <c r="O3040" s="17"/>
      <c r="P3040" s="5" t="str">
        <f t="shared" si="75"/>
        <v>Truncate table FSFT49;</v>
      </c>
      <c r="Q3040" s="5"/>
      <c r="R3040" s="5"/>
    </row>
    <row r="3041" spans="2:18" x14ac:dyDescent="0.25">
      <c r="B3041" s="19" t="s">
        <v>3942</v>
      </c>
      <c r="C3041" s="16" t="s">
        <v>8541</v>
      </c>
      <c r="D3041" s="16" t="s">
        <v>29</v>
      </c>
      <c r="E3041" s="16" t="s">
        <v>3007</v>
      </c>
      <c r="F3041" s="5" t="s">
        <v>3133</v>
      </c>
      <c r="G3041" s="16" t="s">
        <v>35</v>
      </c>
      <c r="H3041" s="16"/>
      <c r="I3041" s="16"/>
      <c r="J3041" s="16"/>
      <c r="K3041" s="16"/>
      <c r="L3041" s="16"/>
      <c r="M3041" s="16"/>
      <c r="N3041" s="16"/>
      <c r="O3041" s="17" t="s">
        <v>38</v>
      </c>
      <c r="P3041" s="5" t="str">
        <f t="shared" si="75"/>
        <v>Truncate table FSFT50;</v>
      </c>
      <c r="Q3041" s="5"/>
      <c r="R3041" s="5"/>
    </row>
    <row r="3042" spans="2:18" x14ac:dyDescent="0.25">
      <c r="B3042" s="19" t="s">
        <v>3943</v>
      </c>
      <c r="C3042" s="16"/>
      <c r="D3042" s="16" t="s">
        <v>29</v>
      </c>
      <c r="E3042" s="16"/>
      <c r="F3042" s="5"/>
      <c r="G3042" s="16" t="s">
        <v>35</v>
      </c>
      <c r="H3042" s="16"/>
      <c r="I3042" s="16"/>
      <c r="J3042" s="16"/>
      <c r="K3042" s="16"/>
      <c r="L3042" s="16"/>
      <c r="M3042" s="16"/>
      <c r="N3042" s="16"/>
      <c r="O3042" s="17"/>
      <c r="P3042" s="5" t="str">
        <f t="shared" si="75"/>
        <v>Truncate table FSFT51;</v>
      </c>
      <c r="Q3042" s="5"/>
      <c r="R3042" s="5"/>
    </row>
    <row r="3043" spans="2:18" x14ac:dyDescent="0.25">
      <c r="B3043" s="19" t="s">
        <v>3944</v>
      </c>
      <c r="C3043" s="16"/>
      <c r="D3043" s="16" t="s">
        <v>29</v>
      </c>
      <c r="E3043" s="16"/>
      <c r="F3043" s="5"/>
      <c r="G3043" s="16" t="s">
        <v>35</v>
      </c>
      <c r="H3043" s="16"/>
      <c r="I3043" s="16"/>
      <c r="J3043" s="16"/>
      <c r="K3043" s="16"/>
      <c r="L3043" s="16"/>
      <c r="M3043" s="16"/>
      <c r="N3043" s="16"/>
      <c r="O3043" s="17"/>
      <c r="P3043" s="5" t="str">
        <f t="shared" si="75"/>
        <v>Truncate table FSFT52;</v>
      </c>
      <c r="Q3043" s="5"/>
      <c r="R3043" s="5"/>
    </row>
    <row r="3044" spans="2:18" x14ac:dyDescent="0.25">
      <c r="B3044" s="19" t="s">
        <v>3945</v>
      </c>
      <c r="C3044" s="16"/>
      <c r="D3044" s="16" t="s">
        <v>29</v>
      </c>
      <c r="E3044" s="16"/>
      <c r="F3044" s="5"/>
      <c r="G3044" s="16" t="s">
        <v>35</v>
      </c>
      <c r="H3044" s="16"/>
      <c r="I3044" s="16"/>
      <c r="J3044" s="16"/>
      <c r="K3044" s="16"/>
      <c r="L3044" s="16"/>
      <c r="M3044" s="16"/>
      <c r="N3044" s="16"/>
      <c r="O3044" s="17"/>
      <c r="P3044" s="5" t="str">
        <f t="shared" si="75"/>
        <v>Truncate table FSFT53;</v>
      </c>
      <c r="Q3044" s="5"/>
      <c r="R3044" s="5"/>
    </row>
    <row r="3045" spans="2:18" x14ac:dyDescent="0.25">
      <c r="B3045" s="19" t="s">
        <v>3946</v>
      </c>
      <c r="C3045" s="16"/>
      <c r="D3045" s="16" t="s">
        <v>29</v>
      </c>
      <c r="E3045" s="16"/>
      <c r="F3045" s="5"/>
      <c r="G3045" s="16" t="s">
        <v>35</v>
      </c>
      <c r="H3045" s="16"/>
      <c r="I3045" s="16"/>
      <c r="J3045" s="16"/>
      <c r="K3045" s="16"/>
      <c r="L3045" s="16"/>
      <c r="M3045" s="16"/>
      <c r="N3045" s="16"/>
      <c r="O3045" s="17"/>
      <c r="P3045" s="5" t="str">
        <f t="shared" si="75"/>
        <v>Truncate table FSFT54;</v>
      </c>
      <c r="Q3045" s="5"/>
      <c r="R3045" s="5"/>
    </row>
    <row r="3046" spans="2:18" x14ac:dyDescent="0.25">
      <c r="B3046" s="19" t="s">
        <v>3947</v>
      </c>
      <c r="C3046" s="16"/>
      <c r="D3046" s="16" t="s">
        <v>29</v>
      </c>
      <c r="E3046" s="16"/>
      <c r="F3046" s="5"/>
      <c r="G3046" s="16" t="s">
        <v>35</v>
      </c>
      <c r="H3046" s="16"/>
      <c r="I3046" s="16"/>
      <c r="J3046" s="16"/>
      <c r="K3046" s="16"/>
      <c r="L3046" s="16"/>
      <c r="M3046" s="16"/>
      <c r="N3046" s="16"/>
      <c r="O3046" s="17"/>
      <c r="P3046" s="5" t="str">
        <f t="shared" si="75"/>
        <v>Truncate table FSFT55;</v>
      </c>
      <c r="Q3046" s="5"/>
      <c r="R3046" s="5"/>
    </row>
    <row r="3047" spans="2:18" x14ac:dyDescent="0.25">
      <c r="B3047" s="19" t="s">
        <v>3948</v>
      </c>
      <c r="C3047" s="16"/>
      <c r="D3047" s="16" t="s">
        <v>29</v>
      </c>
      <c r="E3047" s="16"/>
      <c r="F3047" s="5"/>
      <c r="G3047" s="16" t="s">
        <v>35</v>
      </c>
      <c r="H3047" s="16"/>
      <c r="I3047" s="16"/>
      <c r="J3047" s="16"/>
      <c r="K3047" s="16"/>
      <c r="L3047" s="16"/>
      <c r="M3047" s="16"/>
      <c r="N3047" s="16"/>
      <c r="O3047" s="17"/>
      <c r="P3047" s="5" t="str">
        <f t="shared" si="75"/>
        <v>Truncate table FSFT56;</v>
      </c>
      <c r="Q3047" s="5"/>
      <c r="R3047" s="5"/>
    </row>
    <row r="3048" spans="2:18" x14ac:dyDescent="0.25">
      <c r="B3048" s="19" t="s">
        <v>3949</v>
      </c>
      <c r="C3048" s="16"/>
      <c r="D3048" s="16" t="s">
        <v>29</v>
      </c>
      <c r="E3048" s="16"/>
      <c r="F3048" s="5"/>
      <c r="G3048" s="16" t="s">
        <v>35</v>
      </c>
      <c r="H3048" s="16"/>
      <c r="I3048" s="16"/>
      <c r="J3048" s="16"/>
      <c r="K3048" s="16"/>
      <c r="L3048" s="16"/>
      <c r="M3048" s="16"/>
      <c r="N3048" s="16"/>
      <c r="O3048" s="17"/>
      <c r="P3048" s="5" t="str">
        <f t="shared" si="75"/>
        <v>Truncate table FSFT57;</v>
      </c>
      <c r="Q3048" s="5"/>
      <c r="R3048" s="5"/>
    </row>
    <row r="3049" spans="2:18" x14ac:dyDescent="0.25">
      <c r="B3049" s="19" t="s">
        <v>3950</v>
      </c>
      <c r="C3049" s="16"/>
      <c r="D3049" s="16" t="s">
        <v>29</v>
      </c>
      <c r="E3049" s="16"/>
      <c r="F3049" s="5"/>
      <c r="G3049" s="16" t="s">
        <v>35</v>
      </c>
      <c r="H3049" s="16"/>
      <c r="I3049" s="16"/>
      <c r="J3049" s="16"/>
      <c r="K3049" s="16"/>
      <c r="L3049" s="16"/>
      <c r="M3049" s="16"/>
      <c r="N3049" s="16"/>
      <c r="O3049" s="17"/>
      <c r="P3049" s="5" t="str">
        <f t="shared" si="75"/>
        <v>Truncate table FSFT58;</v>
      </c>
      <c r="Q3049" s="5"/>
      <c r="R3049" s="5"/>
    </row>
    <row r="3050" spans="2:18" x14ac:dyDescent="0.25">
      <c r="B3050" s="19" t="s">
        <v>3951</v>
      </c>
      <c r="C3050" s="16"/>
      <c r="D3050" s="16" t="s">
        <v>29</v>
      </c>
      <c r="E3050" s="16"/>
      <c r="F3050" s="5"/>
      <c r="G3050" s="16" t="s">
        <v>35</v>
      </c>
      <c r="H3050" s="16"/>
      <c r="I3050" s="16"/>
      <c r="J3050" s="16"/>
      <c r="K3050" s="16"/>
      <c r="L3050" s="16"/>
      <c r="M3050" s="16"/>
      <c r="N3050" s="16"/>
      <c r="O3050" s="17"/>
      <c r="P3050" s="5" t="str">
        <f t="shared" si="75"/>
        <v>Truncate table FSFT59;</v>
      </c>
      <c r="Q3050" s="5"/>
      <c r="R3050" s="5"/>
    </row>
    <row r="3051" spans="2:18" x14ac:dyDescent="0.25">
      <c r="B3051" s="19" t="s">
        <v>3952</v>
      </c>
      <c r="C3051" s="16"/>
      <c r="D3051" s="16" t="s">
        <v>29</v>
      </c>
      <c r="E3051" s="16"/>
      <c r="F3051" s="5"/>
      <c r="G3051" s="16" t="s">
        <v>35</v>
      </c>
      <c r="H3051" s="16"/>
      <c r="I3051" s="16"/>
      <c r="J3051" s="16"/>
      <c r="K3051" s="16"/>
      <c r="L3051" s="16"/>
      <c r="M3051" s="16"/>
      <c r="N3051" s="16"/>
      <c r="O3051" s="17"/>
      <c r="P3051" s="5" t="str">
        <f t="shared" si="75"/>
        <v>Truncate table FSFT60;</v>
      </c>
      <c r="Q3051" s="5"/>
      <c r="R3051" s="5"/>
    </row>
    <row r="3052" spans="2:18" x14ac:dyDescent="0.25">
      <c r="B3052" s="19" t="s">
        <v>3953</v>
      </c>
      <c r="C3052" s="16"/>
      <c r="D3052" s="16" t="s">
        <v>29</v>
      </c>
      <c r="E3052" s="16"/>
      <c r="F3052" s="5"/>
      <c r="G3052" s="16" t="s">
        <v>35</v>
      </c>
      <c r="H3052" s="16"/>
      <c r="I3052" s="16"/>
      <c r="J3052" s="16"/>
      <c r="K3052" s="16"/>
      <c r="L3052" s="16"/>
      <c r="M3052" s="16"/>
      <c r="N3052" s="16"/>
      <c r="O3052" s="17"/>
      <c r="P3052" s="5" t="str">
        <f t="shared" si="75"/>
        <v>Truncate table FSFT61;</v>
      </c>
      <c r="Q3052" s="5"/>
      <c r="R3052" s="5"/>
    </row>
    <row r="3053" spans="2:18" x14ac:dyDescent="0.25">
      <c r="B3053" s="19" t="s">
        <v>3954</v>
      </c>
      <c r="C3053" s="16"/>
      <c r="D3053" s="16" t="s">
        <v>29</v>
      </c>
      <c r="E3053" s="16"/>
      <c r="F3053" s="5"/>
      <c r="G3053" s="16" t="s">
        <v>35</v>
      </c>
      <c r="H3053" s="16"/>
      <c r="I3053" s="16"/>
      <c r="J3053" s="16"/>
      <c r="K3053" s="16"/>
      <c r="L3053" s="16"/>
      <c r="M3053" s="16"/>
      <c r="N3053" s="16"/>
      <c r="O3053" s="17"/>
      <c r="P3053" s="5" t="str">
        <f t="shared" si="75"/>
        <v>Truncate table FSFT62;</v>
      </c>
      <c r="Q3053" s="5"/>
      <c r="R3053" s="5"/>
    </row>
    <row r="3054" spans="2:18" x14ac:dyDescent="0.25">
      <c r="B3054" s="19" t="s">
        <v>3955</v>
      </c>
      <c r="C3054" s="16"/>
      <c r="D3054" s="16" t="s">
        <v>29</v>
      </c>
      <c r="E3054" s="16"/>
      <c r="F3054" s="5"/>
      <c r="G3054" s="16" t="s">
        <v>35</v>
      </c>
      <c r="H3054" s="16"/>
      <c r="I3054" s="16"/>
      <c r="J3054" s="16"/>
      <c r="K3054" s="16"/>
      <c r="L3054" s="16"/>
      <c r="M3054" s="16"/>
      <c r="N3054" s="16"/>
      <c r="O3054" s="17"/>
      <c r="P3054" s="5" t="str">
        <f t="shared" si="75"/>
        <v>Truncate table FSFT63;</v>
      </c>
      <c r="Q3054" s="5"/>
      <c r="R3054" s="5"/>
    </row>
    <row r="3055" spans="2:18" x14ac:dyDescent="0.25">
      <c r="B3055" s="19" t="s">
        <v>3956</v>
      </c>
      <c r="C3055" s="16"/>
      <c r="D3055" s="16" t="s">
        <v>29</v>
      </c>
      <c r="E3055" s="16"/>
      <c r="F3055" s="5"/>
      <c r="G3055" s="16" t="s">
        <v>35</v>
      </c>
      <c r="H3055" s="16"/>
      <c r="I3055" s="16"/>
      <c r="J3055" s="16"/>
      <c r="K3055" s="16"/>
      <c r="L3055" s="16"/>
      <c r="M3055" s="16"/>
      <c r="N3055" s="16"/>
      <c r="O3055" s="17"/>
      <c r="P3055" s="5" t="str">
        <f t="shared" si="75"/>
        <v>Truncate table FSFT64;</v>
      </c>
      <c r="Q3055" s="5"/>
      <c r="R3055" s="5"/>
    </row>
    <row r="3056" spans="2:18" x14ac:dyDescent="0.25">
      <c r="B3056" s="19" t="s">
        <v>3957</v>
      </c>
      <c r="C3056" s="16"/>
      <c r="D3056" s="16" t="s">
        <v>29</v>
      </c>
      <c r="E3056" s="16"/>
      <c r="F3056" s="5"/>
      <c r="G3056" s="16" t="s">
        <v>35</v>
      </c>
      <c r="H3056" s="16"/>
      <c r="I3056" s="16"/>
      <c r="J3056" s="16"/>
      <c r="K3056" s="16"/>
      <c r="L3056" s="16"/>
      <c r="M3056" s="16"/>
      <c r="N3056" s="16"/>
      <c r="O3056" s="17"/>
      <c r="P3056" s="5" t="str">
        <f t="shared" si="75"/>
        <v>Truncate table FSFT65;</v>
      </c>
      <c r="Q3056" s="5"/>
      <c r="R3056" s="5"/>
    </row>
    <row r="3057" spans="1:18" x14ac:dyDescent="0.25">
      <c r="B3057" s="19" t="s">
        <v>3958</v>
      </c>
      <c r="C3057" s="16"/>
      <c r="D3057" s="16" t="s">
        <v>29</v>
      </c>
      <c r="E3057" s="16"/>
      <c r="F3057" s="5"/>
      <c r="G3057" s="16" t="s">
        <v>35</v>
      </c>
      <c r="H3057" s="16"/>
      <c r="I3057" s="16"/>
      <c r="J3057" s="16"/>
      <c r="K3057" s="16"/>
      <c r="L3057" s="16"/>
      <c r="M3057" s="16"/>
      <c r="N3057" s="16"/>
      <c r="O3057" s="17"/>
      <c r="P3057" s="5" t="str">
        <f t="shared" ref="P3057:P3120" si="76">IF(D3057="Datos","Truncate table "&amp; B3057&amp; ";","")</f>
        <v>Truncate table FSFT66;</v>
      </c>
      <c r="Q3057" s="5"/>
      <c r="R3057" s="5"/>
    </row>
    <row r="3058" spans="1:18" x14ac:dyDescent="0.25">
      <c r="B3058" s="19" t="s">
        <v>3959</v>
      </c>
      <c r="C3058" s="16"/>
      <c r="D3058" s="16" t="s">
        <v>29</v>
      </c>
      <c r="E3058" s="16"/>
      <c r="F3058" s="5"/>
      <c r="G3058" s="16" t="s">
        <v>35</v>
      </c>
      <c r="H3058" s="16"/>
      <c r="I3058" s="16"/>
      <c r="J3058" s="16"/>
      <c r="K3058" s="16"/>
      <c r="L3058" s="16"/>
      <c r="M3058" s="16"/>
      <c r="N3058" s="16"/>
      <c r="O3058" s="17"/>
      <c r="P3058" s="5" t="str">
        <f t="shared" si="76"/>
        <v>Truncate table FSFT67;</v>
      </c>
      <c r="Q3058" s="5"/>
      <c r="R3058" s="5"/>
    </row>
    <row r="3059" spans="1:18" x14ac:dyDescent="0.25">
      <c r="B3059" s="19" t="s">
        <v>3960</v>
      </c>
      <c r="C3059" s="16"/>
      <c r="D3059" s="16" t="s">
        <v>29</v>
      </c>
      <c r="E3059" s="16"/>
      <c r="F3059" s="5"/>
      <c r="G3059" s="16" t="s">
        <v>35</v>
      </c>
      <c r="H3059" s="16"/>
      <c r="I3059" s="16"/>
      <c r="J3059" s="16"/>
      <c r="K3059" s="16"/>
      <c r="L3059" s="16"/>
      <c r="M3059" s="16"/>
      <c r="N3059" s="16"/>
      <c r="O3059" s="17"/>
      <c r="P3059" s="5" t="str">
        <f t="shared" si="76"/>
        <v>Truncate table FSFT68;</v>
      </c>
      <c r="Q3059" s="5"/>
      <c r="R3059" s="5"/>
    </row>
    <row r="3060" spans="1:18" x14ac:dyDescent="0.25">
      <c r="B3060" s="19" t="s">
        <v>3961</v>
      </c>
      <c r="C3060" s="16"/>
      <c r="D3060" s="16" t="s">
        <v>29</v>
      </c>
      <c r="E3060" s="16"/>
      <c r="F3060" s="5"/>
      <c r="G3060" s="16" t="s">
        <v>35</v>
      </c>
      <c r="H3060" s="16"/>
      <c r="I3060" s="16"/>
      <c r="J3060" s="16"/>
      <c r="K3060" s="16"/>
      <c r="L3060" s="16"/>
      <c r="M3060" s="16"/>
      <c r="N3060" s="16"/>
      <c r="O3060" s="17"/>
      <c r="P3060" s="5" t="str">
        <f t="shared" si="76"/>
        <v>Truncate table FSFT70;</v>
      </c>
      <c r="Q3060" s="5"/>
      <c r="R3060" s="5"/>
    </row>
    <row r="3061" spans="1:18" x14ac:dyDescent="0.25">
      <c r="B3061" s="19" t="s">
        <v>3962</v>
      </c>
      <c r="C3061" s="16"/>
      <c r="D3061" s="16" t="s">
        <v>29</v>
      </c>
      <c r="E3061" s="16" t="s">
        <v>3275</v>
      </c>
      <c r="F3061" s="5"/>
      <c r="G3061" s="16" t="s">
        <v>35</v>
      </c>
      <c r="H3061" s="16"/>
      <c r="I3061" s="16"/>
      <c r="J3061" s="16"/>
      <c r="K3061" s="16"/>
      <c r="L3061" s="16"/>
      <c r="M3061" s="16"/>
      <c r="N3061" s="16"/>
      <c r="O3061" s="17" t="s">
        <v>38</v>
      </c>
      <c r="P3061" s="5" t="str">
        <f t="shared" si="76"/>
        <v>Truncate table FSFT71;</v>
      </c>
      <c r="Q3061" s="5"/>
      <c r="R3061" s="5"/>
    </row>
    <row r="3062" spans="1:18" s="227" customFormat="1" x14ac:dyDescent="0.25">
      <c r="A3062" s="388"/>
      <c r="B3062" s="19" t="s">
        <v>3963</v>
      </c>
      <c r="C3062" s="183" t="s">
        <v>9802</v>
      </c>
      <c r="D3062" s="16" t="s">
        <v>29</v>
      </c>
      <c r="E3062" s="16" t="s">
        <v>3007</v>
      </c>
      <c r="F3062" s="16" t="s">
        <v>3133</v>
      </c>
      <c r="G3062" s="16" t="s">
        <v>35</v>
      </c>
      <c r="H3062" s="16" t="s">
        <v>36</v>
      </c>
      <c r="I3062" s="16"/>
      <c r="J3062" s="16"/>
      <c r="K3062" s="16"/>
      <c r="L3062" s="16"/>
      <c r="M3062" s="16"/>
      <c r="N3062" s="16"/>
      <c r="O3062" s="16" t="s">
        <v>38</v>
      </c>
      <c r="P3062" s="16" t="str">
        <f t="shared" si="76"/>
        <v>Truncate table FSFT72;</v>
      </c>
      <c r="Q3062" s="16"/>
      <c r="R3062" s="16"/>
    </row>
    <row r="3063" spans="1:18" x14ac:dyDescent="0.25">
      <c r="B3063" s="19" t="s">
        <v>3964</v>
      </c>
      <c r="C3063" s="16"/>
      <c r="D3063" s="16" t="s">
        <v>29</v>
      </c>
      <c r="E3063" s="16"/>
      <c r="F3063" s="5"/>
      <c r="G3063" s="16" t="s">
        <v>35</v>
      </c>
      <c r="H3063" s="16"/>
      <c r="I3063" s="16"/>
      <c r="J3063" s="16"/>
      <c r="K3063" s="16"/>
      <c r="L3063" s="16"/>
      <c r="M3063" s="16"/>
      <c r="N3063" s="16"/>
      <c r="O3063" s="17"/>
      <c r="P3063" s="5" t="str">
        <f t="shared" si="76"/>
        <v>Truncate table FSFT73;</v>
      </c>
      <c r="Q3063" s="5"/>
      <c r="R3063" s="5"/>
    </row>
    <row r="3064" spans="1:18" x14ac:dyDescent="0.25">
      <c r="B3064" s="19" t="s">
        <v>3965</v>
      </c>
      <c r="C3064" s="16"/>
      <c r="D3064" s="16" t="s">
        <v>29</v>
      </c>
      <c r="E3064" s="16"/>
      <c r="F3064" s="5"/>
      <c r="G3064" s="16" t="s">
        <v>35</v>
      </c>
      <c r="H3064" s="16"/>
      <c r="I3064" s="16"/>
      <c r="J3064" s="16"/>
      <c r="K3064" s="16"/>
      <c r="L3064" s="16"/>
      <c r="M3064" s="16"/>
      <c r="N3064" s="16"/>
      <c r="O3064" s="17"/>
      <c r="P3064" s="5" t="str">
        <f t="shared" si="76"/>
        <v>Truncate table FSFT74;</v>
      </c>
      <c r="Q3064" s="5"/>
      <c r="R3064" s="5"/>
    </row>
    <row r="3065" spans="1:18" x14ac:dyDescent="0.25">
      <c r="B3065" s="19" t="s">
        <v>3966</v>
      </c>
      <c r="C3065" s="16"/>
      <c r="D3065" s="16" t="s">
        <v>29</v>
      </c>
      <c r="E3065" s="16"/>
      <c r="F3065" s="5"/>
      <c r="G3065" s="16" t="s">
        <v>35</v>
      </c>
      <c r="H3065" s="16"/>
      <c r="I3065" s="16"/>
      <c r="J3065" s="16"/>
      <c r="K3065" s="16"/>
      <c r="L3065" s="16"/>
      <c r="M3065" s="16"/>
      <c r="N3065" s="16"/>
      <c r="O3065" s="17"/>
      <c r="P3065" s="5" t="str">
        <f t="shared" si="76"/>
        <v>Truncate table FSFT75;</v>
      </c>
      <c r="Q3065" s="5"/>
      <c r="R3065" s="5"/>
    </row>
    <row r="3066" spans="1:18" x14ac:dyDescent="0.25">
      <c r="B3066" s="19" t="s">
        <v>3967</v>
      </c>
      <c r="C3066" s="16"/>
      <c r="D3066" s="16" t="s">
        <v>29</v>
      </c>
      <c r="E3066" s="16"/>
      <c r="F3066" s="5"/>
      <c r="G3066" s="16" t="s">
        <v>35</v>
      </c>
      <c r="H3066" s="16"/>
      <c r="I3066" s="16"/>
      <c r="J3066" s="16"/>
      <c r="K3066" s="16"/>
      <c r="L3066" s="16"/>
      <c r="M3066" s="16"/>
      <c r="N3066" s="16"/>
      <c r="O3066" s="17"/>
      <c r="P3066" s="5" t="str">
        <f t="shared" si="76"/>
        <v>Truncate table FSFT76;</v>
      </c>
      <c r="Q3066" s="5"/>
      <c r="R3066" s="5"/>
    </row>
    <row r="3067" spans="1:18" x14ac:dyDescent="0.25">
      <c r="B3067" s="19" t="s">
        <v>3968</v>
      </c>
      <c r="C3067" s="16"/>
      <c r="D3067" s="16" t="s">
        <v>29</v>
      </c>
      <c r="E3067" s="16"/>
      <c r="F3067" s="5"/>
      <c r="G3067" s="16" t="s">
        <v>35</v>
      </c>
      <c r="H3067" s="16"/>
      <c r="I3067" s="16"/>
      <c r="J3067" s="16"/>
      <c r="K3067" s="16"/>
      <c r="L3067" s="16"/>
      <c r="M3067" s="16"/>
      <c r="N3067" s="16"/>
      <c r="O3067" s="17"/>
      <c r="P3067" s="5" t="str">
        <f t="shared" si="76"/>
        <v>Truncate table FSFT77;</v>
      </c>
      <c r="Q3067" s="5"/>
      <c r="R3067" s="5"/>
    </row>
    <row r="3068" spans="1:18" x14ac:dyDescent="0.25">
      <c r="B3068" s="19" t="s">
        <v>3969</v>
      </c>
      <c r="C3068" s="16"/>
      <c r="D3068" s="16" t="s">
        <v>29</v>
      </c>
      <c r="E3068" s="16" t="s">
        <v>3007</v>
      </c>
      <c r="F3068" s="5" t="s">
        <v>3133</v>
      </c>
      <c r="G3068" s="16" t="s">
        <v>28</v>
      </c>
      <c r="H3068" s="16" t="s">
        <v>36</v>
      </c>
      <c r="I3068" s="16"/>
      <c r="J3068" s="16"/>
      <c r="K3068" s="16"/>
      <c r="L3068" s="16"/>
      <c r="M3068" s="16"/>
      <c r="N3068" s="16"/>
      <c r="O3068" s="17" t="s">
        <v>38</v>
      </c>
      <c r="P3068" s="5" t="str">
        <f t="shared" si="76"/>
        <v>Truncate table FSFT78;</v>
      </c>
      <c r="Q3068" s="5"/>
      <c r="R3068" s="5"/>
    </row>
    <row r="3069" spans="1:18" x14ac:dyDescent="0.25">
      <c r="B3069" s="19" t="s">
        <v>3970</v>
      </c>
      <c r="C3069" s="16"/>
      <c r="D3069" s="16" t="s">
        <v>29</v>
      </c>
      <c r="E3069" s="16" t="s">
        <v>3007</v>
      </c>
      <c r="F3069" s="5" t="s">
        <v>3133</v>
      </c>
      <c r="G3069" s="16" t="s">
        <v>28</v>
      </c>
      <c r="H3069" s="16" t="s">
        <v>36</v>
      </c>
      <c r="I3069" s="16"/>
      <c r="J3069" s="16"/>
      <c r="K3069" s="16"/>
      <c r="L3069" s="16"/>
      <c r="M3069" s="16"/>
      <c r="N3069" s="16"/>
      <c r="O3069" s="17" t="s">
        <v>38</v>
      </c>
      <c r="P3069" s="5" t="str">
        <f t="shared" si="76"/>
        <v>Truncate table FSFT79;</v>
      </c>
      <c r="Q3069" s="5"/>
      <c r="R3069" s="5"/>
    </row>
    <row r="3070" spans="1:18" x14ac:dyDescent="0.25">
      <c r="B3070" s="19" t="s">
        <v>3971</v>
      </c>
      <c r="C3070" s="16"/>
      <c r="D3070" s="16" t="s">
        <v>29</v>
      </c>
      <c r="E3070" s="16" t="s">
        <v>3007</v>
      </c>
      <c r="F3070" s="5" t="s">
        <v>3133</v>
      </c>
      <c r="G3070" s="16" t="s">
        <v>28</v>
      </c>
      <c r="H3070" s="16" t="s">
        <v>36</v>
      </c>
      <c r="I3070" s="16"/>
      <c r="J3070" s="16"/>
      <c r="K3070" s="16"/>
      <c r="L3070" s="16"/>
      <c r="M3070" s="16"/>
      <c r="N3070" s="16"/>
      <c r="O3070" s="17" t="s">
        <v>38</v>
      </c>
      <c r="P3070" s="5" t="str">
        <f t="shared" si="76"/>
        <v>Truncate table FSFT80;</v>
      </c>
      <c r="Q3070" s="5"/>
      <c r="R3070" s="5"/>
    </row>
    <row r="3071" spans="1:18" x14ac:dyDescent="0.25">
      <c r="B3071" s="19" t="s">
        <v>3972</v>
      </c>
      <c r="C3071" s="16"/>
      <c r="D3071" s="16" t="s">
        <v>29</v>
      </c>
      <c r="E3071" s="16"/>
      <c r="F3071" s="5"/>
      <c r="G3071" s="16" t="s">
        <v>35</v>
      </c>
      <c r="H3071" s="16"/>
      <c r="I3071" s="16"/>
      <c r="J3071" s="16"/>
      <c r="K3071" s="16"/>
      <c r="L3071" s="16"/>
      <c r="M3071" s="16"/>
      <c r="N3071" s="16"/>
      <c r="O3071" s="17"/>
      <c r="P3071" s="5" t="str">
        <f t="shared" si="76"/>
        <v>Truncate table FSFT81;</v>
      </c>
      <c r="Q3071" s="5"/>
      <c r="R3071" s="5"/>
    </row>
    <row r="3072" spans="1:18" x14ac:dyDescent="0.25">
      <c r="B3072" s="19" t="s">
        <v>3973</v>
      </c>
      <c r="C3072" s="16"/>
      <c r="D3072" s="16" t="s">
        <v>29</v>
      </c>
      <c r="E3072" s="16"/>
      <c r="F3072" s="5"/>
      <c r="G3072" s="16" t="s">
        <v>35</v>
      </c>
      <c r="H3072" s="16"/>
      <c r="I3072" s="16"/>
      <c r="J3072" s="16"/>
      <c r="K3072" s="16"/>
      <c r="L3072" s="16"/>
      <c r="M3072" s="16"/>
      <c r="N3072" s="16"/>
      <c r="O3072" s="17"/>
      <c r="P3072" s="5" t="str">
        <f t="shared" si="76"/>
        <v>Truncate table FSFT82;</v>
      </c>
      <c r="Q3072" s="5"/>
      <c r="R3072" s="5"/>
    </row>
    <row r="3073" spans="2:18" x14ac:dyDescent="0.25">
      <c r="B3073" s="19" t="s">
        <v>3974</v>
      </c>
      <c r="C3073" s="16"/>
      <c r="D3073" s="16" t="s">
        <v>29</v>
      </c>
      <c r="E3073" s="16"/>
      <c r="F3073" s="5"/>
      <c r="G3073" s="16" t="s">
        <v>35</v>
      </c>
      <c r="H3073" s="16"/>
      <c r="I3073" s="16"/>
      <c r="J3073" s="16"/>
      <c r="K3073" s="16"/>
      <c r="L3073" s="16"/>
      <c r="M3073" s="16"/>
      <c r="N3073" s="16"/>
      <c r="O3073" s="17"/>
      <c r="P3073" s="5" t="str">
        <f t="shared" si="76"/>
        <v>Truncate table FSFT83;</v>
      </c>
      <c r="Q3073" s="5"/>
      <c r="R3073" s="5"/>
    </row>
    <row r="3074" spans="2:18" x14ac:dyDescent="0.25">
      <c r="B3074" s="19" t="s">
        <v>3975</v>
      </c>
      <c r="C3074" s="16"/>
      <c r="D3074" s="16" t="s">
        <v>29</v>
      </c>
      <c r="E3074" s="16"/>
      <c r="F3074" s="5"/>
      <c r="G3074" s="16" t="s">
        <v>35</v>
      </c>
      <c r="H3074" s="16"/>
      <c r="I3074" s="16"/>
      <c r="J3074" s="16"/>
      <c r="K3074" s="16"/>
      <c r="L3074" s="16"/>
      <c r="M3074" s="16"/>
      <c r="N3074" s="16"/>
      <c r="O3074" s="17"/>
      <c r="P3074" s="5" t="str">
        <f t="shared" si="76"/>
        <v>Truncate table FSFT84;</v>
      </c>
      <c r="Q3074" s="5"/>
      <c r="R3074" s="5"/>
    </row>
    <row r="3075" spans="2:18" x14ac:dyDescent="0.25">
      <c r="B3075" s="19" t="s">
        <v>3976</v>
      </c>
      <c r="C3075" s="16"/>
      <c r="D3075" s="16" t="s">
        <v>29</v>
      </c>
      <c r="E3075" s="16"/>
      <c r="F3075" s="5"/>
      <c r="G3075" s="16" t="s">
        <v>35</v>
      </c>
      <c r="H3075" s="16"/>
      <c r="I3075" s="16"/>
      <c r="J3075" s="16"/>
      <c r="K3075" s="16"/>
      <c r="L3075" s="16"/>
      <c r="M3075" s="16"/>
      <c r="N3075" s="16"/>
      <c r="O3075" s="17"/>
      <c r="P3075" s="5" t="str">
        <f t="shared" si="76"/>
        <v>Truncate table FSFT85;</v>
      </c>
      <c r="Q3075" s="5"/>
      <c r="R3075" s="5"/>
    </row>
    <row r="3076" spans="2:18" x14ac:dyDescent="0.25">
      <c r="B3076" s="19" t="s">
        <v>3977</v>
      </c>
      <c r="C3076" s="16"/>
      <c r="D3076" s="16" t="s">
        <v>29</v>
      </c>
      <c r="E3076" s="16"/>
      <c r="F3076" s="5"/>
      <c r="G3076" s="16" t="s">
        <v>35</v>
      </c>
      <c r="H3076" s="16"/>
      <c r="I3076" s="16"/>
      <c r="J3076" s="16"/>
      <c r="K3076" s="16"/>
      <c r="L3076" s="16"/>
      <c r="M3076" s="16"/>
      <c r="N3076" s="16"/>
      <c r="O3076" s="17"/>
      <c r="P3076" s="5" t="str">
        <f t="shared" si="76"/>
        <v>Truncate table FSFT86;</v>
      </c>
      <c r="Q3076" s="5"/>
      <c r="R3076" s="5"/>
    </row>
    <row r="3077" spans="2:18" x14ac:dyDescent="0.25">
      <c r="B3077" s="19" t="s">
        <v>3978</v>
      </c>
      <c r="C3077" s="16"/>
      <c r="D3077" s="16" t="s">
        <v>29</v>
      </c>
      <c r="E3077" s="16"/>
      <c r="F3077" s="5"/>
      <c r="G3077" s="16" t="s">
        <v>35</v>
      </c>
      <c r="H3077" s="16"/>
      <c r="I3077" s="16"/>
      <c r="J3077" s="16"/>
      <c r="K3077" s="16"/>
      <c r="L3077" s="16"/>
      <c r="M3077" s="16"/>
      <c r="N3077" s="16"/>
      <c r="O3077" s="17"/>
      <c r="P3077" s="5" t="str">
        <f t="shared" si="76"/>
        <v>Truncate table FSFT87;</v>
      </c>
      <c r="Q3077" s="5"/>
      <c r="R3077" s="5"/>
    </row>
    <row r="3078" spans="2:18" x14ac:dyDescent="0.25">
      <c r="B3078" s="19" t="s">
        <v>3979</v>
      </c>
      <c r="C3078" s="16"/>
      <c r="D3078" s="16" t="s">
        <v>29</v>
      </c>
      <c r="E3078" s="16"/>
      <c r="F3078" s="5"/>
      <c r="G3078" s="16" t="s">
        <v>35</v>
      </c>
      <c r="H3078" s="16"/>
      <c r="I3078" s="16"/>
      <c r="J3078" s="16"/>
      <c r="K3078" s="16"/>
      <c r="L3078" s="16"/>
      <c r="M3078" s="16"/>
      <c r="N3078" s="16"/>
      <c r="O3078" s="17"/>
      <c r="P3078" s="5" t="str">
        <f t="shared" si="76"/>
        <v>Truncate table FSFT88;</v>
      </c>
      <c r="Q3078" s="5"/>
      <c r="R3078" s="5"/>
    </row>
    <row r="3079" spans="2:18" x14ac:dyDescent="0.25">
      <c r="B3079" s="19" t="s">
        <v>3980</v>
      </c>
      <c r="C3079" s="16"/>
      <c r="D3079" s="16" t="s">
        <v>29</v>
      </c>
      <c r="E3079" s="16"/>
      <c r="F3079" s="5"/>
      <c r="G3079" s="16" t="s">
        <v>35</v>
      </c>
      <c r="H3079" s="16"/>
      <c r="I3079" s="16"/>
      <c r="J3079" s="16"/>
      <c r="K3079" s="16"/>
      <c r="L3079" s="16"/>
      <c r="M3079" s="16"/>
      <c r="N3079" s="16"/>
      <c r="O3079" s="17"/>
      <c r="P3079" s="5" t="str">
        <f t="shared" si="76"/>
        <v>Truncate table FSFT90;</v>
      </c>
      <c r="Q3079" s="5"/>
      <c r="R3079" s="5"/>
    </row>
    <row r="3080" spans="2:18" x14ac:dyDescent="0.25">
      <c r="B3080" s="19" t="s">
        <v>3981</v>
      </c>
      <c r="C3080" s="16"/>
      <c r="D3080" s="16" t="s">
        <v>29</v>
      </c>
      <c r="E3080" s="16"/>
      <c r="F3080" s="5"/>
      <c r="G3080" s="16" t="s">
        <v>35</v>
      </c>
      <c r="H3080" s="16"/>
      <c r="I3080" s="16"/>
      <c r="J3080" s="16"/>
      <c r="K3080" s="16"/>
      <c r="L3080" s="16"/>
      <c r="M3080" s="16"/>
      <c r="N3080" s="16"/>
      <c r="O3080" s="17"/>
      <c r="P3080" s="5" t="str">
        <f t="shared" si="76"/>
        <v>Truncate table FSFT91;</v>
      </c>
      <c r="Q3080" s="5"/>
      <c r="R3080" s="5"/>
    </row>
    <row r="3081" spans="2:18" x14ac:dyDescent="0.25">
      <c r="B3081" s="19" t="s">
        <v>3982</v>
      </c>
      <c r="C3081" s="16"/>
      <c r="D3081" s="16" t="s">
        <v>29</v>
      </c>
      <c r="E3081" s="16"/>
      <c r="F3081" s="5"/>
      <c r="G3081" s="16" t="s">
        <v>35</v>
      </c>
      <c r="H3081" s="16"/>
      <c r="I3081" s="16"/>
      <c r="J3081" s="16"/>
      <c r="K3081" s="16"/>
      <c r="L3081" s="16"/>
      <c r="M3081" s="16"/>
      <c r="N3081" s="16"/>
      <c r="O3081" s="17"/>
      <c r="P3081" s="5" t="str">
        <f t="shared" si="76"/>
        <v>Truncate table FSFT92;</v>
      </c>
      <c r="Q3081" s="5"/>
      <c r="R3081" s="5"/>
    </row>
    <row r="3082" spans="2:18" x14ac:dyDescent="0.25">
      <c r="B3082" s="19" t="s">
        <v>3983</v>
      </c>
      <c r="C3082" s="16"/>
      <c r="D3082" s="16" t="s">
        <v>29</v>
      </c>
      <c r="E3082" s="16"/>
      <c r="F3082" s="5"/>
      <c r="G3082" s="16" t="s">
        <v>35</v>
      </c>
      <c r="H3082" s="16"/>
      <c r="I3082" s="16"/>
      <c r="J3082" s="16"/>
      <c r="K3082" s="16"/>
      <c r="L3082" s="16"/>
      <c r="M3082" s="16"/>
      <c r="N3082" s="16"/>
      <c r="O3082" s="17"/>
      <c r="P3082" s="5" t="str">
        <f t="shared" si="76"/>
        <v>Truncate table FSFT93;</v>
      </c>
      <c r="Q3082" s="5"/>
      <c r="R3082" s="5"/>
    </row>
    <row r="3083" spans="2:18" x14ac:dyDescent="0.25">
      <c r="B3083" s="19" t="s">
        <v>3984</v>
      </c>
      <c r="C3083" s="16"/>
      <c r="D3083" s="16" t="s">
        <v>29</v>
      </c>
      <c r="E3083" s="16"/>
      <c r="F3083" s="5"/>
      <c r="G3083" s="16" t="s">
        <v>35</v>
      </c>
      <c r="H3083" s="16"/>
      <c r="I3083" s="16"/>
      <c r="J3083" s="16"/>
      <c r="K3083" s="16"/>
      <c r="L3083" s="16"/>
      <c r="M3083" s="16"/>
      <c r="N3083" s="16"/>
      <c r="O3083" s="17"/>
      <c r="P3083" s="5" t="str">
        <f t="shared" si="76"/>
        <v>Truncate table FSFT94;</v>
      </c>
      <c r="Q3083" s="5"/>
      <c r="R3083" s="5"/>
    </row>
    <row r="3084" spans="2:18" x14ac:dyDescent="0.25">
      <c r="B3084" s="19" t="s">
        <v>3985</v>
      </c>
      <c r="C3084" s="16"/>
      <c r="D3084" s="16" t="s">
        <v>29</v>
      </c>
      <c r="E3084" s="16"/>
      <c r="F3084" s="5"/>
      <c r="G3084" s="16" t="s">
        <v>35</v>
      </c>
      <c r="H3084" s="16"/>
      <c r="I3084" s="16"/>
      <c r="J3084" s="16"/>
      <c r="K3084" s="16"/>
      <c r="L3084" s="16"/>
      <c r="M3084" s="16"/>
      <c r="N3084" s="16"/>
      <c r="O3084" s="17"/>
      <c r="P3084" s="5" t="str">
        <f t="shared" si="76"/>
        <v>Truncate table FSFT95;</v>
      </c>
      <c r="Q3084" s="5"/>
      <c r="R3084" s="5"/>
    </row>
    <row r="3085" spans="2:18" x14ac:dyDescent="0.25">
      <c r="B3085" s="19" t="s">
        <v>3986</v>
      </c>
      <c r="C3085" s="16"/>
      <c r="D3085" s="16" t="s">
        <v>29</v>
      </c>
      <c r="E3085" s="16"/>
      <c r="F3085" s="5"/>
      <c r="G3085" s="16" t="s">
        <v>35</v>
      </c>
      <c r="H3085" s="16"/>
      <c r="I3085" s="16"/>
      <c r="J3085" s="16"/>
      <c r="K3085" s="16"/>
      <c r="L3085" s="16"/>
      <c r="M3085" s="16"/>
      <c r="N3085" s="16"/>
      <c r="O3085" s="17"/>
      <c r="P3085" s="5" t="str">
        <f t="shared" si="76"/>
        <v>Truncate table FSFT96;</v>
      </c>
      <c r="Q3085" s="5"/>
      <c r="R3085" s="5"/>
    </row>
    <row r="3086" spans="2:18" x14ac:dyDescent="0.25">
      <c r="B3086" s="19" t="s">
        <v>3987</v>
      </c>
      <c r="C3086" s="16"/>
      <c r="D3086" s="16" t="s">
        <v>29</v>
      </c>
      <c r="E3086" s="16"/>
      <c r="F3086" s="5"/>
      <c r="G3086" s="16" t="s">
        <v>35</v>
      </c>
      <c r="H3086" s="16"/>
      <c r="I3086" s="16"/>
      <c r="J3086" s="16"/>
      <c r="K3086" s="16"/>
      <c r="L3086" s="16"/>
      <c r="M3086" s="16"/>
      <c r="N3086" s="16"/>
      <c r="O3086" s="17"/>
      <c r="P3086" s="5" t="str">
        <f t="shared" si="76"/>
        <v>Truncate table FSFT97;</v>
      </c>
      <c r="Q3086" s="5"/>
      <c r="R3086" s="5"/>
    </row>
    <row r="3087" spans="2:18" x14ac:dyDescent="0.25">
      <c r="B3087" s="19" t="s">
        <v>3988</v>
      </c>
      <c r="C3087" s="16"/>
      <c r="D3087" s="16" t="s">
        <v>29</v>
      </c>
      <c r="E3087" s="16"/>
      <c r="F3087" s="5"/>
      <c r="G3087" s="16" t="s">
        <v>35</v>
      </c>
      <c r="H3087" s="16"/>
      <c r="I3087" s="16"/>
      <c r="J3087" s="16"/>
      <c r="K3087" s="16"/>
      <c r="L3087" s="16"/>
      <c r="M3087" s="16"/>
      <c r="N3087" s="16"/>
      <c r="O3087" s="17"/>
      <c r="P3087" s="5" t="str">
        <f t="shared" si="76"/>
        <v>Truncate table FSFT98;</v>
      </c>
      <c r="Q3087" s="5"/>
      <c r="R3087" s="5"/>
    </row>
    <row r="3088" spans="2:18" x14ac:dyDescent="0.25">
      <c r="B3088" s="19" t="s">
        <v>3989</v>
      </c>
      <c r="C3088" s="16" t="s">
        <v>3989</v>
      </c>
      <c r="D3088" s="16" t="s">
        <v>29</v>
      </c>
      <c r="E3088" s="16" t="s">
        <v>3275</v>
      </c>
      <c r="F3088" s="5"/>
      <c r="G3088" s="16" t="s">
        <v>35</v>
      </c>
      <c r="H3088" s="16"/>
      <c r="I3088" s="16"/>
      <c r="J3088" s="16"/>
      <c r="K3088" s="16"/>
      <c r="L3088" s="16"/>
      <c r="M3088" s="16"/>
      <c r="N3088" s="16"/>
      <c r="O3088" s="17" t="s">
        <v>38</v>
      </c>
      <c r="P3088" s="5" t="str">
        <f t="shared" si="76"/>
        <v>Truncate table FSFTAA;</v>
      </c>
      <c r="Q3088" s="5"/>
      <c r="R3088" s="5"/>
    </row>
    <row r="3089" spans="2:22" ht="40.5" x14ac:dyDescent="0.25">
      <c r="B3089" s="4" t="s">
        <v>3990</v>
      </c>
      <c r="C3089" s="5" t="s">
        <v>3991</v>
      </c>
      <c r="D3089" s="25" t="s">
        <v>29</v>
      </c>
      <c r="E3089" s="5" t="s">
        <v>3007</v>
      </c>
      <c r="F3089" s="5" t="s">
        <v>3133</v>
      </c>
      <c r="G3089" s="16" t="s">
        <v>35</v>
      </c>
      <c r="H3089" s="16" t="s">
        <v>36</v>
      </c>
      <c r="I3089" s="5" t="s">
        <v>3992</v>
      </c>
      <c r="J3089" s="5" t="s">
        <v>3993</v>
      </c>
      <c r="K3089" s="5" t="s">
        <v>3994</v>
      </c>
      <c r="L3089" s="5"/>
      <c r="M3089" s="5"/>
      <c r="N3089" s="5"/>
      <c r="O3089" s="17"/>
      <c r="P3089" s="5" t="str">
        <f t="shared" si="76"/>
        <v>Truncate table FSFTIR;</v>
      </c>
      <c r="Q3089" s="5"/>
      <c r="R3089" s="5"/>
    </row>
    <row r="3090" spans="2:22" x14ac:dyDescent="0.25">
      <c r="B3090" s="19" t="s">
        <v>3995</v>
      </c>
      <c r="C3090" s="184" t="s">
        <v>9795</v>
      </c>
      <c r="D3090" s="21" t="s">
        <v>29</v>
      </c>
      <c r="E3090" s="21" t="s">
        <v>3275</v>
      </c>
      <c r="F3090" s="21" t="s">
        <v>3133</v>
      </c>
      <c r="G3090" s="21" t="s">
        <v>35</v>
      </c>
      <c r="H3090" s="21" t="s">
        <v>36</v>
      </c>
      <c r="I3090" s="16"/>
      <c r="J3090" s="16"/>
      <c r="K3090" s="21"/>
      <c r="L3090" s="21"/>
      <c r="M3090" s="21"/>
      <c r="N3090" s="21"/>
      <c r="O3090" s="21" t="s">
        <v>38</v>
      </c>
      <c r="P3090" s="21" t="str">
        <f t="shared" si="76"/>
        <v>Truncate table FSFTL1;</v>
      </c>
      <c r="Q3090" s="5"/>
      <c r="R3090" s="5"/>
    </row>
    <row r="3091" spans="2:22" x14ac:dyDescent="0.25">
      <c r="B3091" s="19" t="s">
        <v>3996</v>
      </c>
      <c r="C3091" s="184" t="s">
        <v>9796</v>
      </c>
      <c r="D3091" s="21" t="s">
        <v>29</v>
      </c>
      <c r="E3091" s="21" t="s">
        <v>3275</v>
      </c>
      <c r="F3091" s="21" t="s">
        <v>3133</v>
      </c>
      <c r="G3091" s="21" t="s">
        <v>35</v>
      </c>
      <c r="H3091" s="21" t="s">
        <v>36</v>
      </c>
      <c r="I3091" s="16"/>
      <c r="J3091" s="16"/>
      <c r="K3091" s="21"/>
      <c r="L3091" s="21"/>
      <c r="M3091" s="21"/>
      <c r="N3091" s="21"/>
      <c r="O3091" s="21" t="s">
        <v>38</v>
      </c>
      <c r="P3091" s="21" t="str">
        <f t="shared" si="76"/>
        <v>Truncate table FSFTL2;</v>
      </c>
      <c r="Q3091" s="5"/>
      <c r="R3091" s="5"/>
    </row>
    <row r="3092" spans="2:22" x14ac:dyDescent="0.25">
      <c r="B3092" s="19" t="s">
        <v>3997</v>
      </c>
      <c r="C3092" s="184" t="s">
        <v>9797</v>
      </c>
      <c r="D3092" s="21" t="s">
        <v>29</v>
      </c>
      <c r="E3092" s="21" t="s">
        <v>3275</v>
      </c>
      <c r="F3092" s="21" t="s">
        <v>3133</v>
      </c>
      <c r="G3092" s="21" t="s">
        <v>35</v>
      </c>
      <c r="H3092" s="21" t="s">
        <v>36</v>
      </c>
      <c r="I3092" s="16"/>
      <c r="J3092" s="16"/>
      <c r="K3092" s="21"/>
      <c r="L3092" s="21"/>
      <c r="M3092" s="21"/>
      <c r="N3092" s="21"/>
      <c r="O3092" s="21" t="s">
        <v>38</v>
      </c>
      <c r="P3092" s="21" t="str">
        <f t="shared" si="76"/>
        <v>Truncate table FSFTL3;</v>
      </c>
      <c r="Q3092" s="5"/>
      <c r="R3092" s="5"/>
    </row>
    <row r="3093" spans="2:22" x14ac:dyDescent="0.25">
      <c r="B3093" s="19" t="s">
        <v>3998</v>
      </c>
      <c r="C3093" s="184" t="s">
        <v>9798</v>
      </c>
      <c r="D3093" s="21" t="s">
        <v>29</v>
      </c>
      <c r="E3093" s="21" t="s">
        <v>3275</v>
      </c>
      <c r="F3093" s="21" t="s">
        <v>3133</v>
      </c>
      <c r="G3093" s="21" t="s">
        <v>35</v>
      </c>
      <c r="H3093" s="21" t="s">
        <v>36</v>
      </c>
      <c r="I3093" s="16"/>
      <c r="J3093" s="16"/>
      <c r="K3093" s="21"/>
      <c r="L3093" s="21"/>
      <c r="M3093" s="21"/>
      <c r="N3093" s="21"/>
      <c r="O3093" s="21" t="s">
        <v>38</v>
      </c>
      <c r="P3093" s="21" t="str">
        <f t="shared" si="76"/>
        <v>Truncate table FSFTL4;</v>
      </c>
      <c r="Q3093" s="5"/>
      <c r="R3093" s="5"/>
    </row>
    <row r="3094" spans="2:22" x14ac:dyDescent="0.25">
      <c r="B3094" s="19" t="s">
        <v>3999</v>
      </c>
      <c r="C3094" s="16"/>
      <c r="D3094" s="16" t="s">
        <v>29</v>
      </c>
      <c r="E3094" s="16"/>
      <c r="F3094" s="5"/>
      <c r="G3094" s="16" t="s">
        <v>35</v>
      </c>
      <c r="H3094" s="16"/>
      <c r="I3094" s="16"/>
      <c r="J3094" s="16"/>
      <c r="K3094" s="16"/>
      <c r="L3094" s="16"/>
      <c r="M3094" s="16"/>
      <c r="N3094" s="16"/>
      <c r="O3094" s="17"/>
      <c r="P3094" s="5" t="str">
        <f t="shared" si="76"/>
        <v>Truncate table FSFTL5;</v>
      </c>
      <c r="Q3094" s="5"/>
      <c r="R3094" s="5"/>
    </row>
    <row r="3095" spans="2:22" x14ac:dyDescent="0.25">
      <c r="B3095" s="19" t="s">
        <v>4000</v>
      </c>
      <c r="C3095" s="183" t="s">
        <v>9799</v>
      </c>
      <c r="D3095" s="16" t="s">
        <v>29</v>
      </c>
      <c r="E3095" s="16" t="s">
        <v>3275</v>
      </c>
      <c r="F3095" s="21" t="s">
        <v>3133</v>
      </c>
      <c r="G3095" s="16" t="s">
        <v>35</v>
      </c>
      <c r="H3095" s="21" t="s">
        <v>36</v>
      </c>
      <c r="I3095" s="16"/>
      <c r="J3095" s="16"/>
      <c r="K3095" s="16"/>
      <c r="L3095" s="16"/>
      <c r="M3095" s="16"/>
      <c r="N3095" s="16"/>
      <c r="O3095" s="17" t="s">
        <v>38</v>
      </c>
      <c r="P3095" s="5" t="str">
        <f t="shared" si="76"/>
        <v>Truncate table FSFTL6;</v>
      </c>
      <c r="Q3095" s="5"/>
      <c r="R3095" s="5"/>
    </row>
    <row r="3096" spans="2:22" x14ac:dyDescent="0.25">
      <c r="B3096" s="19" t="s">
        <v>4001</v>
      </c>
      <c r="C3096" s="16"/>
      <c r="D3096" s="16" t="s">
        <v>29</v>
      </c>
      <c r="E3096" s="16"/>
      <c r="F3096" s="5"/>
      <c r="G3096" s="16" t="s">
        <v>35</v>
      </c>
      <c r="H3096" s="16"/>
      <c r="I3096" s="16"/>
      <c r="J3096" s="16"/>
      <c r="K3096" s="16"/>
      <c r="L3096" s="16"/>
      <c r="M3096" s="16"/>
      <c r="N3096" s="16"/>
      <c r="O3096" s="17"/>
      <c r="P3096" s="5" t="str">
        <f t="shared" si="76"/>
        <v>Truncate table FSFTLA;</v>
      </c>
      <c r="Q3096" s="5"/>
      <c r="R3096" s="5"/>
    </row>
    <row r="3097" spans="2:22" ht="40.5" x14ac:dyDescent="0.25">
      <c r="B3097" s="4" t="s">
        <v>4002</v>
      </c>
      <c r="C3097" s="5" t="s">
        <v>4003</v>
      </c>
      <c r="D3097" s="248" t="s">
        <v>29</v>
      </c>
      <c r="E3097" s="5" t="s">
        <v>3007</v>
      </c>
      <c r="F3097" s="5" t="s">
        <v>3133</v>
      </c>
      <c r="G3097" s="16" t="s">
        <v>35</v>
      </c>
      <c r="H3097" s="16" t="s">
        <v>36</v>
      </c>
      <c r="I3097" s="5" t="s">
        <v>4004</v>
      </c>
      <c r="J3097" s="5" t="s">
        <v>4004</v>
      </c>
      <c r="K3097" s="5" t="s">
        <v>3331</v>
      </c>
      <c r="L3097" s="5"/>
      <c r="M3097" s="5"/>
      <c r="N3097" s="5"/>
      <c r="O3097" s="17"/>
      <c r="P3097" s="5" t="str">
        <f t="shared" si="76"/>
        <v>Truncate table FSFU78;</v>
      </c>
      <c r="Q3097" s="5"/>
      <c r="R3097" s="5"/>
    </row>
    <row r="3098" spans="2:22" ht="40.5" x14ac:dyDescent="0.25">
      <c r="B3098" s="4" t="s">
        <v>4005</v>
      </c>
      <c r="C3098" s="5" t="s">
        <v>4006</v>
      </c>
      <c r="D3098" s="248" t="s">
        <v>29</v>
      </c>
      <c r="E3098" s="5" t="s">
        <v>3007</v>
      </c>
      <c r="F3098" s="5" t="s">
        <v>3133</v>
      </c>
      <c r="G3098" s="16" t="s">
        <v>35</v>
      </c>
      <c r="H3098" s="16" t="s">
        <v>36</v>
      </c>
      <c r="I3098" s="5" t="s">
        <v>4007</v>
      </c>
      <c r="J3098" s="5" t="s">
        <v>4008</v>
      </c>
      <c r="K3098" s="5" t="s">
        <v>3331</v>
      </c>
      <c r="L3098" s="5"/>
      <c r="M3098" s="5"/>
      <c r="N3098" s="5"/>
      <c r="O3098" s="17"/>
      <c r="P3098" s="5" t="str">
        <f t="shared" si="76"/>
        <v>Truncate table FSFU79;</v>
      </c>
      <c r="Q3098" s="5"/>
      <c r="R3098" s="5"/>
    </row>
    <row r="3099" spans="2:22" ht="40.5" x14ac:dyDescent="0.25">
      <c r="B3099" s="4" t="s">
        <v>4009</v>
      </c>
      <c r="C3099" s="5" t="s">
        <v>4010</v>
      </c>
      <c r="D3099" s="248" t="s">
        <v>29</v>
      </c>
      <c r="E3099" s="5" t="s">
        <v>3007</v>
      </c>
      <c r="F3099" s="5" t="s">
        <v>3133</v>
      </c>
      <c r="G3099" s="16" t="s">
        <v>35</v>
      </c>
      <c r="H3099" s="16" t="s">
        <v>36</v>
      </c>
      <c r="I3099" s="5" t="s">
        <v>4011</v>
      </c>
      <c r="J3099" s="5" t="s">
        <v>4012</v>
      </c>
      <c r="K3099" s="5" t="s">
        <v>3331</v>
      </c>
      <c r="L3099" s="5"/>
      <c r="M3099" s="5"/>
      <c r="N3099" s="5"/>
      <c r="O3099" s="17"/>
      <c r="P3099" s="5" t="str">
        <f t="shared" si="76"/>
        <v>Truncate table FSFU80;</v>
      </c>
      <c r="Q3099" s="5"/>
      <c r="R3099" s="5"/>
    </row>
    <row r="3100" spans="2:22" ht="40.5" x14ac:dyDescent="0.25">
      <c r="B3100" s="4" t="s">
        <v>4013</v>
      </c>
      <c r="C3100" s="5" t="s">
        <v>4014</v>
      </c>
      <c r="D3100" s="248" t="s">
        <v>29</v>
      </c>
      <c r="E3100" s="5" t="s">
        <v>3007</v>
      </c>
      <c r="F3100" s="5" t="s">
        <v>3133</v>
      </c>
      <c r="G3100" s="16" t="s">
        <v>35</v>
      </c>
      <c r="H3100" s="16" t="s">
        <v>36</v>
      </c>
      <c r="I3100" s="5" t="s">
        <v>4015</v>
      </c>
      <c r="J3100" s="5" t="s">
        <v>4016</v>
      </c>
      <c r="K3100" s="5" t="s">
        <v>3331</v>
      </c>
      <c r="L3100" s="5"/>
      <c r="M3100" s="5"/>
      <c r="N3100" s="5"/>
      <c r="O3100" s="17"/>
      <c r="P3100" s="5" t="str">
        <f t="shared" si="76"/>
        <v>Truncate table FSFV78;</v>
      </c>
      <c r="Q3100" s="5"/>
      <c r="R3100" s="5"/>
    </row>
    <row r="3101" spans="2:22" ht="40.5" x14ac:dyDescent="0.25">
      <c r="B3101" s="4" t="s">
        <v>4017</v>
      </c>
      <c r="C3101" s="5" t="s">
        <v>4018</v>
      </c>
      <c r="D3101" s="248" t="s">
        <v>29</v>
      </c>
      <c r="E3101" s="5" t="s">
        <v>3007</v>
      </c>
      <c r="F3101" s="5" t="s">
        <v>3133</v>
      </c>
      <c r="G3101" s="16" t="s">
        <v>35</v>
      </c>
      <c r="H3101" s="16" t="s">
        <v>36</v>
      </c>
      <c r="I3101" s="5" t="s">
        <v>4019</v>
      </c>
      <c r="J3101" s="5" t="s">
        <v>4020</v>
      </c>
      <c r="K3101" s="5" t="s">
        <v>3331</v>
      </c>
      <c r="L3101" s="5"/>
      <c r="M3101" s="5"/>
      <c r="N3101" s="5"/>
      <c r="O3101" s="17"/>
      <c r="P3101" s="5" t="str">
        <f t="shared" si="76"/>
        <v>Truncate table FSFV79;</v>
      </c>
      <c r="Q3101" s="5"/>
      <c r="R3101" s="5"/>
    </row>
    <row r="3102" spans="2:22" ht="40.5" x14ac:dyDescent="0.25">
      <c r="B3102" s="4" t="s">
        <v>4021</v>
      </c>
      <c r="C3102" s="5" t="s">
        <v>4022</v>
      </c>
      <c r="D3102" s="248" t="s">
        <v>29</v>
      </c>
      <c r="E3102" s="5" t="s">
        <v>3007</v>
      </c>
      <c r="F3102" s="5" t="s">
        <v>3133</v>
      </c>
      <c r="G3102" s="16" t="s">
        <v>35</v>
      </c>
      <c r="H3102" s="16" t="s">
        <v>36</v>
      </c>
      <c r="I3102" s="5" t="s">
        <v>4023</v>
      </c>
      <c r="J3102" s="5" t="s">
        <v>4024</v>
      </c>
      <c r="K3102" s="5" t="s">
        <v>3331</v>
      </c>
      <c r="L3102" s="5"/>
      <c r="M3102" s="5"/>
      <c r="N3102" s="5"/>
      <c r="O3102" s="17"/>
      <c r="P3102" s="5" t="str">
        <f t="shared" si="76"/>
        <v>Truncate table FSFV80;</v>
      </c>
      <c r="Q3102" s="5"/>
      <c r="R3102" s="5"/>
    </row>
    <row r="3103" spans="2:22" ht="49.5" customHeight="1" x14ac:dyDescent="0.25">
      <c r="B3103" s="19" t="s">
        <v>4025</v>
      </c>
      <c r="C3103" s="16"/>
      <c r="D3103" s="16" t="s">
        <v>29</v>
      </c>
      <c r="E3103" s="16" t="s">
        <v>3275</v>
      </c>
      <c r="F3103" s="16"/>
      <c r="G3103" s="16" t="s">
        <v>35</v>
      </c>
      <c r="H3103" s="16" t="s">
        <v>36</v>
      </c>
      <c r="I3103" s="16"/>
      <c r="J3103" s="16"/>
      <c r="K3103" s="16"/>
      <c r="L3103" s="16"/>
      <c r="M3103" s="16"/>
      <c r="N3103" s="16"/>
      <c r="O3103" s="17" t="s">
        <v>38</v>
      </c>
      <c r="P3103" s="16" t="str">
        <f t="shared" si="76"/>
        <v>Truncate table FSFX00;</v>
      </c>
      <c r="Q3103" s="16"/>
      <c r="R3103" s="16"/>
      <c r="S3103"/>
      <c r="T3103"/>
      <c r="U3103"/>
      <c r="V3103"/>
    </row>
    <row r="3104" spans="2:22" ht="28.5" customHeight="1" x14ac:dyDescent="0.25">
      <c r="B3104" s="19" t="s">
        <v>4026</v>
      </c>
      <c r="C3104" s="186" t="s">
        <v>9794</v>
      </c>
      <c r="D3104" s="16" t="s">
        <v>8152</v>
      </c>
      <c r="E3104" s="16" t="s">
        <v>3275</v>
      </c>
      <c r="F3104" s="16" t="s">
        <v>8218</v>
      </c>
      <c r="G3104" s="16" t="s">
        <v>35</v>
      </c>
      <c r="H3104" s="16" t="s">
        <v>36</v>
      </c>
      <c r="I3104" s="16"/>
      <c r="J3104" s="16"/>
      <c r="K3104" s="16"/>
      <c r="L3104" s="16"/>
      <c r="M3104" s="16"/>
      <c r="N3104" s="16"/>
      <c r="O3104" s="17" t="s">
        <v>38</v>
      </c>
      <c r="P3104" s="16" t="str">
        <f t="shared" si="76"/>
        <v/>
      </c>
      <c r="Q3104" s="16"/>
      <c r="R3104" s="16"/>
      <c r="S3104"/>
      <c r="T3104"/>
      <c r="U3104"/>
      <c r="V3104"/>
    </row>
    <row r="3105" spans="2:22" x14ac:dyDescent="0.25">
      <c r="B3105" s="19" t="s">
        <v>4027</v>
      </c>
      <c r="C3105" s="186" t="s">
        <v>9788</v>
      </c>
      <c r="D3105" s="16" t="s">
        <v>29</v>
      </c>
      <c r="E3105" s="16" t="s">
        <v>3275</v>
      </c>
      <c r="F3105" s="16" t="s">
        <v>3133</v>
      </c>
      <c r="G3105" s="16" t="s">
        <v>35</v>
      </c>
      <c r="H3105" s="16" t="s">
        <v>36</v>
      </c>
      <c r="I3105" s="16"/>
      <c r="J3105" s="16"/>
      <c r="K3105" s="16"/>
      <c r="L3105" s="16"/>
      <c r="M3105" s="16"/>
      <c r="N3105" s="16"/>
      <c r="O3105" s="17" t="s">
        <v>38</v>
      </c>
      <c r="P3105" s="16" t="str">
        <f t="shared" si="76"/>
        <v>Truncate table FSFX02;</v>
      </c>
      <c r="Q3105" s="16"/>
      <c r="R3105" s="16"/>
      <c r="S3105"/>
      <c r="T3105"/>
      <c r="U3105"/>
      <c r="V3105"/>
    </row>
    <row r="3106" spans="2:22" x14ac:dyDescent="0.25">
      <c r="B3106" s="19" t="s">
        <v>4028</v>
      </c>
      <c r="C3106" s="186" t="s">
        <v>9789</v>
      </c>
      <c r="D3106" s="16" t="s">
        <v>29</v>
      </c>
      <c r="E3106" s="16" t="s">
        <v>3275</v>
      </c>
      <c r="F3106" s="16" t="s">
        <v>3133</v>
      </c>
      <c r="G3106" s="16" t="s">
        <v>35</v>
      </c>
      <c r="H3106" s="16" t="s">
        <v>36</v>
      </c>
      <c r="I3106" s="16"/>
      <c r="J3106" s="16"/>
      <c r="K3106" s="16"/>
      <c r="L3106" s="16"/>
      <c r="M3106" s="16"/>
      <c r="N3106" s="16"/>
      <c r="O3106" s="17" t="s">
        <v>38</v>
      </c>
      <c r="P3106" s="16" t="str">
        <f t="shared" si="76"/>
        <v>Truncate table FSFX03;</v>
      </c>
      <c r="Q3106" s="16"/>
      <c r="R3106" s="16"/>
      <c r="S3106"/>
      <c r="T3106"/>
      <c r="U3106"/>
      <c r="V3106"/>
    </row>
    <row r="3107" spans="2:22" x14ac:dyDescent="0.25">
      <c r="B3107" s="19" t="s">
        <v>4029</v>
      </c>
      <c r="C3107" s="186" t="s">
        <v>9790</v>
      </c>
      <c r="D3107" s="16" t="s">
        <v>29</v>
      </c>
      <c r="E3107" s="16" t="s">
        <v>3275</v>
      </c>
      <c r="F3107" s="16" t="s">
        <v>3133</v>
      </c>
      <c r="G3107" s="16" t="s">
        <v>35</v>
      </c>
      <c r="H3107" s="16" t="s">
        <v>36</v>
      </c>
      <c r="I3107" s="16"/>
      <c r="J3107" s="16"/>
      <c r="K3107" s="16"/>
      <c r="L3107" s="16"/>
      <c r="M3107" s="16"/>
      <c r="N3107" s="16"/>
      <c r="O3107" s="17" t="s">
        <v>38</v>
      </c>
      <c r="P3107" s="16" t="str">
        <f t="shared" si="76"/>
        <v>Truncate table FSFX04;</v>
      </c>
      <c r="Q3107" s="16"/>
      <c r="R3107" s="16"/>
      <c r="S3107"/>
      <c r="T3107"/>
      <c r="U3107"/>
      <c r="V3107"/>
    </row>
    <row r="3108" spans="2:22" x14ac:dyDescent="0.25">
      <c r="B3108" s="19" t="s">
        <v>4030</v>
      </c>
      <c r="C3108" s="186" t="s">
        <v>9791</v>
      </c>
      <c r="D3108" s="16" t="s">
        <v>29</v>
      </c>
      <c r="E3108" s="16" t="s">
        <v>3275</v>
      </c>
      <c r="F3108" s="16" t="s">
        <v>3133</v>
      </c>
      <c r="G3108" s="16" t="s">
        <v>35</v>
      </c>
      <c r="H3108" s="16" t="s">
        <v>36</v>
      </c>
      <c r="I3108" s="16"/>
      <c r="J3108" s="16"/>
      <c r="K3108" s="16"/>
      <c r="L3108" s="16"/>
      <c r="M3108" s="16"/>
      <c r="N3108" s="16"/>
      <c r="O3108" s="17" t="s">
        <v>38</v>
      </c>
      <c r="P3108" s="16" t="str">
        <f t="shared" si="76"/>
        <v>Truncate table FSFX05;</v>
      </c>
      <c r="Q3108" s="16"/>
      <c r="R3108" s="16"/>
      <c r="S3108"/>
      <c r="T3108"/>
      <c r="U3108"/>
      <c r="V3108"/>
    </row>
    <row r="3109" spans="2:22" x14ac:dyDescent="0.25">
      <c r="B3109" s="19" t="s">
        <v>4031</v>
      </c>
      <c r="C3109" s="186" t="s">
        <v>9792</v>
      </c>
      <c r="D3109" s="16" t="s">
        <v>29</v>
      </c>
      <c r="E3109" s="16" t="s">
        <v>3275</v>
      </c>
      <c r="F3109" s="16" t="s">
        <v>3133</v>
      </c>
      <c r="G3109" s="16" t="s">
        <v>35</v>
      </c>
      <c r="H3109" s="16" t="s">
        <v>36</v>
      </c>
      <c r="I3109" s="16"/>
      <c r="J3109" s="16"/>
      <c r="K3109" s="16"/>
      <c r="L3109" s="16"/>
      <c r="M3109" s="16"/>
      <c r="N3109" s="16"/>
      <c r="O3109" s="17" t="s">
        <v>38</v>
      </c>
      <c r="P3109" s="16" t="str">
        <f t="shared" si="76"/>
        <v>Truncate table FSFX06;</v>
      </c>
      <c r="Q3109" s="16"/>
      <c r="R3109" s="16"/>
      <c r="S3109"/>
      <c r="T3109"/>
      <c r="U3109"/>
      <c r="V3109"/>
    </row>
    <row r="3110" spans="2:22" x14ac:dyDescent="0.25">
      <c r="B3110" s="19" t="s">
        <v>4032</v>
      </c>
      <c r="C3110" s="186" t="s">
        <v>9792</v>
      </c>
      <c r="D3110" s="16" t="s">
        <v>29</v>
      </c>
      <c r="E3110" s="16" t="s">
        <v>3275</v>
      </c>
      <c r="F3110" s="16" t="s">
        <v>3133</v>
      </c>
      <c r="G3110" s="16" t="s">
        <v>35</v>
      </c>
      <c r="H3110" s="16" t="s">
        <v>36</v>
      </c>
      <c r="I3110" s="16"/>
      <c r="J3110" s="16"/>
      <c r="K3110" s="16"/>
      <c r="L3110" s="16"/>
      <c r="M3110" s="16"/>
      <c r="N3110" s="16"/>
      <c r="O3110" s="17" t="s">
        <v>38</v>
      </c>
      <c r="P3110" s="16" t="str">
        <f t="shared" si="76"/>
        <v>Truncate table FSFX07;</v>
      </c>
      <c r="Q3110" s="16"/>
      <c r="R3110" s="16"/>
      <c r="S3110"/>
      <c r="T3110"/>
      <c r="U3110"/>
      <c r="V3110"/>
    </row>
    <row r="3111" spans="2:22" x14ac:dyDescent="0.25">
      <c r="B3111" s="19" t="s">
        <v>4033</v>
      </c>
      <c r="C3111" s="186" t="s">
        <v>9793</v>
      </c>
      <c r="D3111" s="16" t="s">
        <v>29</v>
      </c>
      <c r="E3111" s="16" t="s">
        <v>3275</v>
      </c>
      <c r="F3111" s="16" t="s">
        <v>3133</v>
      </c>
      <c r="G3111" s="16" t="s">
        <v>35</v>
      </c>
      <c r="H3111" s="16" t="s">
        <v>36</v>
      </c>
      <c r="I3111" s="16"/>
      <c r="J3111" s="16"/>
      <c r="K3111" s="16"/>
      <c r="L3111" s="16"/>
      <c r="M3111" s="16"/>
      <c r="N3111" s="16"/>
      <c r="O3111" s="17" t="s">
        <v>38</v>
      </c>
      <c r="P3111" s="16" t="str">
        <f t="shared" si="76"/>
        <v>Truncate table FSFX08;</v>
      </c>
      <c r="Q3111" s="16"/>
      <c r="R3111" s="16"/>
      <c r="S3111"/>
      <c r="T3111"/>
      <c r="U3111"/>
      <c r="V3111"/>
    </row>
    <row r="3112" spans="2:22" x14ac:dyDescent="0.25">
      <c r="B3112" s="19" t="s">
        <v>4034</v>
      </c>
      <c r="C3112" s="16"/>
      <c r="D3112" s="16" t="s">
        <v>29</v>
      </c>
      <c r="E3112" s="16" t="s">
        <v>3007</v>
      </c>
      <c r="F3112" s="16" t="s">
        <v>3133</v>
      </c>
      <c r="G3112" s="16" t="s">
        <v>28</v>
      </c>
      <c r="H3112" s="16" t="s">
        <v>36</v>
      </c>
      <c r="I3112" s="16"/>
      <c r="J3112" s="16"/>
      <c r="K3112" s="16"/>
      <c r="L3112" s="16"/>
      <c r="M3112" s="16"/>
      <c r="N3112" s="16"/>
      <c r="O3112" s="17" t="s">
        <v>38</v>
      </c>
      <c r="P3112" s="16" t="str">
        <f t="shared" si="76"/>
        <v>Truncate table FSFX09;</v>
      </c>
      <c r="Q3112" s="16"/>
      <c r="R3112" s="16"/>
      <c r="S3112"/>
      <c r="T3112"/>
      <c r="U3112"/>
      <c r="V3112"/>
    </row>
    <row r="3113" spans="2:22" x14ac:dyDescent="0.25">
      <c r="B3113" s="19" t="s">
        <v>4035</v>
      </c>
      <c r="C3113" s="16"/>
      <c r="D3113" s="16" t="s">
        <v>29</v>
      </c>
      <c r="E3113" s="16" t="s">
        <v>3007</v>
      </c>
      <c r="F3113" s="16" t="s">
        <v>3133</v>
      </c>
      <c r="G3113" s="16" t="s">
        <v>28</v>
      </c>
      <c r="H3113" s="16" t="s">
        <v>36</v>
      </c>
      <c r="I3113" s="16"/>
      <c r="J3113" s="16"/>
      <c r="K3113" s="16"/>
      <c r="L3113" s="16"/>
      <c r="M3113" s="16"/>
      <c r="N3113" s="16"/>
      <c r="O3113" s="17" t="s">
        <v>38</v>
      </c>
      <c r="P3113" s="16" t="str">
        <f t="shared" si="76"/>
        <v>Truncate table FSFX10;</v>
      </c>
      <c r="Q3113" s="16"/>
      <c r="R3113" s="16"/>
      <c r="S3113"/>
      <c r="T3113"/>
      <c r="U3113"/>
      <c r="V3113"/>
    </row>
    <row r="3114" spans="2:22" x14ac:dyDescent="0.25">
      <c r="B3114" s="19" t="s">
        <v>4036</v>
      </c>
      <c r="C3114" s="16"/>
      <c r="D3114" s="16" t="s">
        <v>29</v>
      </c>
      <c r="E3114" s="16" t="s">
        <v>3007</v>
      </c>
      <c r="F3114" s="16" t="s">
        <v>3133</v>
      </c>
      <c r="G3114" s="16" t="s">
        <v>28</v>
      </c>
      <c r="H3114" s="16" t="s">
        <v>36</v>
      </c>
      <c r="I3114" s="16"/>
      <c r="J3114" s="16"/>
      <c r="K3114" s="16"/>
      <c r="L3114" s="16"/>
      <c r="M3114" s="16"/>
      <c r="N3114" s="16"/>
      <c r="O3114" s="17" t="s">
        <v>38</v>
      </c>
      <c r="P3114" s="16" t="str">
        <f t="shared" si="76"/>
        <v>Truncate table FSFX11;</v>
      </c>
      <c r="Q3114" s="16"/>
      <c r="R3114" s="16"/>
      <c r="S3114"/>
      <c r="T3114"/>
      <c r="U3114"/>
      <c r="V3114"/>
    </row>
    <row r="3115" spans="2:22" x14ac:dyDescent="0.25">
      <c r="B3115" s="19" t="s">
        <v>4037</v>
      </c>
      <c r="C3115" s="16"/>
      <c r="D3115" s="16" t="s">
        <v>29</v>
      </c>
      <c r="E3115" s="16" t="s">
        <v>3007</v>
      </c>
      <c r="F3115" s="16" t="s">
        <v>3133</v>
      </c>
      <c r="G3115" s="16" t="s">
        <v>28</v>
      </c>
      <c r="H3115" s="16" t="s">
        <v>36</v>
      </c>
      <c r="I3115" s="16"/>
      <c r="J3115" s="16"/>
      <c r="K3115" s="16"/>
      <c r="L3115" s="16"/>
      <c r="M3115" s="16"/>
      <c r="N3115" s="16"/>
      <c r="O3115" s="17" t="s">
        <v>38</v>
      </c>
      <c r="P3115" s="16" t="str">
        <f t="shared" si="76"/>
        <v>Truncate table FSFX12;</v>
      </c>
      <c r="Q3115" s="16"/>
      <c r="R3115" s="16"/>
      <c r="S3115"/>
      <c r="T3115"/>
      <c r="U3115"/>
      <c r="V3115"/>
    </row>
    <row r="3116" spans="2:22" x14ac:dyDescent="0.25">
      <c r="B3116" s="19" t="s">
        <v>4038</v>
      </c>
      <c r="C3116" s="16"/>
      <c r="D3116" s="16" t="s">
        <v>29</v>
      </c>
      <c r="E3116" s="16"/>
      <c r="F3116" s="5"/>
      <c r="G3116" s="16" t="s">
        <v>35</v>
      </c>
      <c r="H3116" s="16"/>
      <c r="I3116" s="16"/>
      <c r="J3116" s="16"/>
      <c r="K3116" s="16"/>
      <c r="L3116" s="16"/>
      <c r="M3116" s="16"/>
      <c r="N3116" s="16"/>
      <c r="O3116" s="17"/>
      <c r="P3116" s="5" t="str">
        <f t="shared" si="76"/>
        <v>Truncate table FSFX13;</v>
      </c>
      <c r="Q3116" s="5"/>
      <c r="R3116" s="5"/>
    </row>
    <row r="3117" spans="2:22" x14ac:dyDescent="0.25">
      <c r="B3117" s="19" t="s">
        <v>4039</v>
      </c>
      <c r="C3117" s="16"/>
      <c r="D3117" s="16" t="s">
        <v>29</v>
      </c>
      <c r="E3117" s="16"/>
      <c r="F3117" s="5"/>
      <c r="G3117" s="16" t="s">
        <v>35</v>
      </c>
      <c r="H3117" s="16"/>
      <c r="I3117" s="16"/>
      <c r="J3117" s="16"/>
      <c r="K3117" s="16"/>
      <c r="L3117" s="16"/>
      <c r="M3117" s="16"/>
      <c r="N3117" s="16"/>
      <c r="O3117" s="17"/>
      <c r="P3117" s="5" t="str">
        <f t="shared" si="76"/>
        <v>Truncate table FSFX14;</v>
      </c>
      <c r="Q3117" s="5"/>
      <c r="R3117" s="5"/>
    </row>
    <row r="3118" spans="2:22" x14ac:dyDescent="0.25">
      <c r="B3118" s="19" t="s">
        <v>4040</v>
      </c>
      <c r="C3118" s="16"/>
      <c r="D3118" s="16" t="s">
        <v>29</v>
      </c>
      <c r="E3118" s="16"/>
      <c r="F3118" s="5"/>
      <c r="G3118" s="16" t="s">
        <v>35</v>
      </c>
      <c r="H3118" s="16"/>
      <c r="I3118" s="16"/>
      <c r="J3118" s="16"/>
      <c r="K3118" s="16"/>
      <c r="L3118" s="16"/>
      <c r="M3118" s="16"/>
      <c r="N3118" s="16"/>
      <c r="O3118" s="17"/>
      <c r="P3118" s="5" t="str">
        <f t="shared" si="76"/>
        <v>Truncate table FSFX15;</v>
      </c>
      <c r="Q3118" s="5"/>
      <c r="R3118" s="5"/>
    </row>
    <row r="3119" spans="2:22" x14ac:dyDescent="0.25">
      <c r="B3119" s="19" t="s">
        <v>4041</v>
      </c>
      <c r="C3119" s="23" t="s">
        <v>4042</v>
      </c>
      <c r="D3119" s="16" t="s">
        <v>29</v>
      </c>
      <c r="E3119" s="16"/>
      <c r="F3119" s="5"/>
      <c r="G3119" s="16" t="s">
        <v>35</v>
      </c>
      <c r="H3119" s="16"/>
      <c r="I3119" s="16"/>
      <c r="J3119" s="16"/>
      <c r="K3119" s="16"/>
      <c r="L3119" s="16"/>
      <c r="M3119" s="16"/>
      <c r="N3119" s="16"/>
      <c r="O3119" s="17"/>
      <c r="P3119" s="5" t="str">
        <f t="shared" si="76"/>
        <v>Truncate table FSFX16;</v>
      </c>
      <c r="Q3119" s="5"/>
      <c r="R3119" s="5"/>
    </row>
    <row r="3120" spans="2:22" x14ac:dyDescent="0.25">
      <c r="B3120" s="19" t="s">
        <v>4043</v>
      </c>
      <c r="C3120" s="16"/>
      <c r="D3120" s="16" t="s">
        <v>29</v>
      </c>
      <c r="E3120" s="16"/>
      <c r="F3120" s="5"/>
      <c r="G3120" s="16" t="s">
        <v>35</v>
      </c>
      <c r="H3120" s="16"/>
      <c r="I3120" s="16"/>
      <c r="J3120" s="16"/>
      <c r="K3120" s="16"/>
      <c r="L3120" s="16"/>
      <c r="M3120" s="16"/>
      <c r="N3120" s="16"/>
      <c r="O3120" s="17"/>
      <c r="P3120" s="5" t="str">
        <f t="shared" si="76"/>
        <v>Truncate table FSFX17;</v>
      </c>
      <c r="Q3120" s="5"/>
      <c r="R3120" s="5"/>
    </row>
    <row r="3121" spans="2:18" x14ac:dyDescent="0.25">
      <c r="B3121" s="19" t="s">
        <v>4044</v>
      </c>
      <c r="C3121" s="16"/>
      <c r="D3121" s="16" t="s">
        <v>29</v>
      </c>
      <c r="E3121" s="16"/>
      <c r="F3121" s="5"/>
      <c r="G3121" s="16" t="s">
        <v>35</v>
      </c>
      <c r="H3121" s="16"/>
      <c r="I3121" s="16"/>
      <c r="J3121" s="16"/>
      <c r="K3121" s="16"/>
      <c r="L3121" s="16"/>
      <c r="M3121" s="16"/>
      <c r="N3121" s="16"/>
      <c r="O3121" s="17"/>
      <c r="P3121" s="5" t="str">
        <f t="shared" ref="P3121:P3131" si="77">IF(D3121="Datos","Truncate table "&amp; B3121&amp; ";","")</f>
        <v>Truncate table FSFX18;</v>
      </c>
      <c r="Q3121" s="5"/>
      <c r="R3121" s="5"/>
    </row>
    <row r="3122" spans="2:18" ht="40.5" x14ac:dyDescent="0.25">
      <c r="B3122" s="4" t="s">
        <v>4045</v>
      </c>
      <c r="C3122" s="5" t="s">
        <v>4046</v>
      </c>
      <c r="D3122" s="16" t="s">
        <v>29</v>
      </c>
      <c r="E3122" s="5" t="s">
        <v>1712</v>
      </c>
      <c r="F3122" s="5" t="s">
        <v>1711</v>
      </c>
      <c r="G3122" s="16" t="s">
        <v>35</v>
      </c>
      <c r="H3122" s="16" t="s">
        <v>36</v>
      </c>
      <c r="I3122" s="5" t="s">
        <v>4047</v>
      </c>
      <c r="J3122" s="5" t="s">
        <v>4048</v>
      </c>
      <c r="K3122" s="5" t="s">
        <v>4049</v>
      </c>
      <c r="L3122" s="5"/>
      <c r="M3122" s="5"/>
      <c r="N3122" s="5"/>
      <c r="O3122" s="17"/>
      <c r="P3122" s="5" t="str">
        <f t="shared" si="77"/>
        <v>Truncate table FSFX20;</v>
      </c>
      <c r="Q3122" s="5"/>
      <c r="R3122" s="5"/>
    </row>
    <row r="3123" spans="2:18" ht="40.5" x14ac:dyDescent="0.25">
      <c r="B3123" s="4" t="s">
        <v>4050</v>
      </c>
      <c r="C3123" s="5" t="s">
        <v>4051</v>
      </c>
      <c r="D3123" s="16" t="s">
        <v>29</v>
      </c>
      <c r="E3123" s="5" t="s">
        <v>1712</v>
      </c>
      <c r="F3123" s="5" t="s">
        <v>1711</v>
      </c>
      <c r="G3123" s="16" t="s">
        <v>35</v>
      </c>
      <c r="H3123" s="16" t="s">
        <v>36</v>
      </c>
      <c r="I3123" s="5" t="s">
        <v>4052</v>
      </c>
      <c r="J3123" s="5" t="s">
        <v>4053</v>
      </c>
      <c r="K3123" s="5" t="s">
        <v>4049</v>
      </c>
      <c r="L3123" s="5"/>
      <c r="M3123" s="5"/>
      <c r="N3123" s="5"/>
      <c r="O3123" s="17"/>
      <c r="P3123" s="5" t="str">
        <f t="shared" si="77"/>
        <v>Truncate table FSFX25;</v>
      </c>
      <c r="Q3123" s="5"/>
      <c r="R3123" s="5"/>
    </row>
    <row r="3124" spans="2:18" ht="40.5" x14ac:dyDescent="0.25">
      <c r="B3124" s="4" t="s">
        <v>4054</v>
      </c>
      <c r="C3124" s="5" t="s">
        <v>4055</v>
      </c>
      <c r="D3124" s="16" t="s">
        <v>29</v>
      </c>
      <c r="E3124" s="5" t="s">
        <v>1712</v>
      </c>
      <c r="F3124" s="5" t="s">
        <v>1711</v>
      </c>
      <c r="G3124" s="16" t="s">
        <v>35</v>
      </c>
      <c r="H3124" s="16" t="s">
        <v>36</v>
      </c>
      <c r="I3124" s="5" t="s">
        <v>4056</v>
      </c>
      <c r="J3124" s="5" t="s">
        <v>4057</v>
      </c>
      <c r="K3124" s="5" t="s">
        <v>4049</v>
      </c>
      <c r="L3124" s="5"/>
      <c r="M3124" s="5"/>
      <c r="N3124" s="5"/>
      <c r="O3124" s="17"/>
      <c r="P3124" s="5" t="str">
        <f t="shared" si="77"/>
        <v>Truncate table FSFX26;</v>
      </c>
      <c r="Q3124" s="5"/>
      <c r="R3124" s="5"/>
    </row>
    <row r="3125" spans="2:18" ht="40.5" x14ac:dyDescent="0.25">
      <c r="B3125" s="4" t="s">
        <v>4058</v>
      </c>
      <c r="C3125" s="5" t="s">
        <v>4059</v>
      </c>
      <c r="D3125" s="16" t="s">
        <v>29</v>
      </c>
      <c r="E3125" s="5" t="s">
        <v>1712</v>
      </c>
      <c r="F3125" s="5" t="s">
        <v>1711</v>
      </c>
      <c r="G3125" s="16" t="s">
        <v>35</v>
      </c>
      <c r="H3125" s="16" t="s">
        <v>36</v>
      </c>
      <c r="I3125" s="5" t="s">
        <v>4060</v>
      </c>
      <c r="J3125" s="5" t="s">
        <v>4061</v>
      </c>
      <c r="K3125" s="5" t="s">
        <v>4049</v>
      </c>
      <c r="L3125" s="5"/>
      <c r="M3125" s="5"/>
      <c r="N3125" s="5"/>
      <c r="O3125" s="17"/>
      <c r="P3125" s="5" t="str">
        <f t="shared" si="77"/>
        <v>Truncate table FSFX27;</v>
      </c>
      <c r="Q3125" s="5"/>
      <c r="R3125" s="5"/>
    </row>
    <row r="3126" spans="2:18" ht="40.5" x14ac:dyDescent="0.25">
      <c r="B3126" s="4" t="s">
        <v>4062</v>
      </c>
      <c r="C3126" s="5" t="s">
        <v>4063</v>
      </c>
      <c r="D3126" s="16" t="s">
        <v>29</v>
      </c>
      <c r="E3126" s="5" t="s">
        <v>1712</v>
      </c>
      <c r="F3126" s="5" t="s">
        <v>1711</v>
      </c>
      <c r="G3126" s="16" t="s">
        <v>35</v>
      </c>
      <c r="H3126" s="16" t="s">
        <v>36</v>
      </c>
      <c r="I3126" s="5" t="s">
        <v>4064</v>
      </c>
      <c r="J3126" s="5" t="s">
        <v>4065</v>
      </c>
      <c r="K3126" s="5" t="s">
        <v>4049</v>
      </c>
      <c r="L3126" s="5"/>
      <c r="M3126" s="5"/>
      <c r="N3126" s="5"/>
      <c r="O3126" s="17"/>
      <c r="P3126" s="5" t="str">
        <f t="shared" si="77"/>
        <v>Truncate table FSFX28;</v>
      </c>
      <c r="Q3126" s="5"/>
      <c r="R3126" s="5"/>
    </row>
    <row r="3127" spans="2:18" ht="40.5" x14ac:dyDescent="0.25">
      <c r="B3127" s="4" t="s">
        <v>4066</v>
      </c>
      <c r="C3127" s="5" t="s">
        <v>4067</v>
      </c>
      <c r="D3127" s="16" t="s">
        <v>29</v>
      </c>
      <c r="E3127" s="5" t="s">
        <v>1712</v>
      </c>
      <c r="F3127" s="5" t="s">
        <v>1711</v>
      </c>
      <c r="G3127" s="16" t="s">
        <v>35</v>
      </c>
      <c r="H3127" s="16" t="s">
        <v>36</v>
      </c>
      <c r="I3127" s="5" t="s">
        <v>4068</v>
      </c>
      <c r="J3127" s="5" t="s">
        <v>4069</v>
      </c>
      <c r="K3127" s="5" t="s">
        <v>4049</v>
      </c>
      <c r="L3127" s="5"/>
      <c r="M3127" s="5"/>
      <c r="N3127" s="5"/>
      <c r="O3127" s="17"/>
      <c r="P3127" s="5" t="str">
        <f t="shared" si="77"/>
        <v>Truncate table FSFX29;</v>
      </c>
      <c r="Q3127" s="5"/>
      <c r="R3127" s="5"/>
    </row>
    <row r="3128" spans="2:18" ht="40.5" x14ac:dyDescent="0.25">
      <c r="B3128" s="4" t="s">
        <v>4070</v>
      </c>
      <c r="C3128" s="5" t="s">
        <v>4071</v>
      </c>
      <c r="D3128" s="16" t="s">
        <v>29</v>
      </c>
      <c r="E3128" s="5" t="s">
        <v>1712</v>
      </c>
      <c r="F3128" s="5" t="s">
        <v>1711</v>
      </c>
      <c r="G3128" s="16" t="s">
        <v>35</v>
      </c>
      <c r="H3128" s="16" t="s">
        <v>36</v>
      </c>
      <c r="I3128" s="5" t="s">
        <v>4072</v>
      </c>
      <c r="J3128" s="5" t="s">
        <v>4073</v>
      </c>
      <c r="K3128" s="5" t="s">
        <v>4049</v>
      </c>
      <c r="L3128" s="5"/>
      <c r="M3128" s="5"/>
      <c r="N3128" s="5"/>
      <c r="O3128" s="17"/>
      <c r="P3128" s="5" t="str">
        <f t="shared" si="77"/>
        <v>Truncate table FSFX30;</v>
      </c>
      <c r="Q3128" s="5"/>
      <c r="R3128" s="5"/>
    </row>
    <row r="3129" spans="2:18" x14ac:dyDescent="0.25">
      <c r="B3129" s="19" t="s">
        <v>4074</v>
      </c>
      <c r="C3129" s="16"/>
      <c r="D3129" s="16" t="s">
        <v>29</v>
      </c>
      <c r="E3129" s="16"/>
      <c r="F3129" s="5"/>
      <c r="G3129" s="16" t="s">
        <v>35</v>
      </c>
      <c r="H3129" s="16"/>
      <c r="I3129" s="16"/>
      <c r="J3129" s="16"/>
      <c r="K3129" s="16"/>
      <c r="L3129" s="16"/>
      <c r="M3129" s="16"/>
      <c r="N3129" s="16"/>
      <c r="O3129" s="17"/>
      <c r="P3129" s="5" t="str">
        <f t="shared" si="77"/>
        <v>Truncate table FSFY00;</v>
      </c>
      <c r="Q3129" s="5"/>
      <c r="R3129" s="5"/>
    </row>
    <row r="3130" spans="2:18" x14ac:dyDescent="0.25">
      <c r="B3130" s="19" t="s">
        <v>4075</v>
      </c>
      <c r="C3130" s="16"/>
      <c r="D3130" s="16" t="s">
        <v>29</v>
      </c>
      <c r="E3130" s="16"/>
      <c r="F3130" s="5"/>
      <c r="G3130" s="16" t="s">
        <v>35</v>
      </c>
      <c r="H3130" s="16"/>
      <c r="I3130" s="16"/>
      <c r="J3130" s="16"/>
      <c r="K3130" s="16"/>
      <c r="L3130" s="16"/>
      <c r="M3130" s="16"/>
      <c r="N3130" s="16"/>
      <c r="O3130" s="17"/>
      <c r="P3130" s="5" t="str">
        <f t="shared" si="77"/>
        <v>Truncate table FSFY01;</v>
      </c>
      <c r="Q3130" s="5"/>
      <c r="R3130" s="5"/>
    </row>
    <row r="3131" spans="2:18" x14ac:dyDescent="0.25">
      <c r="B3131" s="19" t="s">
        <v>4076</v>
      </c>
      <c r="C3131" s="16"/>
      <c r="D3131" s="16" t="s">
        <v>29</v>
      </c>
      <c r="E3131" s="16"/>
      <c r="F3131" s="5"/>
      <c r="G3131" s="16" t="s">
        <v>35</v>
      </c>
      <c r="H3131" s="16"/>
      <c r="I3131" s="16"/>
      <c r="J3131" s="16"/>
      <c r="K3131" s="16"/>
      <c r="L3131" s="16"/>
      <c r="M3131" s="16"/>
      <c r="N3131" s="16"/>
      <c r="O3131" s="17"/>
      <c r="P3131" s="5" t="str">
        <f t="shared" si="77"/>
        <v>Truncate table FSH003;</v>
      </c>
      <c r="Q3131" s="5"/>
      <c r="R3131" s="5"/>
    </row>
    <row r="3132" spans="2:18" x14ac:dyDescent="0.25">
      <c r="B3132" s="19" t="s">
        <v>4077</v>
      </c>
      <c r="C3132" s="16" t="s">
        <v>4078</v>
      </c>
      <c r="D3132" s="16" t="s">
        <v>8152</v>
      </c>
      <c r="E3132" s="16" t="s">
        <v>54</v>
      </c>
      <c r="F3132" s="5" t="s">
        <v>2854</v>
      </c>
      <c r="G3132" s="16" t="s">
        <v>35</v>
      </c>
      <c r="H3132" s="16"/>
      <c r="I3132" s="16"/>
      <c r="J3132" s="16"/>
      <c r="K3132" s="16"/>
      <c r="L3132" s="16"/>
      <c r="M3132" s="223" t="s">
        <v>8577</v>
      </c>
      <c r="N3132" s="16"/>
      <c r="O3132" s="17" t="s">
        <v>38</v>
      </c>
      <c r="P3132" s="35"/>
      <c r="Q3132" s="5"/>
      <c r="R3132" s="5"/>
    </row>
    <row r="3133" spans="2:18" x14ac:dyDescent="0.25">
      <c r="B3133" s="19" t="s">
        <v>4079</v>
      </c>
      <c r="C3133" s="16"/>
      <c r="D3133" s="16" t="s">
        <v>29</v>
      </c>
      <c r="E3133" s="16"/>
      <c r="F3133" s="5"/>
      <c r="G3133" s="16" t="s">
        <v>35</v>
      </c>
      <c r="H3133" s="16"/>
      <c r="I3133" s="16"/>
      <c r="J3133" s="16"/>
      <c r="K3133" s="16"/>
      <c r="L3133" s="16"/>
      <c r="M3133" s="16"/>
      <c r="N3133" s="16"/>
      <c r="O3133" s="17"/>
      <c r="P3133" s="5" t="str">
        <f t="shared" ref="P3133:P3156" si="78">IF(D3133="Datos","Truncate table "&amp; B3133&amp; ";","")</f>
        <v>Truncate table FSH008;</v>
      </c>
      <c r="Q3133" s="5"/>
      <c r="R3133" s="5"/>
    </row>
    <row r="3134" spans="2:18" x14ac:dyDescent="0.25">
      <c r="B3134" s="19" t="s">
        <v>4080</v>
      </c>
      <c r="C3134" s="16" t="s">
        <v>4081</v>
      </c>
      <c r="D3134" s="16" t="s">
        <v>29</v>
      </c>
      <c r="E3134" s="16" t="s">
        <v>54</v>
      </c>
      <c r="F3134" s="5" t="s">
        <v>74</v>
      </c>
      <c r="G3134" s="16" t="s">
        <v>35</v>
      </c>
      <c r="H3134" s="16" t="s">
        <v>36</v>
      </c>
      <c r="I3134" s="16"/>
      <c r="J3134" s="16"/>
      <c r="K3134" s="16"/>
      <c r="L3134" s="16"/>
      <c r="M3134" s="16"/>
      <c r="N3134" s="16"/>
      <c r="O3134" s="17" t="s">
        <v>38</v>
      </c>
      <c r="P3134" s="5" t="str">
        <f t="shared" si="78"/>
        <v>Truncate table FSH010;</v>
      </c>
      <c r="Q3134" s="5"/>
      <c r="R3134" s="5"/>
    </row>
    <row r="3135" spans="2:18" x14ac:dyDescent="0.25">
      <c r="B3135" s="19" t="s">
        <v>4082</v>
      </c>
      <c r="C3135" s="16" t="s">
        <v>4083</v>
      </c>
      <c r="D3135" s="16" t="s">
        <v>29</v>
      </c>
      <c r="E3135" s="16" t="s">
        <v>54</v>
      </c>
      <c r="F3135" s="5" t="s">
        <v>235</v>
      </c>
      <c r="G3135" s="16" t="s">
        <v>35</v>
      </c>
      <c r="H3135" s="16" t="s">
        <v>36</v>
      </c>
      <c r="I3135" s="16"/>
      <c r="J3135" s="16"/>
      <c r="K3135" s="16"/>
      <c r="L3135" s="16"/>
      <c r="M3135" s="16"/>
      <c r="N3135" s="16"/>
      <c r="O3135" s="17" t="s">
        <v>38</v>
      </c>
      <c r="P3135" s="5" t="str">
        <f t="shared" si="78"/>
        <v>Truncate table FSH011;</v>
      </c>
      <c r="Q3135" s="5"/>
      <c r="R3135" s="5"/>
    </row>
    <row r="3136" spans="2:18" x14ac:dyDescent="0.25">
      <c r="B3136" s="19" t="s">
        <v>4084</v>
      </c>
      <c r="C3136" s="16" t="s">
        <v>4085</v>
      </c>
      <c r="D3136" s="16" t="s">
        <v>29</v>
      </c>
      <c r="E3136" s="16" t="s">
        <v>54</v>
      </c>
      <c r="F3136" s="5" t="s">
        <v>235</v>
      </c>
      <c r="G3136" s="16" t="s">
        <v>35</v>
      </c>
      <c r="H3136" s="16" t="s">
        <v>36</v>
      </c>
      <c r="I3136" s="16"/>
      <c r="J3136" s="16"/>
      <c r="K3136" s="16"/>
      <c r="L3136" s="16"/>
      <c r="M3136" s="16"/>
      <c r="N3136" s="16"/>
      <c r="O3136" s="17" t="s">
        <v>38</v>
      </c>
      <c r="P3136" s="5" t="str">
        <f t="shared" si="78"/>
        <v>Truncate table FSH012;</v>
      </c>
      <c r="Q3136" s="5"/>
      <c r="R3136" s="5"/>
    </row>
    <row r="3137" spans="2:18" x14ac:dyDescent="0.25">
      <c r="B3137" s="19" t="s">
        <v>4086</v>
      </c>
      <c r="C3137" s="16" t="s">
        <v>4087</v>
      </c>
      <c r="D3137" s="16" t="s">
        <v>29</v>
      </c>
      <c r="E3137" s="16" t="s">
        <v>54</v>
      </c>
      <c r="F3137" s="5" t="s">
        <v>235</v>
      </c>
      <c r="G3137" s="16" t="s">
        <v>35</v>
      </c>
      <c r="H3137" s="16" t="s">
        <v>36</v>
      </c>
      <c r="I3137" s="16"/>
      <c r="J3137" s="16"/>
      <c r="K3137" s="16"/>
      <c r="L3137" s="16"/>
      <c r="M3137" s="16"/>
      <c r="N3137" s="16"/>
      <c r="O3137" s="17" t="s">
        <v>38</v>
      </c>
      <c r="P3137" s="5" t="str">
        <f t="shared" si="78"/>
        <v>Truncate table FSH013;</v>
      </c>
      <c r="Q3137" s="5"/>
      <c r="R3137" s="5"/>
    </row>
    <row r="3138" spans="2:18" ht="40.5" x14ac:dyDescent="0.25">
      <c r="B3138" s="19" t="s">
        <v>4088</v>
      </c>
      <c r="C3138" s="16" t="s">
        <v>4089</v>
      </c>
      <c r="D3138" s="16" t="s">
        <v>29</v>
      </c>
      <c r="E3138" s="16" t="s">
        <v>54</v>
      </c>
      <c r="F3138" s="5" t="s">
        <v>235</v>
      </c>
      <c r="G3138" s="16" t="s">
        <v>35</v>
      </c>
      <c r="H3138" s="16" t="s">
        <v>36</v>
      </c>
      <c r="I3138" s="16" t="s">
        <v>4090</v>
      </c>
      <c r="J3138" s="16" t="s">
        <v>4091</v>
      </c>
      <c r="K3138" s="16" t="s">
        <v>4092</v>
      </c>
      <c r="L3138" s="16"/>
      <c r="M3138" s="16"/>
      <c r="N3138" s="16"/>
      <c r="O3138" s="17" t="s">
        <v>38</v>
      </c>
      <c r="P3138" s="5" t="str">
        <f t="shared" si="78"/>
        <v>Truncate table FSH014;</v>
      </c>
      <c r="Q3138" s="5"/>
      <c r="R3138" s="5"/>
    </row>
    <row r="3139" spans="2:18" x14ac:dyDescent="0.25">
      <c r="B3139" s="19" t="s">
        <v>4093</v>
      </c>
      <c r="C3139" s="16" t="s">
        <v>4094</v>
      </c>
      <c r="D3139" s="16" t="s">
        <v>29</v>
      </c>
      <c r="E3139" s="16" t="s">
        <v>54</v>
      </c>
      <c r="F3139" s="5" t="s">
        <v>235</v>
      </c>
      <c r="G3139" s="16" t="s">
        <v>35</v>
      </c>
      <c r="H3139" s="16" t="s">
        <v>36</v>
      </c>
      <c r="I3139" s="16"/>
      <c r="J3139" s="16"/>
      <c r="K3139" s="16"/>
      <c r="L3139" s="16"/>
      <c r="M3139" s="16"/>
      <c r="N3139" s="16"/>
      <c r="O3139" s="17" t="s">
        <v>38</v>
      </c>
      <c r="P3139" s="5" t="str">
        <f t="shared" si="78"/>
        <v>Truncate table FSH015;</v>
      </c>
      <c r="Q3139" s="5"/>
      <c r="R3139" s="5"/>
    </row>
    <row r="3140" spans="2:18" x14ac:dyDescent="0.25">
      <c r="B3140" s="19" t="s">
        <v>4095</v>
      </c>
      <c r="C3140" s="16" t="s">
        <v>4096</v>
      </c>
      <c r="D3140" s="16" t="s">
        <v>29</v>
      </c>
      <c r="E3140" s="16" t="s">
        <v>54</v>
      </c>
      <c r="F3140" s="5" t="s">
        <v>235</v>
      </c>
      <c r="G3140" s="16" t="s">
        <v>35</v>
      </c>
      <c r="H3140" s="16" t="s">
        <v>36</v>
      </c>
      <c r="I3140" s="16"/>
      <c r="J3140" s="16"/>
      <c r="K3140" s="16"/>
      <c r="L3140" s="16"/>
      <c r="M3140" s="16"/>
      <c r="N3140" s="16"/>
      <c r="O3140" s="17" t="s">
        <v>38</v>
      </c>
      <c r="P3140" s="5" t="str">
        <f t="shared" si="78"/>
        <v>Truncate table FSH016;</v>
      </c>
      <c r="Q3140" s="5"/>
      <c r="R3140" s="5"/>
    </row>
    <row r="3141" spans="2:18" x14ac:dyDescent="0.25">
      <c r="B3141" s="19" t="s">
        <v>4097</v>
      </c>
      <c r="C3141" s="16" t="s">
        <v>4098</v>
      </c>
      <c r="D3141" s="16" t="s">
        <v>29</v>
      </c>
      <c r="E3141" s="16" t="s">
        <v>54</v>
      </c>
      <c r="F3141" s="5" t="s">
        <v>235</v>
      </c>
      <c r="G3141" s="16" t="s">
        <v>35</v>
      </c>
      <c r="H3141" s="16" t="s">
        <v>36</v>
      </c>
      <c r="I3141" s="16"/>
      <c r="J3141" s="16"/>
      <c r="K3141" s="16"/>
      <c r="L3141" s="16"/>
      <c r="M3141" s="16"/>
      <c r="N3141" s="16"/>
      <c r="O3141" s="17" t="s">
        <v>38</v>
      </c>
      <c r="P3141" s="5" t="str">
        <f t="shared" si="78"/>
        <v>Truncate table FSH017;</v>
      </c>
      <c r="Q3141" s="5"/>
      <c r="R3141" s="5"/>
    </row>
    <row r="3142" spans="2:18" x14ac:dyDescent="0.25">
      <c r="B3142" s="19" t="s">
        <v>4099</v>
      </c>
      <c r="C3142" s="16"/>
      <c r="D3142" s="16" t="s">
        <v>29</v>
      </c>
      <c r="E3142" s="16"/>
      <c r="F3142" s="5"/>
      <c r="G3142" s="16" t="s">
        <v>35</v>
      </c>
      <c r="H3142" s="16"/>
      <c r="I3142" s="16"/>
      <c r="J3142" s="16"/>
      <c r="K3142" s="16"/>
      <c r="L3142" s="16"/>
      <c r="M3142" s="16"/>
      <c r="N3142" s="16"/>
      <c r="O3142" s="17"/>
      <c r="P3142" s="5" t="str">
        <f t="shared" si="78"/>
        <v>Truncate table FSH020;</v>
      </c>
      <c r="Q3142" s="5"/>
      <c r="R3142" s="5"/>
    </row>
    <row r="3143" spans="2:18" x14ac:dyDescent="0.25">
      <c r="B3143" s="19" t="s">
        <v>4100</v>
      </c>
      <c r="C3143" s="16" t="s">
        <v>4101</v>
      </c>
      <c r="D3143" s="16" t="s">
        <v>29</v>
      </c>
      <c r="E3143" s="16" t="s">
        <v>54</v>
      </c>
      <c r="F3143" s="5" t="s">
        <v>235</v>
      </c>
      <c r="G3143" s="16" t="s">
        <v>35</v>
      </c>
      <c r="H3143" s="16" t="s">
        <v>36</v>
      </c>
      <c r="I3143" s="16"/>
      <c r="J3143" s="16"/>
      <c r="K3143" s="16"/>
      <c r="L3143" s="16"/>
      <c r="M3143" s="16"/>
      <c r="N3143" s="16"/>
      <c r="O3143" s="17" t="s">
        <v>38</v>
      </c>
      <c r="P3143" s="5" t="str">
        <f t="shared" si="78"/>
        <v>Truncate table FSH021;</v>
      </c>
      <c r="Q3143" s="5"/>
      <c r="R3143" s="5"/>
    </row>
    <row r="3144" spans="2:18" x14ac:dyDescent="0.25">
      <c r="B3144" s="19" t="s">
        <v>4102</v>
      </c>
      <c r="C3144" s="16" t="s">
        <v>4103</v>
      </c>
      <c r="D3144" s="16" t="s">
        <v>29</v>
      </c>
      <c r="E3144" s="16" t="s">
        <v>54</v>
      </c>
      <c r="F3144" s="5" t="s">
        <v>235</v>
      </c>
      <c r="G3144" s="16" t="s">
        <v>35</v>
      </c>
      <c r="H3144" s="16" t="s">
        <v>36</v>
      </c>
      <c r="I3144" s="16"/>
      <c r="J3144" s="16"/>
      <c r="K3144" s="16"/>
      <c r="L3144" s="16"/>
      <c r="M3144" s="16"/>
      <c r="N3144" s="16"/>
      <c r="O3144" s="17" t="s">
        <v>38</v>
      </c>
      <c r="P3144" s="5" t="str">
        <f t="shared" si="78"/>
        <v>Truncate table FSH031;</v>
      </c>
      <c r="Q3144" s="5"/>
      <c r="R3144" s="5"/>
    </row>
    <row r="3145" spans="2:18" x14ac:dyDescent="0.25">
      <c r="B3145" s="19" t="s">
        <v>4104</v>
      </c>
      <c r="C3145" s="16" t="s">
        <v>4105</v>
      </c>
      <c r="D3145" s="16" t="s">
        <v>29</v>
      </c>
      <c r="E3145" s="16" t="s">
        <v>151</v>
      </c>
      <c r="F3145" s="5"/>
      <c r="G3145" s="16" t="s">
        <v>35</v>
      </c>
      <c r="H3145" s="16"/>
      <c r="I3145" s="16"/>
      <c r="J3145" s="16"/>
      <c r="K3145" s="16"/>
      <c r="L3145" s="16"/>
      <c r="M3145" s="16"/>
      <c r="N3145" s="16"/>
      <c r="O3145" s="17" t="s">
        <v>38</v>
      </c>
      <c r="P3145" s="5" t="str">
        <f t="shared" si="78"/>
        <v>Truncate table FSH037;</v>
      </c>
      <c r="Q3145" s="5"/>
      <c r="R3145" s="5"/>
    </row>
    <row r="3146" spans="2:18" x14ac:dyDescent="0.25">
      <c r="B3146" s="19" t="s">
        <v>4106</v>
      </c>
      <c r="C3146" s="16" t="s">
        <v>4107</v>
      </c>
      <c r="D3146" s="16" t="s">
        <v>29</v>
      </c>
      <c r="E3146" s="16" t="s">
        <v>54</v>
      </c>
      <c r="F3146" s="5" t="s">
        <v>557</v>
      </c>
      <c r="G3146" s="16" t="s">
        <v>35</v>
      </c>
      <c r="H3146" s="16" t="s">
        <v>36</v>
      </c>
      <c r="I3146" s="16"/>
      <c r="J3146" s="16"/>
      <c r="K3146" s="16"/>
      <c r="L3146" s="16"/>
      <c r="M3146" s="16"/>
      <c r="N3146" s="16" t="s">
        <v>558</v>
      </c>
      <c r="O3146" s="17" t="s">
        <v>38</v>
      </c>
      <c r="P3146" s="5" t="str">
        <f t="shared" si="78"/>
        <v>Truncate table FSH101;</v>
      </c>
      <c r="Q3146" s="5"/>
      <c r="R3146" s="5"/>
    </row>
    <row r="3147" spans="2:18" x14ac:dyDescent="0.25">
      <c r="B3147" s="19" t="s">
        <v>4108</v>
      </c>
      <c r="C3147" s="16" t="s">
        <v>4109</v>
      </c>
      <c r="D3147" s="16" t="s">
        <v>29</v>
      </c>
      <c r="E3147" s="16" t="s">
        <v>54</v>
      </c>
      <c r="F3147" s="5" t="s">
        <v>557</v>
      </c>
      <c r="G3147" s="16" t="s">
        <v>35</v>
      </c>
      <c r="H3147" s="16" t="s">
        <v>36</v>
      </c>
      <c r="I3147" s="16"/>
      <c r="J3147" s="16"/>
      <c r="K3147" s="16"/>
      <c r="L3147" s="16"/>
      <c r="M3147" s="16"/>
      <c r="N3147" s="16" t="s">
        <v>558</v>
      </c>
      <c r="O3147" s="17" t="s">
        <v>38</v>
      </c>
      <c r="P3147" s="5" t="str">
        <f t="shared" si="78"/>
        <v>Truncate table FSH102;</v>
      </c>
      <c r="Q3147" s="5"/>
      <c r="R3147" s="5"/>
    </row>
    <row r="3148" spans="2:18" x14ac:dyDescent="0.25">
      <c r="B3148" s="19" t="s">
        <v>4110</v>
      </c>
      <c r="C3148" s="16"/>
      <c r="D3148" s="16" t="s">
        <v>29</v>
      </c>
      <c r="E3148" s="16"/>
      <c r="F3148" s="5"/>
      <c r="G3148" s="16" t="s">
        <v>35</v>
      </c>
      <c r="H3148" s="16"/>
      <c r="I3148" s="16"/>
      <c r="J3148" s="16"/>
      <c r="K3148" s="16"/>
      <c r="L3148" s="16"/>
      <c r="M3148" s="16"/>
      <c r="N3148" s="16"/>
      <c r="O3148" s="17"/>
      <c r="P3148" s="5" t="str">
        <f t="shared" si="78"/>
        <v>Truncate table FSH103;</v>
      </c>
      <c r="Q3148" s="5"/>
      <c r="R3148" s="5"/>
    </row>
    <row r="3149" spans="2:18" x14ac:dyDescent="0.25">
      <c r="B3149" s="19" t="s">
        <v>4111</v>
      </c>
      <c r="C3149" s="16" t="s">
        <v>4112</v>
      </c>
      <c r="D3149" s="16" t="s">
        <v>29</v>
      </c>
      <c r="E3149" s="16" t="s">
        <v>54</v>
      </c>
      <c r="F3149" s="5" t="s">
        <v>2932</v>
      </c>
      <c r="G3149" s="16" t="s">
        <v>35</v>
      </c>
      <c r="H3149" s="16" t="s">
        <v>36</v>
      </c>
      <c r="I3149" s="16"/>
      <c r="J3149" s="16"/>
      <c r="K3149" s="16"/>
      <c r="L3149" s="16"/>
      <c r="M3149" s="16"/>
      <c r="N3149" s="16"/>
      <c r="O3149" s="17" t="s">
        <v>38</v>
      </c>
      <c r="P3149" s="5" t="str">
        <f t="shared" si="78"/>
        <v>Truncate table FSH104;</v>
      </c>
      <c r="Q3149" s="5"/>
      <c r="R3149" s="5"/>
    </row>
    <row r="3150" spans="2:18" x14ac:dyDescent="0.25">
      <c r="B3150" s="19" t="s">
        <v>4113</v>
      </c>
      <c r="C3150" s="16"/>
      <c r="D3150" s="16" t="s">
        <v>29</v>
      </c>
      <c r="E3150" s="16"/>
      <c r="F3150" s="5"/>
      <c r="G3150" s="16" t="s">
        <v>35</v>
      </c>
      <c r="H3150" s="16"/>
      <c r="I3150" s="16"/>
      <c r="J3150" s="16"/>
      <c r="K3150" s="16"/>
      <c r="L3150" s="16"/>
      <c r="M3150" s="16"/>
      <c r="N3150" s="16"/>
      <c r="O3150" s="17"/>
      <c r="P3150" s="5" t="str">
        <f t="shared" si="78"/>
        <v>Truncate table FSH105;</v>
      </c>
      <c r="Q3150" s="5"/>
      <c r="R3150" s="5"/>
    </row>
    <row r="3151" spans="2:18" x14ac:dyDescent="0.25">
      <c r="B3151" s="19" t="s">
        <v>4114</v>
      </c>
      <c r="C3151" s="16"/>
      <c r="D3151" s="16" t="s">
        <v>29</v>
      </c>
      <c r="E3151" s="16"/>
      <c r="F3151" s="5"/>
      <c r="G3151" s="16" t="s">
        <v>35</v>
      </c>
      <c r="H3151" s="16"/>
      <c r="I3151" s="16"/>
      <c r="J3151" s="16"/>
      <c r="K3151" s="16"/>
      <c r="L3151" s="16"/>
      <c r="M3151" s="16"/>
      <c r="N3151" s="16"/>
      <c r="O3151" s="17"/>
      <c r="P3151" s="5" t="str">
        <f t="shared" si="78"/>
        <v>Truncate table FSH110;</v>
      </c>
      <c r="Q3151" s="5"/>
      <c r="R3151" s="5"/>
    </row>
    <row r="3152" spans="2:18" x14ac:dyDescent="0.25">
      <c r="B3152" s="19" t="s">
        <v>4115</v>
      </c>
      <c r="C3152" s="16"/>
      <c r="D3152" s="16" t="s">
        <v>29</v>
      </c>
      <c r="E3152" s="16"/>
      <c r="F3152" s="5"/>
      <c r="G3152" s="16" t="s">
        <v>35</v>
      </c>
      <c r="H3152" s="16"/>
      <c r="I3152" s="16"/>
      <c r="J3152" s="16"/>
      <c r="K3152" s="16"/>
      <c r="L3152" s="16"/>
      <c r="M3152" s="16"/>
      <c r="N3152" s="16"/>
      <c r="O3152" s="17"/>
      <c r="P3152" s="5" t="str">
        <f t="shared" si="78"/>
        <v>Truncate table FSH116;</v>
      </c>
      <c r="Q3152" s="5"/>
      <c r="R3152" s="5"/>
    </row>
    <row r="3153" spans="1:18" x14ac:dyDescent="0.25">
      <c r="B3153" s="19" t="s">
        <v>4116</v>
      </c>
      <c r="C3153" s="16"/>
      <c r="D3153" s="16" t="s">
        <v>29</v>
      </c>
      <c r="E3153" s="16"/>
      <c r="F3153" s="5"/>
      <c r="G3153" s="16" t="s">
        <v>35</v>
      </c>
      <c r="H3153" s="16"/>
      <c r="I3153" s="16"/>
      <c r="J3153" s="16"/>
      <c r="K3153" s="16"/>
      <c r="L3153" s="16"/>
      <c r="M3153" s="16"/>
      <c r="N3153" s="16"/>
      <c r="O3153" s="17"/>
      <c r="P3153" s="5" t="str">
        <f t="shared" si="78"/>
        <v>Truncate table FSH117;</v>
      </c>
      <c r="Q3153" s="5"/>
      <c r="R3153" s="5"/>
    </row>
    <row r="3154" spans="1:18" x14ac:dyDescent="0.25">
      <c r="B3154" s="19" t="s">
        <v>4117</v>
      </c>
      <c r="C3154" s="16"/>
      <c r="D3154" s="16" t="s">
        <v>29</v>
      </c>
      <c r="E3154" s="16"/>
      <c r="F3154" s="5"/>
      <c r="G3154" s="16" t="s">
        <v>35</v>
      </c>
      <c r="H3154" s="16"/>
      <c r="I3154" s="16"/>
      <c r="J3154" s="16"/>
      <c r="K3154" s="16"/>
      <c r="L3154" s="16"/>
      <c r="M3154" s="16"/>
      <c r="N3154" s="16"/>
      <c r="O3154" s="17"/>
      <c r="P3154" s="5" t="str">
        <f t="shared" si="78"/>
        <v>Truncate table FSH118;</v>
      </c>
      <c r="Q3154" s="5"/>
      <c r="R3154" s="5"/>
    </row>
    <row r="3155" spans="1:18" x14ac:dyDescent="0.25">
      <c r="B3155" s="19" t="s">
        <v>4118</v>
      </c>
      <c r="C3155" s="16"/>
      <c r="D3155" s="16" t="s">
        <v>29</v>
      </c>
      <c r="E3155" s="16"/>
      <c r="F3155" s="5"/>
      <c r="G3155" s="16" t="s">
        <v>35</v>
      </c>
      <c r="H3155" s="16"/>
      <c r="I3155" s="16"/>
      <c r="J3155" s="16"/>
      <c r="K3155" s="16"/>
      <c r="L3155" s="16"/>
      <c r="M3155" s="16"/>
      <c r="N3155" s="16"/>
      <c r="O3155" s="17"/>
      <c r="P3155" s="5" t="str">
        <f t="shared" si="78"/>
        <v>Truncate table FSH121;</v>
      </c>
      <c r="Q3155" s="5"/>
      <c r="R3155" s="5"/>
    </row>
    <row r="3156" spans="1:18" x14ac:dyDescent="0.25">
      <c r="B3156" s="19" t="s">
        <v>4119</v>
      </c>
      <c r="C3156" s="16"/>
      <c r="D3156" s="16" t="s">
        <v>29</v>
      </c>
      <c r="E3156" s="16"/>
      <c r="F3156" s="5"/>
      <c r="G3156" s="16" t="s">
        <v>35</v>
      </c>
      <c r="H3156" s="16"/>
      <c r="I3156" s="16"/>
      <c r="J3156" s="16"/>
      <c r="K3156" s="16"/>
      <c r="L3156" s="16"/>
      <c r="M3156" s="16"/>
      <c r="N3156" s="16"/>
      <c r="O3156" s="17"/>
      <c r="P3156" s="5" t="str">
        <f t="shared" si="78"/>
        <v>Truncate table FSH134;</v>
      </c>
      <c r="Q3156" s="5"/>
      <c r="R3156" s="5"/>
    </row>
    <row r="3157" spans="1:18" x14ac:dyDescent="0.25">
      <c r="B3157" s="19" t="s">
        <v>4120</v>
      </c>
      <c r="C3157" s="16" t="s">
        <v>4121</v>
      </c>
      <c r="D3157" s="16" t="s">
        <v>8152</v>
      </c>
      <c r="E3157" s="16" t="s">
        <v>54</v>
      </c>
      <c r="F3157" s="5" t="s">
        <v>2854</v>
      </c>
      <c r="G3157" s="16" t="s">
        <v>35</v>
      </c>
      <c r="H3157" s="16"/>
      <c r="I3157" s="16"/>
      <c r="J3157" s="16"/>
      <c r="K3157" s="16"/>
      <c r="L3157" s="16"/>
      <c r="M3157" s="229" t="s">
        <v>387</v>
      </c>
      <c r="N3157" s="16"/>
      <c r="O3157" s="17" t="s">
        <v>38</v>
      </c>
      <c r="P3157" s="35"/>
      <c r="Q3157" s="5"/>
      <c r="R3157" s="5"/>
    </row>
    <row r="3158" spans="1:18" x14ac:dyDescent="0.25">
      <c r="B3158" s="19" t="s">
        <v>4122</v>
      </c>
      <c r="C3158" s="16"/>
      <c r="D3158" s="16" t="s">
        <v>29</v>
      </c>
      <c r="E3158" s="16"/>
      <c r="F3158" s="5"/>
      <c r="G3158" s="16" t="s">
        <v>35</v>
      </c>
      <c r="H3158" s="16"/>
      <c r="I3158" s="16"/>
      <c r="J3158" s="16"/>
      <c r="K3158" s="16"/>
      <c r="L3158" s="16"/>
      <c r="M3158" s="16"/>
      <c r="N3158" s="16"/>
      <c r="O3158" s="17"/>
      <c r="P3158" s="5" t="str">
        <f>IF(D3158="Datos","Truncate table "&amp; B3158&amp; ";","")</f>
        <v>Truncate table FSH217;</v>
      </c>
      <c r="Q3158" s="5"/>
      <c r="R3158" s="5"/>
    </row>
    <row r="3159" spans="1:18" x14ac:dyDescent="0.25">
      <c r="B3159" s="19" t="s">
        <v>4123</v>
      </c>
      <c r="C3159" s="16"/>
      <c r="D3159" s="16" t="s">
        <v>29</v>
      </c>
      <c r="E3159" s="16"/>
      <c r="F3159" s="5"/>
      <c r="G3159" s="16" t="s">
        <v>35</v>
      </c>
      <c r="H3159" s="16"/>
      <c r="I3159" s="16"/>
      <c r="J3159" s="16"/>
      <c r="K3159" s="16"/>
      <c r="L3159" s="16"/>
      <c r="M3159" s="16"/>
      <c r="N3159" s="16"/>
      <c r="O3159" s="17"/>
      <c r="P3159" s="5" t="str">
        <f>IF(D3159="Datos","Truncate table "&amp; B3159&amp; ";","")</f>
        <v>Truncate table FSH219;</v>
      </c>
      <c r="Q3159" s="5"/>
      <c r="R3159" s="5"/>
    </row>
    <row r="3160" spans="1:18" x14ac:dyDescent="0.25">
      <c r="B3160" s="19" t="s">
        <v>4124</v>
      </c>
      <c r="C3160" s="16"/>
      <c r="D3160" s="16" t="s">
        <v>29</v>
      </c>
      <c r="E3160" s="16"/>
      <c r="F3160" s="5"/>
      <c r="G3160" s="16" t="s">
        <v>35</v>
      </c>
      <c r="H3160" s="16"/>
      <c r="I3160" s="16"/>
      <c r="J3160" s="16"/>
      <c r="K3160" s="16"/>
      <c r="L3160" s="16"/>
      <c r="M3160" s="16"/>
      <c r="N3160" s="16"/>
      <c r="O3160" s="17"/>
      <c r="P3160" s="5" t="str">
        <f>IF(D3160="Datos","Truncate table "&amp; B3160&amp; ";","")</f>
        <v>Truncate table FSH303;</v>
      </c>
      <c r="Q3160" s="5"/>
      <c r="R3160" s="5"/>
    </row>
    <row r="3161" spans="1:18" x14ac:dyDescent="0.25">
      <c r="B3161" s="19" t="s">
        <v>4125</v>
      </c>
      <c r="C3161" s="16"/>
      <c r="D3161" s="16" t="s">
        <v>29</v>
      </c>
      <c r="E3161" s="16"/>
      <c r="F3161" s="5"/>
      <c r="G3161" s="16" t="s">
        <v>35</v>
      </c>
      <c r="H3161" s="16"/>
      <c r="I3161" s="16"/>
      <c r="J3161" s="16"/>
      <c r="K3161" s="16"/>
      <c r="L3161" s="16"/>
      <c r="M3161" s="16"/>
      <c r="N3161" s="16"/>
      <c r="O3161" s="17"/>
      <c r="P3161" s="5" t="str">
        <f>IF(D3161="Datos","Truncate table "&amp; B3161&amp; ";","")</f>
        <v>Truncate table FSH317;</v>
      </c>
      <c r="Q3161" s="5"/>
      <c r="R3161" s="5"/>
    </row>
    <row r="3162" spans="1:18" x14ac:dyDescent="0.25">
      <c r="A3162" s="240"/>
      <c r="B3162" s="19" t="s">
        <v>9509</v>
      </c>
      <c r="C3162" s="16"/>
      <c r="D3162" s="16" t="s">
        <v>8152</v>
      </c>
      <c r="E3162" s="16"/>
      <c r="F3162" s="5"/>
      <c r="G3162" s="16"/>
      <c r="H3162" s="16"/>
      <c r="I3162" s="16"/>
      <c r="J3162" s="16"/>
      <c r="K3162" s="16"/>
      <c r="L3162" s="16"/>
      <c r="M3162" s="16"/>
      <c r="N3162" s="16"/>
      <c r="O3162" s="17"/>
      <c r="P3162" s="5"/>
      <c r="Q3162" s="5"/>
      <c r="R3162" s="5"/>
    </row>
    <row r="3163" spans="1:18" x14ac:dyDescent="0.25">
      <c r="B3163" s="19" t="s">
        <v>4126</v>
      </c>
      <c r="C3163" s="16"/>
      <c r="D3163" s="16" t="s">
        <v>29</v>
      </c>
      <c r="E3163" s="16"/>
      <c r="F3163" s="5"/>
      <c r="G3163" s="16" t="s">
        <v>35</v>
      </c>
      <c r="H3163" s="16"/>
      <c r="I3163" s="16"/>
      <c r="J3163" s="16"/>
      <c r="K3163" s="16"/>
      <c r="L3163" s="16"/>
      <c r="M3163" s="16"/>
      <c r="N3163" s="16"/>
      <c r="O3163" s="17"/>
      <c r="P3163" s="5" t="str">
        <f t="shared" ref="P3163:P3186" si="79">IF(D3163="Datos","Truncate table "&amp; B3163&amp; ";","")</f>
        <v>Truncate table FSH741;</v>
      </c>
      <c r="Q3163" s="5"/>
      <c r="R3163" s="5"/>
    </row>
    <row r="3164" spans="1:18" x14ac:dyDescent="0.25">
      <c r="B3164" s="19" t="s">
        <v>4127</v>
      </c>
      <c r="C3164" s="16"/>
      <c r="D3164" s="16" t="s">
        <v>29</v>
      </c>
      <c r="E3164" s="16"/>
      <c r="F3164" s="5"/>
      <c r="G3164" s="16" t="s">
        <v>35</v>
      </c>
      <c r="H3164" s="16"/>
      <c r="I3164" s="16"/>
      <c r="J3164" s="16"/>
      <c r="K3164" s="16"/>
      <c r="L3164" s="16"/>
      <c r="M3164" s="16"/>
      <c r="N3164" s="16"/>
      <c r="O3164" s="17"/>
      <c r="P3164" s="5" t="str">
        <f t="shared" si="79"/>
        <v>Truncate table FSH850;</v>
      </c>
      <c r="Q3164" s="5"/>
      <c r="R3164" s="5"/>
    </row>
    <row r="3165" spans="1:18" x14ac:dyDescent="0.25">
      <c r="B3165" s="19" t="s">
        <v>4128</v>
      </c>
      <c r="C3165" s="16"/>
      <c r="D3165" s="16" t="s">
        <v>29</v>
      </c>
      <c r="E3165" s="16"/>
      <c r="F3165" s="5"/>
      <c r="G3165" s="16" t="s">
        <v>35</v>
      </c>
      <c r="H3165" s="16"/>
      <c r="I3165" s="16"/>
      <c r="J3165" s="16"/>
      <c r="K3165" s="16"/>
      <c r="L3165" s="16"/>
      <c r="M3165" s="16"/>
      <c r="N3165" s="16"/>
      <c r="O3165" s="17"/>
      <c r="P3165" s="5" t="str">
        <f t="shared" si="79"/>
        <v>Truncate table FSH851;</v>
      </c>
      <c r="Q3165" s="5"/>
      <c r="R3165" s="5"/>
    </row>
    <row r="3166" spans="1:18" x14ac:dyDescent="0.25">
      <c r="B3166" s="19" t="s">
        <v>4129</v>
      </c>
      <c r="C3166" s="16"/>
      <c r="D3166" s="16" t="s">
        <v>29</v>
      </c>
      <c r="E3166" s="16"/>
      <c r="F3166" s="5"/>
      <c r="G3166" s="16" t="s">
        <v>35</v>
      </c>
      <c r="H3166" s="16"/>
      <c r="I3166" s="16"/>
      <c r="J3166" s="16"/>
      <c r="K3166" s="16"/>
      <c r="L3166" s="16"/>
      <c r="M3166" s="16"/>
      <c r="N3166" s="16"/>
      <c r="O3166" s="17"/>
      <c r="P3166" s="5" t="str">
        <f t="shared" si="79"/>
        <v>Truncate table FSH915;</v>
      </c>
      <c r="Q3166" s="5"/>
      <c r="R3166" s="5"/>
    </row>
    <row r="3167" spans="1:18" x14ac:dyDescent="0.25">
      <c r="B3167" s="19" t="s">
        <v>4130</v>
      </c>
      <c r="C3167" s="16"/>
      <c r="D3167" s="16" t="s">
        <v>29</v>
      </c>
      <c r="E3167" s="16"/>
      <c r="F3167" s="5"/>
      <c r="G3167" s="16" t="s">
        <v>35</v>
      </c>
      <c r="H3167" s="16"/>
      <c r="I3167" s="16"/>
      <c r="J3167" s="16"/>
      <c r="K3167" s="16"/>
      <c r="L3167" s="16"/>
      <c r="M3167" s="16"/>
      <c r="N3167" s="16"/>
      <c r="O3167" s="17"/>
      <c r="P3167" s="5" t="str">
        <f t="shared" si="79"/>
        <v>Truncate table FSH916;</v>
      </c>
      <c r="Q3167" s="5"/>
      <c r="R3167" s="5"/>
    </row>
    <row r="3168" spans="1:18" x14ac:dyDescent="0.25">
      <c r="B3168" s="19" t="s">
        <v>4131</v>
      </c>
      <c r="C3168" s="16" t="s">
        <v>4132</v>
      </c>
      <c r="D3168" s="16" t="s">
        <v>8152</v>
      </c>
      <c r="E3168" s="16" t="s">
        <v>34</v>
      </c>
      <c r="F3168" s="5" t="s">
        <v>33</v>
      </c>
      <c r="G3168" s="16" t="s">
        <v>35</v>
      </c>
      <c r="H3168" s="16" t="s">
        <v>12</v>
      </c>
      <c r="I3168" s="16"/>
      <c r="J3168" s="16"/>
      <c r="K3168" s="16"/>
      <c r="L3168" s="16"/>
      <c r="M3168" s="16"/>
      <c r="N3168" s="16"/>
      <c r="O3168" s="17" t="s">
        <v>38</v>
      </c>
      <c r="P3168" s="5" t="str">
        <f t="shared" si="79"/>
        <v/>
      </c>
      <c r="Q3168" s="5"/>
      <c r="R3168" s="5"/>
    </row>
    <row r="3169" spans="2:18" x14ac:dyDescent="0.25">
      <c r="B3169" s="19" t="s">
        <v>4133</v>
      </c>
      <c r="C3169" s="16" t="s">
        <v>4134</v>
      </c>
      <c r="D3169" s="16" t="s">
        <v>8152</v>
      </c>
      <c r="E3169" s="16" t="s">
        <v>34</v>
      </c>
      <c r="F3169" s="5" t="s">
        <v>33</v>
      </c>
      <c r="G3169" s="16" t="s">
        <v>35</v>
      </c>
      <c r="H3169" s="16" t="s">
        <v>12</v>
      </c>
      <c r="I3169" s="16"/>
      <c r="J3169" s="16"/>
      <c r="K3169" s="16"/>
      <c r="L3169" s="16"/>
      <c r="M3169" s="16"/>
      <c r="N3169" s="16"/>
      <c r="O3169" s="17" t="s">
        <v>38</v>
      </c>
      <c r="P3169" s="5" t="str">
        <f t="shared" si="79"/>
        <v/>
      </c>
      <c r="Q3169" s="5"/>
      <c r="R3169" s="5"/>
    </row>
    <row r="3170" spans="2:18" x14ac:dyDescent="0.25">
      <c r="B3170" s="19" t="s">
        <v>4135</v>
      </c>
      <c r="C3170" s="16" t="s">
        <v>4136</v>
      </c>
      <c r="D3170" s="16" t="s">
        <v>8152</v>
      </c>
      <c r="E3170" s="16" t="s">
        <v>34</v>
      </c>
      <c r="F3170" s="5" t="s">
        <v>33</v>
      </c>
      <c r="G3170" s="16" t="s">
        <v>35</v>
      </c>
      <c r="H3170" s="16" t="s">
        <v>12</v>
      </c>
      <c r="I3170" s="16"/>
      <c r="J3170" s="16"/>
      <c r="K3170" s="16"/>
      <c r="L3170" s="16"/>
      <c r="M3170" s="16"/>
      <c r="N3170" s="16"/>
      <c r="O3170" s="17" t="s">
        <v>38</v>
      </c>
      <c r="P3170" s="5" t="str">
        <f t="shared" si="79"/>
        <v/>
      </c>
      <c r="Q3170" s="5"/>
      <c r="R3170" s="5"/>
    </row>
    <row r="3171" spans="2:18" x14ac:dyDescent="0.25">
      <c r="B3171" s="19" t="s">
        <v>4137</v>
      </c>
      <c r="C3171" s="16" t="s">
        <v>4136</v>
      </c>
      <c r="D3171" s="16" t="s">
        <v>8152</v>
      </c>
      <c r="E3171" s="16" t="s">
        <v>34</v>
      </c>
      <c r="F3171" s="5" t="s">
        <v>33</v>
      </c>
      <c r="G3171" s="16" t="s">
        <v>35</v>
      </c>
      <c r="H3171" s="16" t="s">
        <v>12</v>
      </c>
      <c r="I3171" s="16"/>
      <c r="J3171" s="16"/>
      <c r="K3171" s="16"/>
      <c r="L3171" s="16"/>
      <c r="M3171" s="16"/>
      <c r="N3171" s="16"/>
      <c r="O3171" s="17" t="s">
        <v>38</v>
      </c>
      <c r="P3171" s="5" t="str">
        <f t="shared" si="79"/>
        <v/>
      </c>
      <c r="Q3171" s="5"/>
      <c r="R3171" s="5"/>
    </row>
    <row r="3172" spans="2:18" x14ac:dyDescent="0.25">
      <c r="B3172" s="19" t="s">
        <v>4138</v>
      </c>
      <c r="C3172" s="16" t="s">
        <v>4136</v>
      </c>
      <c r="D3172" s="16" t="s">
        <v>8152</v>
      </c>
      <c r="E3172" s="16" t="s">
        <v>34</v>
      </c>
      <c r="F3172" s="5" t="s">
        <v>33</v>
      </c>
      <c r="G3172" s="16" t="s">
        <v>35</v>
      </c>
      <c r="H3172" s="16" t="s">
        <v>12</v>
      </c>
      <c r="I3172" s="16"/>
      <c r="J3172" s="16"/>
      <c r="K3172" s="16"/>
      <c r="L3172" s="16"/>
      <c r="M3172" s="16"/>
      <c r="N3172" s="16"/>
      <c r="O3172" s="17" t="s">
        <v>38</v>
      </c>
      <c r="P3172" s="5" t="str">
        <f t="shared" si="79"/>
        <v/>
      </c>
      <c r="Q3172" s="5"/>
      <c r="R3172" s="5"/>
    </row>
    <row r="3173" spans="2:18" x14ac:dyDescent="0.25">
      <c r="B3173" s="19" t="s">
        <v>4139</v>
      </c>
      <c r="C3173" s="16" t="s">
        <v>4136</v>
      </c>
      <c r="D3173" s="16" t="s">
        <v>8152</v>
      </c>
      <c r="E3173" s="16" t="s">
        <v>34</v>
      </c>
      <c r="F3173" s="5" t="s">
        <v>33</v>
      </c>
      <c r="G3173" s="16" t="s">
        <v>35</v>
      </c>
      <c r="H3173" s="16" t="s">
        <v>12</v>
      </c>
      <c r="I3173" s="16"/>
      <c r="J3173" s="16"/>
      <c r="K3173" s="16"/>
      <c r="L3173" s="16"/>
      <c r="M3173" s="16"/>
      <c r="N3173" s="16"/>
      <c r="O3173" s="17" t="s">
        <v>38</v>
      </c>
      <c r="P3173" s="5" t="str">
        <f t="shared" si="79"/>
        <v/>
      </c>
      <c r="Q3173" s="5"/>
      <c r="R3173" s="5"/>
    </row>
    <row r="3174" spans="2:18" x14ac:dyDescent="0.25">
      <c r="B3174" s="19" t="s">
        <v>4140</v>
      </c>
      <c r="C3174" s="16"/>
      <c r="D3174" s="16" t="s">
        <v>29</v>
      </c>
      <c r="E3174" s="16"/>
      <c r="F3174" s="5"/>
      <c r="G3174" s="16" t="s">
        <v>35</v>
      </c>
      <c r="H3174" s="16"/>
      <c r="I3174" s="16"/>
      <c r="J3174" s="16"/>
      <c r="K3174" s="16"/>
      <c r="L3174" s="16"/>
      <c r="M3174" s="16"/>
      <c r="N3174" s="16"/>
      <c r="O3174" s="17"/>
      <c r="P3174" s="5" t="str">
        <f t="shared" si="79"/>
        <v>Truncate table FSI007;</v>
      </c>
      <c r="Q3174" s="5"/>
      <c r="R3174" s="5"/>
    </row>
    <row r="3175" spans="2:18" x14ac:dyDescent="0.25">
      <c r="B3175" s="19" t="s">
        <v>4141</v>
      </c>
      <c r="C3175" s="16" t="s">
        <v>4136</v>
      </c>
      <c r="D3175" s="16" t="s">
        <v>8152</v>
      </c>
      <c r="E3175" s="16" t="s">
        <v>34</v>
      </c>
      <c r="F3175" s="5" t="s">
        <v>33</v>
      </c>
      <c r="G3175" s="16" t="s">
        <v>35</v>
      </c>
      <c r="H3175" s="16" t="s">
        <v>12</v>
      </c>
      <c r="I3175" s="16"/>
      <c r="J3175" s="16"/>
      <c r="K3175" s="16"/>
      <c r="L3175" s="16"/>
      <c r="M3175" s="16"/>
      <c r="N3175" s="16"/>
      <c r="O3175" s="17" t="s">
        <v>38</v>
      </c>
      <c r="P3175" s="5" t="str">
        <f t="shared" si="79"/>
        <v/>
      </c>
      <c r="Q3175" s="5"/>
      <c r="R3175" s="5"/>
    </row>
    <row r="3176" spans="2:18" x14ac:dyDescent="0.25">
      <c r="B3176" s="19" t="s">
        <v>4142</v>
      </c>
      <c r="C3176" s="16" t="s">
        <v>4136</v>
      </c>
      <c r="D3176" s="16" t="s">
        <v>8152</v>
      </c>
      <c r="E3176" s="16" t="s">
        <v>34</v>
      </c>
      <c r="F3176" s="5" t="s">
        <v>33</v>
      </c>
      <c r="G3176" s="16" t="s">
        <v>35</v>
      </c>
      <c r="H3176" s="16" t="s">
        <v>12</v>
      </c>
      <c r="I3176" s="16"/>
      <c r="J3176" s="16"/>
      <c r="K3176" s="16"/>
      <c r="L3176" s="16"/>
      <c r="M3176" s="16"/>
      <c r="N3176" s="16"/>
      <c r="O3176" s="17" t="s">
        <v>38</v>
      </c>
      <c r="P3176" s="5" t="str">
        <f t="shared" si="79"/>
        <v/>
      </c>
      <c r="Q3176" s="5"/>
      <c r="R3176" s="5"/>
    </row>
    <row r="3177" spans="2:18" x14ac:dyDescent="0.25">
      <c r="B3177" s="19" t="s">
        <v>4143</v>
      </c>
      <c r="C3177" s="16" t="s">
        <v>4136</v>
      </c>
      <c r="D3177" s="16" t="s">
        <v>8152</v>
      </c>
      <c r="E3177" s="16" t="s">
        <v>34</v>
      </c>
      <c r="F3177" s="5" t="s">
        <v>33</v>
      </c>
      <c r="G3177" s="16" t="s">
        <v>35</v>
      </c>
      <c r="H3177" s="16" t="s">
        <v>12</v>
      </c>
      <c r="I3177" s="16"/>
      <c r="J3177" s="16"/>
      <c r="K3177" s="16"/>
      <c r="L3177" s="16"/>
      <c r="M3177" s="16"/>
      <c r="N3177" s="16"/>
      <c r="O3177" s="17" t="s">
        <v>38</v>
      </c>
      <c r="P3177" s="5" t="str">
        <f t="shared" si="79"/>
        <v/>
      </c>
      <c r="Q3177" s="5"/>
      <c r="R3177" s="5"/>
    </row>
    <row r="3178" spans="2:18" x14ac:dyDescent="0.25">
      <c r="B3178" s="19" t="s">
        <v>4144</v>
      </c>
      <c r="C3178" s="16"/>
      <c r="D3178" s="16" t="s">
        <v>29</v>
      </c>
      <c r="E3178" s="16"/>
      <c r="F3178" s="5"/>
      <c r="G3178" s="16" t="s">
        <v>35</v>
      </c>
      <c r="H3178" s="16"/>
      <c r="I3178" s="16"/>
      <c r="J3178" s="16"/>
      <c r="K3178" s="16"/>
      <c r="L3178" s="16"/>
      <c r="M3178" s="16"/>
      <c r="N3178" s="16"/>
      <c r="O3178" s="17"/>
      <c r="P3178" s="5" t="str">
        <f t="shared" si="79"/>
        <v>Truncate table FSI012;</v>
      </c>
      <c r="Q3178" s="5"/>
      <c r="R3178" s="5"/>
    </row>
    <row r="3179" spans="2:18" x14ac:dyDescent="0.25">
      <c r="B3179" s="19" t="s">
        <v>4145</v>
      </c>
      <c r="C3179" s="16"/>
      <c r="D3179" s="16" t="s">
        <v>29</v>
      </c>
      <c r="E3179" s="16"/>
      <c r="F3179" s="5"/>
      <c r="G3179" s="16" t="s">
        <v>35</v>
      </c>
      <c r="H3179" s="16"/>
      <c r="I3179" s="16"/>
      <c r="J3179" s="16"/>
      <c r="K3179" s="16"/>
      <c r="L3179" s="16"/>
      <c r="M3179" s="16"/>
      <c r="N3179" s="16"/>
      <c r="O3179" s="17"/>
      <c r="P3179" s="5" t="str">
        <f t="shared" si="79"/>
        <v>Truncate table FSI013;</v>
      </c>
      <c r="Q3179" s="5"/>
      <c r="R3179" s="5"/>
    </row>
    <row r="3180" spans="2:18" x14ac:dyDescent="0.25">
      <c r="B3180" s="19" t="s">
        <v>4146</v>
      </c>
      <c r="C3180" s="16"/>
      <c r="D3180" s="16" t="s">
        <v>29</v>
      </c>
      <c r="E3180" s="16"/>
      <c r="F3180" s="5"/>
      <c r="G3180" s="16" t="s">
        <v>35</v>
      </c>
      <c r="H3180" s="16"/>
      <c r="I3180" s="16"/>
      <c r="J3180" s="16"/>
      <c r="K3180" s="16"/>
      <c r="L3180" s="16"/>
      <c r="M3180" s="16"/>
      <c r="N3180" s="16"/>
      <c r="O3180" s="17"/>
      <c r="P3180" s="5" t="str">
        <f t="shared" si="79"/>
        <v>Truncate table FSI016;</v>
      </c>
      <c r="Q3180" s="5"/>
      <c r="R3180" s="5"/>
    </row>
    <row r="3181" spans="2:18" x14ac:dyDescent="0.25">
      <c r="B3181" s="19" t="s">
        <v>4147</v>
      </c>
      <c r="C3181" s="16"/>
      <c r="D3181" s="16" t="s">
        <v>29</v>
      </c>
      <c r="E3181" s="16"/>
      <c r="F3181" s="5"/>
      <c r="G3181" s="16" t="s">
        <v>35</v>
      </c>
      <c r="H3181" s="16"/>
      <c r="I3181" s="16"/>
      <c r="J3181" s="16"/>
      <c r="K3181" s="16"/>
      <c r="L3181" s="16"/>
      <c r="M3181" s="16"/>
      <c r="N3181" s="16"/>
      <c r="O3181" s="17"/>
      <c r="P3181" s="5" t="str">
        <f t="shared" si="79"/>
        <v>Truncate table FSI017;</v>
      </c>
      <c r="Q3181" s="5"/>
      <c r="R3181" s="5"/>
    </row>
    <row r="3182" spans="2:18" x14ac:dyDescent="0.25">
      <c r="B3182" s="19" t="s">
        <v>4148</v>
      </c>
      <c r="C3182" s="16"/>
      <c r="D3182" s="16" t="s">
        <v>29</v>
      </c>
      <c r="E3182" s="16"/>
      <c r="F3182" s="5"/>
      <c r="G3182" s="16" t="s">
        <v>35</v>
      </c>
      <c r="H3182" s="16"/>
      <c r="I3182" s="16"/>
      <c r="J3182" s="16"/>
      <c r="K3182" s="16"/>
      <c r="L3182" s="16"/>
      <c r="M3182" s="16"/>
      <c r="N3182" s="16"/>
      <c r="O3182" s="17"/>
      <c r="P3182" s="5" t="str">
        <f t="shared" si="79"/>
        <v>Truncate table FSI018;</v>
      </c>
      <c r="Q3182" s="5"/>
      <c r="R3182" s="5"/>
    </row>
    <row r="3183" spans="2:18" x14ac:dyDescent="0.25">
      <c r="B3183" s="19" t="s">
        <v>4149</v>
      </c>
      <c r="C3183" s="16"/>
      <c r="D3183" s="16" t="s">
        <v>29</v>
      </c>
      <c r="E3183" s="16"/>
      <c r="F3183" s="5"/>
      <c r="G3183" s="16" t="s">
        <v>35</v>
      </c>
      <c r="H3183" s="16"/>
      <c r="I3183" s="16"/>
      <c r="J3183" s="16"/>
      <c r="K3183" s="16"/>
      <c r="L3183" s="16"/>
      <c r="M3183" s="16"/>
      <c r="N3183" s="16"/>
      <c r="O3183" s="17"/>
      <c r="P3183" s="5" t="str">
        <f t="shared" si="79"/>
        <v>Truncate table FSI019;</v>
      </c>
      <c r="Q3183" s="5"/>
      <c r="R3183" s="5"/>
    </row>
    <row r="3184" spans="2:18" x14ac:dyDescent="0.25">
      <c r="B3184" s="19" t="s">
        <v>4150</v>
      </c>
      <c r="C3184" s="16"/>
      <c r="D3184" s="16" t="s">
        <v>29</v>
      </c>
      <c r="E3184" s="16"/>
      <c r="F3184" s="5"/>
      <c r="G3184" s="16" t="s">
        <v>35</v>
      </c>
      <c r="H3184" s="16"/>
      <c r="I3184" s="16"/>
      <c r="J3184" s="16"/>
      <c r="K3184" s="16"/>
      <c r="L3184" s="16"/>
      <c r="M3184" s="16"/>
      <c r="N3184" s="16"/>
      <c r="O3184" s="17"/>
      <c r="P3184" s="5" t="str">
        <f t="shared" si="79"/>
        <v>Truncate table FSI020;</v>
      </c>
      <c r="Q3184" s="5"/>
      <c r="R3184" s="5"/>
    </row>
    <row r="3185" spans="2:22" x14ac:dyDescent="0.25">
      <c r="B3185" s="19" t="s">
        <v>4151</v>
      </c>
      <c r="C3185" s="16"/>
      <c r="D3185" s="16" t="s">
        <v>29</v>
      </c>
      <c r="E3185" s="16"/>
      <c r="F3185" s="5"/>
      <c r="G3185" s="16" t="s">
        <v>35</v>
      </c>
      <c r="H3185" s="16"/>
      <c r="I3185" s="16"/>
      <c r="J3185" s="16"/>
      <c r="K3185" s="16"/>
      <c r="L3185" s="16"/>
      <c r="M3185" s="16"/>
      <c r="N3185" s="16"/>
      <c r="O3185" s="17"/>
      <c r="P3185" s="5" t="str">
        <f t="shared" si="79"/>
        <v>Truncate table FSI021;</v>
      </c>
      <c r="Q3185" s="5"/>
      <c r="R3185" s="5"/>
    </row>
    <row r="3186" spans="2:22" x14ac:dyDescent="0.25">
      <c r="B3186" s="19" t="s">
        <v>4152</v>
      </c>
      <c r="C3186" s="16"/>
      <c r="D3186" s="16" t="s">
        <v>29</v>
      </c>
      <c r="E3186" s="16"/>
      <c r="F3186" s="5"/>
      <c r="G3186" s="16" t="s">
        <v>35</v>
      </c>
      <c r="H3186" s="16"/>
      <c r="I3186" s="16"/>
      <c r="J3186" s="16"/>
      <c r="K3186" s="16"/>
      <c r="L3186" s="16"/>
      <c r="M3186" s="16"/>
      <c r="N3186" s="16"/>
      <c r="O3186" s="17"/>
      <c r="P3186" s="5" t="str">
        <f t="shared" si="79"/>
        <v>Truncate table FSI022;</v>
      </c>
      <c r="Q3186" s="5"/>
      <c r="R3186" s="5"/>
    </row>
    <row r="3187" spans="2:22" x14ac:dyDescent="0.25">
      <c r="B3187" s="19" t="s">
        <v>4153</v>
      </c>
      <c r="C3187" s="16" t="s">
        <v>4154</v>
      </c>
      <c r="D3187" s="16" t="s">
        <v>29</v>
      </c>
      <c r="E3187" s="16"/>
      <c r="F3187" s="16"/>
      <c r="G3187" s="16" t="s">
        <v>35</v>
      </c>
      <c r="H3187" s="16"/>
      <c r="I3187" s="16"/>
      <c r="J3187" s="16"/>
      <c r="K3187" s="16"/>
      <c r="L3187" s="16"/>
      <c r="M3187" s="16"/>
      <c r="N3187" s="16"/>
      <c r="O3187" s="17" t="s">
        <v>38</v>
      </c>
      <c r="P3187" s="16"/>
      <c r="Q3187" s="16"/>
      <c r="R3187" s="16" t="s">
        <v>387</v>
      </c>
      <c r="S3187"/>
      <c r="T3187"/>
      <c r="U3187"/>
      <c r="V3187"/>
    </row>
    <row r="3188" spans="2:22" x14ac:dyDescent="0.25">
      <c r="B3188" s="19" t="s">
        <v>4155</v>
      </c>
      <c r="C3188" s="16" t="s">
        <v>4154</v>
      </c>
      <c r="D3188" s="16" t="s">
        <v>29</v>
      </c>
      <c r="E3188" s="16"/>
      <c r="F3188" s="16"/>
      <c r="G3188" s="16" t="s">
        <v>35</v>
      </c>
      <c r="H3188" s="16"/>
      <c r="I3188" s="16"/>
      <c r="J3188" s="16"/>
      <c r="K3188" s="16"/>
      <c r="L3188" s="16"/>
      <c r="M3188" s="16"/>
      <c r="N3188" s="16"/>
      <c r="O3188" s="17" t="s">
        <v>38</v>
      </c>
      <c r="P3188" s="16"/>
      <c r="Q3188" s="16"/>
      <c r="R3188" s="16" t="s">
        <v>387</v>
      </c>
      <c r="S3188"/>
      <c r="T3188"/>
      <c r="U3188"/>
      <c r="V3188"/>
    </row>
    <row r="3189" spans="2:22" x14ac:dyDescent="0.25">
      <c r="B3189" s="19" t="s">
        <v>4156</v>
      </c>
      <c r="C3189" s="16"/>
      <c r="D3189" s="16" t="s">
        <v>29</v>
      </c>
      <c r="E3189" s="16"/>
      <c r="F3189" s="16"/>
      <c r="G3189" s="16" t="s">
        <v>35</v>
      </c>
      <c r="H3189" s="16"/>
      <c r="I3189" s="16"/>
      <c r="J3189" s="16"/>
      <c r="K3189" s="16"/>
      <c r="L3189" s="16"/>
      <c r="M3189" s="16"/>
      <c r="N3189" s="16"/>
      <c r="O3189" s="17"/>
      <c r="P3189" s="16" t="str">
        <f>IF(D3189="Datos","Truncate table "&amp; B3189&amp; ";","")</f>
        <v>Truncate table FSL003;</v>
      </c>
      <c r="Q3189" s="16"/>
      <c r="R3189" s="16"/>
      <c r="S3189"/>
      <c r="T3189"/>
      <c r="U3189"/>
      <c r="V3189"/>
    </row>
    <row r="3190" spans="2:22" x14ac:dyDescent="0.25">
      <c r="B3190" s="19" t="s">
        <v>4157</v>
      </c>
      <c r="C3190" s="16"/>
      <c r="D3190" s="16" t="s">
        <v>29</v>
      </c>
      <c r="E3190" s="16"/>
      <c r="F3190" s="16"/>
      <c r="G3190" s="16" t="s">
        <v>35</v>
      </c>
      <c r="H3190" s="16"/>
      <c r="I3190" s="16"/>
      <c r="J3190" s="16"/>
      <c r="K3190" s="16"/>
      <c r="L3190" s="16"/>
      <c r="M3190" s="16"/>
      <c r="N3190" s="16"/>
      <c r="O3190" s="17"/>
      <c r="P3190" s="16" t="str">
        <f>IF(D3190="Datos","Truncate table "&amp; B3190&amp; ";","")</f>
        <v>Truncate table FSL006;</v>
      </c>
      <c r="Q3190" s="16"/>
      <c r="R3190" s="16"/>
      <c r="S3190"/>
      <c r="T3190"/>
      <c r="U3190"/>
      <c r="V3190"/>
    </row>
    <row r="3191" spans="2:22" x14ac:dyDescent="0.25">
      <c r="B3191" s="19" t="s">
        <v>4158</v>
      </c>
      <c r="C3191" s="16"/>
      <c r="D3191" s="16" t="s">
        <v>29</v>
      </c>
      <c r="E3191" s="16"/>
      <c r="F3191" s="16"/>
      <c r="G3191" s="16" t="s">
        <v>35</v>
      </c>
      <c r="H3191" s="16"/>
      <c r="I3191" s="16"/>
      <c r="J3191" s="16"/>
      <c r="K3191" s="16"/>
      <c r="L3191" s="16"/>
      <c r="M3191" s="16"/>
      <c r="N3191" s="16"/>
      <c r="O3191" s="17"/>
      <c r="P3191" s="16" t="str">
        <f>IF(D3191="Datos","Truncate table "&amp; B3191&amp; ";","")</f>
        <v>Truncate table FSL007;</v>
      </c>
      <c r="Q3191" s="16"/>
      <c r="R3191" s="16"/>
      <c r="S3191"/>
      <c r="T3191"/>
      <c r="U3191"/>
      <c r="V3191"/>
    </row>
    <row r="3192" spans="2:22" x14ac:dyDescent="0.25">
      <c r="B3192" s="19" t="s">
        <v>4159</v>
      </c>
      <c r="C3192" s="16"/>
      <c r="D3192" s="16" t="s">
        <v>29</v>
      </c>
      <c r="E3192" s="16"/>
      <c r="F3192" s="16"/>
      <c r="G3192" s="16" t="s">
        <v>35</v>
      </c>
      <c r="H3192" s="16"/>
      <c r="I3192" s="16"/>
      <c r="J3192" s="16"/>
      <c r="K3192" s="16"/>
      <c r="L3192" s="16"/>
      <c r="M3192" s="16"/>
      <c r="N3192" s="16"/>
      <c r="O3192" s="17"/>
      <c r="P3192" s="16" t="str">
        <f>IF(D3192="Datos","Truncate table "&amp; B3192&amp; ";","")</f>
        <v>Truncate table FSL015;</v>
      </c>
      <c r="Q3192" s="16"/>
      <c r="R3192" s="16"/>
      <c r="S3192"/>
      <c r="T3192"/>
      <c r="U3192"/>
      <c r="V3192"/>
    </row>
    <row r="3193" spans="2:22" x14ac:dyDescent="0.25">
      <c r="B3193" s="19" t="s">
        <v>4160</v>
      </c>
      <c r="C3193" s="16"/>
      <c r="D3193" s="16" t="s">
        <v>29</v>
      </c>
      <c r="E3193" s="16"/>
      <c r="F3193" s="16"/>
      <c r="G3193" s="16" t="s">
        <v>35</v>
      </c>
      <c r="H3193" s="16"/>
      <c r="I3193" s="16"/>
      <c r="J3193" s="16"/>
      <c r="K3193" s="16"/>
      <c r="L3193" s="16"/>
      <c r="M3193" s="16"/>
      <c r="N3193" s="16"/>
      <c r="O3193" s="17"/>
      <c r="P3193" s="16" t="str">
        <f>IF(D3193="Datos","Truncate table "&amp; B3193&amp; ";","")</f>
        <v>Truncate table FSL016;</v>
      </c>
      <c r="Q3193" s="16"/>
      <c r="R3193" s="16"/>
      <c r="S3193"/>
      <c r="T3193"/>
      <c r="U3193"/>
      <c r="V3193"/>
    </row>
    <row r="3194" spans="2:22" x14ac:dyDescent="0.25">
      <c r="B3194" s="19" t="s">
        <v>4161</v>
      </c>
      <c r="C3194" s="16" t="s">
        <v>4154</v>
      </c>
      <c r="D3194" s="16" t="s">
        <v>29</v>
      </c>
      <c r="E3194" s="16"/>
      <c r="F3194" s="16"/>
      <c r="G3194" s="16" t="s">
        <v>35</v>
      </c>
      <c r="H3194" s="16"/>
      <c r="I3194" s="16"/>
      <c r="J3194" s="16"/>
      <c r="K3194" s="16"/>
      <c r="L3194" s="16"/>
      <c r="M3194" s="16"/>
      <c r="N3194" s="16"/>
      <c r="O3194" s="17" t="s">
        <v>38</v>
      </c>
      <c r="P3194" s="16"/>
      <c r="Q3194" s="16"/>
      <c r="R3194" s="16" t="s">
        <v>387</v>
      </c>
      <c r="S3194"/>
      <c r="T3194"/>
      <c r="U3194"/>
      <c r="V3194"/>
    </row>
    <row r="3195" spans="2:22" x14ac:dyDescent="0.25">
      <c r="B3195" s="19" t="s">
        <v>4162</v>
      </c>
      <c r="C3195" s="16" t="s">
        <v>4154</v>
      </c>
      <c r="D3195" s="16" t="s">
        <v>29</v>
      </c>
      <c r="E3195" s="16"/>
      <c r="F3195" s="16"/>
      <c r="G3195" s="16" t="s">
        <v>35</v>
      </c>
      <c r="H3195" s="16"/>
      <c r="I3195" s="16"/>
      <c r="J3195" s="16"/>
      <c r="K3195" s="16"/>
      <c r="L3195" s="16"/>
      <c r="M3195" s="16"/>
      <c r="N3195" s="16"/>
      <c r="O3195" s="17" t="s">
        <v>38</v>
      </c>
      <c r="P3195" s="16"/>
      <c r="Q3195" s="16"/>
      <c r="R3195" s="16" t="s">
        <v>387</v>
      </c>
      <c r="S3195"/>
      <c r="T3195"/>
      <c r="U3195"/>
      <c r="V3195"/>
    </row>
    <row r="3196" spans="2:22" x14ac:dyDescent="0.25">
      <c r="B3196" s="19" t="s">
        <v>4163</v>
      </c>
      <c r="C3196" s="16"/>
      <c r="D3196" s="16" t="s">
        <v>29</v>
      </c>
      <c r="E3196" s="16"/>
      <c r="F3196" s="5"/>
      <c r="G3196" s="16" t="s">
        <v>35</v>
      </c>
      <c r="H3196" s="16"/>
      <c r="I3196" s="16"/>
      <c r="J3196" s="16"/>
      <c r="K3196" s="16"/>
      <c r="L3196" s="16"/>
      <c r="M3196" s="16"/>
      <c r="N3196" s="16"/>
      <c r="O3196" s="17"/>
      <c r="P3196" s="5" t="str">
        <f t="shared" ref="P3196:P3259" si="80">IF(D3196="Datos","Truncate table "&amp; B3196&amp; ";","")</f>
        <v>Truncate table FSL120;</v>
      </c>
      <c r="Q3196" s="5"/>
      <c r="R3196" s="5"/>
    </row>
    <row r="3197" spans="2:22" x14ac:dyDescent="0.25">
      <c r="B3197" s="19" t="s">
        <v>4164</v>
      </c>
      <c r="C3197" s="16" t="s">
        <v>4165</v>
      </c>
      <c r="D3197" s="16" t="s">
        <v>8152</v>
      </c>
      <c r="E3197" s="16" t="s">
        <v>54</v>
      </c>
      <c r="F3197" s="5" t="s">
        <v>74</v>
      </c>
      <c r="G3197" s="16" t="s">
        <v>35</v>
      </c>
      <c r="H3197" s="16"/>
      <c r="I3197" s="16"/>
      <c r="J3197" s="16"/>
      <c r="K3197" s="16"/>
      <c r="L3197" s="16"/>
      <c r="M3197" s="223" t="s">
        <v>387</v>
      </c>
      <c r="N3197" s="16"/>
      <c r="O3197" s="17" t="s">
        <v>387</v>
      </c>
      <c r="P3197" s="5" t="str">
        <f t="shared" si="80"/>
        <v/>
      </c>
      <c r="Q3197" s="5"/>
      <c r="R3197" s="5"/>
    </row>
    <row r="3198" spans="2:22" x14ac:dyDescent="0.25">
      <c r="B3198" s="19" t="s">
        <v>4166</v>
      </c>
      <c r="C3198" s="16" t="s">
        <v>4167</v>
      </c>
      <c r="D3198" s="16" t="s">
        <v>8152</v>
      </c>
      <c r="E3198" s="16" t="s">
        <v>54</v>
      </c>
      <c r="F3198" s="5" t="s">
        <v>74</v>
      </c>
      <c r="G3198" s="16" t="s">
        <v>35</v>
      </c>
      <c r="H3198" s="16"/>
      <c r="I3198" s="16"/>
      <c r="J3198" s="16"/>
      <c r="K3198" s="16"/>
      <c r="L3198" s="16"/>
      <c r="M3198" s="223" t="s">
        <v>387</v>
      </c>
      <c r="N3198" s="16"/>
      <c r="O3198" s="17" t="s">
        <v>387</v>
      </c>
      <c r="P3198" s="5" t="str">
        <f t="shared" si="80"/>
        <v/>
      </c>
      <c r="Q3198" s="5"/>
      <c r="R3198" s="5"/>
    </row>
    <row r="3199" spans="2:22" x14ac:dyDescent="0.25">
      <c r="B3199" s="19" t="s">
        <v>4168</v>
      </c>
      <c r="C3199" s="16" t="s">
        <v>4169</v>
      </c>
      <c r="D3199" s="16" t="s">
        <v>8152</v>
      </c>
      <c r="E3199" s="16" t="s">
        <v>54</v>
      </c>
      <c r="F3199" s="5" t="s">
        <v>238</v>
      </c>
      <c r="G3199" s="16" t="s">
        <v>35</v>
      </c>
      <c r="H3199" s="16"/>
      <c r="I3199" s="16"/>
      <c r="J3199" s="16"/>
      <c r="K3199" s="16"/>
      <c r="L3199" s="16"/>
      <c r="M3199" s="223" t="s">
        <v>387</v>
      </c>
      <c r="N3199" s="16"/>
      <c r="O3199" s="17" t="s">
        <v>38</v>
      </c>
      <c r="P3199" s="5" t="str">
        <f t="shared" si="80"/>
        <v/>
      </c>
      <c r="Q3199" s="5"/>
      <c r="R3199" s="5"/>
    </row>
    <row r="3200" spans="2:22" x14ac:dyDescent="0.25">
      <c r="B3200" s="19" t="s">
        <v>4170</v>
      </c>
      <c r="C3200" s="16" t="s">
        <v>4171</v>
      </c>
      <c r="D3200" s="16" t="s">
        <v>8152</v>
      </c>
      <c r="E3200" s="16" t="s">
        <v>54</v>
      </c>
      <c r="F3200" s="5" t="s">
        <v>238</v>
      </c>
      <c r="G3200" s="16" t="s">
        <v>35</v>
      </c>
      <c r="H3200" s="16"/>
      <c r="I3200" s="16"/>
      <c r="J3200" s="16"/>
      <c r="K3200" s="16"/>
      <c r="L3200" s="16"/>
      <c r="M3200" s="223" t="s">
        <v>387</v>
      </c>
      <c r="N3200" s="16" t="s">
        <v>8580</v>
      </c>
      <c r="O3200" s="17" t="s">
        <v>38</v>
      </c>
      <c r="P3200" s="5" t="str">
        <f t="shared" si="80"/>
        <v/>
      </c>
      <c r="Q3200" s="5"/>
      <c r="R3200" s="5"/>
    </row>
    <row r="3201" spans="2:18" ht="27" x14ac:dyDescent="0.25">
      <c r="B3201" s="19" t="s">
        <v>4172</v>
      </c>
      <c r="C3201" s="16" t="s">
        <v>4173</v>
      </c>
      <c r="D3201" s="16" t="s">
        <v>8152</v>
      </c>
      <c r="E3201" s="16" t="s">
        <v>54</v>
      </c>
      <c r="F3201" s="5" t="s">
        <v>238</v>
      </c>
      <c r="G3201" s="16" t="s">
        <v>35</v>
      </c>
      <c r="H3201" s="16"/>
      <c r="I3201" s="16"/>
      <c r="J3201" s="16"/>
      <c r="K3201" s="16"/>
      <c r="L3201" s="16"/>
      <c r="M3201" s="223" t="s">
        <v>387</v>
      </c>
      <c r="N3201" s="16" t="s">
        <v>8581</v>
      </c>
      <c r="O3201" s="17" t="s">
        <v>38</v>
      </c>
      <c r="P3201" s="5" t="str">
        <f t="shared" si="80"/>
        <v/>
      </c>
      <c r="Q3201" s="5"/>
      <c r="R3201" s="5"/>
    </row>
    <row r="3202" spans="2:18" x14ac:dyDescent="0.25">
      <c r="B3202" s="19" t="s">
        <v>4174</v>
      </c>
      <c r="C3202" s="16" t="s">
        <v>4175</v>
      </c>
      <c r="D3202" s="16" t="s">
        <v>8152</v>
      </c>
      <c r="E3202" s="16" t="s">
        <v>151</v>
      </c>
      <c r="F3202" s="5" t="s">
        <v>238</v>
      </c>
      <c r="G3202" s="16" t="s">
        <v>35</v>
      </c>
      <c r="H3202" s="16"/>
      <c r="I3202" s="16"/>
      <c r="J3202" s="16"/>
      <c r="K3202" s="16"/>
      <c r="L3202" s="16"/>
      <c r="M3202" s="223" t="s">
        <v>387</v>
      </c>
      <c r="N3202" s="16"/>
      <c r="O3202" s="17" t="s">
        <v>38</v>
      </c>
      <c r="P3202" s="5" t="str">
        <f t="shared" si="80"/>
        <v/>
      </c>
      <c r="Q3202" s="5"/>
      <c r="R3202" s="5"/>
    </row>
    <row r="3203" spans="2:18" x14ac:dyDescent="0.25">
      <c r="B3203" s="19" t="s">
        <v>4176</v>
      </c>
      <c r="C3203" s="16" t="s">
        <v>4177</v>
      </c>
      <c r="D3203" s="16" t="s">
        <v>8152</v>
      </c>
      <c r="E3203" s="16"/>
      <c r="F3203" s="5" t="s">
        <v>238</v>
      </c>
      <c r="G3203" s="16" t="s">
        <v>35</v>
      </c>
      <c r="H3203" s="16"/>
      <c r="I3203" s="16"/>
      <c r="J3203" s="16"/>
      <c r="K3203" s="16"/>
      <c r="L3203" s="16"/>
      <c r="M3203" s="229"/>
      <c r="N3203" s="16"/>
      <c r="O3203" s="17"/>
      <c r="P3203" s="5" t="str">
        <f t="shared" si="80"/>
        <v/>
      </c>
      <c r="Q3203" s="5"/>
      <c r="R3203" s="5"/>
    </row>
    <row r="3204" spans="2:18" ht="27" x14ac:dyDescent="0.25">
      <c r="B3204" s="19" t="s">
        <v>4178</v>
      </c>
      <c r="C3204" s="16" t="s">
        <v>4179</v>
      </c>
      <c r="D3204" s="16" t="s">
        <v>8152</v>
      </c>
      <c r="E3204" s="16" t="s">
        <v>54</v>
      </c>
      <c r="F3204" s="5" t="s">
        <v>238</v>
      </c>
      <c r="G3204" s="16" t="s">
        <v>35</v>
      </c>
      <c r="H3204" s="16"/>
      <c r="I3204" s="16"/>
      <c r="J3204" s="16"/>
      <c r="K3204" s="16"/>
      <c r="L3204" s="16"/>
      <c r="M3204" s="223" t="s">
        <v>387</v>
      </c>
      <c r="N3204" s="16" t="s">
        <v>8582</v>
      </c>
      <c r="O3204" s="17" t="s">
        <v>38</v>
      </c>
      <c r="P3204" s="5" t="str">
        <f t="shared" si="80"/>
        <v/>
      </c>
      <c r="Q3204" s="5"/>
      <c r="R3204" s="5"/>
    </row>
    <row r="3205" spans="2:18" x14ac:dyDescent="0.25">
      <c r="B3205" s="19" t="s">
        <v>4180</v>
      </c>
      <c r="C3205" s="16" t="s">
        <v>4181</v>
      </c>
      <c r="D3205" s="16" t="s">
        <v>8152</v>
      </c>
      <c r="E3205" s="16" t="s">
        <v>54</v>
      </c>
      <c r="F3205" s="5" t="s">
        <v>2832</v>
      </c>
      <c r="G3205" s="16" t="s">
        <v>35</v>
      </c>
      <c r="H3205" s="16" t="s">
        <v>36</v>
      </c>
      <c r="I3205" s="16"/>
      <c r="J3205" s="16"/>
      <c r="K3205" s="16"/>
      <c r="L3205" s="16"/>
      <c r="M3205" s="16"/>
      <c r="N3205" s="16"/>
      <c r="O3205" s="17" t="s">
        <v>38</v>
      </c>
      <c r="P3205" s="5" t="str">
        <f t="shared" si="80"/>
        <v/>
      </c>
      <c r="Q3205" s="5"/>
      <c r="R3205" s="5"/>
    </row>
    <row r="3206" spans="2:18" x14ac:dyDescent="0.25">
      <c r="B3206" s="19" t="s">
        <v>4182</v>
      </c>
      <c r="C3206" s="16" t="s">
        <v>4183</v>
      </c>
      <c r="D3206" s="16" t="s">
        <v>8152</v>
      </c>
      <c r="E3206" s="16" t="s">
        <v>54</v>
      </c>
      <c r="F3206" s="5" t="s">
        <v>2657</v>
      </c>
      <c r="G3206" s="16" t="s">
        <v>35</v>
      </c>
      <c r="H3206" s="16" t="s">
        <v>36</v>
      </c>
      <c r="I3206" s="16"/>
      <c r="J3206" s="16"/>
      <c r="K3206" s="16"/>
      <c r="L3206" s="16"/>
      <c r="M3206" s="229"/>
      <c r="N3206" s="16"/>
      <c r="O3206" s="17" t="s">
        <v>38</v>
      </c>
      <c r="P3206" s="5" t="str">
        <f t="shared" si="80"/>
        <v/>
      </c>
      <c r="Q3206" s="5"/>
      <c r="R3206" s="5"/>
    </row>
    <row r="3207" spans="2:18" x14ac:dyDescent="0.25">
      <c r="B3207" s="19" t="s">
        <v>4184</v>
      </c>
      <c r="C3207" s="16" t="s">
        <v>8501</v>
      </c>
      <c r="D3207" s="16" t="s">
        <v>29</v>
      </c>
      <c r="E3207" s="16" t="s">
        <v>54</v>
      </c>
      <c r="F3207" s="5" t="s">
        <v>163</v>
      </c>
      <c r="G3207" s="16" t="s">
        <v>35</v>
      </c>
      <c r="H3207" s="16" t="s">
        <v>36</v>
      </c>
      <c r="I3207" s="16"/>
      <c r="J3207" s="16"/>
      <c r="K3207" s="16"/>
      <c r="L3207" s="16"/>
      <c r="M3207" s="16"/>
      <c r="N3207" s="16"/>
      <c r="O3207" s="17" t="s">
        <v>38</v>
      </c>
      <c r="P3207" s="5" t="str">
        <f t="shared" si="80"/>
        <v>Truncate table FSR001;</v>
      </c>
      <c r="Q3207" s="5"/>
      <c r="R3207" s="5"/>
    </row>
    <row r="3208" spans="2:18" x14ac:dyDescent="0.25">
      <c r="B3208" s="19" t="s">
        <v>4185</v>
      </c>
      <c r="C3208" s="16" t="s">
        <v>8500</v>
      </c>
      <c r="D3208" s="16" t="s">
        <v>29</v>
      </c>
      <c r="E3208" s="16" t="s">
        <v>54</v>
      </c>
      <c r="F3208" s="5" t="s">
        <v>163</v>
      </c>
      <c r="G3208" s="16" t="s">
        <v>35</v>
      </c>
      <c r="H3208" s="16" t="s">
        <v>36</v>
      </c>
      <c r="I3208" s="16"/>
      <c r="J3208" s="16"/>
      <c r="K3208" s="16"/>
      <c r="L3208" s="16"/>
      <c r="M3208" s="16"/>
      <c r="N3208" s="16"/>
      <c r="O3208" s="17" t="s">
        <v>38</v>
      </c>
      <c r="P3208" s="5" t="str">
        <f t="shared" si="80"/>
        <v>Truncate table FSR002;</v>
      </c>
      <c r="Q3208" s="5"/>
      <c r="R3208" s="5"/>
    </row>
    <row r="3209" spans="2:18" x14ac:dyDescent="0.25">
      <c r="B3209" s="19" t="s">
        <v>4186</v>
      </c>
      <c r="C3209" s="16" t="s">
        <v>4187</v>
      </c>
      <c r="D3209" s="16" t="s">
        <v>29</v>
      </c>
      <c r="E3209" s="16" t="s">
        <v>54</v>
      </c>
      <c r="F3209" s="5" t="s">
        <v>163</v>
      </c>
      <c r="G3209" s="16" t="s">
        <v>35</v>
      </c>
      <c r="H3209" s="16" t="s">
        <v>36</v>
      </c>
      <c r="I3209" s="16"/>
      <c r="J3209" s="16"/>
      <c r="K3209" s="16"/>
      <c r="L3209" s="16"/>
      <c r="M3209" s="16"/>
      <c r="N3209" s="16"/>
      <c r="O3209" s="17" t="s">
        <v>38</v>
      </c>
      <c r="P3209" s="5" t="str">
        <f t="shared" si="80"/>
        <v>Truncate table FSR003;</v>
      </c>
      <c r="Q3209" s="5"/>
      <c r="R3209" s="5"/>
    </row>
    <row r="3210" spans="2:18" x14ac:dyDescent="0.25">
      <c r="B3210" s="19" t="s">
        <v>4188</v>
      </c>
      <c r="C3210" s="16" t="s">
        <v>4189</v>
      </c>
      <c r="D3210" s="16" t="s">
        <v>29</v>
      </c>
      <c r="E3210" s="16" t="s">
        <v>54</v>
      </c>
      <c r="F3210" s="5" t="s">
        <v>163</v>
      </c>
      <c r="G3210" s="16" t="s">
        <v>35</v>
      </c>
      <c r="H3210" s="16" t="s">
        <v>36</v>
      </c>
      <c r="I3210" s="16"/>
      <c r="J3210" s="16"/>
      <c r="K3210" s="16"/>
      <c r="L3210" s="16"/>
      <c r="M3210" s="16"/>
      <c r="N3210" s="16"/>
      <c r="O3210" s="17" t="s">
        <v>38</v>
      </c>
      <c r="P3210" s="5" t="str">
        <f t="shared" si="80"/>
        <v>Truncate table FSR004;</v>
      </c>
      <c r="Q3210" s="5"/>
      <c r="R3210" s="5"/>
    </row>
    <row r="3211" spans="2:18" x14ac:dyDescent="0.25">
      <c r="B3211" s="19" t="s">
        <v>4190</v>
      </c>
      <c r="C3211" s="16" t="s">
        <v>4191</v>
      </c>
      <c r="D3211" s="16" t="s">
        <v>29</v>
      </c>
      <c r="E3211" s="16" t="s">
        <v>54</v>
      </c>
      <c r="F3211" s="5" t="s">
        <v>163</v>
      </c>
      <c r="G3211" s="16" t="s">
        <v>35</v>
      </c>
      <c r="H3211" s="16" t="s">
        <v>36</v>
      </c>
      <c r="I3211" s="16"/>
      <c r="J3211" s="16"/>
      <c r="K3211" s="16"/>
      <c r="L3211" s="16"/>
      <c r="M3211" s="16"/>
      <c r="N3211" s="16"/>
      <c r="O3211" s="17" t="s">
        <v>38</v>
      </c>
      <c r="P3211" s="5" t="str">
        <f t="shared" si="80"/>
        <v>Truncate table FSR005;</v>
      </c>
      <c r="Q3211" s="5"/>
      <c r="R3211" s="5"/>
    </row>
    <row r="3212" spans="2:18" x14ac:dyDescent="0.25">
      <c r="B3212" s="19" t="s">
        <v>4192</v>
      </c>
      <c r="C3212" s="16" t="s">
        <v>4193</v>
      </c>
      <c r="D3212" s="16" t="s">
        <v>29</v>
      </c>
      <c r="E3212" s="16" t="s">
        <v>54</v>
      </c>
      <c r="F3212" s="5" t="s">
        <v>163</v>
      </c>
      <c r="G3212" s="16" t="s">
        <v>35</v>
      </c>
      <c r="H3212" s="16" t="s">
        <v>36</v>
      </c>
      <c r="I3212" s="16"/>
      <c r="J3212" s="16"/>
      <c r="K3212" s="16"/>
      <c r="L3212" s="16"/>
      <c r="M3212" s="16"/>
      <c r="N3212" s="16"/>
      <c r="O3212" s="17" t="s">
        <v>38</v>
      </c>
      <c r="P3212" s="5" t="str">
        <f t="shared" si="80"/>
        <v>Truncate table FSR006;</v>
      </c>
      <c r="Q3212" s="5"/>
      <c r="R3212" s="5"/>
    </row>
    <row r="3213" spans="2:18" x14ac:dyDescent="0.25">
      <c r="B3213" s="19" t="s">
        <v>4194</v>
      </c>
      <c r="C3213" s="16" t="s">
        <v>8503</v>
      </c>
      <c r="D3213" s="16" t="s">
        <v>29</v>
      </c>
      <c r="E3213" s="16" t="s">
        <v>54</v>
      </c>
      <c r="F3213" s="5" t="s">
        <v>163</v>
      </c>
      <c r="G3213" s="16" t="s">
        <v>35</v>
      </c>
      <c r="H3213" s="16" t="s">
        <v>36</v>
      </c>
      <c r="I3213" s="16"/>
      <c r="J3213" s="16"/>
      <c r="K3213" s="16"/>
      <c r="L3213" s="16"/>
      <c r="M3213" s="16"/>
      <c r="N3213" s="16"/>
      <c r="O3213" s="17" t="s">
        <v>38</v>
      </c>
      <c r="P3213" s="5" t="str">
        <f t="shared" si="80"/>
        <v>Truncate table FSR008;</v>
      </c>
      <c r="Q3213" s="5"/>
      <c r="R3213" s="5"/>
    </row>
    <row r="3214" spans="2:18" x14ac:dyDescent="0.25">
      <c r="B3214" s="19" t="s">
        <v>4195</v>
      </c>
      <c r="C3214" s="16"/>
      <c r="D3214" s="16" t="s">
        <v>29</v>
      </c>
      <c r="E3214" s="16"/>
      <c r="F3214" s="5"/>
      <c r="G3214" s="16" t="s">
        <v>35</v>
      </c>
      <c r="H3214" s="16"/>
      <c r="I3214" s="16"/>
      <c r="J3214" s="16"/>
      <c r="K3214" s="16"/>
      <c r="L3214" s="16"/>
      <c r="M3214" s="16"/>
      <c r="N3214" s="16"/>
      <c r="O3214" s="17"/>
      <c r="P3214" s="5" t="str">
        <f t="shared" si="80"/>
        <v>Truncate table FSR009;</v>
      </c>
      <c r="Q3214" s="5"/>
      <c r="R3214" s="5"/>
    </row>
    <row r="3215" spans="2:18" x14ac:dyDescent="0.25">
      <c r="B3215" s="19" t="s">
        <v>4196</v>
      </c>
      <c r="C3215" s="16" t="s">
        <v>4197</v>
      </c>
      <c r="D3215" s="16" t="s">
        <v>29</v>
      </c>
      <c r="E3215" s="16" t="s">
        <v>54</v>
      </c>
      <c r="F3215" s="5" t="s">
        <v>2813</v>
      </c>
      <c r="G3215" s="16" t="s">
        <v>35</v>
      </c>
      <c r="H3215" s="16" t="s">
        <v>36</v>
      </c>
      <c r="I3215" s="16"/>
      <c r="J3215" s="16"/>
      <c r="K3215" s="16"/>
      <c r="L3215" s="16"/>
      <c r="M3215" s="16"/>
      <c r="N3215" s="16"/>
      <c r="O3215" s="17" t="s">
        <v>38</v>
      </c>
      <c r="P3215" s="5" t="str">
        <f t="shared" si="80"/>
        <v>Truncate table FSR011;</v>
      </c>
      <c r="Q3215" s="5"/>
      <c r="R3215" s="5"/>
    </row>
    <row r="3216" spans="2:18" x14ac:dyDescent="0.25">
      <c r="B3216" s="19" t="s">
        <v>4198</v>
      </c>
      <c r="C3216" s="16" t="s">
        <v>4199</v>
      </c>
      <c r="D3216" s="16" t="s">
        <v>29</v>
      </c>
      <c r="E3216" s="16" t="s">
        <v>54</v>
      </c>
      <c r="F3216" s="5" t="s">
        <v>2813</v>
      </c>
      <c r="G3216" s="16" t="s">
        <v>35</v>
      </c>
      <c r="H3216" s="16" t="s">
        <v>36</v>
      </c>
      <c r="I3216" s="16"/>
      <c r="J3216" s="16"/>
      <c r="K3216" s="16"/>
      <c r="L3216" s="16"/>
      <c r="M3216" s="16"/>
      <c r="N3216" s="16"/>
      <c r="O3216" s="17" t="s">
        <v>38</v>
      </c>
      <c r="P3216" s="5" t="str">
        <f t="shared" si="80"/>
        <v>Truncate table FSR012;</v>
      </c>
      <c r="Q3216" s="5"/>
      <c r="R3216" s="5"/>
    </row>
    <row r="3217" spans="2:18" x14ac:dyDescent="0.25">
      <c r="B3217" s="19" t="s">
        <v>4200</v>
      </c>
      <c r="C3217" s="16" t="s">
        <v>4201</v>
      </c>
      <c r="D3217" s="16" t="s">
        <v>29</v>
      </c>
      <c r="E3217" s="16" t="s">
        <v>54</v>
      </c>
      <c r="F3217" s="5" t="s">
        <v>2854</v>
      </c>
      <c r="G3217" s="16" t="s">
        <v>35</v>
      </c>
      <c r="H3217" s="16"/>
      <c r="I3217" s="16"/>
      <c r="J3217" s="16"/>
      <c r="K3217" s="16"/>
      <c r="L3217" s="16"/>
      <c r="M3217" s="229"/>
      <c r="N3217" s="16"/>
      <c r="O3217" s="17" t="s">
        <v>38</v>
      </c>
      <c r="P3217" s="5" t="str">
        <f t="shared" si="80"/>
        <v>Truncate table FSR013;</v>
      </c>
      <c r="Q3217" s="5"/>
      <c r="R3217" s="5"/>
    </row>
    <row r="3218" spans="2:18" x14ac:dyDescent="0.25">
      <c r="B3218" s="19" t="s">
        <v>4202</v>
      </c>
      <c r="C3218" s="16" t="s">
        <v>4203</v>
      </c>
      <c r="D3218" s="16" t="s">
        <v>8152</v>
      </c>
      <c r="E3218" s="16" t="s">
        <v>54</v>
      </c>
      <c r="F3218" s="5" t="s">
        <v>235</v>
      </c>
      <c r="G3218" s="16" t="s">
        <v>35</v>
      </c>
      <c r="H3218" s="16"/>
      <c r="I3218" s="16"/>
      <c r="J3218" s="16"/>
      <c r="K3218" s="16"/>
      <c r="L3218" s="16"/>
      <c r="M3218" s="229" t="s">
        <v>387</v>
      </c>
      <c r="N3218" s="16"/>
      <c r="O3218" s="17" t="s">
        <v>38</v>
      </c>
      <c r="P3218" s="5" t="str">
        <f t="shared" si="80"/>
        <v/>
      </c>
      <c r="Q3218" s="5"/>
      <c r="R3218" s="5"/>
    </row>
    <row r="3219" spans="2:18" x14ac:dyDescent="0.25">
      <c r="B3219" s="19" t="s">
        <v>4204</v>
      </c>
      <c r="C3219" s="16" t="s">
        <v>4205</v>
      </c>
      <c r="D3219" s="16" t="s">
        <v>29</v>
      </c>
      <c r="E3219" s="16" t="s">
        <v>151</v>
      </c>
      <c r="F3219" s="5"/>
      <c r="G3219" s="16" t="s">
        <v>35</v>
      </c>
      <c r="H3219" s="16"/>
      <c r="I3219" s="16"/>
      <c r="J3219" s="16"/>
      <c r="K3219" s="16"/>
      <c r="L3219" s="16"/>
      <c r="M3219" s="16"/>
      <c r="N3219" s="16"/>
      <c r="O3219" s="17" t="s">
        <v>38</v>
      </c>
      <c r="P3219" s="5" t="str">
        <f t="shared" si="80"/>
        <v>Truncate table FSR015;</v>
      </c>
      <c r="Q3219" s="5"/>
      <c r="R3219" s="5"/>
    </row>
    <row r="3220" spans="2:18" x14ac:dyDescent="0.25">
      <c r="B3220" s="19" t="s">
        <v>4206</v>
      </c>
      <c r="C3220" s="16" t="s">
        <v>4207</v>
      </c>
      <c r="D3220" s="16" t="s">
        <v>29</v>
      </c>
      <c r="E3220" s="16" t="s">
        <v>54</v>
      </c>
      <c r="F3220" s="5" t="s">
        <v>2932</v>
      </c>
      <c r="G3220" s="16" t="s">
        <v>35</v>
      </c>
      <c r="H3220" s="16" t="s">
        <v>36</v>
      </c>
      <c r="I3220" s="16"/>
      <c r="J3220" s="16"/>
      <c r="K3220" s="16"/>
      <c r="L3220" s="16"/>
      <c r="M3220" s="16"/>
      <c r="N3220" s="16"/>
      <c r="O3220" s="17" t="s">
        <v>38</v>
      </c>
      <c r="P3220" s="5" t="str">
        <f t="shared" si="80"/>
        <v>Truncate table FSR016;</v>
      </c>
      <c r="Q3220" s="5"/>
      <c r="R3220" s="5"/>
    </row>
    <row r="3221" spans="2:18" x14ac:dyDescent="0.25">
      <c r="B3221" s="19" t="s">
        <v>4208</v>
      </c>
      <c r="C3221" s="16" t="s">
        <v>4209</v>
      </c>
      <c r="D3221" s="16" t="s">
        <v>29</v>
      </c>
      <c r="E3221" s="16" t="s">
        <v>1096</v>
      </c>
      <c r="F3221" s="5" t="s">
        <v>184</v>
      </c>
      <c r="G3221" s="16" t="s">
        <v>35</v>
      </c>
      <c r="H3221" s="16" t="s">
        <v>36</v>
      </c>
      <c r="I3221" s="16"/>
      <c r="J3221" s="16"/>
      <c r="K3221" s="16"/>
      <c r="L3221" s="16"/>
      <c r="M3221" s="16"/>
      <c r="N3221" s="16"/>
      <c r="O3221" s="17" t="s">
        <v>38</v>
      </c>
      <c r="P3221" s="5" t="str">
        <f t="shared" si="80"/>
        <v>Truncate table FSR022;</v>
      </c>
      <c r="Q3221" s="5"/>
      <c r="R3221" s="5"/>
    </row>
    <row r="3222" spans="2:18" ht="27" x14ac:dyDescent="0.25">
      <c r="B3222" s="19" t="s">
        <v>4210</v>
      </c>
      <c r="C3222" s="16" t="s">
        <v>4211</v>
      </c>
      <c r="D3222" s="16" t="s">
        <v>8152</v>
      </c>
      <c r="E3222" s="16" t="s">
        <v>54</v>
      </c>
      <c r="F3222" s="5" t="s">
        <v>2832</v>
      </c>
      <c r="G3222" s="16" t="s">
        <v>35</v>
      </c>
      <c r="H3222" s="16" t="s">
        <v>36</v>
      </c>
      <c r="I3222" s="16"/>
      <c r="J3222" s="16"/>
      <c r="K3222" s="16"/>
      <c r="L3222" s="16"/>
      <c r="M3222" s="238" t="s">
        <v>8577</v>
      </c>
      <c r="N3222" s="16" t="s">
        <v>8647</v>
      </c>
      <c r="O3222" s="17" t="s">
        <v>38</v>
      </c>
      <c r="P3222" s="5" t="str">
        <f t="shared" si="80"/>
        <v/>
      </c>
      <c r="Q3222" s="5"/>
      <c r="R3222" s="5"/>
    </row>
    <row r="3223" spans="2:18" ht="27" x14ac:dyDescent="0.25">
      <c r="B3223" s="19" t="s">
        <v>4212</v>
      </c>
      <c r="C3223" s="16" t="s">
        <v>4213</v>
      </c>
      <c r="D3223" s="16" t="s">
        <v>8152</v>
      </c>
      <c r="E3223" s="16" t="s">
        <v>54</v>
      </c>
      <c r="F3223" s="5" t="s">
        <v>2832</v>
      </c>
      <c r="G3223" s="16" t="s">
        <v>35</v>
      </c>
      <c r="H3223" s="16" t="s">
        <v>36</v>
      </c>
      <c r="I3223" s="16"/>
      <c r="J3223" s="16"/>
      <c r="K3223" s="16"/>
      <c r="L3223" s="16"/>
      <c r="M3223" s="238" t="s">
        <v>8577</v>
      </c>
      <c r="N3223" s="16" t="s">
        <v>8648</v>
      </c>
      <c r="O3223" s="17" t="s">
        <v>38</v>
      </c>
      <c r="P3223" s="5" t="str">
        <f t="shared" si="80"/>
        <v/>
      </c>
      <c r="Q3223" s="5"/>
      <c r="R3223" s="5"/>
    </row>
    <row r="3224" spans="2:18" x14ac:dyDescent="0.25">
      <c r="B3224" s="19" t="s">
        <v>4214</v>
      </c>
      <c r="C3224" s="16" t="s">
        <v>4215</v>
      </c>
      <c r="D3224" s="16" t="s">
        <v>29</v>
      </c>
      <c r="E3224" s="16" t="s">
        <v>54</v>
      </c>
      <c r="F3224" s="5" t="s">
        <v>2832</v>
      </c>
      <c r="G3224" s="16" t="s">
        <v>35</v>
      </c>
      <c r="H3224" s="16" t="s">
        <v>36</v>
      </c>
      <c r="I3224" s="16"/>
      <c r="J3224" s="16"/>
      <c r="K3224" s="16"/>
      <c r="L3224" s="16"/>
      <c r="M3224" s="16"/>
      <c r="N3224" s="16"/>
      <c r="O3224" s="17" t="s">
        <v>38</v>
      </c>
      <c r="P3224" s="5" t="str">
        <f t="shared" si="80"/>
        <v>Truncate table FSR027;</v>
      </c>
      <c r="Q3224" s="5"/>
      <c r="R3224" s="5"/>
    </row>
    <row r="3225" spans="2:18" x14ac:dyDescent="0.25">
      <c r="B3225" s="19" t="s">
        <v>4216</v>
      </c>
      <c r="C3225" s="16"/>
      <c r="D3225" s="16" t="s">
        <v>29</v>
      </c>
      <c r="E3225" s="16"/>
      <c r="F3225" s="5"/>
      <c r="G3225" s="16" t="s">
        <v>35</v>
      </c>
      <c r="H3225" s="16"/>
      <c r="I3225" s="16"/>
      <c r="J3225" s="16"/>
      <c r="K3225" s="16"/>
      <c r="L3225" s="16"/>
      <c r="M3225" s="16"/>
      <c r="N3225" s="16"/>
      <c r="O3225" s="17"/>
      <c r="P3225" s="5" t="str">
        <f t="shared" si="80"/>
        <v>Truncate table FSR048;</v>
      </c>
      <c r="Q3225" s="5"/>
      <c r="R3225" s="5"/>
    </row>
    <row r="3226" spans="2:18" x14ac:dyDescent="0.25">
      <c r="B3226" s="19" t="s">
        <v>4217</v>
      </c>
      <c r="C3226" s="16"/>
      <c r="D3226" s="16" t="s">
        <v>29</v>
      </c>
      <c r="E3226" s="16"/>
      <c r="F3226" s="5"/>
      <c r="G3226" s="16" t="s">
        <v>35</v>
      </c>
      <c r="H3226" s="16"/>
      <c r="I3226" s="16"/>
      <c r="J3226" s="16"/>
      <c r="K3226" s="16"/>
      <c r="L3226" s="16"/>
      <c r="M3226" s="16"/>
      <c r="N3226" s="16"/>
      <c r="O3226" s="17"/>
      <c r="P3226" s="5" t="str">
        <f t="shared" si="80"/>
        <v>Truncate table FSR049;</v>
      </c>
      <c r="Q3226" s="5"/>
      <c r="R3226" s="5"/>
    </row>
    <row r="3227" spans="2:18" x14ac:dyDescent="0.25">
      <c r="B3227" s="19" t="s">
        <v>4218</v>
      </c>
      <c r="C3227" s="16" t="s">
        <v>2845</v>
      </c>
      <c r="D3227" s="16" t="s">
        <v>29</v>
      </c>
      <c r="E3227" s="16" t="s">
        <v>151</v>
      </c>
      <c r="F3227" s="5"/>
      <c r="G3227" s="16" t="s">
        <v>35</v>
      </c>
      <c r="H3227" s="16"/>
      <c r="I3227" s="16"/>
      <c r="J3227" s="16"/>
      <c r="K3227" s="16"/>
      <c r="L3227" s="16"/>
      <c r="M3227" s="16"/>
      <c r="N3227" s="16"/>
      <c r="O3227" s="17" t="s">
        <v>38</v>
      </c>
      <c r="P3227" s="5" t="str">
        <f t="shared" si="80"/>
        <v>Truncate table FSR053;</v>
      </c>
      <c r="Q3227" s="5"/>
      <c r="R3227" s="5"/>
    </row>
    <row r="3228" spans="2:18" x14ac:dyDescent="0.25">
      <c r="B3228" s="19" t="s">
        <v>4219</v>
      </c>
      <c r="C3228" s="16" t="s">
        <v>4220</v>
      </c>
      <c r="D3228" s="16" t="s">
        <v>29</v>
      </c>
      <c r="E3228" s="16" t="s">
        <v>151</v>
      </c>
      <c r="F3228" s="5"/>
      <c r="G3228" s="16" t="s">
        <v>35</v>
      </c>
      <c r="H3228" s="16"/>
      <c r="I3228" s="16"/>
      <c r="J3228" s="16"/>
      <c r="K3228" s="16"/>
      <c r="L3228" s="16"/>
      <c r="M3228" s="16"/>
      <c r="N3228" s="16"/>
      <c r="O3228" s="17" t="s">
        <v>38</v>
      </c>
      <c r="P3228" s="5" t="str">
        <f t="shared" si="80"/>
        <v>Truncate table FSR100;</v>
      </c>
      <c r="Q3228" s="5"/>
      <c r="R3228" s="5"/>
    </row>
    <row r="3229" spans="2:18" x14ac:dyDescent="0.25">
      <c r="B3229" s="15" t="s">
        <v>4221</v>
      </c>
      <c r="C3229" s="16" t="s">
        <v>4222</v>
      </c>
      <c r="D3229" s="16" t="s">
        <v>8152</v>
      </c>
      <c r="E3229" s="16" t="s">
        <v>54</v>
      </c>
      <c r="F3229" s="5" t="s">
        <v>557</v>
      </c>
      <c r="G3229" s="16" t="s">
        <v>35</v>
      </c>
      <c r="H3229" s="16"/>
      <c r="I3229" s="16"/>
      <c r="J3229" s="16"/>
      <c r="K3229" s="16"/>
      <c r="L3229" s="16"/>
      <c r="M3229" s="16"/>
      <c r="N3229" s="16" t="s">
        <v>558</v>
      </c>
      <c r="O3229" s="17" t="s">
        <v>387</v>
      </c>
      <c r="P3229" s="5" t="str">
        <f t="shared" si="80"/>
        <v/>
      </c>
      <c r="Q3229" s="5"/>
      <c r="R3229" s="5"/>
    </row>
    <row r="3230" spans="2:18" x14ac:dyDescent="0.25">
      <c r="B3230" s="19" t="s">
        <v>4223</v>
      </c>
      <c r="C3230" s="16" t="s">
        <v>4224</v>
      </c>
      <c r="D3230" s="16" t="s">
        <v>29</v>
      </c>
      <c r="E3230" s="16" t="s">
        <v>54</v>
      </c>
      <c r="F3230" s="5" t="s">
        <v>163</v>
      </c>
      <c r="G3230" s="16" t="s">
        <v>35</v>
      </c>
      <c r="H3230" s="16" t="s">
        <v>36</v>
      </c>
      <c r="I3230" s="16"/>
      <c r="J3230" s="16"/>
      <c r="K3230" s="16"/>
      <c r="L3230" s="16"/>
      <c r="M3230" s="16"/>
      <c r="N3230" s="16"/>
      <c r="O3230" s="17" t="s">
        <v>38</v>
      </c>
      <c r="P3230" s="5" t="str">
        <f t="shared" si="80"/>
        <v>Truncate table FSR108;</v>
      </c>
      <c r="Q3230" s="5"/>
      <c r="R3230" s="5"/>
    </row>
    <row r="3231" spans="2:18" x14ac:dyDescent="0.25">
      <c r="B3231" s="19" t="s">
        <v>4225</v>
      </c>
      <c r="C3231" s="16" t="s">
        <v>4226</v>
      </c>
      <c r="D3231" s="16" t="s">
        <v>29</v>
      </c>
      <c r="E3231" s="16" t="s">
        <v>54</v>
      </c>
      <c r="F3231" s="5" t="s">
        <v>2813</v>
      </c>
      <c r="G3231" s="16" t="s">
        <v>35</v>
      </c>
      <c r="H3231" s="16" t="s">
        <v>36</v>
      </c>
      <c r="I3231" s="16"/>
      <c r="J3231" s="16"/>
      <c r="K3231" s="16"/>
      <c r="L3231" s="16"/>
      <c r="M3231" s="16"/>
      <c r="N3231" s="16"/>
      <c r="O3231" s="17" t="s">
        <v>38</v>
      </c>
      <c r="P3231" s="5" t="str">
        <f t="shared" si="80"/>
        <v>Truncate table FSR111;</v>
      </c>
      <c r="Q3231" s="5"/>
      <c r="R3231" s="5"/>
    </row>
    <row r="3232" spans="2:18" x14ac:dyDescent="0.25">
      <c r="B3232" s="19" t="s">
        <v>4227</v>
      </c>
      <c r="C3232" s="16"/>
      <c r="D3232" s="16" t="s">
        <v>29</v>
      </c>
      <c r="E3232" s="16"/>
      <c r="F3232" s="5"/>
      <c r="G3232" s="16" t="s">
        <v>35</v>
      </c>
      <c r="H3232" s="16"/>
      <c r="I3232" s="16"/>
      <c r="J3232" s="16"/>
      <c r="K3232" s="16"/>
      <c r="L3232" s="16"/>
      <c r="M3232" s="16"/>
      <c r="N3232" s="16"/>
      <c r="O3232" s="17"/>
      <c r="P3232" s="5" t="str">
        <f t="shared" si="80"/>
        <v>Truncate table FSR118;</v>
      </c>
      <c r="Q3232" s="5"/>
      <c r="R3232" s="5"/>
    </row>
    <row r="3233" spans="2:18" x14ac:dyDescent="0.25">
      <c r="B3233" s="19" t="s">
        <v>4228</v>
      </c>
      <c r="C3233" s="16"/>
      <c r="D3233" s="16" t="s">
        <v>29</v>
      </c>
      <c r="E3233" s="16"/>
      <c r="F3233" s="5"/>
      <c r="G3233" s="16" t="s">
        <v>35</v>
      </c>
      <c r="H3233" s="16"/>
      <c r="I3233" s="16"/>
      <c r="J3233" s="16"/>
      <c r="K3233" s="16"/>
      <c r="L3233" s="16"/>
      <c r="M3233" s="16"/>
      <c r="N3233" s="16"/>
      <c r="O3233" s="17"/>
      <c r="P3233" s="5" t="str">
        <f t="shared" si="80"/>
        <v>Truncate table FSR121;</v>
      </c>
      <c r="Q3233" s="5"/>
      <c r="R3233" s="5"/>
    </row>
    <row r="3234" spans="2:18" ht="27" x14ac:dyDescent="0.25">
      <c r="B3234" s="19" t="s">
        <v>4229</v>
      </c>
      <c r="C3234" s="16" t="s">
        <v>4211</v>
      </c>
      <c r="D3234" s="16" t="s">
        <v>8152</v>
      </c>
      <c r="E3234" s="16" t="s">
        <v>54</v>
      </c>
      <c r="F3234" s="5" t="s">
        <v>2832</v>
      </c>
      <c r="G3234" s="16" t="s">
        <v>35</v>
      </c>
      <c r="H3234" s="16" t="s">
        <v>36</v>
      </c>
      <c r="I3234" s="16"/>
      <c r="J3234" s="16"/>
      <c r="K3234" s="16"/>
      <c r="L3234" s="16"/>
      <c r="M3234" s="16" t="s">
        <v>8577</v>
      </c>
      <c r="N3234" s="16" t="s">
        <v>8653</v>
      </c>
      <c r="O3234" s="17" t="s">
        <v>38</v>
      </c>
      <c r="P3234" s="5" t="str">
        <f t="shared" si="80"/>
        <v/>
      </c>
      <c r="Q3234" s="5"/>
      <c r="R3234" s="5"/>
    </row>
    <row r="3235" spans="2:18" x14ac:dyDescent="0.25">
      <c r="B3235" s="19" t="s">
        <v>4230</v>
      </c>
      <c r="C3235" s="16" t="s">
        <v>4231</v>
      </c>
      <c r="D3235" s="16" t="s">
        <v>29</v>
      </c>
      <c r="E3235" s="16" t="s">
        <v>54</v>
      </c>
      <c r="F3235" s="5" t="s">
        <v>163</v>
      </c>
      <c r="G3235" s="16" t="s">
        <v>35</v>
      </c>
      <c r="H3235" s="16" t="s">
        <v>36</v>
      </c>
      <c r="I3235" s="16"/>
      <c r="J3235" s="16"/>
      <c r="K3235" s="16"/>
      <c r="L3235" s="16"/>
      <c r="M3235" s="16"/>
      <c r="N3235" s="16"/>
      <c r="O3235" s="17" t="s">
        <v>38</v>
      </c>
      <c r="P3235" s="5" t="str">
        <f t="shared" si="80"/>
        <v>Truncate table FSR130;</v>
      </c>
      <c r="Q3235" s="5"/>
      <c r="R3235" s="5"/>
    </row>
    <row r="3236" spans="2:18" x14ac:dyDescent="0.25">
      <c r="B3236" s="19" t="s">
        <v>4232</v>
      </c>
      <c r="C3236" s="16" t="s">
        <v>4233</v>
      </c>
      <c r="D3236" s="16" t="s">
        <v>29</v>
      </c>
      <c r="E3236" s="16" t="s">
        <v>151</v>
      </c>
      <c r="F3236" s="5"/>
      <c r="G3236" s="16" t="s">
        <v>35</v>
      </c>
      <c r="H3236" s="16"/>
      <c r="I3236" s="16"/>
      <c r="J3236" s="16"/>
      <c r="K3236" s="16"/>
      <c r="L3236" s="16"/>
      <c r="M3236" s="16"/>
      <c r="N3236" s="16"/>
      <c r="O3236" s="17" t="s">
        <v>38</v>
      </c>
      <c r="P3236" s="5" t="str">
        <f t="shared" si="80"/>
        <v>Truncate table FSR137;</v>
      </c>
      <c r="Q3236" s="5"/>
      <c r="R3236" s="5"/>
    </row>
    <row r="3237" spans="2:18" x14ac:dyDescent="0.25">
      <c r="B3237" s="19" t="s">
        <v>4234</v>
      </c>
      <c r="C3237" s="16"/>
      <c r="D3237" s="16" t="s">
        <v>29</v>
      </c>
      <c r="E3237" s="16"/>
      <c r="F3237" s="5"/>
      <c r="G3237" s="16" t="s">
        <v>35</v>
      </c>
      <c r="H3237" s="16"/>
      <c r="I3237" s="16"/>
      <c r="J3237" s="16"/>
      <c r="K3237" s="16"/>
      <c r="L3237" s="16"/>
      <c r="M3237" s="16"/>
      <c r="N3237" s="16"/>
      <c r="O3237" s="17"/>
      <c r="P3237" s="5" t="str">
        <f t="shared" si="80"/>
        <v>Truncate table FSR160;</v>
      </c>
      <c r="Q3237" s="5"/>
      <c r="R3237" s="5"/>
    </row>
    <row r="3238" spans="2:18" x14ac:dyDescent="0.25">
      <c r="B3238" s="19" t="s">
        <v>4235</v>
      </c>
      <c r="C3238" s="16"/>
      <c r="D3238" s="16" t="s">
        <v>29</v>
      </c>
      <c r="E3238" s="16"/>
      <c r="F3238" s="5"/>
      <c r="G3238" s="16" t="s">
        <v>35</v>
      </c>
      <c r="H3238" s="16"/>
      <c r="I3238" s="16"/>
      <c r="J3238" s="16"/>
      <c r="K3238" s="16"/>
      <c r="L3238" s="16"/>
      <c r="M3238" s="16"/>
      <c r="N3238" s="16"/>
      <c r="O3238" s="17"/>
      <c r="P3238" s="5" t="str">
        <f t="shared" si="80"/>
        <v>Truncate table FSR161;</v>
      </c>
      <c r="Q3238" s="5"/>
      <c r="R3238" s="5"/>
    </row>
    <row r="3239" spans="2:18" x14ac:dyDescent="0.25">
      <c r="B3239" s="19" t="s">
        <v>4236</v>
      </c>
      <c r="C3239" s="16"/>
      <c r="D3239" s="16" t="s">
        <v>29</v>
      </c>
      <c r="E3239" s="16"/>
      <c r="F3239" s="5"/>
      <c r="G3239" s="16" t="s">
        <v>35</v>
      </c>
      <c r="H3239" s="16"/>
      <c r="I3239" s="16"/>
      <c r="J3239" s="16"/>
      <c r="K3239" s="16"/>
      <c r="L3239" s="16"/>
      <c r="M3239" s="16"/>
      <c r="N3239" s="16"/>
      <c r="O3239" s="17"/>
      <c r="P3239" s="5" t="str">
        <f t="shared" si="80"/>
        <v>Truncate table FSR162;</v>
      </c>
      <c r="Q3239" s="5"/>
      <c r="R3239" s="5"/>
    </row>
    <row r="3240" spans="2:18" x14ac:dyDescent="0.25">
      <c r="B3240" s="19" t="s">
        <v>4237</v>
      </c>
      <c r="C3240" s="16"/>
      <c r="D3240" s="16" t="s">
        <v>29</v>
      </c>
      <c r="E3240" s="16"/>
      <c r="F3240" s="5"/>
      <c r="G3240" s="16" t="s">
        <v>35</v>
      </c>
      <c r="H3240" s="16"/>
      <c r="I3240" s="16"/>
      <c r="J3240" s="16"/>
      <c r="K3240" s="16"/>
      <c r="L3240" s="16"/>
      <c r="M3240" s="16"/>
      <c r="N3240" s="16"/>
      <c r="O3240" s="17"/>
      <c r="P3240" s="5" t="str">
        <f t="shared" si="80"/>
        <v>Truncate table FSR163;</v>
      </c>
      <c r="Q3240" s="5"/>
      <c r="R3240" s="5"/>
    </row>
    <row r="3241" spans="2:18" x14ac:dyDescent="0.25">
      <c r="B3241" s="19" t="s">
        <v>4238</v>
      </c>
      <c r="C3241" s="16"/>
      <c r="D3241" s="16" t="s">
        <v>29</v>
      </c>
      <c r="E3241" s="16"/>
      <c r="F3241" s="5"/>
      <c r="G3241" s="16" t="s">
        <v>35</v>
      </c>
      <c r="H3241" s="16"/>
      <c r="I3241" s="16"/>
      <c r="J3241" s="16"/>
      <c r="K3241" s="16"/>
      <c r="L3241" s="16"/>
      <c r="M3241" s="16"/>
      <c r="N3241" s="16"/>
      <c r="O3241" s="17"/>
      <c r="P3241" s="5" t="str">
        <f t="shared" si="80"/>
        <v>Truncate table FSR167;</v>
      </c>
      <c r="Q3241" s="5"/>
      <c r="R3241" s="5"/>
    </row>
    <row r="3242" spans="2:18" x14ac:dyDescent="0.25">
      <c r="B3242" s="19" t="s">
        <v>4239</v>
      </c>
      <c r="C3242" s="16"/>
      <c r="D3242" s="16" t="s">
        <v>29</v>
      </c>
      <c r="E3242" s="16"/>
      <c r="F3242" s="5"/>
      <c r="G3242" s="16" t="s">
        <v>35</v>
      </c>
      <c r="H3242" s="16"/>
      <c r="I3242" s="16"/>
      <c r="J3242" s="16"/>
      <c r="K3242" s="16"/>
      <c r="L3242" s="16"/>
      <c r="M3242" s="16"/>
      <c r="N3242" s="16"/>
      <c r="O3242" s="17"/>
      <c r="P3242" s="5" t="str">
        <f t="shared" si="80"/>
        <v>Truncate table FSR170;</v>
      </c>
      <c r="Q3242" s="5"/>
      <c r="R3242" s="5"/>
    </row>
    <row r="3243" spans="2:18" x14ac:dyDescent="0.25">
      <c r="B3243" s="19" t="s">
        <v>4240</v>
      </c>
      <c r="C3243" s="16"/>
      <c r="D3243" s="16" t="s">
        <v>29</v>
      </c>
      <c r="E3243" s="16"/>
      <c r="F3243" s="5"/>
      <c r="G3243" s="16" t="s">
        <v>35</v>
      </c>
      <c r="H3243" s="16"/>
      <c r="I3243" s="16"/>
      <c r="J3243" s="16"/>
      <c r="K3243" s="16"/>
      <c r="L3243" s="16"/>
      <c r="M3243" s="16"/>
      <c r="N3243" s="16"/>
      <c r="O3243" s="17"/>
      <c r="P3243" s="5" t="str">
        <f t="shared" si="80"/>
        <v>Truncate table FSR171;</v>
      </c>
      <c r="Q3243" s="5"/>
      <c r="R3243" s="5"/>
    </row>
    <row r="3244" spans="2:18" x14ac:dyDescent="0.25">
      <c r="B3244" s="19" t="s">
        <v>4241</v>
      </c>
      <c r="C3244" s="16"/>
      <c r="D3244" s="16" t="s">
        <v>29</v>
      </c>
      <c r="E3244" s="16"/>
      <c r="F3244" s="5"/>
      <c r="G3244" s="16" t="s">
        <v>35</v>
      </c>
      <c r="H3244" s="16"/>
      <c r="I3244" s="16"/>
      <c r="J3244" s="16"/>
      <c r="K3244" s="16"/>
      <c r="L3244" s="16"/>
      <c r="M3244" s="16"/>
      <c r="N3244" s="16"/>
      <c r="O3244" s="17"/>
      <c r="P3244" s="5" t="str">
        <f t="shared" si="80"/>
        <v>Truncate table FSR172;</v>
      </c>
      <c r="Q3244" s="5"/>
      <c r="R3244" s="5"/>
    </row>
    <row r="3245" spans="2:18" x14ac:dyDescent="0.25">
      <c r="B3245" s="19" t="s">
        <v>4242</v>
      </c>
      <c r="C3245" s="16"/>
      <c r="D3245" s="16" t="s">
        <v>29</v>
      </c>
      <c r="E3245" s="16"/>
      <c r="F3245" s="5"/>
      <c r="G3245" s="16" t="s">
        <v>35</v>
      </c>
      <c r="H3245" s="16"/>
      <c r="I3245" s="16"/>
      <c r="J3245" s="16"/>
      <c r="K3245" s="16"/>
      <c r="L3245" s="16"/>
      <c r="M3245" s="16"/>
      <c r="N3245" s="16"/>
      <c r="O3245" s="17"/>
      <c r="P3245" s="5" t="str">
        <f t="shared" si="80"/>
        <v>Truncate table FSR180;</v>
      </c>
      <c r="Q3245" s="5"/>
      <c r="R3245" s="5"/>
    </row>
    <row r="3246" spans="2:18" x14ac:dyDescent="0.25">
      <c r="B3246" s="19" t="s">
        <v>4243</v>
      </c>
      <c r="C3246" s="16"/>
      <c r="D3246" s="16" t="s">
        <v>29</v>
      </c>
      <c r="E3246" s="16"/>
      <c r="F3246" s="5"/>
      <c r="G3246" s="16" t="s">
        <v>35</v>
      </c>
      <c r="H3246" s="16"/>
      <c r="I3246" s="16"/>
      <c r="J3246" s="16"/>
      <c r="K3246" s="16"/>
      <c r="L3246" s="16"/>
      <c r="M3246" s="16"/>
      <c r="N3246" s="16"/>
      <c r="O3246" s="17"/>
      <c r="P3246" s="5" t="str">
        <f t="shared" si="80"/>
        <v>Truncate table FSR207;</v>
      </c>
      <c r="Q3246" s="5"/>
      <c r="R3246" s="5"/>
    </row>
    <row r="3247" spans="2:18" x14ac:dyDescent="0.25">
      <c r="B3247" s="19" t="s">
        <v>4244</v>
      </c>
      <c r="C3247" s="16" t="s">
        <v>4245</v>
      </c>
      <c r="D3247" s="16" t="s">
        <v>29</v>
      </c>
      <c r="E3247" s="16" t="s">
        <v>54</v>
      </c>
      <c r="F3247" s="5" t="s">
        <v>163</v>
      </c>
      <c r="G3247" s="16" t="s">
        <v>35</v>
      </c>
      <c r="H3247" s="16"/>
      <c r="I3247" s="16"/>
      <c r="J3247" s="16"/>
      <c r="K3247" s="16"/>
      <c r="L3247" s="16"/>
      <c r="M3247" s="16"/>
      <c r="N3247" s="16"/>
      <c r="O3247" s="17" t="s">
        <v>38</v>
      </c>
      <c r="P3247" s="5" t="str">
        <f t="shared" si="80"/>
        <v>Truncate table FSR208;</v>
      </c>
      <c r="Q3247" s="5"/>
      <c r="R3247" s="5"/>
    </row>
    <row r="3248" spans="2:18" x14ac:dyDescent="0.25">
      <c r="B3248" s="19" t="s">
        <v>4246</v>
      </c>
      <c r="C3248" s="16"/>
      <c r="D3248" s="16" t="s">
        <v>29</v>
      </c>
      <c r="E3248" s="16"/>
      <c r="F3248" s="5"/>
      <c r="G3248" s="16" t="s">
        <v>35</v>
      </c>
      <c r="H3248" s="16"/>
      <c r="I3248" s="16"/>
      <c r="J3248" s="16"/>
      <c r="K3248" s="16"/>
      <c r="L3248" s="16"/>
      <c r="M3248" s="16"/>
      <c r="N3248" s="16"/>
      <c r="O3248" s="17"/>
      <c r="P3248" s="5" t="str">
        <f t="shared" si="80"/>
        <v>Truncate table FSR211;</v>
      </c>
      <c r="Q3248" s="5"/>
      <c r="R3248" s="5"/>
    </row>
    <row r="3249" spans="2:18" x14ac:dyDescent="0.25">
      <c r="B3249" s="19" t="s">
        <v>4247</v>
      </c>
      <c r="C3249" s="16" t="s">
        <v>4248</v>
      </c>
      <c r="D3249" s="16" t="s">
        <v>8152</v>
      </c>
      <c r="E3249" s="16" t="s">
        <v>54</v>
      </c>
      <c r="F3249" s="5" t="s">
        <v>919</v>
      </c>
      <c r="G3249" s="16" t="s">
        <v>35</v>
      </c>
      <c r="H3249" s="16" t="s">
        <v>36</v>
      </c>
      <c r="I3249" s="16"/>
      <c r="J3249" s="16"/>
      <c r="K3249" s="16"/>
      <c r="L3249" s="16"/>
      <c r="M3249" s="16"/>
      <c r="N3249" s="16"/>
      <c r="O3249" s="17" t="s">
        <v>38</v>
      </c>
      <c r="P3249" s="5" t="str">
        <f t="shared" si="80"/>
        <v/>
      </c>
      <c r="Q3249" s="5"/>
      <c r="R3249" s="5"/>
    </row>
    <row r="3250" spans="2:18" x14ac:dyDescent="0.25">
      <c r="B3250" s="19" t="s">
        <v>4249</v>
      </c>
      <c r="C3250" s="16" t="s">
        <v>4250</v>
      </c>
      <c r="D3250" s="16" t="s">
        <v>29</v>
      </c>
      <c r="E3250" s="16" t="s">
        <v>151</v>
      </c>
      <c r="F3250" s="5"/>
      <c r="G3250" s="16" t="s">
        <v>35</v>
      </c>
      <c r="H3250" s="16" t="s">
        <v>36</v>
      </c>
      <c r="I3250" s="16"/>
      <c r="J3250" s="16"/>
      <c r="K3250" s="16"/>
      <c r="L3250" s="16"/>
      <c r="M3250" s="16"/>
      <c r="N3250" s="16"/>
      <c r="O3250" s="17" t="s">
        <v>38</v>
      </c>
      <c r="P3250" s="5" t="str">
        <f t="shared" si="80"/>
        <v>Truncate table FSR215;</v>
      </c>
      <c r="Q3250" s="5"/>
      <c r="R3250" s="5"/>
    </row>
    <row r="3251" spans="2:18" x14ac:dyDescent="0.25">
      <c r="B3251" s="19" t="s">
        <v>4251</v>
      </c>
      <c r="C3251" s="16" t="s">
        <v>4252</v>
      </c>
      <c r="D3251" s="16" t="s">
        <v>8152</v>
      </c>
      <c r="E3251" s="16" t="s">
        <v>151</v>
      </c>
      <c r="F3251" s="5" t="s">
        <v>8213</v>
      </c>
      <c r="G3251" s="16" t="s">
        <v>35</v>
      </c>
      <c r="H3251" s="16" t="s">
        <v>36</v>
      </c>
      <c r="I3251" s="16"/>
      <c r="J3251" s="16"/>
      <c r="K3251" s="16"/>
      <c r="L3251" s="16"/>
      <c r="M3251" s="229"/>
      <c r="N3251" s="16"/>
      <c r="O3251" s="17" t="s">
        <v>38</v>
      </c>
      <c r="P3251" s="5" t="str">
        <f t="shared" si="80"/>
        <v/>
      </c>
      <c r="Q3251" s="5"/>
      <c r="R3251" s="5"/>
    </row>
    <row r="3252" spans="2:18" x14ac:dyDescent="0.25">
      <c r="B3252" s="19" t="s">
        <v>4253</v>
      </c>
      <c r="C3252" s="16" t="s">
        <v>2905</v>
      </c>
      <c r="D3252" s="16" t="s">
        <v>8152</v>
      </c>
      <c r="E3252" s="16" t="s">
        <v>54</v>
      </c>
      <c r="F3252" s="5" t="s">
        <v>2832</v>
      </c>
      <c r="G3252" s="16" t="s">
        <v>35</v>
      </c>
      <c r="H3252" s="16" t="s">
        <v>36</v>
      </c>
      <c r="I3252" s="16"/>
      <c r="J3252" s="16"/>
      <c r="K3252" s="16"/>
      <c r="L3252" s="16"/>
      <c r="M3252" s="16"/>
      <c r="N3252" s="16"/>
      <c r="O3252" s="17" t="s">
        <v>38</v>
      </c>
      <c r="P3252" s="5" t="str">
        <f t="shared" si="80"/>
        <v/>
      </c>
      <c r="Q3252" s="5"/>
      <c r="R3252" s="5"/>
    </row>
    <row r="3253" spans="2:18" x14ac:dyDescent="0.25">
      <c r="B3253" s="19" t="s">
        <v>4254</v>
      </c>
      <c r="C3253" s="16" t="s">
        <v>4255</v>
      </c>
      <c r="D3253" s="16" t="s">
        <v>29</v>
      </c>
      <c r="E3253" s="16" t="s">
        <v>54</v>
      </c>
      <c r="F3253" s="5" t="s">
        <v>2832</v>
      </c>
      <c r="G3253" s="16" t="s">
        <v>35</v>
      </c>
      <c r="H3253" s="16" t="s">
        <v>36</v>
      </c>
      <c r="I3253" s="16"/>
      <c r="J3253" s="16"/>
      <c r="K3253" s="16"/>
      <c r="L3253" s="16"/>
      <c r="M3253" s="16"/>
      <c r="N3253" s="16"/>
      <c r="O3253" s="17" t="s">
        <v>38</v>
      </c>
      <c r="P3253" s="5" t="str">
        <f t="shared" si="80"/>
        <v>Truncate table FSR227;</v>
      </c>
      <c r="Q3253" s="5"/>
      <c r="R3253" s="5"/>
    </row>
    <row r="3254" spans="2:18" x14ac:dyDescent="0.25">
      <c r="B3254" s="19" t="s">
        <v>4256</v>
      </c>
      <c r="C3254" s="16"/>
      <c r="D3254" s="16" t="s">
        <v>29</v>
      </c>
      <c r="E3254" s="16"/>
      <c r="F3254" s="5"/>
      <c r="G3254" s="16" t="s">
        <v>35</v>
      </c>
      <c r="H3254" s="16"/>
      <c r="I3254" s="16"/>
      <c r="J3254" s="16"/>
      <c r="K3254" s="16"/>
      <c r="L3254" s="16"/>
      <c r="M3254" s="16"/>
      <c r="N3254" s="16"/>
      <c r="O3254" s="17"/>
      <c r="P3254" s="5" t="str">
        <f t="shared" si="80"/>
        <v>Truncate table FSR230;</v>
      </c>
      <c r="Q3254" s="5"/>
      <c r="R3254" s="5"/>
    </row>
    <row r="3255" spans="2:18" ht="40.5" x14ac:dyDescent="0.25">
      <c r="B3255" s="4" t="s">
        <v>4257</v>
      </c>
      <c r="C3255" s="5" t="s">
        <v>4258</v>
      </c>
      <c r="D3255" s="5" t="s">
        <v>29</v>
      </c>
      <c r="E3255" s="5" t="s">
        <v>151</v>
      </c>
      <c r="F3255" s="5" t="s">
        <v>2407</v>
      </c>
      <c r="G3255" s="5" t="s">
        <v>35</v>
      </c>
      <c r="H3255" s="5" t="s">
        <v>36</v>
      </c>
      <c r="I3255" s="5" t="s">
        <v>4259</v>
      </c>
      <c r="J3255" s="21" t="s">
        <v>4260</v>
      </c>
      <c r="K3255" s="5" t="s">
        <v>4261</v>
      </c>
      <c r="L3255" s="246"/>
      <c r="M3255" s="6"/>
      <c r="N3255" s="5"/>
      <c r="O3255" s="7" t="s">
        <v>38</v>
      </c>
      <c r="P3255" s="5" t="str">
        <f t="shared" si="80"/>
        <v>Truncate table FSR311;</v>
      </c>
      <c r="Q3255" s="5"/>
      <c r="R3255" s="5"/>
    </row>
    <row r="3256" spans="2:18" x14ac:dyDescent="0.25">
      <c r="B3256" s="19" t="s">
        <v>4262</v>
      </c>
      <c r="C3256" s="16"/>
      <c r="D3256" s="16" t="s">
        <v>29</v>
      </c>
      <c r="E3256" s="16"/>
      <c r="F3256" s="5"/>
      <c r="G3256" s="16" t="s">
        <v>35</v>
      </c>
      <c r="H3256" s="16"/>
      <c r="I3256" s="16"/>
      <c r="J3256" s="16"/>
      <c r="K3256" s="16"/>
      <c r="L3256" s="16"/>
      <c r="M3256" s="16"/>
      <c r="N3256" s="16"/>
      <c r="O3256" s="17"/>
      <c r="P3256" s="5" t="str">
        <f t="shared" si="80"/>
        <v>Truncate table FSR351;</v>
      </c>
      <c r="Q3256" s="5"/>
      <c r="R3256" s="5"/>
    </row>
    <row r="3257" spans="2:18" x14ac:dyDescent="0.25">
      <c r="B3257" s="19" t="s">
        <v>9688</v>
      </c>
      <c r="C3257" s="16" t="s">
        <v>9689</v>
      </c>
      <c r="D3257" s="16" t="s">
        <v>29</v>
      </c>
      <c r="E3257" s="16" t="s">
        <v>8231</v>
      </c>
      <c r="F3257" s="5" t="s">
        <v>8368</v>
      </c>
      <c r="G3257" s="16" t="s">
        <v>35</v>
      </c>
      <c r="H3257" s="16" t="s">
        <v>36</v>
      </c>
      <c r="I3257" s="16"/>
      <c r="J3257" s="16"/>
      <c r="K3257" s="16"/>
      <c r="L3257" s="16"/>
      <c r="M3257" s="16"/>
      <c r="N3257" s="16"/>
      <c r="O3257" s="17"/>
      <c r="P3257" s="5" t="str">
        <f t="shared" si="80"/>
        <v>Truncate table FSR400;</v>
      </c>
      <c r="Q3257" s="5"/>
      <c r="R3257" s="5"/>
    </row>
    <row r="3258" spans="2:18" x14ac:dyDescent="0.25">
      <c r="B3258" s="19" t="s">
        <v>4263</v>
      </c>
      <c r="C3258" s="16" t="s">
        <v>4264</v>
      </c>
      <c r="D3258" s="16" t="s">
        <v>29</v>
      </c>
      <c r="E3258" s="16" t="s">
        <v>1096</v>
      </c>
      <c r="F3258" s="5" t="s">
        <v>184</v>
      </c>
      <c r="G3258" s="16" t="s">
        <v>35</v>
      </c>
      <c r="H3258" s="16"/>
      <c r="I3258" s="16"/>
      <c r="J3258" s="16"/>
      <c r="K3258" s="16"/>
      <c r="L3258" s="16"/>
      <c r="M3258" s="16"/>
      <c r="N3258" s="16"/>
      <c r="O3258" s="17" t="s">
        <v>38</v>
      </c>
      <c r="P3258" s="5" t="str">
        <f t="shared" si="80"/>
        <v>Truncate table FSR411;</v>
      </c>
      <c r="Q3258" s="5"/>
      <c r="R3258" s="5"/>
    </row>
    <row r="3259" spans="2:18" x14ac:dyDescent="0.25">
      <c r="B3259" s="19" t="s">
        <v>4265</v>
      </c>
      <c r="C3259" s="16" t="s">
        <v>4266</v>
      </c>
      <c r="D3259" s="16" t="s">
        <v>29</v>
      </c>
      <c r="E3259" s="16" t="s">
        <v>54</v>
      </c>
      <c r="F3259" s="5" t="s">
        <v>2832</v>
      </c>
      <c r="G3259" s="16" t="s">
        <v>35</v>
      </c>
      <c r="H3259" s="16" t="s">
        <v>36</v>
      </c>
      <c r="I3259" s="16"/>
      <c r="J3259" s="16"/>
      <c r="K3259" s="16"/>
      <c r="L3259" s="16"/>
      <c r="M3259" s="16"/>
      <c r="N3259" s="16"/>
      <c r="O3259" s="17" t="s">
        <v>38</v>
      </c>
      <c r="P3259" s="5" t="str">
        <f t="shared" si="80"/>
        <v>Truncate table FSR427;</v>
      </c>
      <c r="Q3259" s="5"/>
      <c r="R3259" s="5"/>
    </row>
    <row r="3260" spans="2:18" x14ac:dyDescent="0.25">
      <c r="B3260" s="19" t="s">
        <v>4267</v>
      </c>
      <c r="C3260" s="16" t="s">
        <v>2812</v>
      </c>
      <c r="D3260" s="16" t="s">
        <v>29</v>
      </c>
      <c r="E3260" s="16" t="s">
        <v>1096</v>
      </c>
      <c r="F3260" s="5" t="s">
        <v>184</v>
      </c>
      <c r="G3260" s="16" t="s">
        <v>35</v>
      </c>
      <c r="H3260" s="16"/>
      <c r="I3260" s="16"/>
      <c r="J3260" s="16"/>
      <c r="K3260" s="16"/>
      <c r="L3260" s="16"/>
      <c r="M3260" s="16"/>
      <c r="N3260" s="16"/>
      <c r="O3260" s="17" t="s">
        <v>38</v>
      </c>
      <c r="P3260" s="5" t="str">
        <f t="shared" ref="P3260:P3323" si="81">IF(D3260="Datos","Truncate table "&amp; B3260&amp; ";","")</f>
        <v>Truncate table FSR601;</v>
      </c>
      <c r="Q3260" s="5"/>
      <c r="R3260" s="5"/>
    </row>
    <row r="3261" spans="2:18" ht="90" x14ac:dyDescent="0.25">
      <c r="B3261" s="12" t="s">
        <v>4268</v>
      </c>
      <c r="C3261" s="4" t="s">
        <v>8172</v>
      </c>
      <c r="D3261" s="4" t="s">
        <v>29</v>
      </c>
      <c r="E3261" s="4" t="s">
        <v>151</v>
      </c>
      <c r="F3261" s="4" t="s">
        <v>2992</v>
      </c>
      <c r="G3261" s="4" t="s">
        <v>35</v>
      </c>
      <c r="H3261" s="4" t="s">
        <v>36</v>
      </c>
      <c r="I3261" s="79" t="s">
        <v>8173</v>
      </c>
      <c r="J3261" s="96" t="s">
        <v>8174</v>
      </c>
      <c r="K3261" s="4" t="s">
        <v>8175</v>
      </c>
      <c r="L3261" s="97" t="s">
        <v>8176</v>
      </c>
      <c r="M3261" s="97"/>
      <c r="N3261" s="4"/>
      <c r="O3261" s="77" t="s">
        <v>38</v>
      </c>
      <c r="P3261" s="4" t="str">
        <f t="shared" si="81"/>
        <v>Truncate table FSR851;</v>
      </c>
      <c r="Q3261" s="4"/>
      <c r="R3261" s="4"/>
    </row>
    <row r="3262" spans="2:18" x14ac:dyDescent="0.25">
      <c r="B3262" s="19" t="s">
        <v>4269</v>
      </c>
      <c r="C3262" s="16"/>
      <c r="D3262" s="16" t="s">
        <v>29</v>
      </c>
      <c r="E3262" s="16"/>
      <c r="F3262" s="5"/>
      <c r="G3262" s="16" t="s">
        <v>35</v>
      </c>
      <c r="H3262" s="16"/>
      <c r="I3262" s="16"/>
      <c r="J3262" s="16"/>
      <c r="K3262" s="16"/>
      <c r="L3262" s="16"/>
      <c r="M3262" s="16"/>
      <c r="N3262" s="16"/>
      <c r="O3262" s="17"/>
      <c r="P3262" s="5" t="str">
        <f t="shared" si="81"/>
        <v>Truncate table FSR955;</v>
      </c>
      <c r="Q3262" s="5"/>
      <c r="R3262" s="5"/>
    </row>
    <row r="3263" spans="2:18" x14ac:dyDescent="0.25">
      <c r="B3263" s="19" t="s">
        <v>4270</v>
      </c>
      <c r="C3263" s="39" t="s">
        <v>4271</v>
      </c>
      <c r="D3263" s="16" t="s">
        <v>8152</v>
      </c>
      <c r="E3263" s="16" t="s">
        <v>54</v>
      </c>
      <c r="F3263" s="5" t="s">
        <v>8241</v>
      </c>
      <c r="G3263" s="16" t="s">
        <v>35</v>
      </c>
      <c r="H3263" s="16" t="s">
        <v>36</v>
      </c>
      <c r="I3263" s="16"/>
      <c r="J3263" s="16"/>
      <c r="K3263" s="16"/>
      <c r="L3263" s="82"/>
      <c r="M3263" s="234" t="s">
        <v>387</v>
      </c>
      <c r="N3263" s="16" t="s">
        <v>8583</v>
      </c>
      <c r="O3263" s="17" t="s">
        <v>38</v>
      </c>
      <c r="P3263" s="5" t="str">
        <f t="shared" si="81"/>
        <v/>
      </c>
      <c r="Q3263" s="5"/>
      <c r="R3263" s="5"/>
    </row>
    <row r="3264" spans="2:18" x14ac:dyDescent="0.25">
      <c r="B3264" s="19" t="s">
        <v>4274</v>
      </c>
      <c r="C3264" s="16" t="s">
        <v>4275</v>
      </c>
      <c r="D3264" s="16" t="s">
        <v>8152</v>
      </c>
      <c r="E3264" s="16" t="s">
        <v>151</v>
      </c>
      <c r="F3264" s="5" t="s">
        <v>243</v>
      </c>
      <c r="G3264" s="16" t="s">
        <v>35</v>
      </c>
      <c r="H3264" s="16" t="s">
        <v>36</v>
      </c>
      <c r="I3264" s="16"/>
      <c r="J3264" s="16"/>
      <c r="K3264" s="16"/>
      <c r="L3264" s="82"/>
      <c r="M3264" s="234" t="s">
        <v>387</v>
      </c>
      <c r="N3264" s="16" t="s">
        <v>4273</v>
      </c>
      <c r="O3264" s="17" t="s">
        <v>38</v>
      </c>
      <c r="P3264" s="5" t="str">
        <f t="shared" si="81"/>
        <v/>
      </c>
      <c r="Q3264" s="5"/>
      <c r="R3264" s="5"/>
    </row>
    <row r="3265" spans="2:18" ht="123" customHeight="1" x14ac:dyDescent="0.25">
      <c r="B3265" s="19" t="s">
        <v>4276</v>
      </c>
      <c r="C3265" s="16" t="s">
        <v>4277</v>
      </c>
      <c r="D3265" s="16" t="s">
        <v>8152</v>
      </c>
      <c r="E3265" s="16" t="s">
        <v>54</v>
      </c>
      <c r="F3265" s="5" t="s">
        <v>4278</v>
      </c>
      <c r="G3265" s="16" t="s">
        <v>35</v>
      </c>
      <c r="H3265" s="16" t="s">
        <v>36</v>
      </c>
      <c r="I3265" s="16"/>
      <c r="J3265" s="16"/>
      <c r="K3265" s="16"/>
      <c r="L3265" s="20" t="s">
        <v>4279</v>
      </c>
      <c r="M3265" s="230"/>
      <c r="N3265" s="16"/>
      <c r="O3265" s="17" t="s">
        <v>38</v>
      </c>
      <c r="P3265" s="5" t="str">
        <f t="shared" si="81"/>
        <v/>
      </c>
      <c r="Q3265" s="5"/>
      <c r="R3265" s="5"/>
    </row>
    <row r="3266" spans="2:18" x14ac:dyDescent="0.25">
      <c r="B3266" s="19" t="s">
        <v>4280</v>
      </c>
      <c r="C3266" s="16" t="s">
        <v>4281</v>
      </c>
      <c r="D3266" s="16" t="s">
        <v>8152</v>
      </c>
      <c r="E3266" s="16" t="s">
        <v>54</v>
      </c>
      <c r="F3266" s="5" t="s">
        <v>4278</v>
      </c>
      <c r="G3266" s="16" t="s">
        <v>35</v>
      </c>
      <c r="H3266" s="16" t="s">
        <v>36</v>
      </c>
      <c r="I3266" s="16"/>
      <c r="J3266" s="16"/>
      <c r="K3266" s="16"/>
      <c r="L3266" s="16"/>
      <c r="M3266" s="229"/>
      <c r="N3266" s="16"/>
      <c r="O3266" s="17" t="s">
        <v>38</v>
      </c>
      <c r="P3266" s="5" t="str">
        <f t="shared" si="81"/>
        <v/>
      </c>
      <c r="Q3266" s="5"/>
      <c r="R3266" s="5"/>
    </row>
    <row r="3267" spans="2:18" x14ac:dyDescent="0.25">
      <c r="B3267" s="19" t="s">
        <v>4282</v>
      </c>
      <c r="C3267" s="16" t="s">
        <v>4283</v>
      </c>
      <c r="D3267" s="16" t="s">
        <v>8152</v>
      </c>
      <c r="E3267" s="16" t="s">
        <v>54</v>
      </c>
      <c r="F3267" s="5" t="s">
        <v>2832</v>
      </c>
      <c r="G3267" s="16" t="s">
        <v>35</v>
      </c>
      <c r="H3267" s="16" t="s">
        <v>36</v>
      </c>
      <c r="I3267" s="16"/>
      <c r="J3267" s="16"/>
      <c r="K3267" s="16"/>
      <c r="L3267" s="16"/>
      <c r="M3267" s="238" t="s">
        <v>387</v>
      </c>
      <c r="N3267" s="16"/>
      <c r="O3267" s="17" t="s">
        <v>38</v>
      </c>
      <c r="P3267" s="5" t="str">
        <f t="shared" si="81"/>
        <v/>
      </c>
      <c r="Q3267" s="5"/>
      <c r="R3267" s="5"/>
    </row>
    <row r="3268" spans="2:18" x14ac:dyDescent="0.25">
      <c r="B3268" s="19" t="s">
        <v>4284</v>
      </c>
      <c r="C3268" s="16" t="s">
        <v>4285</v>
      </c>
      <c r="D3268" s="16" t="s">
        <v>8152</v>
      </c>
      <c r="E3268" s="16" t="s">
        <v>54</v>
      </c>
      <c r="F3268" s="5" t="s">
        <v>4278</v>
      </c>
      <c r="G3268" s="16" t="s">
        <v>35</v>
      </c>
      <c r="H3268" s="16" t="s">
        <v>36</v>
      </c>
      <c r="I3268" s="16"/>
      <c r="J3268" s="16"/>
      <c r="K3268" s="16"/>
      <c r="L3268" s="16"/>
      <c r="M3268" s="238" t="s">
        <v>387</v>
      </c>
      <c r="N3268" s="16"/>
      <c r="O3268" s="17" t="s">
        <v>38</v>
      </c>
      <c r="P3268" s="5" t="str">
        <f t="shared" si="81"/>
        <v/>
      </c>
      <c r="Q3268" s="5"/>
      <c r="R3268" s="5"/>
    </row>
    <row r="3269" spans="2:18" x14ac:dyDescent="0.25">
      <c r="B3269" s="19" t="s">
        <v>4286</v>
      </c>
      <c r="C3269" s="16" t="s">
        <v>4287</v>
      </c>
      <c r="D3269" s="16" t="s">
        <v>8152</v>
      </c>
      <c r="E3269" s="16" t="s">
        <v>54</v>
      </c>
      <c r="F3269" s="5" t="s">
        <v>163</v>
      </c>
      <c r="G3269" s="16" t="s">
        <v>35</v>
      </c>
      <c r="H3269" s="16" t="s">
        <v>36</v>
      </c>
      <c r="I3269" s="16"/>
      <c r="J3269" s="16"/>
      <c r="K3269" s="16"/>
      <c r="L3269" s="16"/>
      <c r="M3269" s="229"/>
      <c r="N3269" s="16"/>
      <c r="O3269" s="17" t="s">
        <v>38</v>
      </c>
      <c r="P3269" s="5" t="str">
        <f t="shared" si="81"/>
        <v/>
      </c>
      <c r="Q3269" s="5"/>
      <c r="R3269" s="5"/>
    </row>
    <row r="3270" spans="2:18" x14ac:dyDescent="0.25">
      <c r="B3270" s="19" t="s">
        <v>4288</v>
      </c>
      <c r="C3270" s="16" t="s">
        <v>4289</v>
      </c>
      <c r="D3270" s="16" t="s">
        <v>8152</v>
      </c>
      <c r="E3270" s="16" t="s">
        <v>54</v>
      </c>
      <c r="F3270" s="5" t="s">
        <v>4278</v>
      </c>
      <c r="G3270" s="16" t="s">
        <v>35</v>
      </c>
      <c r="H3270" s="16" t="s">
        <v>36</v>
      </c>
      <c r="I3270" s="16"/>
      <c r="J3270" s="16"/>
      <c r="K3270" s="16"/>
      <c r="L3270" s="16"/>
      <c r="M3270" s="238" t="s">
        <v>387</v>
      </c>
      <c r="N3270" s="16"/>
      <c r="O3270" s="17" t="s">
        <v>38</v>
      </c>
      <c r="P3270" s="5" t="str">
        <f t="shared" si="81"/>
        <v/>
      </c>
      <c r="Q3270" s="5"/>
      <c r="R3270" s="5"/>
    </row>
    <row r="3271" spans="2:18" x14ac:dyDescent="0.25">
      <c r="B3271" s="19" t="s">
        <v>4290</v>
      </c>
      <c r="C3271" s="16" t="s">
        <v>4291</v>
      </c>
      <c r="D3271" s="16" t="s">
        <v>8152</v>
      </c>
      <c r="E3271" s="16" t="s">
        <v>54</v>
      </c>
      <c r="F3271" s="5" t="s">
        <v>163</v>
      </c>
      <c r="G3271" s="16" t="s">
        <v>35</v>
      </c>
      <c r="H3271" s="16" t="s">
        <v>36</v>
      </c>
      <c r="I3271" s="16"/>
      <c r="J3271" s="16"/>
      <c r="K3271" s="16"/>
      <c r="L3271" s="16"/>
      <c r="M3271" s="229"/>
      <c r="N3271" s="16"/>
      <c r="O3271" s="17" t="s">
        <v>38</v>
      </c>
      <c r="P3271" s="5" t="str">
        <f t="shared" si="81"/>
        <v/>
      </c>
      <c r="Q3271" s="5"/>
      <c r="R3271" s="5"/>
    </row>
    <row r="3272" spans="2:18" ht="54" x14ac:dyDescent="0.25">
      <c r="B3272" s="19" t="s">
        <v>4292</v>
      </c>
      <c r="C3272" s="21" t="s">
        <v>4293</v>
      </c>
      <c r="D3272" s="21" t="s">
        <v>8152</v>
      </c>
      <c r="E3272" s="21" t="s">
        <v>54</v>
      </c>
      <c r="F3272" s="4" t="s">
        <v>74</v>
      </c>
      <c r="G3272" s="21" t="s">
        <v>35</v>
      </c>
      <c r="H3272" s="21" t="s">
        <v>36</v>
      </c>
      <c r="I3272" s="21" t="s">
        <v>4294</v>
      </c>
      <c r="J3272" s="21" t="s">
        <v>4295</v>
      </c>
      <c r="K3272" s="29" t="s">
        <v>1068</v>
      </c>
      <c r="L3272" s="62" t="s">
        <v>4296</v>
      </c>
      <c r="M3272" s="231"/>
      <c r="N3272" s="21"/>
      <c r="O3272" s="17" t="s">
        <v>38</v>
      </c>
      <c r="P3272" s="5" t="str">
        <f t="shared" si="81"/>
        <v/>
      </c>
      <c r="Q3272" s="5"/>
      <c r="R3272" s="5"/>
    </row>
    <row r="3273" spans="2:18" x14ac:dyDescent="0.25">
      <c r="B3273" s="19" t="s">
        <v>4297</v>
      </c>
      <c r="C3273" s="16" t="s">
        <v>4298</v>
      </c>
      <c r="D3273" s="16" t="s">
        <v>8152</v>
      </c>
      <c r="E3273" s="16" t="s">
        <v>54</v>
      </c>
      <c r="F3273" s="5" t="s">
        <v>557</v>
      </c>
      <c r="G3273" s="16" t="s">
        <v>28</v>
      </c>
      <c r="H3273" s="16" t="s">
        <v>36</v>
      </c>
      <c r="I3273" s="16"/>
      <c r="J3273" s="16"/>
      <c r="K3273" s="16"/>
      <c r="L3273" s="16"/>
      <c r="M3273" s="16"/>
      <c r="N3273" s="16" t="s">
        <v>4299</v>
      </c>
      <c r="O3273" s="17" t="s">
        <v>38</v>
      </c>
      <c r="P3273" s="5" t="str">
        <f t="shared" si="81"/>
        <v/>
      </c>
      <c r="Q3273" s="5"/>
      <c r="R3273" s="5"/>
    </row>
    <row r="3274" spans="2:18" x14ac:dyDescent="0.25">
      <c r="B3274" s="19" t="s">
        <v>4300</v>
      </c>
      <c r="C3274" s="20" t="s">
        <v>4301</v>
      </c>
      <c r="D3274" s="16" t="s">
        <v>8152</v>
      </c>
      <c r="E3274" s="16"/>
      <c r="F3274" s="5"/>
      <c r="G3274" s="16" t="s">
        <v>35</v>
      </c>
      <c r="H3274" s="16"/>
      <c r="I3274" s="16"/>
      <c r="J3274" s="16"/>
      <c r="K3274" s="16"/>
      <c r="L3274" s="16"/>
      <c r="M3274" s="229"/>
      <c r="N3274" s="16"/>
      <c r="O3274" s="17" t="s">
        <v>38</v>
      </c>
      <c r="P3274" s="5" t="str">
        <f t="shared" si="81"/>
        <v/>
      </c>
      <c r="Q3274" s="5"/>
      <c r="R3274" s="5"/>
    </row>
    <row r="3275" spans="2:18" x14ac:dyDescent="0.25">
      <c r="B3275" s="19" t="s">
        <v>4302</v>
      </c>
      <c r="C3275" s="16" t="s">
        <v>4303</v>
      </c>
      <c r="D3275" s="16" t="s">
        <v>8152</v>
      </c>
      <c r="E3275" s="16" t="s">
        <v>54</v>
      </c>
      <c r="F3275" s="5" t="s">
        <v>2657</v>
      </c>
      <c r="G3275" s="16" t="s">
        <v>35</v>
      </c>
      <c r="H3275" s="16" t="s">
        <v>36</v>
      </c>
      <c r="I3275" s="16"/>
      <c r="J3275" s="16"/>
      <c r="K3275" s="16"/>
      <c r="L3275" s="16"/>
      <c r="M3275" s="238" t="s">
        <v>387</v>
      </c>
      <c r="N3275" s="16"/>
      <c r="O3275" s="17" t="s">
        <v>38</v>
      </c>
      <c r="P3275" s="5" t="str">
        <f t="shared" si="81"/>
        <v/>
      </c>
      <c r="Q3275" s="5"/>
      <c r="R3275" s="5"/>
    </row>
    <row r="3276" spans="2:18" ht="28.5" customHeight="1" x14ac:dyDescent="0.25">
      <c r="B3276" s="19" t="s">
        <v>4304</v>
      </c>
      <c r="C3276" s="16" t="s">
        <v>8504</v>
      </c>
      <c r="D3276" s="16" t="s">
        <v>8152</v>
      </c>
      <c r="E3276" s="16" t="s">
        <v>54</v>
      </c>
      <c r="F3276" s="5" t="s">
        <v>163</v>
      </c>
      <c r="G3276" s="16" t="s">
        <v>35</v>
      </c>
      <c r="H3276" s="16" t="s">
        <v>36</v>
      </c>
      <c r="I3276" s="16"/>
      <c r="J3276" s="16"/>
      <c r="K3276" s="16"/>
      <c r="L3276" s="16"/>
      <c r="M3276" s="238" t="s">
        <v>387</v>
      </c>
      <c r="N3276" s="16"/>
      <c r="O3276" s="17" t="s">
        <v>38</v>
      </c>
      <c r="P3276" s="5" t="str">
        <f t="shared" si="81"/>
        <v/>
      </c>
      <c r="Q3276" s="5"/>
      <c r="R3276" s="5"/>
    </row>
    <row r="3277" spans="2:18" x14ac:dyDescent="0.25">
      <c r="B3277" s="19" t="s">
        <v>4305</v>
      </c>
      <c r="C3277" s="16" t="s">
        <v>8511</v>
      </c>
      <c r="D3277" s="16" t="s">
        <v>8152</v>
      </c>
      <c r="E3277" s="16" t="s">
        <v>54</v>
      </c>
      <c r="F3277" s="5" t="s">
        <v>163</v>
      </c>
      <c r="G3277" s="16" t="s">
        <v>35</v>
      </c>
      <c r="H3277" s="16" t="s">
        <v>36</v>
      </c>
      <c r="I3277" s="16"/>
      <c r="J3277" s="16"/>
      <c r="K3277" s="16"/>
      <c r="L3277" s="16"/>
      <c r="M3277" s="229"/>
      <c r="N3277" s="16"/>
      <c r="O3277" s="17" t="s">
        <v>38</v>
      </c>
      <c r="P3277" s="5" t="str">
        <f t="shared" si="81"/>
        <v/>
      </c>
      <c r="Q3277" s="5"/>
      <c r="R3277" s="5"/>
    </row>
    <row r="3278" spans="2:18" x14ac:dyDescent="0.25">
      <c r="B3278" s="19" t="s">
        <v>4306</v>
      </c>
      <c r="C3278" s="20" t="s">
        <v>4307</v>
      </c>
      <c r="D3278" s="16" t="s">
        <v>8152</v>
      </c>
      <c r="E3278" s="16"/>
      <c r="F3278" s="5"/>
      <c r="G3278" s="16" t="s">
        <v>35</v>
      </c>
      <c r="H3278" s="16"/>
      <c r="I3278" s="16"/>
      <c r="J3278" s="16"/>
      <c r="K3278" s="16"/>
      <c r="L3278" s="16"/>
      <c r="M3278" s="229"/>
      <c r="N3278" s="16"/>
      <c r="O3278" s="17" t="s">
        <v>38</v>
      </c>
      <c r="P3278" s="5" t="str">
        <f t="shared" si="81"/>
        <v/>
      </c>
      <c r="Q3278" s="5"/>
      <c r="R3278" s="5"/>
    </row>
    <row r="3279" spans="2:18" x14ac:dyDescent="0.25">
      <c r="B3279" s="19" t="s">
        <v>4308</v>
      </c>
      <c r="C3279" s="16" t="s">
        <v>4309</v>
      </c>
      <c r="D3279" s="16" t="s">
        <v>8152</v>
      </c>
      <c r="E3279" s="16" t="s">
        <v>54</v>
      </c>
      <c r="F3279" s="5" t="s">
        <v>2657</v>
      </c>
      <c r="G3279" s="16" t="s">
        <v>35</v>
      </c>
      <c r="H3279" s="16" t="s">
        <v>36</v>
      </c>
      <c r="I3279" s="16"/>
      <c r="J3279" s="16"/>
      <c r="K3279" s="16"/>
      <c r="L3279" s="16"/>
      <c r="M3279" s="238" t="s">
        <v>387</v>
      </c>
      <c r="N3279" s="16"/>
      <c r="O3279" s="17" t="s">
        <v>38</v>
      </c>
      <c r="P3279" s="5" t="str">
        <f t="shared" si="81"/>
        <v/>
      </c>
      <c r="Q3279" s="5"/>
      <c r="R3279" s="5"/>
    </row>
    <row r="3280" spans="2:18" x14ac:dyDescent="0.25">
      <c r="B3280" s="19" t="s">
        <v>4310</v>
      </c>
      <c r="C3280" s="16" t="s">
        <v>4311</v>
      </c>
      <c r="D3280" s="16" t="s">
        <v>8152</v>
      </c>
      <c r="E3280" s="16" t="s">
        <v>54</v>
      </c>
      <c r="F3280" s="5" t="s">
        <v>163</v>
      </c>
      <c r="G3280" s="16" t="s">
        <v>35</v>
      </c>
      <c r="H3280" s="16" t="s">
        <v>36</v>
      </c>
      <c r="I3280" s="16"/>
      <c r="J3280" s="16"/>
      <c r="K3280" s="16"/>
      <c r="L3280" s="16"/>
      <c r="M3280" s="238" t="s">
        <v>387</v>
      </c>
      <c r="N3280" s="16"/>
      <c r="O3280" s="17" t="s">
        <v>38</v>
      </c>
      <c r="P3280" s="5" t="str">
        <f t="shared" si="81"/>
        <v/>
      </c>
      <c r="Q3280" s="5"/>
      <c r="R3280" s="5"/>
    </row>
    <row r="3281" spans="2:18" x14ac:dyDescent="0.25">
      <c r="B3281" s="19" t="s">
        <v>4312</v>
      </c>
      <c r="C3281" s="16" t="s">
        <v>4313</v>
      </c>
      <c r="D3281" s="16" t="s">
        <v>8152</v>
      </c>
      <c r="E3281" s="16" t="s">
        <v>54</v>
      </c>
      <c r="F3281" s="5" t="s">
        <v>557</v>
      </c>
      <c r="G3281" s="16" t="s">
        <v>28</v>
      </c>
      <c r="H3281" s="16" t="s">
        <v>36</v>
      </c>
      <c r="I3281" s="16"/>
      <c r="J3281" s="16"/>
      <c r="K3281" s="16"/>
      <c r="L3281" s="16"/>
      <c r="M3281" s="16"/>
      <c r="N3281" s="16" t="s">
        <v>4299</v>
      </c>
      <c r="O3281" s="17" t="s">
        <v>38</v>
      </c>
      <c r="P3281" s="5" t="str">
        <f t="shared" si="81"/>
        <v/>
      </c>
      <c r="Q3281" s="5"/>
      <c r="R3281" s="5"/>
    </row>
    <row r="3282" spans="2:18" x14ac:dyDescent="0.25">
      <c r="B3282" s="19" t="s">
        <v>4314</v>
      </c>
      <c r="C3282" s="16"/>
      <c r="D3282" s="16" t="s">
        <v>29</v>
      </c>
      <c r="E3282" s="16"/>
      <c r="F3282" s="5"/>
      <c r="G3282" s="16" t="s">
        <v>35</v>
      </c>
      <c r="H3282" s="16"/>
      <c r="I3282" s="16"/>
      <c r="J3282" s="16"/>
      <c r="K3282" s="16"/>
      <c r="L3282" s="16"/>
      <c r="M3282" s="16"/>
      <c r="N3282" s="16"/>
      <c r="O3282" s="17" t="s">
        <v>38</v>
      </c>
      <c r="P3282" s="5" t="str">
        <f t="shared" si="81"/>
        <v>Truncate table FST01E;</v>
      </c>
      <c r="Q3282" s="5"/>
      <c r="R3282" s="5"/>
    </row>
    <row r="3283" spans="2:18" x14ac:dyDescent="0.25">
      <c r="B3283" s="19" t="s">
        <v>4315</v>
      </c>
      <c r="C3283" s="16" t="s">
        <v>4316</v>
      </c>
      <c r="D3283" s="16" t="s">
        <v>8152</v>
      </c>
      <c r="E3283" s="16" t="s">
        <v>54</v>
      </c>
      <c r="F3283" s="5" t="s">
        <v>163</v>
      </c>
      <c r="G3283" s="16" t="s">
        <v>35</v>
      </c>
      <c r="H3283" s="16" t="s">
        <v>36</v>
      </c>
      <c r="I3283" s="16"/>
      <c r="J3283" s="16"/>
      <c r="K3283" s="16"/>
      <c r="L3283" s="16"/>
      <c r="M3283" s="229"/>
      <c r="N3283" s="16"/>
      <c r="O3283" s="17" t="s">
        <v>38</v>
      </c>
      <c r="P3283" s="5" t="str">
        <f t="shared" si="81"/>
        <v/>
      </c>
      <c r="Q3283" s="5"/>
      <c r="R3283" s="5"/>
    </row>
    <row r="3284" spans="2:18" x14ac:dyDescent="0.25">
      <c r="B3284" s="19" t="s">
        <v>4317</v>
      </c>
      <c r="C3284" s="16" t="s">
        <v>8510</v>
      </c>
      <c r="D3284" s="16" t="s">
        <v>8152</v>
      </c>
      <c r="E3284" s="16" t="s">
        <v>54</v>
      </c>
      <c r="F3284" s="5" t="s">
        <v>163</v>
      </c>
      <c r="G3284" s="16" t="s">
        <v>35</v>
      </c>
      <c r="H3284" s="16" t="s">
        <v>36</v>
      </c>
      <c r="I3284" s="16"/>
      <c r="J3284" s="16"/>
      <c r="K3284" s="16"/>
      <c r="L3284" s="16"/>
      <c r="M3284" s="238" t="s">
        <v>387</v>
      </c>
      <c r="N3284" s="16"/>
      <c r="O3284" s="17" t="s">
        <v>38</v>
      </c>
      <c r="P3284" s="5" t="str">
        <f t="shared" si="81"/>
        <v/>
      </c>
      <c r="Q3284" s="5"/>
      <c r="R3284" s="5"/>
    </row>
    <row r="3285" spans="2:18" x14ac:dyDescent="0.25">
      <c r="B3285" s="19" t="s">
        <v>4318</v>
      </c>
      <c r="C3285" s="16" t="s">
        <v>4319</v>
      </c>
      <c r="D3285" s="16" t="s">
        <v>8152</v>
      </c>
      <c r="E3285" s="16" t="s">
        <v>54</v>
      </c>
      <c r="F3285" s="5" t="s">
        <v>163</v>
      </c>
      <c r="G3285" s="16" t="s">
        <v>35</v>
      </c>
      <c r="H3285" s="16" t="s">
        <v>36</v>
      </c>
      <c r="I3285" s="16"/>
      <c r="J3285" s="16"/>
      <c r="K3285" s="16"/>
      <c r="L3285" s="16"/>
      <c r="M3285" s="229"/>
      <c r="N3285" s="16"/>
      <c r="O3285" s="17" t="s">
        <v>38</v>
      </c>
      <c r="P3285" s="5" t="str">
        <f t="shared" si="81"/>
        <v/>
      </c>
      <c r="Q3285" s="5"/>
      <c r="R3285" s="5"/>
    </row>
    <row r="3286" spans="2:18" ht="54" x14ac:dyDescent="0.25">
      <c r="B3286" s="19" t="s">
        <v>4320</v>
      </c>
      <c r="C3286" s="16" t="s">
        <v>4321</v>
      </c>
      <c r="D3286" s="16" t="s">
        <v>8152</v>
      </c>
      <c r="E3286" s="16" t="s">
        <v>54</v>
      </c>
      <c r="F3286" s="5" t="s">
        <v>2832</v>
      </c>
      <c r="G3286" s="16" t="s">
        <v>35</v>
      </c>
      <c r="H3286" s="16" t="s">
        <v>36</v>
      </c>
      <c r="I3286" s="16"/>
      <c r="J3286" s="16"/>
      <c r="K3286" s="16"/>
      <c r="L3286" s="20" t="s">
        <v>4279</v>
      </c>
      <c r="M3286" s="20"/>
      <c r="N3286" s="16"/>
      <c r="O3286" s="17" t="s">
        <v>38</v>
      </c>
      <c r="P3286" s="5" t="str">
        <f t="shared" si="81"/>
        <v/>
      </c>
      <c r="Q3286" s="5"/>
      <c r="R3286" s="5"/>
    </row>
    <row r="3287" spans="2:18" ht="37.5" customHeight="1" x14ac:dyDescent="0.25">
      <c r="B3287" s="19" t="s">
        <v>4322</v>
      </c>
      <c r="C3287" s="16" t="s">
        <v>4323</v>
      </c>
      <c r="D3287" s="16" t="s">
        <v>8152</v>
      </c>
      <c r="E3287" s="16" t="s">
        <v>54</v>
      </c>
      <c r="F3287" s="5" t="s">
        <v>4278</v>
      </c>
      <c r="G3287" s="16" t="s">
        <v>35</v>
      </c>
      <c r="H3287" s="16" t="s">
        <v>36</v>
      </c>
      <c r="I3287" s="16"/>
      <c r="J3287" s="16"/>
      <c r="K3287" s="16"/>
      <c r="L3287" s="20" t="s">
        <v>4279</v>
      </c>
      <c r="M3287" s="230"/>
      <c r="N3287" s="16"/>
      <c r="O3287" s="17" t="s">
        <v>38</v>
      </c>
      <c r="P3287" s="5" t="str">
        <f t="shared" si="81"/>
        <v/>
      </c>
      <c r="Q3287" s="5"/>
      <c r="R3287" s="5"/>
    </row>
    <row r="3288" spans="2:18" x14ac:dyDescent="0.25">
      <c r="B3288" s="19" t="s">
        <v>4324</v>
      </c>
      <c r="C3288" s="16" t="s">
        <v>4325</v>
      </c>
      <c r="D3288" s="16" t="s">
        <v>8152</v>
      </c>
      <c r="E3288" s="16" t="s">
        <v>54</v>
      </c>
      <c r="F3288" s="5" t="s">
        <v>4278</v>
      </c>
      <c r="G3288" s="16" t="s">
        <v>35</v>
      </c>
      <c r="H3288" s="16" t="s">
        <v>36</v>
      </c>
      <c r="I3288" s="16"/>
      <c r="J3288" s="16"/>
      <c r="K3288" s="16"/>
      <c r="L3288" s="16"/>
      <c r="M3288" s="229"/>
      <c r="N3288" s="16"/>
      <c r="O3288" s="17" t="s">
        <v>38</v>
      </c>
      <c r="P3288" s="5" t="str">
        <f t="shared" si="81"/>
        <v/>
      </c>
      <c r="Q3288" s="5"/>
      <c r="R3288" s="5"/>
    </row>
    <row r="3289" spans="2:18" ht="39.75" customHeight="1" x14ac:dyDescent="0.25">
      <c r="B3289" s="19" t="s">
        <v>4326</v>
      </c>
      <c r="C3289" s="16" t="s">
        <v>4327</v>
      </c>
      <c r="D3289" s="16" t="s">
        <v>8152</v>
      </c>
      <c r="E3289" s="16" t="s">
        <v>54</v>
      </c>
      <c r="F3289" s="5" t="s">
        <v>4278</v>
      </c>
      <c r="G3289" s="16" t="s">
        <v>35</v>
      </c>
      <c r="H3289" s="16" t="s">
        <v>36</v>
      </c>
      <c r="I3289" s="16"/>
      <c r="J3289" s="16"/>
      <c r="K3289" s="16"/>
      <c r="L3289" s="20" t="s">
        <v>4279</v>
      </c>
      <c r="M3289" s="230"/>
      <c r="N3289" s="16"/>
      <c r="O3289" s="17" t="s">
        <v>38</v>
      </c>
      <c r="P3289" s="5" t="str">
        <f t="shared" si="81"/>
        <v/>
      </c>
      <c r="Q3289" s="5"/>
      <c r="R3289" s="5"/>
    </row>
    <row r="3290" spans="2:18" x14ac:dyDescent="0.25">
      <c r="B3290" s="19" t="s">
        <v>4328</v>
      </c>
      <c r="C3290" s="16" t="s">
        <v>4329</v>
      </c>
      <c r="D3290" s="16" t="s">
        <v>8152</v>
      </c>
      <c r="E3290" s="16" t="s">
        <v>54</v>
      </c>
      <c r="F3290" s="5" t="s">
        <v>4272</v>
      </c>
      <c r="G3290" s="16" t="s">
        <v>35</v>
      </c>
      <c r="H3290" s="16" t="s">
        <v>36</v>
      </c>
      <c r="I3290" s="16"/>
      <c r="J3290" s="16"/>
      <c r="K3290" s="16"/>
      <c r="L3290" s="16"/>
      <c r="M3290" s="229"/>
      <c r="N3290" s="16"/>
      <c r="O3290" s="17" t="s">
        <v>38</v>
      </c>
      <c r="P3290" s="5" t="str">
        <f t="shared" si="81"/>
        <v/>
      </c>
      <c r="Q3290" s="5"/>
      <c r="R3290" s="5"/>
    </row>
    <row r="3291" spans="2:18" x14ac:dyDescent="0.25">
      <c r="B3291" s="19" t="s">
        <v>4330</v>
      </c>
      <c r="C3291" s="16" t="s">
        <v>4331</v>
      </c>
      <c r="D3291" s="16" t="s">
        <v>8152</v>
      </c>
      <c r="E3291" s="16" t="s">
        <v>54</v>
      </c>
      <c r="F3291" s="5" t="s">
        <v>2832</v>
      </c>
      <c r="G3291" s="16" t="s">
        <v>35</v>
      </c>
      <c r="H3291" s="16" t="s">
        <v>36</v>
      </c>
      <c r="I3291" s="16"/>
      <c r="J3291" s="16"/>
      <c r="K3291" s="16"/>
      <c r="L3291" s="16"/>
      <c r="M3291" s="16"/>
      <c r="N3291" s="16"/>
      <c r="O3291" s="17" t="s">
        <v>38</v>
      </c>
      <c r="P3291" s="5" t="str">
        <f t="shared" si="81"/>
        <v/>
      </c>
      <c r="Q3291" s="5"/>
      <c r="R3291" s="5"/>
    </row>
    <row r="3292" spans="2:18" x14ac:dyDescent="0.25">
      <c r="B3292" s="19" t="s">
        <v>4332</v>
      </c>
      <c r="C3292" s="16" t="s">
        <v>4333</v>
      </c>
      <c r="D3292" s="16" t="s">
        <v>8152</v>
      </c>
      <c r="E3292" s="16" t="s">
        <v>54</v>
      </c>
      <c r="F3292" s="5" t="s">
        <v>163</v>
      </c>
      <c r="G3292" s="16" t="s">
        <v>35</v>
      </c>
      <c r="H3292" s="16" t="s">
        <v>36</v>
      </c>
      <c r="I3292" s="16"/>
      <c r="J3292" s="16"/>
      <c r="K3292" s="16"/>
      <c r="L3292" s="16"/>
      <c r="M3292" s="229"/>
      <c r="N3292" s="16"/>
      <c r="O3292" s="17" t="s">
        <v>38</v>
      </c>
      <c r="P3292" s="5" t="str">
        <f t="shared" si="81"/>
        <v/>
      </c>
      <c r="Q3292" s="5"/>
      <c r="R3292" s="5"/>
    </row>
    <row r="3293" spans="2:18" x14ac:dyDescent="0.25">
      <c r="B3293" s="19" t="s">
        <v>4334</v>
      </c>
      <c r="C3293" s="16" t="s">
        <v>4335</v>
      </c>
      <c r="D3293" s="16" t="s">
        <v>8152</v>
      </c>
      <c r="E3293" s="16" t="s">
        <v>54</v>
      </c>
      <c r="F3293" s="5" t="s">
        <v>163</v>
      </c>
      <c r="G3293" s="16" t="s">
        <v>35</v>
      </c>
      <c r="H3293" s="16" t="s">
        <v>36</v>
      </c>
      <c r="I3293" s="16"/>
      <c r="J3293" s="16"/>
      <c r="K3293" s="16"/>
      <c r="L3293" s="16"/>
      <c r="M3293" s="229"/>
      <c r="N3293" s="16"/>
      <c r="O3293" s="17" t="s">
        <v>38</v>
      </c>
      <c r="P3293" s="5" t="str">
        <f t="shared" si="81"/>
        <v/>
      </c>
      <c r="Q3293" s="5"/>
      <c r="R3293" s="5"/>
    </row>
    <row r="3294" spans="2:18" x14ac:dyDescent="0.25">
      <c r="B3294" s="19" t="s">
        <v>4336</v>
      </c>
      <c r="C3294" s="20" t="s">
        <v>4337</v>
      </c>
      <c r="D3294" s="16" t="s">
        <v>29</v>
      </c>
      <c r="E3294" s="16"/>
      <c r="F3294" s="5"/>
      <c r="G3294" s="16" t="s">
        <v>35</v>
      </c>
      <c r="H3294" s="16"/>
      <c r="I3294" s="16"/>
      <c r="J3294" s="16"/>
      <c r="K3294" s="16"/>
      <c r="L3294" s="16"/>
      <c r="M3294" s="16"/>
      <c r="N3294" s="16"/>
      <c r="O3294" s="17" t="s">
        <v>38</v>
      </c>
      <c r="P3294" s="5" t="str">
        <f t="shared" si="81"/>
        <v>Truncate table FST033;</v>
      </c>
      <c r="Q3294" s="5"/>
      <c r="R3294" s="5"/>
    </row>
    <row r="3295" spans="2:18" x14ac:dyDescent="0.25">
      <c r="B3295" s="19" t="s">
        <v>4338</v>
      </c>
      <c r="C3295" s="16" t="s">
        <v>4339</v>
      </c>
      <c r="D3295" s="16" t="s">
        <v>8152</v>
      </c>
      <c r="E3295" s="16" t="s">
        <v>54</v>
      </c>
      <c r="F3295" s="5" t="s">
        <v>2932</v>
      </c>
      <c r="G3295" s="16" t="s">
        <v>35</v>
      </c>
      <c r="H3295" s="16" t="s">
        <v>36</v>
      </c>
      <c r="I3295" s="16"/>
      <c r="J3295" s="16"/>
      <c r="K3295" s="16"/>
      <c r="L3295" s="16"/>
      <c r="M3295" s="16"/>
      <c r="N3295" s="16"/>
      <c r="O3295" s="17" t="s">
        <v>38</v>
      </c>
      <c r="P3295" s="5" t="str">
        <f t="shared" si="81"/>
        <v/>
      </c>
      <c r="Q3295" s="5"/>
      <c r="R3295" s="5"/>
    </row>
    <row r="3296" spans="2:18" x14ac:dyDescent="0.25">
      <c r="B3296" s="19" t="s">
        <v>4340</v>
      </c>
      <c r="C3296" s="16" t="s">
        <v>4341</v>
      </c>
      <c r="D3296" s="16" t="s">
        <v>8152</v>
      </c>
      <c r="E3296" s="16" t="s">
        <v>54</v>
      </c>
      <c r="F3296" s="5" t="s">
        <v>2932</v>
      </c>
      <c r="G3296" s="16" t="s">
        <v>35</v>
      </c>
      <c r="H3296" s="16" t="s">
        <v>36</v>
      </c>
      <c r="I3296" s="16"/>
      <c r="J3296" s="16"/>
      <c r="K3296" s="16"/>
      <c r="L3296" s="16"/>
      <c r="M3296" s="16" t="s">
        <v>8634</v>
      </c>
      <c r="N3296" s="16" t="s">
        <v>4342</v>
      </c>
      <c r="O3296" s="17" t="s">
        <v>387</v>
      </c>
      <c r="P3296" s="5" t="str">
        <f t="shared" si="81"/>
        <v/>
      </c>
      <c r="Q3296" s="5"/>
      <c r="R3296" s="5"/>
    </row>
    <row r="3297" spans="2:18" x14ac:dyDescent="0.25">
      <c r="B3297" s="19" t="s">
        <v>4343</v>
      </c>
      <c r="C3297" s="16" t="s">
        <v>4344</v>
      </c>
      <c r="D3297" s="16" t="s">
        <v>8152</v>
      </c>
      <c r="E3297" s="16" t="s">
        <v>54</v>
      </c>
      <c r="F3297" s="5" t="s">
        <v>2932</v>
      </c>
      <c r="G3297" s="16" t="s">
        <v>35</v>
      </c>
      <c r="H3297" s="16" t="s">
        <v>36</v>
      </c>
      <c r="I3297" s="16"/>
      <c r="J3297" s="16"/>
      <c r="K3297" s="16"/>
      <c r="L3297" s="16"/>
      <c r="M3297" s="16"/>
      <c r="N3297" s="16"/>
      <c r="O3297" s="17" t="s">
        <v>38</v>
      </c>
      <c r="P3297" s="5" t="str">
        <f t="shared" si="81"/>
        <v/>
      </c>
      <c r="Q3297" s="5"/>
      <c r="R3297" s="5"/>
    </row>
    <row r="3298" spans="2:18" x14ac:dyDescent="0.25">
      <c r="B3298" s="19" t="s">
        <v>4345</v>
      </c>
      <c r="C3298" s="16" t="s">
        <v>4346</v>
      </c>
      <c r="D3298" s="16" t="s">
        <v>8152</v>
      </c>
      <c r="E3298" s="16" t="s">
        <v>54</v>
      </c>
      <c r="F3298" s="5" t="s">
        <v>2932</v>
      </c>
      <c r="G3298" s="16" t="s">
        <v>35</v>
      </c>
      <c r="H3298" s="16" t="s">
        <v>36</v>
      </c>
      <c r="I3298" s="16"/>
      <c r="J3298" s="16"/>
      <c r="K3298" s="16"/>
      <c r="L3298" s="16"/>
      <c r="M3298" s="16"/>
      <c r="N3298" s="16"/>
      <c r="O3298" s="17" t="s">
        <v>38</v>
      </c>
      <c r="P3298" s="5" t="str">
        <f t="shared" si="81"/>
        <v/>
      </c>
      <c r="Q3298" s="5"/>
      <c r="R3298" s="5"/>
    </row>
    <row r="3299" spans="2:18" x14ac:dyDescent="0.25">
      <c r="B3299" s="19" t="s">
        <v>4347</v>
      </c>
      <c r="C3299" s="16" t="s">
        <v>4348</v>
      </c>
      <c r="D3299" s="16" t="s">
        <v>8152</v>
      </c>
      <c r="E3299" s="16" t="s">
        <v>54</v>
      </c>
      <c r="F3299" s="5" t="s">
        <v>4278</v>
      </c>
      <c r="G3299" s="16" t="s">
        <v>35</v>
      </c>
      <c r="H3299" s="16" t="s">
        <v>36</v>
      </c>
      <c r="I3299" s="16"/>
      <c r="J3299" s="16"/>
      <c r="K3299" s="16"/>
      <c r="L3299" s="16"/>
      <c r="M3299" s="229"/>
      <c r="N3299" s="16"/>
      <c r="O3299" s="17" t="s">
        <v>38</v>
      </c>
      <c r="P3299" s="5" t="str">
        <f t="shared" si="81"/>
        <v/>
      </c>
      <c r="Q3299" s="5"/>
      <c r="R3299" s="5"/>
    </row>
    <row r="3300" spans="2:18" x14ac:dyDescent="0.25">
      <c r="B3300" s="19" t="s">
        <v>4349</v>
      </c>
      <c r="C3300" s="16" t="s">
        <v>4350</v>
      </c>
      <c r="D3300" s="16" t="s">
        <v>8152</v>
      </c>
      <c r="E3300" s="16" t="s">
        <v>54</v>
      </c>
      <c r="F3300" s="5" t="s">
        <v>74</v>
      </c>
      <c r="G3300" s="16" t="s">
        <v>35</v>
      </c>
      <c r="H3300" s="16" t="s">
        <v>36</v>
      </c>
      <c r="I3300" s="16"/>
      <c r="J3300" s="16"/>
      <c r="K3300" s="16"/>
      <c r="L3300" s="16"/>
      <c r="M3300" s="229"/>
      <c r="N3300" s="16"/>
      <c r="O3300" s="17" t="s">
        <v>38</v>
      </c>
      <c r="P3300" s="5" t="str">
        <f t="shared" si="81"/>
        <v/>
      </c>
      <c r="Q3300" s="5"/>
      <c r="R3300" s="5"/>
    </row>
    <row r="3301" spans="2:18" x14ac:dyDescent="0.25">
      <c r="B3301" s="19" t="s">
        <v>4351</v>
      </c>
      <c r="C3301" s="16" t="s">
        <v>4352</v>
      </c>
      <c r="D3301" s="16" t="s">
        <v>8152</v>
      </c>
      <c r="E3301" s="16" t="s">
        <v>54</v>
      </c>
      <c r="F3301" s="5" t="s">
        <v>2932</v>
      </c>
      <c r="G3301" s="16" t="s">
        <v>35</v>
      </c>
      <c r="H3301" s="16" t="s">
        <v>36</v>
      </c>
      <c r="I3301" s="16"/>
      <c r="J3301" s="16"/>
      <c r="K3301" s="16"/>
      <c r="L3301" s="16"/>
      <c r="M3301" s="16"/>
      <c r="N3301" s="16"/>
      <c r="O3301" s="17" t="s">
        <v>38</v>
      </c>
      <c r="P3301" s="5" t="str">
        <f t="shared" si="81"/>
        <v/>
      </c>
      <c r="Q3301" s="5"/>
      <c r="R3301" s="5"/>
    </row>
    <row r="3302" spans="2:18" x14ac:dyDescent="0.25">
      <c r="B3302" s="19" t="s">
        <v>4353</v>
      </c>
      <c r="C3302" s="16" t="s">
        <v>4354</v>
      </c>
      <c r="D3302" s="16" t="s">
        <v>8152</v>
      </c>
      <c r="E3302" s="16" t="s">
        <v>54</v>
      </c>
      <c r="F3302" s="5" t="s">
        <v>163</v>
      </c>
      <c r="G3302" s="16" t="s">
        <v>35</v>
      </c>
      <c r="H3302" s="16" t="s">
        <v>36</v>
      </c>
      <c r="I3302" s="16"/>
      <c r="J3302" s="16"/>
      <c r="K3302" s="16"/>
      <c r="L3302" s="16"/>
      <c r="M3302" s="238" t="s">
        <v>387</v>
      </c>
      <c r="N3302" s="16"/>
      <c r="O3302" s="17" t="s">
        <v>38</v>
      </c>
      <c r="P3302" s="5" t="str">
        <f t="shared" si="81"/>
        <v/>
      </c>
      <c r="Q3302" s="5"/>
      <c r="R3302" s="5"/>
    </row>
    <row r="3303" spans="2:18" ht="55.5" customHeight="1" x14ac:dyDescent="0.25">
      <c r="B3303" s="19" t="s">
        <v>4355</v>
      </c>
      <c r="C3303" s="16" t="s">
        <v>4356</v>
      </c>
      <c r="D3303" s="16" t="s">
        <v>8152</v>
      </c>
      <c r="E3303" s="16" t="s">
        <v>54</v>
      </c>
      <c r="F3303" s="5" t="s">
        <v>235</v>
      </c>
      <c r="G3303" s="16" t="s">
        <v>35</v>
      </c>
      <c r="H3303" s="16" t="s">
        <v>36</v>
      </c>
      <c r="I3303" s="16"/>
      <c r="J3303" s="16"/>
      <c r="K3303" s="16"/>
      <c r="L3303" s="20" t="s">
        <v>4279</v>
      </c>
      <c r="M3303" s="230"/>
      <c r="N3303" s="16"/>
      <c r="O3303" s="17" t="s">
        <v>38</v>
      </c>
      <c r="P3303" s="5" t="str">
        <f t="shared" si="81"/>
        <v/>
      </c>
      <c r="Q3303" s="5"/>
      <c r="R3303" s="5"/>
    </row>
    <row r="3304" spans="2:18" ht="78.75" customHeight="1" x14ac:dyDescent="0.25">
      <c r="B3304" s="19" t="s">
        <v>4357</v>
      </c>
      <c r="C3304" s="16" t="s">
        <v>4358</v>
      </c>
      <c r="D3304" s="16" t="s">
        <v>8152</v>
      </c>
      <c r="E3304" s="16" t="s">
        <v>54</v>
      </c>
      <c r="F3304" s="5" t="s">
        <v>4278</v>
      </c>
      <c r="G3304" s="16" t="s">
        <v>35</v>
      </c>
      <c r="H3304" s="16" t="s">
        <v>36</v>
      </c>
      <c r="I3304" s="16"/>
      <c r="J3304" s="16"/>
      <c r="K3304" s="16"/>
      <c r="L3304" s="20" t="s">
        <v>4279</v>
      </c>
      <c r="M3304" s="230"/>
      <c r="N3304" s="16"/>
      <c r="O3304" s="17" t="s">
        <v>38</v>
      </c>
      <c r="P3304" s="5" t="str">
        <f t="shared" si="81"/>
        <v/>
      </c>
      <c r="Q3304" s="5"/>
      <c r="R3304" s="5"/>
    </row>
    <row r="3305" spans="2:18" x14ac:dyDescent="0.25">
      <c r="B3305" s="19" t="s">
        <v>4359</v>
      </c>
      <c r="C3305" s="16" t="s">
        <v>4360</v>
      </c>
      <c r="D3305" s="16" t="s">
        <v>8152</v>
      </c>
      <c r="E3305" s="16" t="s">
        <v>54</v>
      </c>
      <c r="F3305" s="5" t="s">
        <v>1198</v>
      </c>
      <c r="G3305" s="16" t="s">
        <v>35</v>
      </c>
      <c r="H3305" s="16" t="s">
        <v>36</v>
      </c>
      <c r="I3305" s="16"/>
      <c r="J3305" s="16"/>
      <c r="K3305" s="16"/>
      <c r="L3305" s="16"/>
      <c r="M3305" s="238" t="s">
        <v>387</v>
      </c>
      <c r="N3305" s="16"/>
      <c r="O3305" s="17" t="s">
        <v>38</v>
      </c>
      <c r="P3305" s="5" t="str">
        <f t="shared" si="81"/>
        <v/>
      </c>
      <c r="Q3305" s="5"/>
      <c r="R3305" s="5"/>
    </row>
    <row r="3306" spans="2:18" x14ac:dyDescent="0.25">
      <c r="B3306" s="19" t="s">
        <v>4361</v>
      </c>
      <c r="C3306" s="16" t="s">
        <v>4362</v>
      </c>
      <c r="D3306" s="16" t="s">
        <v>8152</v>
      </c>
      <c r="E3306" s="16" t="s">
        <v>54</v>
      </c>
      <c r="F3306" s="5" t="s">
        <v>557</v>
      </c>
      <c r="G3306" s="16" t="s">
        <v>28</v>
      </c>
      <c r="H3306" s="16" t="s">
        <v>36</v>
      </c>
      <c r="I3306" s="16"/>
      <c r="J3306" s="16"/>
      <c r="K3306" s="16"/>
      <c r="L3306" s="16"/>
      <c r="M3306" s="16"/>
      <c r="N3306" s="16" t="s">
        <v>4299</v>
      </c>
      <c r="O3306" s="17" t="s">
        <v>38</v>
      </c>
      <c r="P3306" s="5" t="str">
        <f t="shared" si="81"/>
        <v/>
      </c>
      <c r="Q3306" s="5"/>
      <c r="R3306" s="5"/>
    </row>
    <row r="3307" spans="2:18" x14ac:dyDescent="0.25">
      <c r="B3307" s="19" t="s">
        <v>4363</v>
      </c>
      <c r="C3307" s="21" t="s">
        <v>4364</v>
      </c>
      <c r="D3307" s="16" t="s">
        <v>8152</v>
      </c>
      <c r="E3307" s="16" t="s">
        <v>54</v>
      </c>
      <c r="F3307" s="5" t="s">
        <v>74</v>
      </c>
      <c r="G3307" s="16" t="s">
        <v>35</v>
      </c>
      <c r="H3307" s="16" t="s">
        <v>36</v>
      </c>
      <c r="I3307" s="16"/>
      <c r="J3307" s="16"/>
      <c r="K3307" s="16"/>
      <c r="L3307" s="16"/>
      <c r="M3307" s="229"/>
      <c r="N3307" s="16"/>
      <c r="O3307" s="17" t="s">
        <v>387</v>
      </c>
      <c r="P3307" s="5" t="str">
        <f t="shared" si="81"/>
        <v/>
      </c>
      <c r="Q3307" s="5"/>
      <c r="R3307" s="5"/>
    </row>
    <row r="3308" spans="2:18" x14ac:dyDescent="0.25">
      <c r="B3308" s="19" t="s">
        <v>4365</v>
      </c>
      <c r="C3308" s="21" t="s">
        <v>4366</v>
      </c>
      <c r="D3308" s="16" t="s">
        <v>8152</v>
      </c>
      <c r="E3308" s="16" t="s">
        <v>54</v>
      </c>
      <c r="F3308" s="5" t="s">
        <v>2932</v>
      </c>
      <c r="G3308" s="16" t="s">
        <v>35</v>
      </c>
      <c r="H3308" s="16" t="s">
        <v>36</v>
      </c>
      <c r="I3308" s="16"/>
      <c r="J3308" s="16"/>
      <c r="K3308" s="16"/>
      <c r="L3308" s="16"/>
      <c r="M3308" s="16"/>
      <c r="N3308" s="16"/>
      <c r="O3308" s="17" t="s">
        <v>387</v>
      </c>
      <c r="P3308" s="5" t="str">
        <f t="shared" si="81"/>
        <v/>
      </c>
      <c r="Q3308" s="5"/>
      <c r="R3308" s="5"/>
    </row>
    <row r="3309" spans="2:18" x14ac:dyDescent="0.25">
      <c r="B3309" s="19" t="s">
        <v>4367</v>
      </c>
      <c r="C3309" s="21" t="s">
        <v>4368</v>
      </c>
      <c r="D3309" s="16" t="s">
        <v>8152</v>
      </c>
      <c r="E3309" s="16" t="s">
        <v>54</v>
      </c>
      <c r="F3309" s="5" t="s">
        <v>2932</v>
      </c>
      <c r="G3309" s="16" t="s">
        <v>35</v>
      </c>
      <c r="H3309" s="16" t="s">
        <v>36</v>
      </c>
      <c r="I3309" s="16"/>
      <c r="J3309" s="16"/>
      <c r="K3309" s="16"/>
      <c r="L3309" s="16"/>
      <c r="M3309" s="16"/>
      <c r="N3309" s="16"/>
      <c r="O3309" s="17" t="s">
        <v>387</v>
      </c>
      <c r="P3309" s="5" t="str">
        <f t="shared" si="81"/>
        <v/>
      </c>
      <c r="Q3309" s="5"/>
      <c r="R3309" s="5"/>
    </row>
    <row r="3310" spans="2:18" x14ac:dyDescent="0.25">
      <c r="B3310" s="19" t="s">
        <v>4369</v>
      </c>
      <c r="C3310" s="21" t="s">
        <v>4370</v>
      </c>
      <c r="D3310" s="16" t="s">
        <v>8152</v>
      </c>
      <c r="E3310" s="16" t="s">
        <v>54</v>
      </c>
      <c r="F3310" s="5" t="s">
        <v>163</v>
      </c>
      <c r="G3310" s="16" t="s">
        <v>35</v>
      </c>
      <c r="H3310" s="16" t="s">
        <v>36</v>
      </c>
      <c r="I3310" s="16"/>
      <c r="J3310" s="16"/>
      <c r="K3310" s="16"/>
      <c r="L3310" s="16"/>
      <c r="M3310" s="229" t="s">
        <v>38</v>
      </c>
      <c r="N3310" s="16"/>
      <c r="O3310" s="17" t="s">
        <v>38</v>
      </c>
      <c r="P3310" s="5" t="str">
        <f t="shared" si="81"/>
        <v/>
      </c>
      <c r="Q3310" s="5"/>
      <c r="R3310" s="5"/>
    </row>
    <row r="3311" spans="2:18" ht="54" x14ac:dyDescent="0.25">
      <c r="B3311" s="19" t="s">
        <v>4371</v>
      </c>
      <c r="C3311" s="21" t="s">
        <v>4372</v>
      </c>
      <c r="D3311" s="16" t="s">
        <v>8152</v>
      </c>
      <c r="E3311" s="16" t="s">
        <v>54</v>
      </c>
      <c r="F3311" s="5" t="s">
        <v>2832</v>
      </c>
      <c r="G3311" s="16" t="s">
        <v>35</v>
      </c>
      <c r="H3311" s="16" t="s">
        <v>36</v>
      </c>
      <c r="I3311" s="16"/>
      <c r="J3311" s="16"/>
      <c r="K3311" s="16"/>
      <c r="L3311" s="20" t="s">
        <v>4279</v>
      </c>
      <c r="M3311" s="20"/>
      <c r="N3311" s="16"/>
      <c r="O3311" s="17" t="s">
        <v>38</v>
      </c>
      <c r="P3311" s="5" t="str">
        <f t="shared" si="81"/>
        <v/>
      </c>
      <c r="Q3311" s="5"/>
      <c r="R3311" s="5"/>
    </row>
    <row r="3312" spans="2:18" x14ac:dyDescent="0.25">
      <c r="B3312" s="19" t="s">
        <v>4373</v>
      </c>
      <c r="C3312" s="21" t="s">
        <v>4374</v>
      </c>
      <c r="D3312" s="16" t="s">
        <v>8152</v>
      </c>
      <c r="E3312" s="16" t="s">
        <v>54</v>
      </c>
      <c r="F3312" s="5" t="s">
        <v>4278</v>
      </c>
      <c r="G3312" s="16" t="s">
        <v>35</v>
      </c>
      <c r="H3312" s="16" t="s">
        <v>36</v>
      </c>
      <c r="I3312" s="16"/>
      <c r="J3312" s="16"/>
      <c r="K3312" s="16"/>
      <c r="L3312" s="16"/>
      <c r="M3312" s="229"/>
      <c r="N3312" s="16"/>
      <c r="O3312" s="17" t="s">
        <v>38</v>
      </c>
      <c r="P3312" s="5" t="str">
        <f t="shared" si="81"/>
        <v/>
      </c>
      <c r="Q3312" s="5"/>
      <c r="R3312" s="5"/>
    </row>
    <row r="3313" spans="2:18" x14ac:dyDescent="0.25">
      <c r="B3313" s="19" t="s">
        <v>4375</v>
      </c>
      <c r="C3313" s="20" t="s">
        <v>4376</v>
      </c>
      <c r="D3313" s="16" t="s">
        <v>8152</v>
      </c>
      <c r="E3313" s="16"/>
      <c r="F3313" s="5"/>
      <c r="G3313" s="16" t="s">
        <v>35</v>
      </c>
      <c r="H3313" s="16"/>
      <c r="I3313" s="16"/>
      <c r="J3313" s="16"/>
      <c r="K3313" s="16"/>
      <c r="L3313" s="16"/>
      <c r="M3313" s="238" t="s">
        <v>387</v>
      </c>
      <c r="N3313" s="16"/>
      <c r="O3313" s="17" t="s">
        <v>38</v>
      </c>
      <c r="P3313" s="5" t="str">
        <f t="shared" si="81"/>
        <v/>
      </c>
      <c r="Q3313" s="5"/>
      <c r="R3313" s="5"/>
    </row>
    <row r="3314" spans="2:18" ht="54" x14ac:dyDescent="0.25">
      <c r="B3314" s="19" t="s">
        <v>4377</v>
      </c>
      <c r="C3314" s="21" t="s">
        <v>4378</v>
      </c>
      <c r="D3314" s="16" t="s">
        <v>8152</v>
      </c>
      <c r="E3314" s="16" t="s">
        <v>54</v>
      </c>
      <c r="F3314" s="5" t="s">
        <v>2832</v>
      </c>
      <c r="G3314" s="16" t="s">
        <v>35</v>
      </c>
      <c r="H3314" s="16" t="s">
        <v>36</v>
      </c>
      <c r="I3314" s="16"/>
      <c r="J3314" s="16"/>
      <c r="K3314" s="16"/>
      <c r="L3314" s="20" t="s">
        <v>4279</v>
      </c>
      <c r="M3314" s="20"/>
      <c r="N3314" s="16"/>
      <c r="O3314" s="17" t="s">
        <v>38</v>
      </c>
      <c r="P3314" s="5" t="str">
        <f t="shared" si="81"/>
        <v/>
      </c>
      <c r="Q3314" s="5"/>
      <c r="R3314" s="5"/>
    </row>
    <row r="3315" spans="2:18" x14ac:dyDescent="0.25">
      <c r="B3315" s="19" t="s">
        <v>4379</v>
      </c>
      <c r="C3315" s="20" t="s">
        <v>4380</v>
      </c>
      <c r="D3315" s="16" t="s">
        <v>29</v>
      </c>
      <c r="E3315" s="16"/>
      <c r="F3315" s="5"/>
      <c r="G3315" s="16" t="s">
        <v>35</v>
      </c>
      <c r="H3315" s="16"/>
      <c r="I3315" s="16"/>
      <c r="J3315" s="16"/>
      <c r="K3315" s="16"/>
      <c r="L3315" s="16"/>
      <c r="M3315" s="16"/>
      <c r="N3315" s="16"/>
      <c r="O3315" s="17" t="s">
        <v>38</v>
      </c>
      <c r="P3315" s="5" t="str">
        <f t="shared" si="81"/>
        <v>Truncate table FST054;</v>
      </c>
      <c r="Q3315" s="5"/>
      <c r="R3315" s="5"/>
    </row>
    <row r="3316" spans="2:18" x14ac:dyDescent="0.25">
      <c r="B3316" s="19" t="s">
        <v>4381</v>
      </c>
      <c r="C3316" s="21" t="s">
        <v>4382</v>
      </c>
      <c r="D3316" s="16" t="s">
        <v>29</v>
      </c>
      <c r="E3316" s="16" t="s">
        <v>54</v>
      </c>
      <c r="F3316" s="5" t="s">
        <v>74</v>
      </c>
      <c r="G3316" s="16" t="s">
        <v>35</v>
      </c>
      <c r="H3316" s="16" t="s">
        <v>36</v>
      </c>
      <c r="I3316" s="16"/>
      <c r="J3316" s="16"/>
      <c r="K3316" s="16"/>
      <c r="L3316" s="16"/>
      <c r="M3316" s="229"/>
      <c r="N3316" s="16"/>
      <c r="O3316" s="17" t="s">
        <v>38</v>
      </c>
      <c r="P3316" s="5" t="str">
        <f t="shared" si="81"/>
        <v>Truncate table FST056;</v>
      </c>
      <c r="Q3316" s="5"/>
      <c r="R3316" s="5"/>
    </row>
    <row r="3317" spans="2:18" x14ac:dyDescent="0.25">
      <c r="B3317" s="19" t="s">
        <v>4383</v>
      </c>
      <c r="C3317" s="21" t="s">
        <v>4384</v>
      </c>
      <c r="D3317" s="16" t="s">
        <v>8152</v>
      </c>
      <c r="E3317" s="16" t="s">
        <v>54</v>
      </c>
      <c r="F3317" s="5" t="s">
        <v>919</v>
      </c>
      <c r="G3317" s="16" t="s">
        <v>35</v>
      </c>
      <c r="H3317" s="16" t="s">
        <v>36</v>
      </c>
      <c r="I3317" s="16"/>
      <c r="J3317" s="16"/>
      <c r="K3317" s="16"/>
      <c r="L3317" s="16"/>
      <c r="M3317" s="16"/>
      <c r="N3317" s="16"/>
      <c r="O3317" s="17" t="s">
        <v>38</v>
      </c>
      <c r="P3317" s="5" t="str">
        <f t="shared" si="81"/>
        <v/>
      </c>
      <c r="Q3317" s="5"/>
      <c r="R3317" s="5"/>
    </row>
    <row r="3318" spans="2:18" x14ac:dyDescent="0.25">
      <c r="B3318" s="19" t="s">
        <v>4385</v>
      </c>
      <c r="C3318" s="20" t="s">
        <v>4386</v>
      </c>
      <c r="D3318" s="16" t="s">
        <v>8152</v>
      </c>
      <c r="E3318" s="16"/>
      <c r="F3318" s="5"/>
      <c r="G3318" s="16" t="s">
        <v>35</v>
      </c>
      <c r="H3318" s="16" t="s">
        <v>36</v>
      </c>
      <c r="I3318" s="16"/>
      <c r="J3318" s="16"/>
      <c r="K3318" s="16"/>
      <c r="L3318" s="16"/>
      <c r="M3318" s="229"/>
      <c r="N3318" s="16"/>
      <c r="O3318" s="17" t="s">
        <v>38</v>
      </c>
      <c r="P3318" s="5" t="str">
        <f t="shared" si="81"/>
        <v/>
      </c>
      <c r="Q3318" s="5"/>
      <c r="R3318" s="5" t="s">
        <v>387</v>
      </c>
    </row>
    <row r="3319" spans="2:18" x14ac:dyDescent="0.25">
      <c r="B3319" s="19" t="s">
        <v>4387</v>
      </c>
      <c r="C3319" s="21" t="s">
        <v>4388</v>
      </c>
      <c r="D3319" s="16" t="s">
        <v>8152</v>
      </c>
      <c r="E3319" s="16" t="s">
        <v>54</v>
      </c>
      <c r="F3319" s="5" t="s">
        <v>2932</v>
      </c>
      <c r="G3319" s="16" t="s">
        <v>35</v>
      </c>
      <c r="H3319" s="16" t="s">
        <v>36</v>
      </c>
      <c r="I3319" s="16"/>
      <c r="J3319" s="16"/>
      <c r="K3319" s="16"/>
      <c r="L3319" s="16"/>
      <c r="M3319" s="16"/>
      <c r="N3319" s="16"/>
      <c r="O3319" s="17" t="s">
        <v>38</v>
      </c>
      <c r="P3319" s="5" t="str">
        <f t="shared" si="81"/>
        <v/>
      </c>
      <c r="Q3319" s="5"/>
      <c r="R3319" s="5"/>
    </row>
    <row r="3320" spans="2:18" x14ac:dyDescent="0.25">
      <c r="B3320" s="19" t="s">
        <v>4389</v>
      </c>
      <c r="C3320" s="21" t="s">
        <v>4390</v>
      </c>
      <c r="D3320" s="16" t="s">
        <v>8152</v>
      </c>
      <c r="E3320" s="16" t="s">
        <v>54</v>
      </c>
      <c r="F3320" s="5" t="s">
        <v>2786</v>
      </c>
      <c r="G3320" s="16" t="s">
        <v>35</v>
      </c>
      <c r="H3320" s="16" t="s">
        <v>36</v>
      </c>
      <c r="I3320" s="16"/>
      <c r="J3320" s="16"/>
      <c r="K3320" s="16"/>
      <c r="L3320" s="16"/>
      <c r="M3320" s="16"/>
      <c r="N3320" s="16"/>
      <c r="O3320" s="17" t="s">
        <v>387</v>
      </c>
      <c r="P3320" s="5" t="str">
        <f t="shared" si="81"/>
        <v/>
      </c>
      <c r="Q3320" s="5"/>
      <c r="R3320" s="5"/>
    </row>
    <row r="3321" spans="2:18" x14ac:dyDescent="0.25">
      <c r="B3321" s="19" t="s">
        <v>4391</v>
      </c>
      <c r="C3321" s="16" t="s">
        <v>4392</v>
      </c>
      <c r="D3321" s="16" t="s">
        <v>8152</v>
      </c>
      <c r="E3321" s="16" t="s">
        <v>54</v>
      </c>
      <c r="F3321" s="5" t="s">
        <v>2786</v>
      </c>
      <c r="G3321" s="16" t="s">
        <v>35</v>
      </c>
      <c r="H3321" s="16" t="s">
        <v>36</v>
      </c>
      <c r="I3321" s="16"/>
      <c r="J3321" s="16"/>
      <c r="K3321" s="16"/>
      <c r="L3321" s="16"/>
      <c r="M3321" s="16"/>
      <c r="N3321" s="16"/>
      <c r="O3321" s="17" t="s">
        <v>387</v>
      </c>
      <c r="P3321" s="5" t="str">
        <f t="shared" si="81"/>
        <v/>
      </c>
      <c r="Q3321" s="5"/>
      <c r="R3321" s="5"/>
    </row>
    <row r="3322" spans="2:18" x14ac:dyDescent="0.25">
      <c r="B3322" s="19" t="s">
        <v>4393</v>
      </c>
      <c r="C3322" s="21" t="s">
        <v>4394</v>
      </c>
      <c r="D3322" s="16" t="s">
        <v>8152</v>
      </c>
      <c r="E3322" s="16" t="s">
        <v>54</v>
      </c>
      <c r="F3322" s="5" t="s">
        <v>2786</v>
      </c>
      <c r="G3322" s="16" t="s">
        <v>35</v>
      </c>
      <c r="H3322" s="16" t="s">
        <v>36</v>
      </c>
      <c r="I3322" s="16"/>
      <c r="J3322" s="16"/>
      <c r="K3322" s="16"/>
      <c r="L3322" s="16"/>
      <c r="M3322" s="16"/>
      <c r="N3322" s="16"/>
      <c r="O3322" s="17" t="s">
        <v>38</v>
      </c>
      <c r="P3322" s="5" t="str">
        <f t="shared" si="81"/>
        <v/>
      </c>
      <c r="Q3322" s="5"/>
      <c r="R3322" s="5"/>
    </row>
    <row r="3323" spans="2:18" x14ac:dyDescent="0.25">
      <c r="B3323" s="19" t="s">
        <v>4395</v>
      </c>
      <c r="C3323" s="16" t="s">
        <v>4396</v>
      </c>
      <c r="D3323" s="16" t="s">
        <v>8152</v>
      </c>
      <c r="E3323" s="16" t="s">
        <v>54</v>
      </c>
      <c r="F3323" s="5" t="s">
        <v>2786</v>
      </c>
      <c r="G3323" s="16" t="s">
        <v>35</v>
      </c>
      <c r="H3323" s="16" t="s">
        <v>36</v>
      </c>
      <c r="I3323" s="16"/>
      <c r="J3323" s="16"/>
      <c r="K3323" s="16"/>
      <c r="L3323" s="16"/>
      <c r="M3323" s="16"/>
      <c r="N3323" s="16"/>
      <c r="O3323" s="17" t="s">
        <v>387</v>
      </c>
      <c r="P3323" s="5" t="str">
        <f t="shared" si="81"/>
        <v/>
      </c>
      <c r="Q3323" s="5"/>
      <c r="R3323" s="5"/>
    </row>
    <row r="3324" spans="2:18" x14ac:dyDescent="0.25">
      <c r="B3324" s="19" t="s">
        <v>4397</v>
      </c>
      <c r="C3324" s="16" t="s">
        <v>4398</v>
      </c>
      <c r="D3324" s="16" t="s">
        <v>8152</v>
      </c>
      <c r="E3324" s="16" t="s">
        <v>54</v>
      </c>
      <c r="F3324" s="5" t="s">
        <v>2786</v>
      </c>
      <c r="G3324" s="16" t="s">
        <v>35</v>
      </c>
      <c r="H3324" s="16" t="s">
        <v>36</v>
      </c>
      <c r="I3324" s="16"/>
      <c r="J3324" s="16"/>
      <c r="K3324" s="16"/>
      <c r="L3324" s="16"/>
      <c r="M3324" s="16"/>
      <c r="N3324" s="16"/>
      <c r="O3324" s="17" t="s">
        <v>387</v>
      </c>
      <c r="P3324" s="5" t="str">
        <f t="shared" ref="P3324:P3387" si="82">IF(D3324="Datos","Truncate table "&amp; B3324&amp; ";","")</f>
        <v/>
      </c>
      <c r="Q3324" s="5"/>
      <c r="R3324" s="5"/>
    </row>
    <row r="3325" spans="2:18" x14ac:dyDescent="0.25">
      <c r="B3325" s="19" t="s">
        <v>4399</v>
      </c>
      <c r="C3325" s="16" t="s">
        <v>8507</v>
      </c>
      <c r="D3325" s="16" t="s">
        <v>8152</v>
      </c>
      <c r="E3325" s="16" t="s">
        <v>54</v>
      </c>
      <c r="F3325" s="5" t="s">
        <v>2657</v>
      </c>
      <c r="G3325" s="16" t="s">
        <v>35</v>
      </c>
      <c r="H3325" s="16" t="s">
        <v>36</v>
      </c>
      <c r="I3325" s="16"/>
      <c r="J3325" s="16"/>
      <c r="K3325" s="16"/>
      <c r="L3325" s="16"/>
      <c r="M3325" s="223" t="s">
        <v>387</v>
      </c>
      <c r="N3325" s="16"/>
      <c r="O3325" s="17" t="s">
        <v>38</v>
      </c>
      <c r="P3325" s="5" t="str">
        <f t="shared" si="82"/>
        <v/>
      </c>
      <c r="Q3325" s="5"/>
      <c r="R3325" s="5"/>
    </row>
    <row r="3326" spans="2:18" x14ac:dyDescent="0.25">
      <c r="B3326" s="19" t="s">
        <v>4400</v>
      </c>
      <c r="C3326" s="16" t="s">
        <v>4401</v>
      </c>
      <c r="D3326" s="16" t="s">
        <v>8152</v>
      </c>
      <c r="E3326" s="16" t="s">
        <v>54</v>
      </c>
      <c r="F3326" s="5" t="s">
        <v>2657</v>
      </c>
      <c r="G3326" s="16" t="s">
        <v>35</v>
      </c>
      <c r="H3326" s="16" t="s">
        <v>36</v>
      </c>
      <c r="I3326" s="16"/>
      <c r="J3326" s="16"/>
      <c r="K3326" s="16"/>
      <c r="L3326" s="16"/>
      <c r="M3326" s="223" t="s">
        <v>387</v>
      </c>
      <c r="N3326" s="16"/>
      <c r="O3326" s="17" t="s">
        <v>38</v>
      </c>
      <c r="P3326" s="5" t="str">
        <f t="shared" si="82"/>
        <v/>
      </c>
      <c r="Q3326" s="5"/>
      <c r="R3326" s="5"/>
    </row>
    <row r="3327" spans="2:18" x14ac:dyDescent="0.25">
      <c r="B3327" s="19" t="s">
        <v>4402</v>
      </c>
      <c r="C3327" s="16" t="s">
        <v>8508</v>
      </c>
      <c r="D3327" s="16" t="s">
        <v>8152</v>
      </c>
      <c r="E3327" s="16" t="s">
        <v>54</v>
      </c>
      <c r="F3327" s="5" t="s">
        <v>2657</v>
      </c>
      <c r="G3327" s="16" t="s">
        <v>35</v>
      </c>
      <c r="H3327" s="16" t="s">
        <v>36</v>
      </c>
      <c r="I3327" s="16"/>
      <c r="J3327" s="16"/>
      <c r="K3327" s="16"/>
      <c r="L3327" s="16"/>
      <c r="M3327" s="223" t="s">
        <v>387</v>
      </c>
      <c r="N3327" s="16"/>
      <c r="O3327" s="17" t="s">
        <v>38</v>
      </c>
      <c r="P3327" s="5" t="str">
        <f t="shared" si="82"/>
        <v/>
      </c>
      <c r="Q3327" s="5"/>
      <c r="R3327" s="5"/>
    </row>
    <row r="3328" spans="2:18" x14ac:dyDescent="0.25">
      <c r="B3328" s="19" t="s">
        <v>4403</v>
      </c>
      <c r="C3328" s="16" t="s">
        <v>8509</v>
      </c>
      <c r="D3328" s="16" t="s">
        <v>8152</v>
      </c>
      <c r="E3328" s="16" t="s">
        <v>54</v>
      </c>
      <c r="F3328" s="5" t="s">
        <v>2657</v>
      </c>
      <c r="G3328" s="16" t="s">
        <v>35</v>
      </c>
      <c r="H3328" s="16" t="s">
        <v>36</v>
      </c>
      <c r="I3328" s="16"/>
      <c r="J3328" s="16"/>
      <c r="K3328" s="16"/>
      <c r="L3328" s="16"/>
      <c r="M3328" s="223" t="s">
        <v>387</v>
      </c>
      <c r="N3328" s="16"/>
      <c r="O3328" s="17" t="s">
        <v>38</v>
      </c>
      <c r="P3328" s="5" t="str">
        <f t="shared" si="82"/>
        <v/>
      </c>
      <c r="Q3328" s="5"/>
      <c r="R3328" s="5"/>
    </row>
    <row r="3329" spans="2:18" x14ac:dyDescent="0.25">
      <c r="B3329" s="19" t="s">
        <v>4404</v>
      </c>
      <c r="C3329" s="20" t="s">
        <v>4405</v>
      </c>
      <c r="D3329" s="16" t="s">
        <v>8152</v>
      </c>
      <c r="E3329" s="16"/>
      <c r="F3329" s="5"/>
      <c r="G3329" s="16" t="s">
        <v>35</v>
      </c>
      <c r="H3329" s="16"/>
      <c r="I3329" s="16"/>
      <c r="J3329" s="16"/>
      <c r="K3329" s="16"/>
      <c r="L3329" s="16"/>
      <c r="M3329" s="229"/>
      <c r="N3329" s="16"/>
      <c r="O3329" s="17" t="s">
        <v>38</v>
      </c>
      <c r="P3329" s="5" t="str">
        <f t="shared" si="82"/>
        <v/>
      </c>
      <c r="Q3329" s="5"/>
      <c r="R3329" s="5"/>
    </row>
    <row r="3330" spans="2:18" x14ac:dyDescent="0.25">
      <c r="B3330" s="19" t="s">
        <v>4406</v>
      </c>
      <c r="C3330" s="16" t="s">
        <v>4407</v>
      </c>
      <c r="D3330" s="16" t="s">
        <v>8152</v>
      </c>
      <c r="E3330" s="16" t="s">
        <v>54</v>
      </c>
      <c r="F3330" s="5" t="s">
        <v>2657</v>
      </c>
      <c r="G3330" s="16" t="s">
        <v>35</v>
      </c>
      <c r="H3330" s="16" t="s">
        <v>36</v>
      </c>
      <c r="I3330" s="16"/>
      <c r="J3330" s="16"/>
      <c r="K3330" s="16"/>
      <c r="L3330" s="16"/>
      <c r="M3330" s="223" t="s">
        <v>387</v>
      </c>
      <c r="N3330" s="16"/>
      <c r="O3330" s="17" t="s">
        <v>38</v>
      </c>
      <c r="P3330" s="5" t="str">
        <f t="shared" si="82"/>
        <v/>
      </c>
      <c r="Q3330" s="5"/>
      <c r="R3330" s="5"/>
    </row>
    <row r="3331" spans="2:18" x14ac:dyDescent="0.25">
      <c r="B3331" s="19" t="s">
        <v>4408</v>
      </c>
      <c r="C3331" s="16" t="s">
        <v>4409</v>
      </c>
      <c r="D3331" s="16" t="s">
        <v>8152</v>
      </c>
      <c r="E3331" s="16" t="s">
        <v>54</v>
      </c>
      <c r="F3331" s="5" t="s">
        <v>2657</v>
      </c>
      <c r="G3331" s="16" t="s">
        <v>35</v>
      </c>
      <c r="H3331" s="16" t="s">
        <v>36</v>
      </c>
      <c r="I3331" s="16"/>
      <c r="J3331" s="16"/>
      <c r="K3331" s="16"/>
      <c r="L3331" s="16"/>
      <c r="M3331" s="223" t="s">
        <v>387</v>
      </c>
      <c r="N3331" s="16"/>
      <c r="O3331" s="17" t="s">
        <v>38</v>
      </c>
      <c r="P3331" s="5" t="str">
        <f t="shared" si="82"/>
        <v/>
      </c>
      <c r="Q3331" s="5"/>
      <c r="R3331" s="5"/>
    </row>
    <row r="3332" spans="2:18" x14ac:dyDescent="0.25">
      <c r="B3332" s="19" t="s">
        <v>4410</v>
      </c>
      <c r="C3332" s="16" t="s">
        <v>4411</v>
      </c>
      <c r="D3332" s="16" t="s">
        <v>8152</v>
      </c>
      <c r="E3332" s="16" t="s">
        <v>54</v>
      </c>
      <c r="F3332" s="5" t="s">
        <v>2657</v>
      </c>
      <c r="G3332" s="16" t="s">
        <v>35</v>
      </c>
      <c r="H3332" s="16" t="s">
        <v>36</v>
      </c>
      <c r="I3332" s="16"/>
      <c r="J3332" s="16"/>
      <c r="K3332" s="16"/>
      <c r="L3332" s="16"/>
      <c r="M3332" s="223" t="s">
        <v>387</v>
      </c>
      <c r="N3332" s="16"/>
      <c r="O3332" s="17" t="s">
        <v>38</v>
      </c>
      <c r="P3332" s="5" t="str">
        <f t="shared" si="82"/>
        <v/>
      </c>
      <c r="Q3332" s="5"/>
      <c r="R3332" s="5"/>
    </row>
    <row r="3333" spans="2:18" x14ac:dyDescent="0.25">
      <c r="B3333" s="19" t="s">
        <v>4412</v>
      </c>
      <c r="C3333" s="20" t="s">
        <v>1800</v>
      </c>
      <c r="D3333" s="16" t="s">
        <v>29</v>
      </c>
      <c r="E3333" s="16"/>
      <c r="F3333" s="5"/>
      <c r="G3333" s="16" t="s">
        <v>35</v>
      </c>
      <c r="H3333" s="16"/>
      <c r="I3333" s="16"/>
      <c r="J3333" s="16"/>
      <c r="K3333" s="16"/>
      <c r="L3333" s="16"/>
      <c r="M3333" s="16"/>
      <c r="N3333" s="16" t="s">
        <v>4413</v>
      </c>
      <c r="O3333" s="17" t="s">
        <v>38</v>
      </c>
      <c r="P3333" s="5" t="str">
        <f t="shared" si="82"/>
        <v>Truncate table FST080;</v>
      </c>
      <c r="Q3333" s="5"/>
      <c r="R3333" s="5"/>
    </row>
    <row r="3334" spans="2:18" x14ac:dyDescent="0.25">
      <c r="B3334" s="19" t="s">
        <v>4414</v>
      </c>
      <c r="C3334" s="20" t="s">
        <v>4415</v>
      </c>
      <c r="D3334" s="16" t="s">
        <v>29</v>
      </c>
      <c r="E3334" s="16"/>
      <c r="F3334" s="5"/>
      <c r="G3334" s="16" t="s">
        <v>35</v>
      </c>
      <c r="H3334" s="16"/>
      <c r="I3334" s="16"/>
      <c r="J3334" s="16"/>
      <c r="K3334" s="16"/>
      <c r="L3334" s="16"/>
      <c r="M3334" s="16"/>
      <c r="N3334" s="16" t="s">
        <v>4413</v>
      </c>
      <c r="O3334" s="17" t="s">
        <v>38</v>
      </c>
      <c r="P3334" s="5" t="str">
        <f t="shared" si="82"/>
        <v>Truncate table FST081;</v>
      </c>
      <c r="Q3334" s="5"/>
      <c r="R3334" s="5"/>
    </row>
    <row r="3335" spans="2:18" ht="36.75" customHeight="1" x14ac:dyDescent="0.25">
      <c r="B3335" s="19" t="s">
        <v>4416</v>
      </c>
      <c r="C3335" s="16" t="s">
        <v>4417</v>
      </c>
      <c r="D3335" s="16" t="s">
        <v>8152</v>
      </c>
      <c r="E3335" s="16" t="s">
        <v>151</v>
      </c>
      <c r="F3335" s="5" t="s">
        <v>699</v>
      </c>
      <c r="G3335" s="16" t="s">
        <v>35</v>
      </c>
      <c r="H3335" s="16" t="s">
        <v>36</v>
      </c>
      <c r="I3335" s="16"/>
      <c r="J3335" s="16"/>
      <c r="K3335" s="16"/>
      <c r="L3335" s="16"/>
      <c r="M3335" s="238" t="s">
        <v>387</v>
      </c>
      <c r="N3335" s="16"/>
      <c r="O3335" s="17" t="s">
        <v>38</v>
      </c>
      <c r="P3335" s="5" t="str">
        <f t="shared" si="82"/>
        <v/>
      </c>
      <c r="Q3335" s="5"/>
      <c r="R3335" s="5"/>
    </row>
    <row r="3336" spans="2:18" x14ac:dyDescent="0.25">
      <c r="B3336" s="19" t="s">
        <v>4418</v>
      </c>
      <c r="C3336" s="16" t="s">
        <v>4419</v>
      </c>
      <c r="D3336" s="16" t="s">
        <v>8152</v>
      </c>
      <c r="E3336" s="16" t="s">
        <v>151</v>
      </c>
      <c r="F3336" s="5" t="s">
        <v>699</v>
      </c>
      <c r="G3336" s="16" t="s">
        <v>35</v>
      </c>
      <c r="H3336" s="16" t="s">
        <v>36</v>
      </c>
      <c r="I3336" s="16"/>
      <c r="J3336" s="16"/>
      <c r="K3336" s="16"/>
      <c r="L3336" s="16"/>
      <c r="M3336" s="223" t="s">
        <v>387</v>
      </c>
      <c r="N3336" s="16"/>
      <c r="O3336" s="17" t="s">
        <v>38</v>
      </c>
      <c r="P3336" s="5" t="str">
        <f t="shared" si="82"/>
        <v/>
      </c>
      <c r="Q3336" s="5"/>
      <c r="R3336" s="5"/>
    </row>
    <row r="3337" spans="2:18" ht="36.75" customHeight="1" x14ac:dyDescent="0.25">
      <c r="B3337" s="19" t="s">
        <v>4420</v>
      </c>
      <c r="C3337" s="16" t="s">
        <v>4421</v>
      </c>
      <c r="D3337" s="16" t="s">
        <v>8152</v>
      </c>
      <c r="E3337" s="16" t="s">
        <v>151</v>
      </c>
      <c r="F3337" s="5" t="s">
        <v>699</v>
      </c>
      <c r="G3337" s="16" t="s">
        <v>35</v>
      </c>
      <c r="H3337" s="16" t="s">
        <v>36</v>
      </c>
      <c r="I3337" s="16"/>
      <c r="J3337" s="16"/>
      <c r="K3337" s="16"/>
      <c r="L3337" s="16"/>
      <c r="M3337" s="223" t="s">
        <v>387</v>
      </c>
      <c r="N3337" s="16"/>
      <c r="O3337" s="17" t="s">
        <v>38</v>
      </c>
      <c r="P3337" s="5" t="str">
        <f t="shared" si="82"/>
        <v/>
      </c>
      <c r="Q3337" s="5"/>
      <c r="R3337" s="5"/>
    </row>
    <row r="3338" spans="2:18" ht="40.5" x14ac:dyDescent="0.25">
      <c r="B3338" s="4" t="s">
        <v>4422</v>
      </c>
      <c r="C3338" s="5" t="s">
        <v>4423</v>
      </c>
      <c r="D3338" s="16" t="s">
        <v>8152</v>
      </c>
      <c r="E3338" s="16" t="s">
        <v>54</v>
      </c>
      <c r="F3338" s="5" t="s">
        <v>2657</v>
      </c>
      <c r="G3338" s="16" t="s">
        <v>35</v>
      </c>
      <c r="H3338" s="5" t="s">
        <v>36</v>
      </c>
      <c r="I3338" s="5" t="s">
        <v>4424</v>
      </c>
      <c r="J3338" s="5" t="s">
        <v>4425</v>
      </c>
      <c r="K3338" s="5" t="s">
        <v>1581</v>
      </c>
      <c r="L3338" s="5" t="s">
        <v>4426</v>
      </c>
      <c r="M3338" s="229"/>
      <c r="N3338" s="5"/>
      <c r="O3338" s="17" t="s">
        <v>38</v>
      </c>
      <c r="P3338" s="5" t="str">
        <f t="shared" si="82"/>
        <v/>
      </c>
      <c r="Q3338" s="5"/>
      <c r="R3338" s="5"/>
    </row>
    <row r="3339" spans="2:18" ht="24" customHeight="1" x14ac:dyDescent="0.25">
      <c r="B3339" s="19" t="s">
        <v>4427</v>
      </c>
      <c r="C3339" s="16" t="s">
        <v>4428</v>
      </c>
      <c r="D3339" s="16" t="s">
        <v>8152</v>
      </c>
      <c r="E3339" s="16" t="s">
        <v>151</v>
      </c>
      <c r="F3339" s="5" t="s">
        <v>699</v>
      </c>
      <c r="G3339" s="16" t="s">
        <v>35</v>
      </c>
      <c r="H3339" s="16" t="s">
        <v>36</v>
      </c>
      <c r="I3339" s="16"/>
      <c r="J3339" s="16"/>
      <c r="K3339" s="16"/>
      <c r="L3339" s="16"/>
      <c r="M3339" s="223" t="s">
        <v>387</v>
      </c>
      <c r="N3339" s="16"/>
      <c r="O3339" s="17" t="s">
        <v>38</v>
      </c>
      <c r="P3339" s="5" t="str">
        <f t="shared" si="82"/>
        <v/>
      </c>
      <c r="Q3339" s="5"/>
      <c r="R3339" s="5"/>
    </row>
    <row r="3340" spans="2:18" x14ac:dyDescent="0.25">
      <c r="B3340" s="12" t="s">
        <v>4429</v>
      </c>
      <c r="C3340" s="20" t="s">
        <v>4430</v>
      </c>
      <c r="D3340" s="16" t="s">
        <v>8152</v>
      </c>
      <c r="E3340" s="16" t="s">
        <v>151</v>
      </c>
      <c r="F3340" s="5" t="s">
        <v>699</v>
      </c>
      <c r="G3340" s="16" t="s">
        <v>35</v>
      </c>
      <c r="H3340" s="16" t="s">
        <v>36</v>
      </c>
      <c r="I3340" s="16"/>
      <c r="J3340" s="16"/>
      <c r="K3340" s="16"/>
      <c r="L3340" s="16"/>
      <c r="M3340" s="223" t="s">
        <v>387</v>
      </c>
      <c r="N3340" s="16"/>
      <c r="O3340" s="17" t="s">
        <v>38</v>
      </c>
      <c r="P3340" s="5" t="str">
        <f t="shared" si="82"/>
        <v/>
      </c>
      <c r="Q3340" s="5"/>
      <c r="R3340" s="5"/>
    </row>
    <row r="3341" spans="2:18" x14ac:dyDescent="0.25">
      <c r="B3341" s="19" t="s">
        <v>4431</v>
      </c>
      <c r="C3341" s="16"/>
      <c r="D3341" s="16" t="s">
        <v>29</v>
      </c>
      <c r="E3341" s="16"/>
      <c r="F3341" s="5"/>
      <c r="G3341" s="16" t="s">
        <v>35</v>
      </c>
      <c r="H3341" s="16"/>
      <c r="I3341" s="16"/>
      <c r="J3341" s="16"/>
      <c r="K3341" s="16"/>
      <c r="L3341" s="16"/>
      <c r="M3341" s="16"/>
      <c r="N3341" s="16"/>
      <c r="O3341" s="17" t="s">
        <v>38</v>
      </c>
      <c r="P3341" s="5" t="str">
        <f t="shared" si="82"/>
        <v>Truncate table FST097;</v>
      </c>
      <c r="Q3341" s="5"/>
      <c r="R3341" s="5"/>
    </row>
    <row r="3342" spans="2:18" ht="57" customHeight="1" x14ac:dyDescent="0.25">
      <c r="B3342" s="19" t="s">
        <v>4432</v>
      </c>
      <c r="C3342" s="16" t="s">
        <v>4433</v>
      </c>
      <c r="D3342" s="16" t="s">
        <v>8152</v>
      </c>
      <c r="E3342" s="16" t="s">
        <v>54</v>
      </c>
      <c r="F3342" s="5" t="s">
        <v>4278</v>
      </c>
      <c r="G3342" s="16" t="s">
        <v>35</v>
      </c>
      <c r="H3342" s="16" t="s">
        <v>36</v>
      </c>
      <c r="I3342" s="16"/>
      <c r="J3342" s="16"/>
      <c r="K3342" s="16"/>
      <c r="L3342" s="20" t="s">
        <v>4279</v>
      </c>
      <c r="M3342" s="230"/>
      <c r="N3342" s="16"/>
      <c r="O3342" s="17" t="s">
        <v>38</v>
      </c>
      <c r="P3342" s="5" t="str">
        <f t="shared" si="82"/>
        <v/>
      </c>
      <c r="Q3342" s="5"/>
      <c r="R3342" s="5"/>
    </row>
    <row r="3343" spans="2:18" x14ac:dyDescent="0.25">
      <c r="B3343" s="19" t="s">
        <v>4434</v>
      </c>
      <c r="C3343" s="16" t="s">
        <v>4435</v>
      </c>
      <c r="D3343" s="16" t="s">
        <v>8152</v>
      </c>
      <c r="E3343" s="16" t="s">
        <v>54</v>
      </c>
      <c r="F3343" s="5" t="s">
        <v>2832</v>
      </c>
      <c r="G3343" s="16" t="s">
        <v>35</v>
      </c>
      <c r="H3343" s="16" t="s">
        <v>36</v>
      </c>
      <c r="I3343" s="16"/>
      <c r="J3343" s="16"/>
      <c r="K3343" s="16"/>
      <c r="L3343" s="16"/>
      <c r="M3343" s="16"/>
      <c r="N3343" s="16"/>
      <c r="O3343" s="17" t="s">
        <v>38</v>
      </c>
      <c r="P3343" s="5" t="str">
        <f t="shared" si="82"/>
        <v/>
      </c>
      <c r="Q3343" s="5"/>
      <c r="R3343" s="5"/>
    </row>
    <row r="3344" spans="2:18" x14ac:dyDescent="0.25">
      <c r="B3344" s="15" t="s">
        <v>4436</v>
      </c>
      <c r="C3344" s="16" t="s">
        <v>4437</v>
      </c>
      <c r="D3344" s="16" t="s">
        <v>8152</v>
      </c>
      <c r="E3344" s="16" t="s">
        <v>54</v>
      </c>
      <c r="F3344" s="5" t="s">
        <v>557</v>
      </c>
      <c r="G3344" s="16" t="s">
        <v>35</v>
      </c>
      <c r="H3344" s="16" t="s">
        <v>36</v>
      </c>
      <c r="I3344" s="16"/>
      <c r="J3344" s="16"/>
      <c r="K3344" s="16"/>
      <c r="L3344" s="16"/>
      <c r="M3344" s="16"/>
      <c r="N3344" s="16" t="s">
        <v>558</v>
      </c>
      <c r="O3344" s="17" t="s">
        <v>38</v>
      </c>
      <c r="P3344" s="5" t="str">
        <f t="shared" si="82"/>
        <v/>
      </c>
      <c r="Q3344" s="5"/>
      <c r="R3344" s="5"/>
    </row>
    <row r="3345" spans="2:18" ht="51.75" customHeight="1" x14ac:dyDescent="0.25">
      <c r="B3345" s="19" t="s">
        <v>4438</v>
      </c>
      <c r="C3345" s="16" t="s">
        <v>4439</v>
      </c>
      <c r="D3345" s="16" t="s">
        <v>8152</v>
      </c>
      <c r="E3345" s="16" t="s">
        <v>54</v>
      </c>
      <c r="F3345" s="5" t="s">
        <v>4278</v>
      </c>
      <c r="G3345" s="16" t="s">
        <v>35</v>
      </c>
      <c r="H3345" s="16" t="s">
        <v>36</v>
      </c>
      <c r="I3345" s="16"/>
      <c r="J3345" s="16"/>
      <c r="K3345" s="16"/>
      <c r="L3345" s="20" t="s">
        <v>4279</v>
      </c>
      <c r="M3345" s="230"/>
      <c r="N3345" s="16"/>
      <c r="O3345" s="17" t="s">
        <v>38</v>
      </c>
      <c r="P3345" s="5" t="str">
        <f t="shared" si="82"/>
        <v/>
      </c>
      <c r="Q3345" s="5"/>
      <c r="R3345" s="5"/>
    </row>
    <row r="3346" spans="2:18" x14ac:dyDescent="0.25">
      <c r="B3346" s="19" t="s">
        <v>4440</v>
      </c>
      <c r="C3346" s="20" t="s">
        <v>4441</v>
      </c>
      <c r="D3346" s="16" t="s">
        <v>29</v>
      </c>
      <c r="E3346" s="16"/>
      <c r="F3346" s="5"/>
      <c r="G3346" s="16" t="s">
        <v>35</v>
      </c>
      <c r="H3346" s="16"/>
      <c r="I3346" s="16"/>
      <c r="J3346" s="16"/>
      <c r="K3346" s="16"/>
      <c r="L3346" s="16"/>
      <c r="M3346" s="16"/>
      <c r="N3346" s="16"/>
      <c r="O3346" s="17" t="s">
        <v>38</v>
      </c>
      <c r="P3346" s="5" t="str">
        <f t="shared" si="82"/>
        <v>Truncate table FST103;</v>
      </c>
      <c r="Q3346" s="5"/>
      <c r="R3346" s="5"/>
    </row>
    <row r="3347" spans="2:18" x14ac:dyDescent="0.25">
      <c r="B3347" s="19" t="s">
        <v>4442</v>
      </c>
      <c r="C3347" s="16" t="s">
        <v>4443</v>
      </c>
      <c r="D3347" s="16" t="s">
        <v>8152</v>
      </c>
      <c r="E3347" s="16" t="s">
        <v>54</v>
      </c>
      <c r="F3347" s="5" t="s">
        <v>2657</v>
      </c>
      <c r="G3347" s="16" t="s">
        <v>35</v>
      </c>
      <c r="H3347" s="16" t="s">
        <v>36</v>
      </c>
      <c r="I3347" s="16"/>
      <c r="J3347" s="16"/>
      <c r="K3347" s="16"/>
      <c r="L3347" s="16"/>
      <c r="M3347" s="238" t="s">
        <v>387</v>
      </c>
      <c r="N3347" s="16"/>
      <c r="O3347" s="17" t="s">
        <v>38</v>
      </c>
      <c r="P3347" s="5" t="str">
        <f t="shared" si="82"/>
        <v/>
      </c>
      <c r="Q3347" s="5"/>
      <c r="R3347" s="5"/>
    </row>
    <row r="3348" spans="2:18" x14ac:dyDescent="0.25">
      <c r="B3348" s="19" t="s">
        <v>4444</v>
      </c>
      <c r="C3348" s="16" t="s">
        <v>4445</v>
      </c>
      <c r="D3348" s="16" t="s">
        <v>8152</v>
      </c>
      <c r="E3348" s="16" t="s">
        <v>54</v>
      </c>
      <c r="F3348" s="5" t="s">
        <v>2813</v>
      </c>
      <c r="G3348" s="16" t="s">
        <v>35</v>
      </c>
      <c r="H3348" s="16" t="s">
        <v>36</v>
      </c>
      <c r="I3348" s="16"/>
      <c r="J3348" s="16"/>
      <c r="K3348" s="16"/>
      <c r="L3348" s="16"/>
      <c r="M3348" s="223" t="s">
        <v>387</v>
      </c>
      <c r="N3348" s="16"/>
      <c r="O3348" s="17" t="s">
        <v>38</v>
      </c>
      <c r="P3348" s="5" t="str">
        <f t="shared" si="82"/>
        <v/>
      </c>
      <c r="Q3348" s="5"/>
      <c r="R3348" s="5"/>
    </row>
    <row r="3349" spans="2:18" x14ac:dyDescent="0.25">
      <c r="B3349" s="19" t="s">
        <v>4446</v>
      </c>
      <c r="C3349" s="16" t="s">
        <v>4447</v>
      </c>
      <c r="D3349" s="16" t="s">
        <v>8152</v>
      </c>
      <c r="E3349" s="16" t="s">
        <v>54</v>
      </c>
      <c r="F3349" s="5" t="s">
        <v>163</v>
      </c>
      <c r="G3349" s="16" t="s">
        <v>35</v>
      </c>
      <c r="H3349" s="16" t="s">
        <v>36</v>
      </c>
      <c r="I3349" s="16"/>
      <c r="J3349" s="16"/>
      <c r="K3349" s="16"/>
      <c r="L3349" s="16"/>
      <c r="M3349" s="229"/>
      <c r="N3349" s="16"/>
      <c r="O3349" s="17" t="s">
        <v>38</v>
      </c>
      <c r="P3349" s="5" t="str">
        <f t="shared" si="82"/>
        <v/>
      </c>
      <c r="Q3349" s="5"/>
      <c r="R3349" s="5"/>
    </row>
    <row r="3350" spans="2:18" x14ac:dyDescent="0.25">
      <c r="B3350" s="19" t="s">
        <v>4448</v>
      </c>
      <c r="C3350" s="16" t="s">
        <v>4449</v>
      </c>
      <c r="D3350" s="16" t="s">
        <v>8152</v>
      </c>
      <c r="E3350" s="16" t="s">
        <v>54</v>
      </c>
      <c r="F3350" s="5" t="s">
        <v>2813</v>
      </c>
      <c r="G3350" s="16" t="s">
        <v>35</v>
      </c>
      <c r="H3350" s="16" t="s">
        <v>36</v>
      </c>
      <c r="I3350" s="16"/>
      <c r="J3350" s="16"/>
      <c r="K3350" s="16"/>
      <c r="L3350" s="16"/>
      <c r="M3350" s="229"/>
      <c r="N3350" s="16"/>
      <c r="O3350" s="17" t="s">
        <v>38</v>
      </c>
      <c r="P3350" s="5" t="str">
        <f t="shared" si="82"/>
        <v/>
      </c>
      <c r="Q3350" s="5"/>
      <c r="R3350" s="5"/>
    </row>
    <row r="3351" spans="2:18" x14ac:dyDescent="0.25">
      <c r="B3351" s="19" t="s">
        <v>4450</v>
      </c>
      <c r="C3351" s="16" t="s">
        <v>4451</v>
      </c>
      <c r="D3351" s="16" t="s">
        <v>8152</v>
      </c>
      <c r="E3351" s="16" t="s">
        <v>54</v>
      </c>
      <c r="F3351" s="5" t="s">
        <v>163</v>
      </c>
      <c r="G3351" s="16" t="s">
        <v>35</v>
      </c>
      <c r="H3351" s="16" t="s">
        <v>36</v>
      </c>
      <c r="I3351" s="16"/>
      <c r="J3351" s="16"/>
      <c r="K3351" s="16"/>
      <c r="L3351" s="16"/>
      <c r="M3351" s="229"/>
      <c r="N3351" s="16"/>
      <c r="O3351" s="17" t="s">
        <v>38</v>
      </c>
      <c r="P3351" s="5" t="str">
        <f t="shared" si="82"/>
        <v/>
      </c>
      <c r="Q3351" s="5"/>
      <c r="R3351" s="5"/>
    </row>
    <row r="3352" spans="2:18" x14ac:dyDescent="0.25">
      <c r="B3352" s="19" t="s">
        <v>4452</v>
      </c>
      <c r="C3352" s="16" t="s">
        <v>4453</v>
      </c>
      <c r="D3352" s="16" t="s">
        <v>8152</v>
      </c>
      <c r="E3352" s="16" t="s">
        <v>54</v>
      </c>
      <c r="F3352" s="5" t="s">
        <v>163</v>
      </c>
      <c r="G3352" s="16" t="s">
        <v>35</v>
      </c>
      <c r="H3352" s="16" t="s">
        <v>36</v>
      </c>
      <c r="I3352" s="16"/>
      <c r="J3352" s="16"/>
      <c r="K3352" s="16"/>
      <c r="L3352" s="16"/>
      <c r="M3352" s="229"/>
      <c r="N3352" s="16"/>
      <c r="O3352" s="17" t="s">
        <v>38</v>
      </c>
      <c r="P3352" s="5" t="str">
        <f t="shared" si="82"/>
        <v/>
      </c>
      <c r="Q3352" s="5"/>
      <c r="R3352" s="5"/>
    </row>
    <row r="3353" spans="2:18" ht="45" customHeight="1" x14ac:dyDescent="0.25">
      <c r="B3353" s="19" t="s">
        <v>4454</v>
      </c>
      <c r="C3353" s="16" t="s">
        <v>4455</v>
      </c>
      <c r="D3353" s="16" t="s">
        <v>8152</v>
      </c>
      <c r="E3353" s="16" t="s">
        <v>54</v>
      </c>
      <c r="F3353" s="5" t="s">
        <v>4278</v>
      </c>
      <c r="G3353" s="16" t="s">
        <v>35</v>
      </c>
      <c r="H3353" s="16" t="s">
        <v>36</v>
      </c>
      <c r="I3353" s="16"/>
      <c r="J3353" s="16"/>
      <c r="K3353" s="16"/>
      <c r="L3353" s="20" t="s">
        <v>4279</v>
      </c>
      <c r="M3353" s="230"/>
      <c r="N3353" s="16"/>
      <c r="O3353" s="17" t="s">
        <v>38</v>
      </c>
      <c r="P3353" s="5" t="str">
        <f t="shared" si="82"/>
        <v/>
      </c>
      <c r="Q3353" s="5"/>
      <c r="R3353" s="5"/>
    </row>
    <row r="3354" spans="2:18" ht="50.25" customHeight="1" x14ac:dyDescent="0.25">
      <c r="B3354" s="19" t="s">
        <v>4456</v>
      </c>
      <c r="C3354" s="16" t="s">
        <v>4457</v>
      </c>
      <c r="D3354" s="16" t="s">
        <v>8152</v>
      </c>
      <c r="E3354" s="16" t="s">
        <v>54</v>
      </c>
      <c r="F3354" s="5" t="s">
        <v>4278</v>
      </c>
      <c r="G3354" s="16" t="s">
        <v>35</v>
      </c>
      <c r="H3354" s="16" t="s">
        <v>36</v>
      </c>
      <c r="I3354" s="16"/>
      <c r="J3354" s="16"/>
      <c r="K3354" s="16"/>
      <c r="L3354" s="20" t="s">
        <v>4279</v>
      </c>
      <c r="M3354" s="230"/>
      <c r="N3354" s="16"/>
      <c r="O3354" s="17" t="s">
        <v>38</v>
      </c>
      <c r="P3354" s="5" t="str">
        <f t="shared" si="82"/>
        <v/>
      </c>
      <c r="Q3354" s="5"/>
      <c r="R3354" s="5"/>
    </row>
    <row r="3355" spans="2:18" x14ac:dyDescent="0.25">
      <c r="B3355" s="19" t="s">
        <v>4458</v>
      </c>
      <c r="C3355" s="16" t="s">
        <v>4459</v>
      </c>
      <c r="D3355" s="16" t="s">
        <v>8152</v>
      </c>
      <c r="E3355" s="22" t="s">
        <v>243</v>
      </c>
      <c r="F3355" s="22" t="s">
        <v>243</v>
      </c>
      <c r="G3355" s="16" t="s">
        <v>35</v>
      </c>
      <c r="H3355" s="16" t="s">
        <v>36</v>
      </c>
      <c r="I3355" s="16"/>
      <c r="J3355" s="16"/>
      <c r="K3355" s="16"/>
      <c r="L3355" s="16"/>
      <c r="M3355" s="229"/>
      <c r="N3355" s="16"/>
      <c r="O3355" s="17" t="s">
        <v>38</v>
      </c>
      <c r="P3355" s="5" t="str">
        <f t="shared" si="82"/>
        <v/>
      </c>
      <c r="Q3355" s="5"/>
      <c r="R3355" s="5"/>
    </row>
    <row r="3356" spans="2:18" x14ac:dyDescent="0.25">
      <c r="B3356" s="19" t="s">
        <v>4460</v>
      </c>
      <c r="C3356" s="20" t="s">
        <v>4461</v>
      </c>
      <c r="D3356" s="16" t="s">
        <v>8152</v>
      </c>
      <c r="E3356" s="16"/>
      <c r="F3356" s="5"/>
      <c r="G3356" s="16" t="s">
        <v>35</v>
      </c>
      <c r="H3356" s="16"/>
      <c r="I3356" s="16"/>
      <c r="J3356" s="16"/>
      <c r="K3356" s="16"/>
      <c r="L3356" s="16"/>
      <c r="M3356" s="229"/>
      <c r="N3356" s="16"/>
      <c r="O3356" s="17" t="s">
        <v>38</v>
      </c>
      <c r="P3356" s="5" t="str">
        <f t="shared" si="82"/>
        <v/>
      </c>
      <c r="Q3356" s="5"/>
      <c r="R3356" s="5"/>
    </row>
    <row r="3357" spans="2:18" x14ac:dyDescent="0.25">
      <c r="B3357" s="19" t="s">
        <v>4462</v>
      </c>
      <c r="C3357" s="16" t="s">
        <v>4463</v>
      </c>
      <c r="D3357" s="16" t="s">
        <v>8152</v>
      </c>
      <c r="E3357" s="16" t="s">
        <v>54</v>
      </c>
      <c r="F3357" s="5" t="s">
        <v>163</v>
      </c>
      <c r="G3357" s="16" t="s">
        <v>35</v>
      </c>
      <c r="H3357" s="16" t="s">
        <v>36</v>
      </c>
      <c r="I3357" s="16"/>
      <c r="J3357" s="16"/>
      <c r="K3357" s="16"/>
      <c r="L3357" s="16"/>
      <c r="M3357" s="229"/>
      <c r="N3357" s="16"/>
      <c r="O3357" s="17" t="s">
        <v>38</v>
      </c>
      <c r="P3357" s="5" t="str">
        <f t="shared" si="82"/>
        <v/>
      </c>
      <c r="Q3357" s="5"/>
      <c r="R3357" s="5"/>
    </row>
    <row r="3358" spans="2:18" x14ac:dyDescent="0.25">
      <c r="B3358" s="19" t="s">
        <v>4464</v>
      </c>
      <c r="C3358" s="16" t="s">
        <v>4465</v>
      </c>
      <c r="D3358" s="16" t="s">
        <v>8152</v>
      </c>
      <c r="E3358" s="16" t="s">
        <v>54</v>
      </c>
      <c r="F3358" s="5" t="s">
        <v>163</v>
      </c>
      <c r="G3358" s="16" t="s">
        <v>35</v>
      </c>
      <c r="H3358" s="16" t="s">
        <v>36</v>
      </c>
      <c r="I3358" s="16"/>
      <c r="J3358" s="16"/>
      <c r="K3358" s="16"/>
      <c r="L3358" s="16"/>
      <c r="M3358" s="229"/>
      <c r="N3358" s="16"/>
      <c r="O3358" s="17" t="s">
        <v>38</v>
      </c>
      <c r="P3358" s="5" t="str">
        <f t="shared" si="82"/>
        <v/>
      </c>
      <c r="Q3358" s="5"/>
      <c r="R3358" s="5"/>
    </row>
    <row r="3359" spans="2:18" x14ac:dyDescent="0.25">
      <c r="B3359" s="19" t="s">
        <v>4466</v>
      </c>
      <c r="C3359" s="16" t="s">
        <v>4467</v>
      </c>
      <c r="D3359" s="16" t="s">
        <v>8152</v>
      </c>
      <c r="E3359" s="16" t="s">
        <v>54</v>
      </c>
      <c r="F3359" s="5" t="s">
        <v>163</v>
      </c>
      <c r="G3359" s="16" t="s">
        <v>35</v>
      </c>
      <c r="H3359" s="16" t="s">
        <v>36</v>
      </c>
      <c r="I3359" s="16"/>
      <c r="J3359" s="16"/>
      <c r="K3359" s="16"/>
      <c r="L3359" s="16"/>
      <c r="M3359" s="229"/>
      <c r="N3359" s="16"/>
      <c r="O3359" s="17" t="s">
        <v>38</v>
      </c>
      <c r="P3359" s="5" t="str">
        <f t="shared" si="82"/>
        <v/>
      </c>
      <c r="Q3359" s="5"/>
      <c r="R3359" s="5"/>
    </row>
    <row r="3360" spans="2:18" x14ac:dyDescent="0.25">
      <c r="B3360" s="19" t="s">
        <v>4468</v>
      </c>
      <c r="C3360" s="16" t="s">
        <v>4469</v>
      </c>
      <c r="D3360" s="16" t="s">
        <v>8152</v>
      </c>
      <c r="E3360" s="16" t="s">
        <v>54</v>
      </c>
      <c r="F3360" s="5" t="s">
        <v>163</v>
      </c>
      <c r="G3360" s="16" t="s">
        <v>35</v>
      </c>
      <c r="H3360" s="16" t="s">
        <v>36</v>
      </c>
      <c r="I3360" s="16"/>
      <c r="J3360" s="16"/>
      <c r="K3360" s="16"/>
      <c r="L3360" s="16"/>
      <c r="M3360" s="229"/>
      <c r="N3360" s="16"/>
      <c r="O3360" s="17" t="s">
        <v>38</v>
      </c>
      <c r="P3360" s="5" t="str">
        <f t="shared" si="82"/>
        <v/>
      </c>
      <c r="Q3360" s="5"/>
      <c r="R3360" s="5"/>
    </row>
    <row r="3361" spans="2:18" x14ac:dyDescent="0.25">
      <c r="B3361" s="19" t="s">
        <v>4470</v>
      </c>
      <c r="C3361" s="16" t="s">
        <v>4471</v>
      </c>
      <c r="D3361" s="16" t="s">
        <v>8152</v>
      </c>
      <c r="E3361" s="16" t="s">
        <v>54</v>
      </c>
      <c r="F3361" s="5" t="s">
        <v>2832</v>
      </c>
      <c r="G3361" s="16" t="s">
        <v>35</v>
      </c>
      <c r="H3361" s="16" t="s">
        <v>36</v>
      </c>
      <c r="I3361" s="16"/>
      <c r="J3361" s="16"/>
      <c r="K3361" s="16"/>
      <c r="L3361" s="16"/>
      <c r="M3361" s="16"/>
      <c r="N3361" s="16"/>
      <c r="O3361" s="17" t="s">
        <v>38</v>
      </c>
      <c r="P3361" s="5" t="str">
        <f t="shared" si="82"/>
        <v/>
      </c>
      <c r="Q3361" s="5"/>
      <c r="R3361" s="5"/>
    </row>
    <row r="3362" spans="2:18" x14ac:dyDescent="0.25">
      <c r="B3362" s="19" t="s">
        <v>4472</v>
      </c>
      <c r="C3362" s="16" t="s">
        <v>4473</v>
      </c>
      <c r="D3362" s="16" t="s">
        <v>8152</v>
      </c>
      <c r="E3362" s="16" t="s">
        <v>54</v>
      </c>
      <c r="F3362" s="5" t="s">
        <v>557</v>
      </c>
      <c r="G3362" s="16" t="s">
        <v>28</v>
      </c>
      <c r="H3362" s="16" t="s">
        <v>36</v>
      </c>
      <c r="I3362" s="16"/>
      <c r="J3362" s="16"/>
      <c r="K3362" s="16"/>
      <c r="L3362" s="16"/>
      <c r="M3362" s="16"/>
      <c r="N3362" s="16" t="s">
        <v>4299</v>
      </c>
      <c r="O3362" s="17" t="s">
        <v>38</v>
      </c>
      <c r="P3362" s="5" t="str">
        <f t="shared" si="82"/>
        <v/>
      </c>
      <c r="Q3362" s="5"/>
      <c r="R3362" s="5"/>
    </row>
    <row r="3363" spans="2:18" x14ac:dyDescent="0.25">
      <c r="B3363" s="19" t="s">
        <v>4474</v>
      </c>
      <c r="C3363" s="20" t="s">
        <v>4475</v>
      </c>
      <c r="D3363" s="16" t="s">
        <v>8152</v>
      </c>
      <c r="E3363" s="16" t="s">
        <v>151</v>
      </c>
      <c r="F3363" s="5" t="s">
        <v>8213</v>
      </c>
      <c r="G3363" s="16" t="s">
        <v>35</v>
      </c>
      <c r="H3363" s="16" t="s">
        <v>36</v>
      </c>
      <c r="I3363" s="16"/>
      <c r="J3363" s="16"/>
      <c r="K3363" s="16"/>
      <c r="L3363" s="16"/>
      <c r="M3363" s="229"/>
      <c r="N3363" s="16"/>
      <c r="O3363" s="17" t="s">
        <v>38</v>
      </c>
      <c r="P3363" s="5" t="str">
        <f t="shared" si="82"/>
        <v/>
      </c>
      <c r="Q3363" s="5"/>
      <c r="R3363" s="5"/>
    </row>
    <row r="3364" spans="2:18" x14ac:dyDescent="0.25">
      <c r="B3364" s="19" t="s">
        <v>4476</v>
      </c>
      <c r="C3364" s="20" t="s">
        <v>4477</v>
      </c>
      <c r="D3364" s="16" t="s">
        <v>8152</v>
      </c>
      <c r="E3364" s="16"/>
      <c r="F3364" s="5"/>
      <c r="G3364" s="16" t="s">
        <v>35</v>
      </c>
      <c r="H3364" s="16"/>
      <c r="I3364" s="16"/>
      <c r="J3364" s="16"/>
      <c r="K3364" s="16"/>
      <c r="L3364" s="16"/>
      <c r="M3364" s="229"/>
      <c r="N3364" s="16" t="s">
        <v>4413</v>
      </c>
      <c r="O3364" s="17" t="s">
        <v>387</v>
      </c>
      <c r="P3364" s="5" t="str">
        <f t="shared" si="82"/>
        <v/>
      </c>
      <c r="Q3364" s="5"/>
      <c r="R3364" s="5"/>
    </row>
    <row r="3365" spans="2:18" x14ac:dyDescent="0.25">
      <c r="B3365" s="19" t="s">
        <v>4478</v>
      </c>
      <c r="C3365" s="16" t="s">
        <v>4479</v>
      </c>
      <c r="D3365" s="16" t="s">
        <v>8152</v>
      </c>
      <c r="E3365" s="16" t="s">
        <v>54</v>
      </c>
      <c r="F3365" s="5" t="s">
        <v>2657</v>
      </c>
      <c r="G3365" s="16" t="s">
        <v>35</v>
      </c>
      <c r="H3365" s="16" t="s">
        <v>36</v>
      </c>
      <c r="I3365" s="16"/>
      <c r="J3365" s="16"/>
      <c r="K3365" s="16"/>
      <c r="L3365" s="16"/>
      <c r="M3365" s="229"/>
      <c r="N3365" s="16"/>
      <c r="O3365" s="17" t="s">
        <v>38</v>
      </c>
      <c r="P3365" s="5" t="str">
        <f t="shared" si="82"/>
        <v/>
      </c>
      <c r="Q3365" s="5"/>
      <c r="R3365" s="5"/>
    </row>
    <row r="3366" spans="2:18" x14ac:dyDescent="0.25">
      <c r="B3366" s="19" t="s">
        <v>4480</v>
      </c>
      <c r="C3366" s="16" t="s">
        <v>4481</v>
      </c>
      <c r="D3366" s="16" t="s">
        <v>8152</v>
      </c>
      <c r="E3366" s="16" t="s">
        <v>54</v>
      </c>
      <c r="F3366" s="5" t="s">
        <v>2832</v>
      </c>
      <c r="G3366" s="16" t="s">
        <v>35</v>
      </c>
      <c r="H3366" s="16" t="s">
        <v>36</v>
      </c>
      <c r="I3366" s="16"/>
      <c r="J3366" s="16"/>
      <c r="K3366" s="16"/>
      <c r="L3366" s="16"/>
      <c r="M3366" s="16"/>
      <c r="N3366" s="16"/>
      <c r="O3366" s="17" t="s">
        <v>38</v>
      </c>
      <c r="P3366" s="5" t="str">
        <f t="shared" si="82"/>
        <v/>
      </c>
      <c r="Q3366" s="5"/>
      <c r="R3366" s="5"/>
    </row>
    <row r="3367" spans="2:18" x14ac:dyDescent="0.25">
      <c r="B3367" s="19" t="s">
        <v>4482</v>
      </c>
      <c r="C3367" s="16" t="s">
        <v>4483</v>
      </c>
      <c r="D3367" s="16" t="s">
        <v>8152</v>
      </c>
      <c r="E3367" s="16" t="s">
        <v>54</v>
      </c>
      <c r="F3367" s="5" t="s">
        <v>4484</v>
      </c>
      <c r="G3367" s="16" t="s">
        <v>35</v>
      </c>
      <c r="H3367" s="16" t="s">
        <v>36</v>
      </c>
      <c r="I3367" s="16"/>
      <c r="J3367" s="16"/>
      <c r="K3367" s="16"/>
      <c r="L3367" s="16"/>
      <c r="M3367" s="16"/>
      <c r="N3367" s="16"/>
      <c r="O3367" s="17" t="s">
        <v>38</v>
      </c>
      <c r="P3367" s="5" t="str">
        <f t="shared" si="82"/>
        <v/>
      </c>
      <c r="Q3367" s="5"/>
      <c r="R3367" s="5"/>
    </row>
    <row r="3368" spans="2:18" x14ac:dyDescent="0.25">
      <c r="B3368" s="19" t="s">
        <v>4485</v>
      </c>
      <c r="C3368" s="16" t="s">
        <v>4486</v>
      </c>
      <c r="D3368" s="16" t="s">
        <v>8152</v>
      </c>
      <c r="E3368" s="22" t="s">
        <v>243</v>
      </c>
      <c r="F3368" s="22" t="s">
        <v>243</v>
      </c>
      <c r="G3368" s="16" t="s">
        <v>35</v>
      </c>
      <c r="H3368" s="16" t="s">
        <v>36</v>
      </c>
      <c r="I3368" s="16"/>
      <c r="J3368" s="16"/>
      <c r="K3368" s="16"/>
      <c r="L3368" s="16"/>
      <c r="M3368" s="229"/>
      <c r="N3368" s="16"/>
      <c r="O3368" s="17" t="s">
        <v>38</v>
      </c>
      <c r="P3368" s="5" t="str">
        <f t="shared" si="82"/>
        <v/>
      </c>
      <c r="Q3368" s="5"/>
      <c r="R3368" s="5"/>
    </row>
    <row r="3369" spans="2:18" x14ac:dyDescent="0.25">
      <c r="B3369" s="19" t="s">
        <v>4487</v>
      </c>
      <c r="C3369" s="16" t="s">
        <v>4488</v>
      </c>
      <c r="D3369" s="16" t="s">
        <v>8152</v>
      </c>
      <c r="E3369" s="16" t="s">
        <v>54</v>
      </c>
      <c r="F3369" s="5" t="s">
        <v>2932</v>
      </c>
      <c r="G3369" s="16" t="s">
        <v>35</v>
      </c>
      <c r="H3369" s="16" t="s">
        <v>36</v>
      </c>
      <c r="I3369" s="16"/>
      <c r="J3369" s="16"/>
      <c r="K3369" s="16"/>
      <c r="L3369" s="16"/>
      <c r="M3369" s="16"/>
      <c r="N3369" s="16"/>
      <c r="O3369" s="17" t="s">
        <v>38</v>
      </c>
      <c r="P3369" s="5" t="str">
        <f t="shared" si="82"/>
        <v/>
      </c>
      <c r="Q3369" s="5"/>
      <c r="R3369" s="5"/>
    </row>
    <row r="3370" spans="2:18" ht="40.5" customHeight="1" x14ac:dyDescent="0.25">
      <c r="B3370" s="19" t="s">
        <v>4489</v>
      </c>
      <c r="C3370" s="16" t="s">
        <v>4490</v>
      </c>
      <c r="D3370" s="16" t="s">
        <v>8152</v>
      </c>
      <c r="E3370" s="16" t="s">
        <v>54</v>
      </c>
      <c r="F3370" s="5" t="s">
        <v>235</v>
      </c>
      <c r="G3370" s="16" t="s">
        <v>35</v>
      </c>
      <c r="H3370" s="16" t="s">
        <v>36</v>
      </c>
      <c r="I3370" s="16"/>
      <c r="J3370" s="16"/>
      <c r="K3370" s="16"/>
      <c r="L3370" s="20" t="s">
        <v>4279</v>
      </c>
      <c r="M3370" s="230"/>
      <c r="N3370" s="16"/>
      <c r="O3370" s="17" t="s">
        <v>38</v>
      </c>
      <c r="P3370" s="5" t="str">
        <f t="shared" si="82"/>
        <v/>
      </c>
      <c r="Q3370" s="5"/>
      <c r="R3370" s="5"/>
    </row>
    <row r="3371" spans="2:18" x14ac:dyDescent="0.25">
      <c r="B3371" s="19" t="s">
        <v>4491</v>
      </c>
      <c r="C3371" s="16" t="s">
        <v>4492</v>
      </c>
      <c r="D3371" s="16" t="s">
        <v>8152</v>
      </c>
      <c r="E3371" s="16" t="s">
        <v>54</v>
      </c>
      <c r="F3371" s="5" t="s">
        <v>2932</v>
      </c>
      <c r="G3371" s="16" t="s">
        <v>35</v>
      </c>
      <c r="H3371" s="16" t="s">
        <v>36</v>
      </c>
      <c r="I3371" s="16"/>
      <c r="J3371" s="16"/>
      <c r="K3371" s="16"/>
      <c r="L3371" s="16"/>
      <c r="M3371" s="16"/>
      <c r="N3371" s="16"/>
      <c r="O3371" s="17" t="s">
        <v>38</v>
      </c>
      <c r="P3371" s="5" t="str">
        <f t="shared" si="82"/>
        <v/>
      </c>
      <c r="Q3371" s="5"/>
      <c r="R3371" s="5"/>
    </row>
    <row r="3372" spans="2:18" ht="54" x14ac:dyDescent="0.25">
      <c r="B3372" s="19" t="s">
        <v>4493</v>
      </c>
      <c r="C3372" s="16" t="s">
        <v>4494</v>
      </c>
      <c r="D3372" s="16" t="s">
        <v>8152</v>
      </c>
      <c r="E3372" s="16" t="s">
        <v>54</v>
      </c>
      <c r="F3372" s="5" t="s">
        <v>2932</v>
      </c>
      <c r="G3372" s="16" t="s">
        <v>35</v>
      </c>
      <c r="H3372" s="16" t="s">
        <v>36</v>
      </c>
      <c r="I3372" s="16"/>
      <c r="J3372" s="16"/>
      <c r="K3372" s="16"/>
      <c r="L3372" s="20" t="s">
        <v>4279</v>
      </c>
      <c r="M3372" s="20"/>
      <c r="N3372" s="16"/>
      <c r="O3372" s="17" t="s">
        <v>38</v>
      </c>
      <c r="P3372" s="5" t="str">
        <f t="shared" si="82"/>
        <v/>
      </c>
      <c r="Q3372" s="5"/>
      <c r="R3372" s="5"/>
    </row>
    <row r="3373" spans="2:18" x14ac:dyDescent="0.25">
      <c r="B3373" s="19" t="s">
        <v>4495</v>
      </c>
      <c r="C3373" s="16" t="s">
        <v>4496</v>
      </c>
      <c r="D3373" s="16" t="s">
        <v>8152</v>
      </c>
      <c r="E3373" s="16" t="s">
        <v>54</v>
      </c>
      <c r="F3373" s="5" t="s">
        <v>2932</v>
      </c>
      <c r="G3373" s="16" t="s">
        <v>35</v>
      </c>
      <c r="H3373" s="16"/>
      <c r="I3373" s="16"/>
      <c r="J3373" s="16"/>
      <c r="K3373" s="16"/>
      <c r="L3373" s="16"/>
      <c r="M3373" s="16"/>
      <c r="N3373" s="16"/>
      <c r="O3373" s="17" t="s">
        <v>38</v>
      </c>
      <c r="P3373" s="5" t="str">
        <f t="shared" si="82"/>
        <v/>
      </c>
      <c r="Q3373" s="5"/>
      <c r="R3373" s="5"/>
    </row>
    <row r="3374" spans="2:18" x14ac:dyDescent="0.25">
      <c r="B3374" s="19" t="s">
        <v>4497</v>
      </c>
      <c r="C3374" s="16" t="s">
        <v>4498</v>
      </c>
      <c r="D3374" s="16" t="s">
        <v>8152</v>
      </c>
      <c r="E3374" s="16" t="s">
        <v>54</v>
      </c>
      <c r="F3374" s="5" t="s">
        <v>2832</v>
      </c>
      <c r="G3374" s="16" t="s">
        <v>35</v>
      </c>
      <c r="H3374" s="16" t="s">
        <v>36</v>
      </c>
      <c r="I3374" s="16"/>
      <c r="J3374" s="16"/>
      <c r="K3374" s="16"/>
      <c r="L3374" s="16"/>
      <c r="M3374" s="16"/>
      <c r="N3374" s="16"/>
      <c r="O3374" s="17" t="s">
        <v>38</v>
      </c>
      <c r="P3374" s="5" t="str">
        <f t="shared" si="82"/>
        <v/>
      </c>
      <c r="Q3374" s="5"/>
      <c r="R3374" s="5"/>
    </row>
    <row r="3375" spans="2:18" ht="61.5" customHeight="1" x14ac:dyDescent="0.25">
      <c r="B3375" s="19" t="s">
        <v>4499</v>
      </c>
      <c r="C3375" s="16" t="s">
        <v>4500</v>
      </c>
      <c r="D3375" s="16" t="s">
        <v>8152</v>
      </c>
      <c r="E3375" s="16" t="s">
        <v>151</v>
      </c>
      <c r="F3375" s="5" t="s">
        <v>74</v>
      </c>
      <c r="G3375" s="16" t="s">
        <v>35</v>
      </c>
      <c r="H3375" s="16" t="s">
        <v>36</v>
      </c>
      <c r="I3375" s="21" t="s">
        <v>4501</v>
      </c>
      <c r="J3375" s="21" t="s">
        <v>4502</v>
      </c>
      <c r="K3375" s="29" t="s">
        <v>1068</v>
      </c>
      <c r="L3375" s="29" t="s">
        <v>4503</v>
      </c>
      <c r="M3375" s="231"/>
      <c r="N3375" s="16" t="s">
        <v>4504</v>
      </c>
      <c r="O3375" s="17" t="s">
        <v>38</v>
      </c>
      <c r="P3375" s="5" t="str">
        <f t="shared" si="82"/>
        <v/>
      </c>
      <c r="Q3375" s="5"/>
      <c r="R3375" s="5"/>
    </row>
    <row r="3376" spans="2:18" x14ac:dyDescent="0.25">
      <c r="B3376" s="19" t="s">
        <v>4505</v>
      </c>
      <c r="C3376" s="16" t="s">
        <v>4506</v>
      </c>
      <c r="D3376" s="16" t="s">
        <v>8152</v>
      </c>
      <c r="E3376" s="16" t="s">
        <v>151</v>
      </c>
      <c r="F3376" s="5" t="s">
        <v>243</v>
      </c>
      <c r="G3376" s="16" t="s">
        <v>35</v>
      </c>
      <c r="H3376" s="16" t="s">
        <v>36</v>
      </c>
      <c r="I3376" s="16"/>
      <c r="J3376" s="16"/>
      <c r="K3376" s="16"/>
      <c r="L3376" s="16"/>
      <c r="M3376" s="229"/>
      <c r="N3376" s="16"/>
      <c r="O3376" s="17" t="s">
        <v>38</v>
      </c>
      <c r="P3376" s="5" t="str">
        <f t="shared" si="82"/>
        <v/>
      </c>
      <c r="Q3376" s="5"/>
      <c r="R3376" s="5"/>
    </row>
    <row r="3377" spans="2:18" x14ac:dyDescent="0.25">
      <c r="B3377" s="19" t="s">
        <v>4507</v>
      </c>
      <c r="C3377" s="16" t="s">
        <v>4508</v>
      </c>
      <c r="D3377" s="16" t="s">
        <v>8152</v>
      </c>
      <c r="E3377" s="16" t="s">
        <v>151</v>
      </c>
      <c r="F3377" s="5" t="s">
        <v>243</v>
      </c>
      <c r="G3377" s="16" t="s">
        <v>35</v>
      </c>
      <c r="H3377" s="16" t="s">
        <v>36</v>
      </c>
      <c r="I3377" s="16"/>
      <c r="J3377" s="16"/>
      <c r="K3377" s="16"/>
      <c r="L3377" s="16"/>
      <c r="M3377" s="229"/>
      <c r="N3377" s="16"/>
      <c r="O3377" s="17" t="s">
        <v>38</v>
      </c>
      <c r="P3377" s="5" t="str">
        <f t="shared" si="82"/>
        <v/>
      </c>
      <c r="Q3377" s="5"/>
      <c r="R3377" s="5"/>
    </row>
    <row r="3378" spans="2:18" x14ac:dyDescent="0.25">
      <c r="B3378" s="19" t="s">
        <v>4509</v>
      </c>
      <c r="C3378" s="16" t="s">
        <v>4510</v>
      </c>
      <c r="D3378" s="16" t="s">
        <v>8152</v>
      </c>
      <c r="E3378" s="16" t="s">
        <v>151</v>
      </c>
      <c r="F3378" s="5"/>
      <c r="G3378" s="16" t="s">
        <v>35</v>
      </c>
      <c r="H3378" s="16"/>
      <c r="I3378" s="16"/>
      <c r="J3378" s="16"/>
      <c r="K3378" s="16"/>
      <c r="L3378" s="16"/>
      <c r="M3378" s="229"/>
      <c r="N3378" s="16"/>
      <c r="O3378" s="17" t="s">
        <v>38</v>
      </c>
      <c r="P3378" s="5" t="str">
        <f t="shared" si="82"/>
        <v/>
      </c>
      <c r="Q3378" s="5"/>
      <c r="R3378" s="5"/>
    </row>
    <row r="3379" spans="2:18" x14ac:dyDescent="0.25">
      <c r="B3379" s="19" t="s">
        <v>4511</v>
      </c>
      <c r="C3379" s="16" t="s">
        <v>4512</v>
      </c>
      <c r="D3379" s="16" t="s">
        <v>8152</v>
      </c>
      <c r="E3379" s="16" t="s">
        <v>151</v>
      </c>
      <c r="F3379" s="5" t="s">
        <v>243</v>
      </c>
      <c r="G3379" s="16" t="s">
        <v>35</v>
      </c>
      <c r="H3379" s="16" t="s">
        <v>36</v>
      </c>
      <c r="I3379" s="16"/>
      <c r="J3379" s="16"/>
      <c r="K3379" s="16"/>
      <c r="L3379" s="16"/>
      <c r="M3379" s="229"/>
      <c r="N3379" s="16"/>
      <c r="O3379" s="17" t="s">
        <v>38</v>
      </c>
      <c r="P3379" s="5" t="str">
        <f t="shared" si="82"/>
        <v/>
      </c>
      <c r="Q3379" s="5"/>
      <c r="R3379" s="5"/>
    </row>
    <row r="3380" spans="2:18" x14ac:dyDescent="0.25">
      <c r="B3380" s="19" t="s">
        <v>4513</v>
      </c>
      <c r="C3380" s="16" t="s">
        <v>4514</v>
      </c>
      <c r="D3380" s="16" t="s">
        <v>8152</v>
      </c>
      <c r="E3380" s="16" t="s">
        <v>151</v>
      </c>
      <c r="F3380" s="5" t="s">
        <v>243</v>
      </c>
      <c r="G3380" s="16" t="s">
        <v>35</v>
      </c>
      <c r="H3380" s="16" t="s">
        <v>36</v>
      </c>
      <c r="I3380" s="16"/>
      <c r="J3380" s="16"/>
      <c r="K3380" s="16"/>
      <c r="L3380" s="16"/>
      <c r="M3380" s="229"/>
      <c r="N3380" s="16"/>
      <c r="O3380" s="17" t="s">
        <v>38</v>
      </c>
      <c r="P3380" s="5" t="str">
        <f t="shared" si="82"/>
        <v/>
      </c>
      <c r="Q3380" s="5"/>
      <c r="R3380" s="5"/>
    </row>
    <row r="3381" spans="2:18" x14ac:dyDescent="0.25">
      <c r="B3381" s="19" t="s">
        <v>4515</v>
      </c>
      <c r="C3381" s="16" t="s">
        <v>4516</v>
      </c>
      <c r="D3381" s="16" t="s">
        <v>8152</v>
      </c>
      <c r="E3381" s="16" t="s">
        <v>151</v>
      </c>
      <c r="F3381" s="5" t="s">
        <v>243</v>
      </c>
      <c r="G3381" s="16" t="s">
        <v>35</v>
      </c>
      <c r="H3381" s="16" t="s">
        <v>36</v>
      </c>
      <c r="I3381" s="16"/>
      <c r="J3381" s="16"/>
      <c r="K3381" s="16"/>
      <c r="L3381" s="16"/>
      <c r="M3381" s="229"/>
      <c r="N3381" s="16"/>
      <c r="O3381" s="17" t="s">
        <v>38</v>
      </c>
      <c r="P3381" s="5" t="str">
        <f t="shared" si="82"/>
        <v/>
      </c>
      <c r="Q3381" s="5"/>
      <c r="R3381" s="5"/>
    </row>
    <row r="3382" spans="2:18" x14ac:dyDescent="0.25">
      <c r="B3382" s="19" t="s">
        <v>4517</v>
      </c>
      <c r="C3382" s="16" t="s">
        <v>4518</v>
      </c>
      <c r="D3382" s="16" t="s">
        <v>8152</v>
      </c>
      <c r="E3382" s="16" t="s">
        <v>151</v>
      </c>
      <c r="F3382" s="5" t="s">
        <v>243</v>
      </c>
      <c r="G3382" s="16" t="s">
        <v>35</v>
      </c>
      <c r="H3382" s="16" t="s">
        <v>36</v>
      </c>
      <c r="I3382" s="16"/>
      <c r="J3382" s="16"/>
      <c r="K3382" s="16"/>
      <c r="L3382" s="16"/>
      <c r="M3382" s="229"/>
      <c r="N3382" s="16"/>
      <c r="O3382" s="17" t="s">
        <v>38</v>
      </c>
      <c r="P3382" s="5" t="str">
        <f t="shared" si="82"/>
        <v/>
      </c>
      <c r="Q3382" s="5"/>
      <c r="R3382" s="5"/>
    </row>
    <row r="3383" spans="2:18" x14ac:dyDescent="0.25">
      <c r="B3383" s="19" t="s">
        <v>4519</v>
      </c>
      <c r="C3383" s="16" t="s">
        <v>4520</v>
      </c>
      <c r="D3383" s="16" t="s">
        <v>8152</v>
      </c>
      <c r="E3383" s="16" t="s">
        <v>151</v>
      </c>
      <c r="F3383" s="5" t="s">
        <v>243</v>
      </c>
      <c r="G3383" s="16" t="s">
        <v>35</v>
      </c>
      <c r="H3383" s="16" t="s">
        <v>36</v>
      </c>
      <c r="I3383" s="16"/>
      <c r="J3383" s="16"/>
      <c r="K3383" s="16"/>
      <c r="L3383" s="16"/>
      <c r="M3383" s="229"/>
      <c r="N3383" s="16"/>
      <c r="O3383" s="17" t="s">
        <v>38</v>
      </c>
      <c r="P3383" s="5" t="str">
        <f t="shared" si="82"/>
        <v/>
      </c>
      <c r="Q3383" s="5"/>
      <c r="R3383" s="5"/>
    </row>
    <row r="3384" spans="2:18" x14ac:dyDescent="0.25">
      <c r="B3384" s="19" t="s">
        <v>4521</v>
      </c>
      <c r="C3384" s="20" t="s">
        <v>4522</v>
      </c>
      <c r="D3384" s="16" t="s">
        <v>8152</v>
      </c>
      <c r="E3384" s="16" t="s">
        <v>151</v>
      </c>
      <c r="F3384" s="5" t="s">
        <v>243</v>
      </c>
      <c r="G3384" s="16" t="s">
        <v>35</v>
      </c>
      <c r="H3384" s="16" t="s">
        <v>36</v>
      </c>
      <c r="I3384" s="16"/>
      <c r="J3384" s="16"/>
      <c r="K3384" s="16"/>
      <c r="L3384" s="16"/>
      <c r="M3384" s="229"/>
      <c r="N3384" s="16"/>
      <c r="O3384" s="17" t="s">
        <v>38</v>
      </c>
      <c r="P3384" s="5" t="str">
        <f t="shared" si="82"/>
        <v/>
      </c>
      <c r="Q3384" s="5"/>
      <c r="R3384" s="5"/>
    </row>
    <row r="3385" spans="2:18" x14ac:dyDescent="0.25">
      <c r="B3385" s="19" t="s">
        <v>4523</v>
      </c>
      <c r="C3385" s="20" t="s">
        <v>4524</v>
      </c>
      <c r="D3385" s="16" t="s">
        <v>29</v>
      </c>
      <c r="E3385" s="16"/>
      <c r="F3385" s="5"/>
      <c r="G3385" s="16" t="s">
        <v>35</v>
      </c>
      <c r="H3385" s="16"/>
      <c r="I3385" s="16"/>
      <c r="J3385" s="16"/>
      <c r="K3385" s="16"/>
      <c r="L3385" s="16"/>
      <c r="M3385" s="16"/>
      <c r="N3385" s="16"/>
      <c r="O3385" s="17" t="s">
        <v>38</v>
      </c>
      <c r="P3385" s="5" t="str">
        <f t="shared" si="82"/>
        <v>Truncate table FST162;</v>
      </c>
      <c r="Q3385" s="5"/>
      <c r="R3385" s="5"/>
    </row>
    <row r="3386" spans="2:18" x14ac:dyDescent="0.25">
      <c r="B3386" s="19" t="s">
        <v>4525</v>
      </c>
      <c r="C3386" s="20" t="s">
        <v>4526</v>
      </c>
      <c r="D3386" s="16" t="s">
        <v>29</v>
      </c>
      <c r="E3386" s="16"/>
      <c r="F3386" s="5"/>
      <c r="G3386" s="16" t="s">
        <v>35</v>
      </c>
      <c r="H3386" s="16"/>
      <c r="I3386" s="16"/>
      <c r="J3386" s="16"/>
      <c r="K3386" s="16"/>
      <c r="L3386" s="16"/>
      <c r="M3386" s="16"/>
      <c r="N3386" s="16"/>
      <c r="O3386" s="17" t="s">
        <v>38</v>
      </c>
      <c r="P3386" s="5" t="str">
        <f t="shared" si="82"/>
        <v>Truncate table FST163;</v>
      </c>
      <c r="Q3386" s="5"/>
      <c r="R3386" s="5"/>
    </row>
    <row r="3387" spans="2:18" x14ac:dyDescent="0.25">
      <c r="B3387" s="19" t="s">
        <v>4527</v>
      </c>
      <c r="C3387" s="20" t="s">
        <v>3519</v>
      </c>
      <c r="D3387" s="16" t="s">
        <v>8152</v>
      </c>
      <c r="E3387" s="16"/>
      <c r="F3387" s="5"/>
      <c r="G3387" s="16" t="s">
        <v>35</v>
      </c>
      <c r="H3387" s="16"/>
      <c r="I3387" s="16"/>
      <c r="J3387" s="16"/>
      <c r="K3387" s="16"/>
      <c r="L3387" s="16"/>
      <c r="M3387" s="229"/>
      <c r="N3387" s="16"/>
      <c r="O3387" s="17" t="s">
        <v>38</v>
      </c>
      <c r="P3387" s="5" t="str">
        <f t="shared" si="82"/>
        <v/>
      </c>
      <c r="Q3387" s="5"/>
      <c r="R3387" s="5"/>
    </row>
    <row r="3388" spans="2:18" x14ac:dyDescent="0.25">
      <c r="B3388" s="19" t="s">
        <v>4528</v>
      </c>
      <c r="C3388" s="16" t="s">
        <v>4529</v>
      </c>
      <c r="D3388" s="16" t="s">
        <v>8152</v>
      </c>
      <c r="E3388" s="16" t="s">
        <v>1712</v>
      </c>
      <c r="F3388" s="5" t="s">
        <v>1711</v>
      </c>
      <c r="G3388" s="16" t="s">
        <v>35</v>
      </c>
      <c r="H3388" s="16" t="s">
        <v>36</v>
      </c>
      <c r="I3388" s="16"/>
      <c r="J3388" s="16"/>
      <c r="K3388" s="16"/>
      <c r="L3388" s="16"/>
      <c r="M3388" s="16"/>
      <c r="N3388" s="16"/>
      <c r="O3388" s="17" t="s">
        <v>38</v>
      </c>
      <c r="P3388" s="5" t="str">
        <f t="shared" ref="P3388:P3456" si="83">IF(D3388="Datos","Truncate table "&amp; B3388&amp; ";","")</f>
        <v/>
      </c>
      <c r="Q3388" s="5"/>
      <c r="R3388" s="5"/>
    </row>
    <row r="3389" spans="2:18" x14ac:dyDescent="0.25">
      <c r="B3389" s="19" t="s">
        <v>4530</v>
      </c>
      <c r="C3389" s="16" t="s">
        <v>4531</v>
      </c>
      <c r="D3389" s="16" t="s">
        <v>29</v>
      </c>
      <c r="E3389" s="16"/>
      <c r="F3389" s="5"/>
      <c r="G3389" s="16" t="s">
        <v>35</v>
      </c>
      <c r="H3389" s="16"/>
      <c r="I3389" s="16"/>
      <c r="J3389" s="16"/>
      <c r="K3389" s="16"/>
      <c r="L3389" s="16"/>
      <c r="M3389" s="16"/>
      <c r="N3389" s="16"/>
      <c r="O3389" s="17" t="s">
        <v>38</v>
      </c>
      <c r="P3389" s="5" t="str">
        <f t="shared" si="83"/>
        <v>Truncate table FST167;</v>
      </c>
      <c r="Q3389" s="5"/>
      <c r="R3389" s="5"/>
    </row>
    <row r="3390" spans="2:18" x14ac:dyDescent="0.25">
      <c r="B3390" s="19" t="s">
        <v>4532</v>
      </c>
      <c r="C3390" s="16" t="s">
        <v>4533</v>
      </c>
      <c r="D3390" s="16" t="s">
        <v>8152</v>
      </c>
      <c r="E3390" s="16"/>
      <c r="F3390" s="5"/>
      <c r="G3390" s="16" t="s">
        <v>35</v>
      </c>
      <c r="H3390" s="16"/>
      <c r="I3390" s="16"/>
      <c r="J3390" s="16"/>
      <c r="K3390" s="16"/>
      <c r="L3390" s="16"/>
      <c r="M3390" s="229"/>
      <c r="N3390" s="16"/>
      <c r="O3390" s="17" t="s">
        <v>38</v>
      </c>
      <c r="P3390" s="5" t="str">
        <f t="shared" si="83"/>
        <v/>
      </c>
      <c r="Q3390" s="5"/>
      <c r="R3390" s="5"/>
    </row>
    <row r="3391" spans="2:18" x14ac:dyDescent="0.25">
      <c r="B3391" s="19" t="s">
        <v>4534</v>
      </c>
      <c r="C3391" s="16" t="s">
        <v>4535</v>
      </c>
      <c r="D3391" s="16" t="s">
        <v>8152</v>
      </c>
      <c r="E3391" s="16"/>
      <c r="F3391" s="5"/>
      <c r="G3391" s="16" t="s">
        <v>35</v>
      </c>
      <c r="H3391" s="16"/>
      <c r="I3391" s="16"/>
      <c r="J3391" s="16"/>
      <c r="K3391" s="16"/>
      <c r="L3391" s="16"/>
      <c r="M3391" s="229"/>
      <c r="N3391" s="16"/>
      <c r="O3391" s="17" t="s">
        <v>38</v>
      </c>
      <c r="P3391" s="5" t="str">
        <f t="shared" si="83"/>
        <v/>
      </c>
      <c r="Q3391" s="5"/>
      <c r="R3391" s="5"/>
    </row>
    <row r="3392" spans="2:18" x14ac:dyDescent="0.25">
      <c r="B3392" s="19" t="s">
        <v>4536</v>
      </c>
      <c r="C3392" s="16" t="s">
        <v>4537</v>
      </c>
      <c r="D3392" s="16" t="s">
        <v>8152</v>
      </c>
      <c r="E3392" s="16" t="s">
        <v>54</v>
      </c>
      <c r="F3392" s="5" t="s">
        <v>2813</v>
      </c>
      <c r="G3392" s="16" t="s">
        <v>35</v>
      </c>
      <c r="H3392" s="16" t="s">
        <v>36</v>
      </c>
      <c r="I3392" s="16"/>
      <c r="J3392" s="16"/>
      <c r="K3392" s="16"/>
      <c r="L3392" s="16"/>
      <c r="M3392" s="229"/>
      <c r="N3392" s="16"/>
      <c r="O3392" s="17" t="s">
        <v>38</v>
      </c>
      <c r="P3392" s="5" t="str">
        <f t="shared" si="83"/>
        <v/>
      </c>
      <c r="Q3392" s="5"/>
      <c r="R3392" s="5"/>
    </row>
    <row r="3393" spans="2:18" x14ac:dyDescent="0.25">
      <c r="B3393" s="19" t="s">
        <v>4538</v>
      </c>
      <c r="C3393" s="16" t="s">
        <v>4539</v>
      </c>
      <c r="D3393" s="16" t="s">
        <v>8152</v>
      </c>
      <c r="E3393" s="16"/>
      <c r="F3393" s="5"/>
      <c r="G3393" s="16" t="s">
        <v>35</v>
      </c>
      <c r="H3393" s="16"/>
      <c r="I3393" s="16"/>
      <c r="J3393" s="16"/>
      <c r="K3393" s="16"/>
      <c r="L3393" s="16"/>
      <c r="M3393" s="229"/>
      <c r="N3393" s="16"/>
      <c r="O3393" s="17" t="s">
        <v>38</v>
      </c>
      <c r="P3393" s="5" t="str">
        <f t="shared" si="83"/>
        <v/>
      </c>
      <c r="Q3393" s="5"/>
      <c r="R3393" s="5"/>
    </row>
    <row r="3394" spans="2:18" x14ac:dyDescent="0.25">
      <c r="B3394" s="19" t="s">
        <v>4540</v>
      </c>
      <c r="C3394" s="16" t="s">
        <v>4541</v>
      </c>
      <c r="D3394" s="16" t="s">
        <v>8152</v>
      </c>
      <c r="E3394" s="16"/>
      <c r="F3394" s="5"/>
      <c r="G3394" s="16" t="s">
        <v>35</v>
      </c>
      <c r="H3394" s="16"/>
      <c r="I3394" s="16"/>
      <c r="J3394" s="16"/>
      <c r="K3394" s="16"/>
      <c r="L3394" s="16"/>
      <c r="M3394" s="229"/>
      <c r="N3394" s="16"/>
      <c r="O3394" s="17" t="s">
        <v>38</v>
      </c>
      <c r="P3394" s="5" t="str">
        <f t="shared" si="83"/>
        <v/>
      </c>
      <c r="Q3394" s="5"/>
      <c r="R3394" s="5"/>
    </row>
    <row r="3395" spans="2:18" x14ac:dyDescent="0.25">
      <c r="B3395" s="19" t="s">
        <v>4542</v>
      </c>
      <c r="C3395" s="16" t="s">
        <v>4543</v>
      </c>
      <c r="D3395" s="16" t="s">
        <v>29</v>
      </c>
      <c r="E3395" s="16" t="s">
        <v>151</v>
      </c>
      <c r="F3395" s="5" t="s">
        <v>163</v>
      </c>
      <c r="G3395" s="16" t="s">
        <v>35</v>
      </c>
      <c r="H3395" s="16" t="s">
        <v>36</v>
      </c>
      <c r="I3395" s="16"/>
      <c r="J3395" s="16"/>
      <c r="K3395" s="16"/>
      <c r="L3395" s="16"/>
      <c r="M3395" s="16"/>
      <c r="N3395" s="16"/>
      <c r="O3395" s="17" t="s">
        <v>38</v>
      </c>
      <c r="P3395" s="5" t="str">
        <f t="shared" si="83"/>
        <v>Truncate table FST191;</v>
      </c>
      <c r="Q3395" s="5"/>
      <c r="R3395" s="5"/>
    </row>
    <row r="3396" spans="2:18" x14ac:dyDescent="0.25">
      <c r="B3396" s="19" t="s">
        <v>4544</v>
      </c>
      <c r="C3396" s="16" t="s">
        <v>4545</v>
      </c>
      <c r="D3396" s="16" t="s">
        <v>29</v>
      </c>
      <c r="E3396" s="16" t="s">
        <v>151</v>
      </c>
      <c r="F3396" s="219" t="s">
        <v>8222</v>
      </c>
      <c r="G3396" s="16" t="s">
        <v>35</v>
      </c>
      <c r="H3396" s="16" t="s">
        <v>36</v>
      </c>
      <c r="I3396" s="16"/>
      <c r="J3396" s="16"/>
      <c r="K3396" s="16"/>
      <c r="L3396" s="16"/>
      <c r="M3396" s="16"/>
      <c r="N3396" s="16"/>
      <c r="O3396" s="17" t="s">
        <v>38</v>
      </c>
      <c r="P3396" s="5" t="str">
        <f t="shared" si="83"/>
        <v>Truncate table FST196;</v>
      </c>
      <c r="Q3396" s="5"/>
      <c r="R3396" s="5"/>
    </row>
    <row r="3397" spans="2:18" ht="54" x14ac:dyDescent="0.25">
      <c r="B3397" s="19" t="s">
        <v>4546</v>
      </c>
      <c r="C3397" s="16" t="s">
        <v>4547</v>
      </c>
      <c r="D3397" s="16" t="s">
        <v>8152</v>
      </c>
      <c r="E3397" s="16" t="s">
        <v>54</v>
      </c>
      <c r="F3397" s="5" t="s">
        <v>4278</v>
      </c>
      <c r="G3397" s="16" t="s">
        <v>35</v>
      </c>
      <c r="H3397" s="16" t="s">
        <v>36</v>
      </c>
      <c r="I3397" s="16"/>
      <c r="J3397" s="16"/>
      <c r="K3397" s="16"/>
      <c r="L3397" s="20" t="s">
        <v>4279</v>
      </c>
      <c r="M3397" s="230"/>
      <c r="N3397" s="16"/>
      <c r="O3397" s="17" t="s">
        <v>38</v>
      </c>
      <c r="P3397" s="5" t="str">
        <f t="shared" si="83"/>
        <v/>
      </c>
      <c r="Q3397" s="5"/>
      <c r="R3397" s="5"/>
    </row>
    <row r="3398" spans="2:18" ht="44.25" customHeight="1" x14ac:dyDescent="0.25">
      <c r="B3398" s="19" t="s">
        <v>4548</v>
      </c>
      <c r="C3398" s="16" t="s">
        <v>4549</v>
      </c>
      <c r="D3398" s="16" t="s">
        <v>8152</v>
      </c>
      <c r="E3398" s="16" t="s">
        <v>54</v>
      </c>
      <c r="F3398" s="5" t="s">
        <v>4278</v>
      </c>
      <c r="G3398" s="16" t="s">
        <v>35</v>
      </c>
      <c r="H3398" s="16" t="s">
        <v>36</v>
      </c>
      <c r="I3398" s="16"/>
      <c r="J3398" s="16"/>
      <c r="K3398" s="16"/>
      <c r="L3398" s="20" t="s">
        <v>4279</v>
      </c>
      <c r="M3398" s="230"/>
      <c r="N3398" s="16"/>
      <c r="O3398" s="17" t="s">
        <v>38</v>
      </c>
      <c r="P3398" s="5" t="str">
        <f t="shared" si="83"/>
        <v/>
      </c>
      <c r="Q3398" s="5"/>
      <c r="R3398" s="5"/>
    </row>
    <row r="3399" spans="2:18" ht="30.75" customHeight="1" x14ac:dyDescent="0.25">
      <c r="B3399" s="19" t="s">
        <v>4550</v>
      </c>
      <c r="C3399" s="16" t="s">
        <v>4551</v>
      </c>
      <c r="D3399" s="16" t="s">
        <v>8152</v>
      </c>
      <c r="E3399" s="16" t="s">
        <v>54</v>
      </c>
      <c r="F3399" s="5" t="s">
        <v>4278</v>
      </c>
      <c r="G3399" s="16" t="s">
        <v>35</v>
      </c>
      <c r="H3399" s="16" t="s">
        <v>36</v>
      </c>
      <c r="I3399" s="16"/>
      <c r="J3399" s="16"/>
      <c r="K3399" s="16"/>
      <c r="L3399" s="20" t="s">
        <v>4279</v>
      </c>
      <c r="M3399" s="230"/>
      <c r="N3399" s="16"/>
      <c r="O3399" s="17" t="s">
        <v>38</v>
      </c>
      <c r="P3399" s="5" t="str">
        <f t="shared" si="83"/>
        <v/>
      </c>
      <c r="Q3399" s="5"/>
      <c r="R3399" s="5"/>
    </row>
    <row r="3400" spans="2:18" x14ac:dyDescent="0.25">
      <c r="B3400" s="19" t="s">
        <v>4552</v>
      </c>
      <c r="C3400" s="16" t="s">
        <v>4553</v>
      </c>
      <c r="D3400" s="16" t="s">
        <v>8152</v>
      </c>
      <c r="E3400" s="16" t="s">
        <v>54</v>
      </c>
      <c r="F3400" s="5" t="s">
        <v>4484</v>
      </c>
      <c r="G3400" s="16" t="s">
        <v>35</v>
      </c>
      <c r="H3400" s="16" t="s">
        <v>36</v>
      </c>
      <c r="I3400" s="16"/>
      <c r="J3400" s="16"/>
      <c r="K3400" s="16"/>
      <c r="L3400" s="16"/>
      <c r="M3400" s="16"/>
      <c r="N3400" s="16"/>
      <c r="O3400" s="17" t="s">
        <v>38</v>
      </c>
      <c r="P3400" s="5" t="str">
        <f t="shared" si="83"/>
        <v/>
      </c>
      <c r="Q3400" s="5"/>
      <c r="R3400" s="5"/>
    </row>
    <row r="3401" spans="2:18" x14ac:dyDescent="0.25">
      <c r="B3401" s="19" t="s">
        <v>4554</v>
      </c>
      <c r="C3401" s="16" t="s">
        <v>4555</v>
      </c>
      <c r="D3401" s="16" t="s">
        <v>8152</v>
      </c>
      <c r="E3401" s="16" t="s">
        <v>54</v>
      </c>
      <c r="F3401" s="5" t="s">
        <v>2932</v>
      </c>
      <c r="G3401" s="16" t="s">
        <v>35</v>
      </c>
      <c r="H3401" s="16" t="s">
        <v>36</v>
      </c>
      <c r="I3401" s="16"/>
      <c r="J3401" s="16"/>
      <c r="K3401" s="16"/>
      <c r="L3401" s="16"/>
      <c r="M3401" s="16"/>
      <c r="N3401" s="16"/>
      <c r="O3401" s="17" t="s">
        <v>38</v>
      </c>
      <c r="P3401" s="5" t="str">
        <f t="shared" si="83"/>
        <v/>
      </c>
      <c r="Q3401" s="5"/>
      <c r="R3401" s="5"/>
    </row>
    <row r="3402" spans="2:18" x14ac:dyDescent="0.25">
      <c r="B3402" s="19" t="s">
        <v>4556</v>
      </c>
      <c r="C3402" s="16" t="s">
        <v>4557</v>
      </c>
      <c r="D3402" s="16" t="s">
        <v>8152</v>
      </c>
      <c r="E3402" s="16" t="s">
        <v>54</v>
      </c>
      <c r="F3402" s="5" t="s">
        <v>2832</v>
      </c>
      <c r="G3402" s="16" t="s">
        <v>35</v>
      </c>
      <c r="H3402" s="16" t="s">
        <v>36</v>
      </c>
      <c r="I3402" s="16"/>
      <c r="J3402" s="16"/>
      <c r="K3402" s="16"/>
      <c r="L3402" s="16"/>
      <c r="M3402" s="16"/>
      <c r="N3402" s="16"/>
      <c r="O3402" s="17" t="s">
        <v>38</v>
      </c>
      <c r="P3402" s="5" t="str">
        <f t="shared" si="83"/>
        <v/>
      </c>
      <c r="Q3402" s="5"/>
      <c r="R3402" s="5"/>
    </row>
    <row r="3403" spans="2:18" x14ac:dyDescent="0.25">
      <c r="B3403" s="19" t="s">
        <v>4558</v>
      </c>
      <c r="C3403" s="16" t="s">
        <v>4559</v>
      </c>
      <c r="D3403" s="16" t="s">
        <v>8152</v>
      </c>
      <c r="E3403" s="16" t="s">
        <v>54</v>
      </c>
      <c r="F3403" s="5" t="s">
        <v>2832</v>
      </c>
      <c r="G3403" s="16" t="s">
        <v>35</v>
      </c>
      <c r="H3403" s="16" t="s">
        <v>36</v>
      </c>
      <c r="I3403" s="16"/>
      <c r="J3403" s="16"/>
      <c r="K3403" s="16"/>
      <c r="L3403" s="16"/>
      <c r="M3403" s="16"/>
      <c r="N3403" s="16"/>
      <c r="O3403" s="17" t="s">
        <v>38</v>
      </c>
      <c r="P3403" s="5" t="str">
        <f t="shared" si="83"/>
        <v/>
      </c>
      <c r="Q3403" s="5"/>
      <c r="R3403" s="5"/>
    </row>
    <row r="3404" spans="2:18" x14ac:dyDescent="0.25">
      <c r="B3404" s="19" t="s">
        <v>4560</v>
      </c>
      <c r="C3404" s="16" t="s">
        <v>4561</v>
      </c>
      <c r="D3404" s="16" t="s">
        <v>8152</v>
      </c>
      <c r="E3404" s="16" t="s">
        <v>54</v>
      </c>
      <c r="F3404" s="5" t="s">
        <v>2832</v>
      </c>
      <c r="G3404" s="16" t="s">
        <v>35</v>
      </c>
      <c r="H3404" s="16" t="s">
        <v>36</v>
      </c>
      <c r="I3404" s="16"/>
      <c r="J3404" s="16"/>
      <c r="K3404" s="16"/>
      <c r="L3404" s="16"/>
      <c r="M3404" s="16"/>
      <c r="N3404" s="16"/>
      <c r="O3404" s="17" t="s">
        <v>38</v>
      </c>
      <c r="P3404" s="5" t="str">
        <f t="shared" si="83"/>
        <v/>
      </c>
      <c r="Q3404" s="5"/>
      <c r="R3404" s="5"/>
    </row>
    <row r="3405" spans="2:18" x14ac:dyDescent="0.25">
      <c r="B3405" s="19" t="s">
        <v>4562</v>
      </c>
      <c r="C3405" s="16" t="s">
        <v>4563</v>
      </c>
      <c r="D3405" s="16" t="s">
        <v>8152</v>
      </c>
      <c r="E3405" s="16" t="s">
        <v>54</v>
      </c>
      <c r="F3405" s="5" t="s">
        <v>2832</v>
      </c>
      <c r="G3405" s="16" t="s">
        <v>35</v>
      </c>
      <c r="H3405" s="16" t="s">
        <v>36</v>
      </c>
      <c r="I3405" s="16"/>
      <c r="J3405" s="16"/>
      <c r="K3405" s="16"/>
      <c r="L3405" s="16"/>
      <c r="M3405" s="16"/>
      <c r="N3405" s="16"/>
      <c r="O3405" s="17" t="s">
        <v>38</v>
      </c>
      <c r="P3405" s="5" t="str">
        <f t="shared" si="83"/>
        <v/>
      </c>
      <c r="Q3405" s="5"/>
      <c r="R3405" s="5"/>
    </row>
    <row r="3406" spans="2:18" x14ac:dyDescent="0.25">
      <c r="B3406" s="19" t="s">
        <v>4564</v>
      </c>
      <c r="C3406" s="16" t="s">
        <v>4565</v>
      </c>
      <c r="D3406" s="16" t="s">
        <v>8152</v>
      </c>
      <c r="E3406" s="16" t="s">
        <v>54</v>
      </c>
      <c r="F3406" s="5" t="s">
        <v>2832</v>
      </c>
      <c r="G3406" s="16" t="s">
        <v>35</v>
      </c>
      <c r="H3406" s="16" t="s">
        <v>36</v>
      </c>
      <c r="I3406" s="16"/>
      <c r="J3406" s="16"/>
      <c r="K3406" s="16"/>
      <c r="L3406" s="16"/>
      <c r="M3406" s="16"/>
      <c r="N3406" s="16"/>
      <c r="O3406" s="17" t="s">
        <v>38</v>
      </c>
      <c r="P3406" s="5" t="str">
        <f t="shared" si="83"/>
        <v/>
      </c>
      <c r="Q3406" s="5"/>
      <c r="R3406" s="5"/>
    </row>
    <row r="3407" spans="2:18" x14ac:dyDescent="0.25">
      <c r="B3407" s="19" t="s">
        <v>4566</v>
      </c>
      <c r="C3407" s="16" t="s">
        <v>4567</v>
      </c>
      <c r="D3407" s="16" t="s">
        <v>8152</v>
      </c>
      <c r="E3407" s="16" t="s">
        <v>54</v>
      </c>
      <c r="F3407" s="5" t="s">
        <v>2832</v>
      </c>
      <c r="G3407" s="16" t="s">
        <v>35</v>
      </c>
      <c r="H3407" s="16" t="s">
        <v>36</v>
      </c>
      <c r="I3407" s="16"/>
      <c r="J3407" s="16"/>
      <c r="K3407" s="16"/>
      <c r="L3407" s="16"/>
      <c r="M3407" s="16"/>
      <c r="N3407" s="16"/>
      <c r="O3407" s="17" t="s">
        <v>38</v>
      </c>
      <c r="P3407" s="5" t="str">
        <f t="shared" si="83"/>
        <v/>
      </c>
      <c r="Q3407" s="5"/>
      <c r="R3407" s="5"/>
    </row>
    <row r="3408" spans="2:18" x14ac:dyDescent="0.25">
      <c r="B3408" s="19" t="s">
        <v>4568</v>
      </c>
      <c r="C3408" s="20" t="s">
        <v>4569</v>
      </c>
      <c r="D3408" s="16" t="s">
        <v>29</v>
      </c>
      <c r="E3408" s="16"/>
      <c r="F3408" s="5"/>
      <c r="G3408" s="16" t="s">
        <v>35</v>
      </c>
      <c r="H3408" s="16"/>
      <c r="I3408" s="16"/>
      <c r="J3408" s="16"/>
      <c r="K3408" s="16"/>
      <c r="L3408" s="16"/>
      <c r="M3408" s="16"/>
      <c r="N3408" s="16"/>
      <c r="O3408" s="17" t="s">
        <v>38</v>
      </c>
      <c r="P3408" s="5" t="str">
        <f t="shared" si="83"/>
        <v>Truncate table FST211;</v>
      </c>
      <c r="Q3408" s="5"/>
      <c r="R3408" s="5"/>
    </row>
    <row r="3409" spans="2:18" x14ac:dyDescent="0.25">
      <c r="B3409" s="19" t="s">
        <v>4570</v>
      </c>
      <c r="C3409" s="16" t="s">
        <v>4571</v>
      </c>
      <c r="D3409" s="16" t="s">
        <v>8152</v>
      </c>
      <c r="E3409" s="16" t="s">
        <v>54</v>
      </c>
      <c r="F3409" s="5" t="s">
        <v>919</v>
      </c>
      <c r="G3409" s="16" t="s">
        <v>35</v>
      </c>
      <c r="H3409" s="16" t="s">
        <v>36</v>
      </c>
      <c r="I3409" s="16"/>
      <c r="J3409" s="16"/>
      <c r="K3409" s="16"/>
      <c r="L3409" s="16"/>
      <c r="M3409" s="16"/>
      <c r="N3409" s="16"/>
      <c r="O3409" s="17" t="s">
        <v>38</v>
      </c>
      <c r="P3409" s="5" t="str">
        <f t="shared" si="83"/>
        <v/>
      </c>
      <c r="Q3409" s="5"/>
      <c r="R3409" s="5"/>
    </row>
    <row r="3410" spans="2:18" x14ac:dyDescent="0.25">
      <c r="B3410" s="19" t="s">
        <v>4572</v>
      </c>
      <c r="C3410" s="20" t="s">
        <v>4573</v>
      </c>
      <c r="D3410" s="16" t="s">
        <v>8152</v>
      </c>
      <c r="E3410" s="16"/>
      <c r="F3410" s="5"/>
      <c r="G3410" s="16" t="s">
        <v>35</v>
      </c>
      <c r="H3410" s="16"/>
      <c r="I3410" s="16"/>
      <c r="J3410" s="16"/>
      <c r="K3410" s="16"/>
      <c r="L3410" s="16"/>
      <c r="M3410" s="229"/>
      <c r="N3410" s="16" t="s">
        <v>4413</v>
      </c>
      <c r="O3410" s="17" t="s">
        <v>38</v>
      </c>
      <c r="P3410" s="5" t="str">
        <f t="shared" si="83"/>
        <v/>
      </c>
      <c r="Q3410" s="5"/>
      <c r="R3410" s="5"/>
    </row>
    <row r="3411" spans="2:18" x14ac:dyDescent="0.25">
      <c r="B3411" s="19" t="s">
        <v>4574</v>
      </c>
      <c r="C3411" s="16" t="s">
        <v>4575</v>
      </c>
      <c r="D3411" s="16" t="s">
        <v>8152</v>
      </c>
      <c r="E3411" s="16" t="s">
        <v>54</v>
      </c>
      <c r="F3411" s="5" t="s">
        <v>919</v>
      </c>
      <c r="G3411" s="16" t="s">
        <v>35</v>
      </c>
      <c r="H3411" s="16" t="s">
        <v>36</v>
      </c>
      <c r="I3411" s="16"/>
      <c r="J3411" s="16"/>
      <c r="K3411" s="16"/>
      <c r="L3411" s="16"/>
      <c r="M3411" s="16"/>
      <c r="N3411" s="16"/>
      <c r="O3411" s="17" t="s">
        <v>38</v>
      </c>
      <c r="P3411" s="5" t="str">
        <f t="shared" si="83"/>
        <v/>
      </c>
      <c r="Q3411" s="5"/>
      <c r="R3411" s="5"/>
    </row>
    <row r="3412" spans="2:18" x14ac:dyDescent="0.25">
      <c r="B3412" s="19" t="s">
        <v>4576</v>
      </c>
      <c r="C3412" s="20" t="s">
        <v>4577</v>
      </c>
      <c r="D3412" s="16" t="s">
        <v>29</v>
      </c>
      <c r="E3412" s="16"/>
      <c r="F3412" s="5"/>
      <c r="G3412" s="16" t="s">
        <v>35</v>
      </c>
      <c r="H3412" s="16"/>
      <c r="I3412" s="16"/>
      <c r="J3412" s="16"/>
      <c r="K3412" s="16"/>
      <c r="L3412" s="16"/>
      <c r="M3412" s="16"/>
      <c r="N3412" s="16" t="s">
        <v>4413</v>
      </c>
      <c r="O3412" s="17" t="s">
        <v>38</v>
      </c>
      <c r="P3412" s="5" t="str">
        <f t="shared" si="83"/>
        <v>Truncate table FST219;</v>
      </c>
      <c r="Q3412" s="5"/>
      <c r="R3412" s="5"/>
    </row>
    <row r="3413" spans="2:18" x14ac:dyDescent="0.25">
      <c r="B3413" s="19" t="s">
        <v>4578</v>
      </c>
      <c r="C3413" s="20" t="s">
        <v>4579</v>
      </c>
      <c r="D3413" s="16" t="s">
        <v>8152</v>
      </c>
      <c r="E3413" s="16"/>
      <c r="F3413" s="5"/>
      <c r="G3413" s="16" t="s">
        <v>35</v>
      </c>
      <c r="H3413" s="16"/>
      <c r="I3413" s="16"/>
      <c r="J3413" s="16"/>
      <c r="K3413" s="16"/>
      <c r="L3413" s="16"/>
      <c r="M3413" s="229"/>
      <c r="N3413" s="16"/>
      <c r="O3413" s="17" t="s">
        <v>38</v>
      </c>
      <c r="P3413" s="5" t="str">
        <f t="shared" si="83"/>
        <v/>
      </c>
      <c r="Q3413" s="5"/>
      <c r="R3413" s="5"/>
    </row>
    <row r="3414" spans="2:18" x14ac:dyDescent="0.25">
      <c r="B3414" s="19" t="s">
        <v>4580</v>
      </c>
      <c r="C3414" s="16" t="s">
        <v>4581</v>
      </c>
      <c r="D3414" s="16" t="s">
        <v>8152</v>
      </c>
      <c r="E3414" s="16" t="s">
        <v>151</v>
      </c>
      <c r="F3414" s="5" t="s">
        <v>150</v>
      </c>
      <c r="G3414" s="16" t="s">
        <v>35</v>
      </c>
      <c r="H3414" s="16" t="s">
        <v>36</v>
      </c>
      <c r="I3414" s="16"/>
      <c r="J3414" s="16"/>
      <c r="K3414" s="16"/>
      <c r="L3414" s="16"/>
      <c r="M3414" s="229"/>
      <c r="N3414" s="16" t="s">
        <v>2911</v>
      </c>
      <c r="O3414" s="17" t="s">
        <v>38</v>
      </c>
      <c r="P3414" s="5" t="str">
        <f t="shared" si="83"/>
        <v/>
      </c>
      <c r="Q3414" s="5"/>
      <c r="R3414" s="5"/>
    </row>
    <row r="3415" spans="2:18" x14ac:dyDescent="0.25">
      <c r="B3415" s="19" t="s">
        <v>4582</v>
      </c>
      <c r="C3415" s="16" t="s">
        <v>4583</v>
      </c>
      <c r="D3415" s="16" t="s">
        <v>8152</v>
      </c>
      <c r="E3415" s="16" t="s">
        <v>151</v>
      </c>
      <c r="F3415" s="5" t="s">
        <v>150</v>
      </c>
      <c r="G3415" s="16" t="s">
        <v>35</v>
      </c>
      <c r="H3415" s="16" t="s">
        <v>36</v>
      </c>
      <c r="I3415" s="16"/>
      <c r="J3415" s="16"/>
      <c r="K3415" s="16"/>
      <c r="L3415" s="16"/>
      <c r="M3415" s="229"/>
      <c r="N3415" s="16" t="s">
        <v>2911</v>
      </c>
      <c r="O3415" s="17" t="s">
        <v>38</v>
      </c>
      <c r="P3415" s="5" t="str">
        <f t="shared" si="83"/>
        <v/>
      </c>
      <c r="Q3415" s="5"/>
      <c r="R3415" s="5"/>
    </row>
    <row r="3416" spans="2:18" x14ac:dyDescent="0.25">
      <c r="B3416" s="19" t="s">
        <v>4584</v>
      </c>
      <c r="C3416" s="16" t="s">
        <v>4585</v>
      </c>
      <c r="D3416" s="16" t="s">
        <v>8152</v>
      </c>
      <c r="E3416" s="16" t="s">
        <v>54</v>
      </c>
      <c r="F3416" s="5" t="s">
        <v>2932</v>
      </c>
      <c r="G3416" s="16" t="s">
        <v>35</v>
      </c>
      <c r="H3416" s="16" t="s">
        <v>36</v>
      </c>
      <c r="I3416" s="16"/>
      <c r="J3416" s="16"/>
      <c r="K3416" s="16"/>
      <c r="L3416" s="16"/>
      <c r="M3416" s="16"/>
      <c r="N3416" s="16"/>
      <c r="O3416" s="17" t="s">
        <v>38</v>
      </c>
      <c r="P3416" s="5" t="str">
        <f t="shared" si="83"/>
        <v/>
      </c>
      <c r="Q3416" s="5"/>
      <c r="R3416" s="5"/>
    </row>
    <row r="3417" spans="2:18" x14ac:dyDescent="0.25">
      <c r="B3417" s="19" t="s">
        <v>4586</v>
      </c>
      <c r="C3417" s="16" t="s">
        <v>4587</v>
      </c>
      <c r="D3417" s="16" t="s">
        <v>8152</v>
      </c>
      <c r="E3417" s="16" t="s">
        <v>54</v>
      </c>
      <c r="F3417" s="5" t="s">
        <v>2932</v>
      </c>
      <c r="G3417" s="16" t="s">
        <v>35</v>
      </c>
      <c r="H3417" s="16" t="s">
        <v>36</v>
      </c>
      <c r="I3417" s="16"/>
      <c r="J3417" s="16"/>
      <c r="K3417" s="16"/>
      <c r="L3417" s="16"/>
      <c r="M3417" s="16"/>
      <c r="N3417" s="16"/>
      <c r="O3417" s="17" t="s">
        <v>38</v>
      </c>
      <c r="P3417" s="5" t="str">
        <f t="shared" si="83"/>
        <v/>
      </c>
      <c r="Q3417" s="5"/>
      <c r="R3417" s="5"/>
    </row>
    <row r="3418" spans="2:18" x14ac:dyDescent="0.25">
      <c r="B3418" s="19" t="s">
        <v>4588</v>
      </c>
      <c r="C3418" s="16" t="s">
        <v>4589</v>
      </c>
      <c r="D3418" s="16" t="s">
        <v>29</v>
      </c>
      <c r="E3418" s="16" t="s">
        <v>151</v>
      </c>
      <c r="F3418" s="5"/>
      <c r="G3418" s="16" t="s">
        <v>35</v>
      </c>
      <c r="H3418" s="16"/>
      <c r="I3418" s="16"/>
      <c r="J3418" s="16"/>
      <c r="K3418" s="16"/>
      <c r="L3418" s="16"/>
      <c r="M3418" s="16"/>
      <c r="N3418" s="16"/>
      <c r="O3418" s="17" t="s">
        <v>38</v>
      </c>
      <c r="P3418" s="5" t="str">
        <f t="shared" si="83"/>
        <v>Truncate table FST246;</v>
      </c>
      <c r="Q3418" s="5"/>
      <c r="R3418" s="5"/>
    </row>
    <row r="3419" spans="2:18" x14ac:dyDescent="0.25">
      <c r="B3419" s="19" t="s">
        <v>4590</v>
      </c>
      <c r="C3419" s="16" t="s">
        <v>4591</v>
      </c>
      <c r="D3419" s="16" t="s">
        <v>8152</v>
      </c>
      <c r="E3419" s="16"/>
      <c r="F3419" s="5"/>
      <c r="G3419" s="16" t="s">
        <v>35</v>
      </c>
      <c r="H3419" s="16"/>
      <c r="I3419" s="16"/>
      <c r="J3419" s="16"/>
      <c r="K3419" s="16"/>
      <c r="L3419" s="16"/>
      <c r="M3419" s="229"/>
      <c r="N3419" s="16"/>
      <c r="O3419" s="17" t="s">
        <v>38</v>
      </c>
      <c r="P3419" s="5" t="str">
        <f t="shared" si="83"/>
        <v/>
      </c>
      <c r="Q3419" s="5"/>
      <c r="R3419" s="5"/>
    </row>
    <row r="3420" spans="2:18" x14ac:dyDescent="0.25">
      <c r="B3420" s="19" t="s">
        <v>4592</v>
      </c>
      <c r="C3420" s="16" t="s">
        <v>4593</v>
      </c>
      <c r="D3420" s="16" t="s">
        <v>8152</v>
      </c>
      <c r="E3420" s="16" t="s">
        <v>1096</v>
      </c>
      <c r="F3420" s="5" t="s">
        <v>184</v>
      </c>
      <c r="G3420" s="16" t="s">
        <v>35</v>
      </c>
      <c r="H3420" s="16" t="s">
        <v>36</v>
      </c>
      <c r="I3420" s="16"/>
      <c r="J3420" s="16"/>
      <c r="K3420" s="16"/>
      <c r="L3420" s="16"/>
      <c r="M3420" s="238" t="s">
        <v>8634</v>
      </c>
      <c r="N3420" s="16"/>
      <c r="O3420" s="17" t="s">
        <v>387</v>
      </c>
      <c r="P3420" s="5" t="str">
        <f t="shared" si="83"/>
        <v/>
      </c>
      <c r="Q3420" s="5"/>
      <c r="R3420" s="5"/>
    </row>
    <row r="3421" spans="2:18" ht="42.75" customHeight="1" x14ac:dyDescent="0.25">
      <c r="B3421" s="19" t="s">
        <v>4594</v>
      </c>
      <c r="C3421" s="16" t="s">
        <v>4595</v>
      </c>
      <c r="D3421" s="16" t="s">
        <v>8152</v>
      </c>
      <c r="E3421" s="16" t="s">
        <v>1096</v>
      </c>
      <c r="F3421" s="5" t="s">
        <v>184</v>
      </c>
      <c r="G3421" s="16" t="s">
        <v>35</v>
      </c>
      <c r="H3421" s="16" t="s">
        <v>36</v>
      </c>
      <c r="I3421" s="16"/>
      <c r="J3421" s="16"/>
      <c r="K3421" s="16"/>
      <c r="L3421" s="16"/>
      <c r="M3421" s="16" t="s">
        <v>38</v>
      </c>
      <c r="N3421" s="16"/>
      <c r="O3421" s="17" t="s">
        <v>38</v>
      </c>
      <c r="P3421" s="5" t="str">
        <f t="shared" si="83"/>
        <v/>
      </c>
      <c r="Q3421" s="5"/>
      <c r="R3421" s="5" t="s">
        <v>4596</v>
      </c>
    </row>
    <row r="3422" spans="2:18" x14ac:dyDescent="0.25">
      <c r="B3422" s="19" t="s">
        <v>4597</v>
      </c>
      <c r="C3422" s="16" t="s">
        <v>4598</v>
      </c>
      <c r="D3422" s="16" t="s">
        <v>8152</v>
      </c>
      <c r="E3422" s="16" t="s">
        <v>1096</v>
      </c>
      <c r="F3422" s="5" t="s">
        <v>2715</v>
      </c>
      <c r="G3422" s="16" t="s">
        <v>28</v>
      </c>
      <c r="H3422" s="16" t="s">
        <v>36</v>
      </c>
      <c r="I3422" s="16"/>
      <c r="J3422" s="16"/>
      <c r="K3422" s="16"/>
      <c r="L3422" s="16"/>
      <c r="M3422" s="229"/>
      <c r="N3422" s="16"/>
      <c r="O3422" s="17" t="s">
        <v>38</v>
      </c>
      <c r="P3422" s="5" t="str">
        <f t="shared" si="83"/>
        <v/>
      </c>
      <c r="Q3422" s="5"/>
      <c r="R3422" s="5" t="s">
        <v>387</v>
      </c>
    </row>
    <row r="3423" spans="2:18" x14ac:dyDescent="0.25">
      <c r="B3423" s="19" t="s">
        <v>4599</v>
      </c>
      <c r="C3423" s="16" t="s">
        <v>4600</v>
      </c>
      <c r="D3423" s="16" t="s">
        <v>8152</v>
      </c>
      <c r="E3423" s="16"/>
      <c r="F3423" s="5"/>
      <c r="G3423" s="16" t="s">
        <v>35</v>
      </c>
      <c r="H3423" s="16"/>
      <c r="I3423" s="16"/>
      <c r="J3423" s="16"/>
      <c r="K3423" s="16"/>
      <c r="L3423" s="16"/>
      <c r="M3423" s="229"/>
      <c r="N3423" s="16"/>
      <c r="O3423" s="17" t="s">
        <v>38</v>
      </c>
      <c r="P3423" s="5" t="str">
        <f t="shared" si="83"/>
        <v/>
      </c>
      <c r="Q3423" s="5"/>
      <c r="R3423" s="5"/>
    </row>
    <row r="3424" spans="2:18" x14ac:dyDescent="0.25">
      <c r="B3424" s="19" t="s">
        <v>4601</v>
      </c>
      <c r="C3424" s="20" t="s">
        <v>4602</v>
      </c>
      <c r="D3424" s="16" t="s">
        <v>8152</v>
      </c>
      <c r="E3424" s="16"/>
      <c r="F3424" s="5"/>
      <c r="G3424" s="16" t="s">
        <v>35</v>
      </c>
      <c r="H3424" s="16"/>
      <c r="I3424" s="16"/>
      <c r="J3424" s="16"/>
      <c r="K3424" s="16"/>
      <c r="L3424" s="16"/>
      <c r="M3424" s="229"/>
      <c r="N3424" s="16"/>
      <c r="O3424" s="17" t="s">
        <v>38</v>
      </c>
      <c r="P3424" s="5" t="str">
        <f t="shared" si="83"/>
        <v/>
      </c>
      <c r="Q3424" s="5"/>
      <c r="R3424" s="5"/>
    </row>
    <row r="3425" spans="2:18" x14ac:dyDescent="0.25">
      <c r="B3425" s="19" t="s">
        <v>4603</v>
      </c>
      <c r="C3425" s="20" t="s">
        <v>4604</v>
      </c>
      <c r="D3425" s="16" t="s">
        <v>8152</v>
      </c>
      <c r="E3425" s="16" t="s">
        <v>151</v>
      </c>
      <c r="F3425" s="5" t="s">
        <v>4605</v>
      </c>
      <c r="G3425" s="16" t="s">
        <v>35</v>
      </c>
      <c r="H3425" s="16"/>
      <c r="I3425" s="16"/>
      <c r="J3425" s="16"/>
      <c r="K3425" s="16"/>
      <c r="L3425" s="16"/>
      <c r="M3425" s="229"/>
      <c r="N3425" s="16"/>
      <c r="O3425" s="17" t="s">
        <v>38</v>
      </c>
      <c r="P3425" s="5" t="str">
        <f t="shared" si="83"/>
        <v/>
      </c>
      <c r="Q3425" s="5"/>
      <c r="R3425" s="5"/>
    </row>
    <row r="3426" spans="2:18" x14ac:dyDescent="0.25">
      <c r="B3426" s="19" t="s">
        <v>4606</v>
      </c>
      <c r="C3426" s="20" t="s">
        <v>4607</v>
      </c>
      <c r="D3426" s="16" t="s">
        <v>8152</v>
      </c>
      <c r="E3426" s="16"/>
      <c r="F3426" s="5"/>
      <c r="G3426" s="16" t="s">
        <v>35</v>
      </c>
      <c r="H3426" s="16"/>
      <c r="I3426" s="16"/>
      <c r="J3426" s="16"/>
      <c r="K3426" s="16"/>
      <c r="L3426" s="16"/>
      <c r="M3426" s="229"/>
      <c r="N3426" s="16"/>
      <c r="O3426" s="17" t="s">
        <v>38</v>
      </c>
      <c r="P3426" s="5" t="str">
        <f t="shared" si="83"/>
        <v/>
      </c>
      <c r="Q3426" s="5"/>
      <c r="R3426" s="5"/>
    </row>
    <row r="3427" spans="2:18" x14ac:dyDescent="0.25">
      <c r="B3427" s="19" t="s">
        <v>4608</v>
      </c>
      <c r="C3427" s="16" t="s">
        <v>4609</v>
      </c>
      <c r="D3427" s="16" t="s">
        <v>8152</v>
      </c>
      <c r="E3427" s="16" t="s">
        <v>54</v>
      </c>
      <c r="F3427" s="5" t="s">
        <v>2932</v>
      </c>
      <c r="G3427" s="16" t="s">
        <v>35</v>
      </c>
      <c r="H3427" s="16" t="s">
        <v>36</v>
      </c>
      <c r="I3427" s="16"/>
      <c r="J3427" s="16"/>
      <c r="K3427" s="16"/>
      <c r="L3427" s="16"/>
      <c r="M3427" s="16"/>
      <c r="N3427" s="16"/>
      <c r="O3427" s="17" t="s">
        <v>38</v>
      </c>
      <c r="P3427" s="5" t="str">
        <f t="shared" si="83"/>
        <v/>
      </c>
      <c r="Q3427" s="5"/>
      <c r="R3427" s="5"/>
    </row>
    <row r="3428" spans="2:18" x14ac:dyDescent="0.25">
      <c r="B3428" s="19" t="s">
        <v>4610</v>
      </c>
      <c r="C3428" s="16" t="s">
        <v>4611</v>
      </c>
      <c r="D3428" s="16" t="s">
        <v>8152</v>
      </c>
      <c r="E3428" s="16" t="s">
        <v>151</v>
      </c>
      <c r="F3428" s="5" t="s">
        <v>699</v>
      </c>
      <c r="G3428" s="16" t="s">
        <v>35</v>
      </c>
      <c r="H3428" s="16"/>
      <c r="I3428" s="16"/>
      <c r="J3428" s="16"/>
      <c r="K3428" s="16"/>
      <c r="L3428" s="16"/>
      <c r="M3428" s="16"/>
      <c r="N3428" s="16"/>
      <c r="O3428" s="17" t="s">
        <v>38</v>
      </c>
      <c r="P3428" s="5" t="str">
        <f t="shared" si="83"/>
        <v/>
      </c>
      <c r="Q3428" s="5"/>
      <c r="R3428" s="5"/>
    </row>
    <row r="3429" spans="2:18" x14ac:dyDescent="0.25">
      <c r="B3429" s="19" t="s">
        <v>4612</v>
      </c>
      <c r="C3429" s="20" t="s">
        <v>4613</v>
      </c>
      <c r="D3429" s="16" t="s">
        <v>8152</v>
      </c>
      <c r="E3429" s="16"/>
      <c r="F3429" s="5"/>
      <c r="G3429" s="16" t="s">
        <v>35</v>
      </c>
      <c r="H3429" s="16"/>
      <c r="I3429" s="16"/>
      <c r="J3429" s="16"/>
      <c r="K3429" s="16"/>
      <c r="L3429" s="16"/>
      <c r="M3429" s="229"/>
      <c r="N3429" s="16"/>
      <c r="O3429" s="17" t="s">
        <v>38</v>
      </c>
      <c r="P3429" s="5" t="str">
        <f t="shared" si="83"/>
        <v/>
      </c>
      <c r="Q3429" s="5"/>
      <c r="R3429" s="5"/>
    </row>
    <row r="3430" spans="2:18" x14ac:dyDescent="0.25">
      <c r="B3430" s="19" t="s">
        <v>4614</v>
      </c>
      <c r="C3430" s="20" t="s">
        <v>4615</v>
      </c>
      <c r="D3430" s="16" t="s">
        <v>29</v>
      </c>
      <c r="E3430" s="16"/>
      <c r="F3430" s="5"/>
      <c r="G3430" s="16" t="s">
        <v>35</v>
      </c>
      <c r="H3430" s="16"/>
      <c r="I3430" s="16"/>
      <c r="J3430" s="16"/>
      <c r="K3430" s="16"/>
      <c r="L3430" s="16"/>
      <c r="M3430" s="16"/>
      <c r="N3430" s="16"/>
      <c r="O3430" s="17" t="s">
        <v>38</v>
      </c>
      <c r="P3430" s="5" t="str">
        <f t="shared" si="83"/>
        <v>Truncate table FST401;</v>
      </c>
      <c r="Q3430" s="5"/>
      <c r="R3430" s="5"/>
    </row>
    <row r="3431" spans="2:18" x14ac:dyDescent="0.25">
      <c r="B3431" s="19" t="s">
        <v>4616</v>
      </c>
      <c r="C3431" s="16" t="s">
        <v>4617</v>
      </c>
      <c r="D3431" s="16" t="s">
        <v>8152</v>
      </c>
      <c r="E3431" s="16" t="s">
        <v>54</v>
      </c>
      <c r="F3431" s="5" t="s">
        <v>557</v>
      </c>
      <c r="G3431" s="16" t="s">
        <v>28</v>
      </c>
      <c r="H3431" s="16" t="s">
        <v>36</v>
      </c>
      <c r="I3431" s="16"/>
      <c r="J3431" s="16"/>
      <c r="K3431" s="16"/>
      <c r="L3431" s="16"/>
      <c r="M3431" s="16"/>
      <c r="N3431" s="16" t="s">
        <v>4299</v>
      </c>
      <c r="O3431" s="17" t="s">
        <v>38</v>
      </c>
      <c r="P3431" s="5" t="str">
        <f t="shared" si="83"/>
        <v/>
      </c>
      <c r="Q3431" s="5"/>
      <c r="R3431" s="5"/>
    </row>
    <row r="3432" spans="2:18" x14ac:dyDescent="0.25">
      <c r="B3432" s="19" t="s">
        <v>4618</v>
      </c>
      <c r="C3432" s="20" t="s">
        <v>4619</v>
      </c>
      <c r="D3432" s="16" t="s">
        <v>29</v>
      </c>
      <c r="E3432" s="16"/>
      <c r="F3432" s="5"/>
      <c r="G3432" s="16" t="s">
        <v>35</v>
      </c>
      <c r="H3432" s="16"/>
      <c r="I3432" s="16"/>
      <c r="J3432" s="16"/>
      <c r="K3432" s="16"/>
      <c r="L3432" s="16"/>
      <c r="M3432" s="16"/>
      <c r="N3432" s="16" t="s">
        <v>4413</v>
      </c>
      <c r="O3432" s="17" t="s">
        <v>38</v>
      </c>
      <c r="P3432" s="5" t="str">
        <f t="shared" si="83"/>
        <v>Truncate table FST405;</v>
      </c>
      <c r="Q3432" s="5"/>
      <c r="R3432" s="5"/>
    </row>
    <row r="3433" spans="2:18" x14ac:dyDescent="0.25">
      <c r="B3433" s="19" t="s">
        <v>4620</v>
      </c>
      <c r="C3433" s="20" t="s">
        <v>4621</v>
      </c>
      <c r="D3433" s="16" t="s">
        <v>8152</v>
      </c>
      <c r="E3433" s="16"/>
      <c r="F3433" s="5"/>
      <c r="G3433" s="16" t="s">
        <v>35</v>
      </c>
      <c r="H3433" s="16"/>
      <c r="I3433" s="16"/>
      <c r="J3433" s="16"/>
      <c r="K3433" s="16"/>
      <c r="L3433" s="16"/>
      <c r="M3433" s="229"/>
      <c r="N3433" s="16" t="s">
        <v>4413</v>
      </c>
      <c r="O3433" s="17" t="s">
        <v>38</v>
      </c>
      <c r="P3433" s="5" t="str">
        <f t="shared" si="83"/>
        <v/>
      </c>
      <c r="Q3433" s="5"/>
      <c r="R3433" s="5"/>
    </row>
    <row r="3434" spans="2:18" x14ac:dyDescent="0.25">
      <c r="B3434" s="19" t="s">
        <v>4622</v>
      </c>
      <c r="C3434" s="16" t="s">
        <v>4623</v>
      </c>
      <c r="D3434" s="16" t="s">
        <v>8152</v>
      </c>
      <c r="E3434" s="16" t="s">
        <v>54</v>
      </c>
      <c r="F3434" s="5" t="s">
        <v>2813</v>
      </c>
      <c r="G3434" s="16" t="s">
        <v>35</v>
      </c>
      <c r="H3434" s="16" t="s">
        <v>36</v>
      </c>
      <c r="I3434" s="16"/>
      <c r="J3434" s="16"/>
      <c r="K3434" s="16"/>
      <c r="L3434" s="16"/>
      <c r="M3434" s="229"/>
      <c r="N3434" s="16"/>
      <c r="O3434" s="17" t="s">
        <v>38</v>
      </c>
      <c r="P3434" s="5" t="str">
        <f t="shared" si="83"/>
        <v/>
      </c>
      <c r="Q3434" s="5"/>
      <c r="R3434" s="5"/>
    </row>
    <row r="3435" spans="2:18" x14ac:dyDescent="0.25">
      <c r="B3435" s="19" t="s">
        <v>4624</v>
      </c>
      <c r="C3435" s="16" t="s">
        <v>4625</v>
      </c>
      <c r="D3435" s="16" t="s">
        <v>8152</v>
      </c>
      <c r="E3435" s="16" t="s">
        <v>54</v>
      </c>
      <c r="F3435" s="5" t="s">
        <v>163</v>
      </c>
      <c r="G3435" s="16" t="s">
        <v>35</v>
      </c>
      <c r="H3435" s="16" t="s">
        <v>36</v>
      </c>
      <c r="I3435" s="16"/>
      <c r="J3435" s="16"/>
      <c r="K3435" s="16"/>
      <c r="L3435" s="16"/>
      <c r="M3435" s="229"/>
      <c r="N3435" s="16"/>
      <c r="O3435" s="17" t="s">
        <v>38</v>
      </c>
      <c r="P3435" s="5" t="str">
        <f t="shared" si="83"/>
        <v/>
      </c>
      <c r="Q3435" s="5"/>
      <c r="R3435" s="5"/>
    </row>
    <row r="3436" spans="2:18" x14ac:dyDescent="0.25">
      <c r="B3436" s="19" t="s">
        <v>4626</v>
      </c>
      <c r="C3436" s="16" t="s">
        <v>4627</v>
      </c>
      <c r="D3436" s="16" t="s">
        <v>8152</v>
      </c>
      <c r="E3436" s="16" t="s">
        <v>54</v>
      </c>
      <c r="F3436" s="5" t="s">
        <v>235</v>
      </c>
      <c r="G3436" s="16" t="s">
        <v>35</v>
      </c>
      <c r="H3436" s="16" t="s">
        <v>36</v>
      </c>
      <c r="I3436" s="16"/>
      <c r="J3436" s="16"/>
      <c r="K3436" s="16"/>
      <c r="L3436" s="16"/>
      <c r="M3436" s="229"/>
      <c r="N3436" s="16"/>
      <c r="O3436" s="17" t="s">
        <v>38</v>
      </c>
      <c r="P3436" s="5" t="str">
        <f t="shared" si="83"/>
        <v/>
      </c>
      <c r="Q3436" s="5"/>
      <c r="R3436" s="5"/>
    </row>
    <row r="3437" spans="2:18" ht="37.5" customHeight="1" x14ac:dyDescent="0.25">
      <c r="B3437" s="19" t="s">
        <v>4628</v>
      </c>
      <c r="C3437" s="16" t="s">
        <v>4629</v>
      </c>
      <c r="D3437" s="16" t="s">
        <v>8152</v>
      </c>
      <c r="E3437" s="16"/>
      <c r="F3437" s="5"/>
      <c r="G3437" s="16" t="s">
        <v>35</v>
      </c>
      <c r="H3437" s="16" t="s">
        <v>4630</v>
      </c>
      <c r="I3437" s="16"/>
      <c r="J3437" s="16"/>
      <c r="K3437" s="16"/>
      <c r="L3437" s="21" t="s">
        <v>4631</v>
      </c>
      <c r="M3437" s="231"/>
      <c r="N3437" s="16" t="s">
        <v>4413</v>
      </c>
      <c r="O3437" s="17" t="s">
        <v>38</v>
      </c>
      <c r="P3437" s="5" t="str">
        <f t="shared" si="83"/>
        <v/>
      </c>
      <c r="Q3437" s="5"/>
      <c r="R3437" s="5"/>
    </row>
    <row r="3438" spans="2:18" x14ac:dyDescent="0.25">
      <c r="B3438" s="19" t="s">
        <v>4632</v>
      </c>
      <c r="C3438" s="16" t="s">
        <v>4633</v>
      </c>
      <c r="D3438" s="16" t="s">
        <v>8152</v>
      </c>
      <c r="E3438" s="16"/>
      <c r="F3438" s="5"/>
      <c r="G3438" s="16" t="s">
        <v>35</v>
      </c>
      <c r="H3438" s="16" t="s">
        <v>4630</v>
      </c>
      <c r="I3438" s="16"/>
      <c r="J3438" s="16"/>
      <c r="K3438" s="16"/>
      <c r="L3438" s="16"/>
      <c r="M3438" s="229"/>
      <c r="N3438" s="16" t="s">
        <v>4413</v>
      </c>
      <c r="O3438" s="17" t="s">
        <v>38</v>
      </c>
      <c r="P3438" s="5" t="str">
        <f t="shared" si="83"/>
        <v/>
      </c>
      <c r="Q3438" s="5"/>
      <c r="R3438" s="5"/>
    </row>
    <row r="3439" spans="2:18" x14ac:dyDescent="0.25">
      <c r="B3439" s="19" t="s">
        <v>4634</v>
      </c>
      <c r="C3439" s="16" t="s">
        <v>4635</v>
      </c>
      <c r="D3439" s="16" t="s">
        <v>8152</v>
      </c>
      <c r="E3439" s="16"/>
      <c r="F3439" s="5"/>
      <c r="G3439" s="16" t="s">
        <v>35</v>
      </c>
      <c r="H3439" s="16"/>
      <c r="I3439" s="16"/>
      <c r="J3439" s="16"/>
      <c r="K3439" s="16"/>
      <c r="L3439" s="16"/>
      <c r="M3439" s="229"/>
      <c r="N3439" s="16" t="s">
        <v>4413</v>
      </c>
      <c r="O3439" s="17" t="s">
        <v>38</v>
      </c>
      <c r="P3439" s="5" t="str">
        <f t="shared" si="83"/>
        <v/>
      </c>
      <c r="Q3439" s="5"/>
      <c r="R3439" s="5"/>
    </row>
    <row r="3440" spans="2:18" x14ac:dyDescent="0.25">
      <c r="B3440" s="19" t="s">
        <v>4636</v>
      </c>
      <c r="C3440" s="16" t="s">
        <v>4637</v>
      </c>
      <c r="D3440" s="16" t="s">
        <v>8152</v>
      </c>
      <c r="E3440" s="16"/>
      <c r="F3440" s="5"/>
      <c r="G3440" s="16" t="s">
        <v>35</v>
      </c>
      <c r="H3440" s="16"/>
      <c r="I3440" s="16"/>
      <c r="J3440" s="16"/>
      <c r="K3440" s="16"/>
      <c r="L3440" s="16"/>
      <c r="M3440" s="229"/>
      <c r="N3440" s="16" t="s">
        <v>4413</v>
      </c>
      <c r="O3440" s="17" t="s">
        <v>38</v>
      </c>
      <c r="P3440" s="5" t="str">
        <f t="shared" si="83"/>
        <v/>
      </c>
      <c r="Q3440" s="5"/>
      <c r="R3440" s="5"/>
    </row>
    <row r="3441" spans="1:22" x14ac:dyDescent="0.25">
      <c r="B3441" s="19" t="s">
        <v>4638</v>
      </c>
      <c r="C3441" s="16" t="s">
        <v>4639</v>
      </c>
      <c r="D3441" s="16" t="s">
        <v>8152</v>
      </c>
      <c r="E3441" s="16"/>
      <c r="F3441" s="5"/>
      <c r="G3441" s="16" t="s">
        <v>35</v>
      </c>
      <c r="H3441" s="16"/>
      <c r="I3441" s="16"/>
      <c r="J3441" s="16"/>
      <c r="K3441" s="16"/>
      <c r="L3441" s="16"/>
      <c r="M3441" s="229"/>
      <c r="N3441" s="16" t="s">
        <v>4413</v>
      </c>
      <c r="O3441" s="17" t="s">
        <v>38</v>
      </c>
      <c r="P3441" s="5" t="str">
        <f t="shared" si="83"/>
        <v/>
      </c>
      <c r="Q3441" s="5"/>
      <c r="R3441" s="5"/>
    </row>
    <row r="3442" spans="1:22" x14ac:dyDescent="0.25">
      <c r="B3442" s="19" t="s">
        <v>4640</v>
      </c>
      <c r="C3442" s="16" t="s">
        <v>4641</v>
      </c>
      <c r="D3442" s="16" t="s">
        <v>8152</v>
      </c>
      <c r="E3442" s="16" t="s">
        <v>54</v>
      </c>
      <c r="F3442" s="5" t="s">
        <v>2657</v>
      </c>
      <c r="G3442" s="16" t="s">
        <v>35</v>
      </c>
      <c r="H3442" s="16" t="s">
        <v>36</v>
      </c>
      <c r="I3442" s="16"/>
      <c r="J3442" s="16"/>
      <c r="K3442" s="16"/>
      <c r="L3442" s="16"/>
      <c r="M3442" s="238" t="s">
        <v>387</v>
      </c>
      <c r="N3442" s="16"/>
      <c r="O3442" s="17" t="s">
        <v>38</v>
      </c>
      <c r="P3442" s="5" t="str">
        <f t="shared" si="83"/>
        <v/>
      </c>
      <c r="Q3442" s="5"/>
      <c r="R3442" s="5"/>
    </row>
    <row r="3443" spans="1:22" ht="40.5" customHeight="1" x14ac:dyDescent="0.25">
      <c r="B3443" s="19" t="s">
        <v>4642</v>
      </c>
      <c r="C3443" s="16" t="s">
        <v>4643</v>
      </c>
      <c r="D3443" s="16" t="s">
        <v>8152</v>
      </c>
      <c r="E3443" s="16" t="s">
        <v>54</v>
      </c>
      <c r="F3443" s="5" t="s">
        <v>4278</v>
      </c>
      <c r="G3443" s="16" t="s">
        <v>35</v>
      </c>
      <c r="H3443" s="16" t="s">
        <v>36</v>
      </c>
      <c r="I3443" s="16"/>
      <c r="J3443" s="16"/>
      <c r="K3443" s="16"/>
      <c r="L3443" s="20" t="s">
        <v>4279</v>
      </c>
      <c r="M3443" s="230"/>
      <c r="N3443" s="16"/>
      <c r="O3443" s="17" t="s">
        <v>38</v>
      </c>
      <c r="P3443" s="5" t="str">
        <f t="shared" si="83"/>
        <v/>
      </c>
      <c r="Q3443" s="5"/>
      <c r="R3443" s="5"/>
    </row>
    <row r="3444" spans="1:22" x14ac:dyDescent="0.25">
      <c r="B3444" s="19" t="s">
        <v>4644</v>
      </c>
      <c r="C3444" s="16" t="s">
        <v>4645</v>
      </c>
      <c r="D3444" s="16" t="s">
        <v>29</v>
      </c>
      <c r="E3444" s="16"/>
      <c r="F3444" s="5"/>
      <c r="G3444" s="16" t="s">
        <v>35</v>
      </c>
      <c r="H3444" s="16"/>
      <c r="I3444" s="16"/>
      <c r="J3444" s="16"/>
      <c r="K3444" s="16"/>
      <c r="L3444" s="16"/>
      <c r="M3444" s="16"/>
      <c r="N3444" s="16" t="s">
        <v>4413</v>
      </c>
      <c r="O3444" s="17" t="s">
        <v>38</v>
      </c>
      <c r="P3444" s="5" t="str">
        <f t="shared" si="83"/>
        <v>Truncate table FST650;</v>
      </c>
      <c r="Q3444" s="5"/>
      <c r="R3444" s="5"/>
    </row>
    <row r="3445" spans="1:22" x14ac:dyDescent="0.25">
      <c r="B3445" s="19" t="s">
        <v>4646</v>
      </c>
      <c r="C3445" s="16" t="s">
        <v>4647</v>
      </c>
      <c r="D3445" s="16" t="s">
        <v>8152</v>
      </c>
      <c r="E3445" s="16" t="s">
        <v>54</v>
      </c>
      <c r="F3445" s="5" t="s">
        <v>2932</v>
      </c>
      <c r="G3445" s="16" t="s">
        <v>35</v>
      </c>
      <c r="H3445" s="16" t="s">
        <v>36</v>
      </c>
      <c r="I3445" s="16"/>
      <c r="J3445" s="16"/>
      <c r="K3445" s="16"/>
      <c r="L3445" s="16"/>
      <c r="M3445" s="16"/>
      <c r="N3445" s="16"/>
      <c r="O3445" s="17" t="s">
        <v>38</v>
      </c>
      <c r="P3445" s="5" t="str">
        <f t="shared" si="83"/>
        <v/>
      </c>
      <c r="Q3445" s="5"/>
      <c r="R3445" s="5"/>
    </row>
    <row r="3446" spans="1:22" x14ac:dyDescent="0.25">
      <c r="B3446" s="19" t="s">
        <v>4648</v>
      </c>
      <c r="C3446" s="16"/>
      <c r="D3446" s="16" t="s">
        <v>8152</v>
      </c>
      <c r="E3446" s="16" t="s">
        <v>54</v>
      </c>
      <c r="F3446" s="5" t="s">
        <v>2777</v>
      </c>
      <c r="G3446" s="16" t="s">
        <v>35</v>
      </c>
      <c r="H3446" s="16" t="s">
        <v>36</v>
      </c>
      <c r="I3446" s="16"/>
      <c r="J3446" s="16"/>
      <c r="K3446" s="16"/>
      <c r="L3446" s="16"/>
      <c r="M3446" s="16"/>
      <c r="N3446" s="16"/>
      <c r="O3446" s="17" t="s">
        <v>38</v>
      </c>
      <c r="P3446" s="5" t="str">
        <f t="shared" si="83"/>
        <v/>
      </c>
      <c r="Q3446" s="5"/>
      <c r="R3446" s="5"/>
    </row>
    <row r="3447" spans="1:22" x14ac:dyDescent="0.25">
      <c r="B3447" s="19" t="s">
        <v>4649</v>
      </c>
      <c r="C3447" s="16" t="s">
        <v>4650</v>
      </c>
      <c r="D3447" s="16" t="s">
        <v>8152</v>
      </c>
      <c r="E3447" s="16" t="s">
        <v>54</v>
      </c>
      <c r="F3447" s="5" t="s">
        <v>2657</v>
      </c>
      <c r="G3447" s="16" t="s">
        <v>35</v>
      </c>
      <c r="H3447" s="16" t="s">
        <v>36</v>
      </c>
      <c r="I3447" s="16"/>
      <c r="J3447" s="16"/>
      <c r="K3447" s="16"/>
      <c r="L3447" s="16"/>
      <c r="M3447" s="229"/>
      <c r="N3447" s="16"/>
      <c r="O3447" s="17" t="s">
        <v>38</v>
      </c>
      <c r="P3447" s="5" t="str">
        <f t="shared" si="83"/>
        <v/>
      </c>
      <c r="Q3447" s="5"/>
      <c r="R3447" s="5"/>
    </row>
    <row r="3448" spans="1:22" x14ac:dyDescent="0.25">
      <c r="B3448" s="346" t="s">
        <v>11456</v>
      </c>
      <c r="C3448" s="346" t="s">
        <v>11459</v>
      </c>
      <c r="D3448" s="16" t="s">
        <v>29</v>
      </c>
      <c r="E3448" s="16" t="s">
        <v>54</v>
      </c>
      <c r="F3448" s="5" t="s">
        <v>235</v>
      </c>
      <c r="G3448" s="16" t="s">
        <v>35</v>
      </c>
      <c r="H3448" s="16" t="s">
        <v>36</v>
      </c>
      <c r="I3448" s="16"/>
      <c r="J3448" s="16"/>
      <c r="K3448" s="16"/>
      <c r="L3448" s="16"/>
      <c r="M3448" s="229"/>
      <c r="N3448" s="16"/>
      <c r="O3448" s="17" t="s">
        <v>38</v>
      </c>
      <c r="P3448" s="5" t="str">
        <f t="shared" si="83"/>
        <v>Truncate table FST714;</v>
      </c>
      <c r="Q3448" s="5"/>
      <c r="R3448" s="5"/>
    </row>
    <row r="3449" spans="1:22" x14ac:dyDescent="0.25">
      <c r="B3449" s="346" t="s">
        <v>11458</v>
      </c>
      <c r="C3449" s="346" t="s">
        <v>11460</v>
      </c>
      <c r="D3449" s="16" t="s">
        <v>29</v>
      </c>
      <c r="E3449" s="16" t="s">
        <v>54</v>
      </c>
      <c r="F3449" s="5" t="s">
        <v>235</v>
      </c>
      <c r="G3449" s="16" t="s">
        <v>35</v>
      </c>
      <c r="H3449" s="16" t="s">
        <v>36</v>
      </c>
      <c r="I3449" s="16"/>
      <c r="J3449" s="16"/>
      <c r="K3449" s="118" t="s">
        <v>11526</v>
      </c>
      <c r="L3449" s="16"/>
      <c r="M3449" s="229"/>
      <c r="N3449" t="s">
        <v>11461</v>
      </c>
      <c r="O3449" s="17" t="s">
        <v>38</v>
      </c>
      <c r="P3449" s="5" t="str">
        <f t="shared" si="83"/>
        <v>Truncate table FSH715;</v>
      </c>
      <c r="Q3449" s="5"/>
      <c r="R3449" s="5"/>
    </row>
    <row r="3450" spans="1:22" x14ac:dyDescent="0.25">
      <c r="B3450" s="346" t="s">
        <v>11457</v>
      </c>
      <c r="C3450" s="346" t="s">
        <v>11461</v>
      </c>
      <c r="D3450" s="16" t="s">
        <v>29</v>
      </c>
      <c r="E3450" s="16" t="s">
        <v>54</v>
      </c>
      <c r="F3450" s="5" t="s">
        <v>235</v>
      </c>
      <c r="G3450" s="16" t="s">
        <v>35</v>
      </c>
      <c r="H3450" s="16" t="s">
        <v>36</v>
      </c>
      <c r="I3450" s="16"/>
      <c r="J3450" s="16"/>
      <c r="K3450" s="16"/>
      <c r="L3450" s="16"/>
      <c r="M3450" s="229"/>
      <c r="N3450" s="16"/>
      <c r="O3450" s="17" t="s">
        <v>38</v>
      </c>
      <c r="P3450" s="5" t="str">
        <f t="shared" si="83"/>
        <v>Truncate table FSH716;</v>
      </c>
      <c r="Q3450" s="5"/>
      <c r="R3450" s="5"/>
    </row>
    <row r="3451" spans="1:22" x14ac:dyDescent="0.25">
      <c r="B3451" s="19" t="s">
        <v>4651</v>
      </c>
      <c r="C3451" s="20" t="s">
        <v>4652</v>
      </c>
      <c r="D3451" s="16" t="s">
        <v>8152</v>
      </c>
      <c r="E3451" s="16"/>
      <c r="F3451" s="5"/>
      <c r="G3451" s="16" t="s">
        <v>35</v>
      </c>
      <c r="H3451" s="16"/>
      <c r="I3451" s="16"/>
      <c r="J3451" s="16"/>
      <c r="K3451" s="16"/>
      <c r="L3451" s="16"/>
      <c r="M3451" s="229"/>
      <c r="N3451" s="16" t="s">
        <v>4413</v>
      </c>
      <c r="O3451" s="17" t="s">
        <v>38</v>
      </c>
      <c r="P3451" s="5" t="str">
        <f t="shared" si="83"/>
        <v/>
      </c>
      <c r="Q3451" s="5"/>
      <c r="R3451" s="5"/>
    </row>
    <row r="3452" spans="1:22" x14ac:dyDescent="0.25">
      <c r="B3452" s="118" t="s">
        <v>11523</v>
      </c>
      <c r="C3452" s="118" t="s">
        <v>11525</v>
      </c>
      <c r="D3452" s="16" t="s">
        <v>29</v>
      </c>
      <c r="E3452" s="16" t="s">
        <v>54</v>
      </c>
      <c r="F3452" s="5" t="s">
        <v>235</v>
      </c>
      <c r="G3452" s="16" t="s">
        <v>35</v>
      </c>
      <c r="H3452" s="16" t="s">
        <v>36</v>
      </c>
      <c r="I3452" s="16"/>
      <c r="J3452" s="16"/>
      <c r="K3452" s="118" t="s">
        <v>11526</v>
      </c>
      <c r="L3452" s="16"/>
      <c r="M3452" s="229"/>
      <c r="N3452" s="16"/>
      <c r="O3452" s="17" t="s">
        <v>38</v>
      </c>
      <c r="P3452" s="5" t="str">
        <f t="shared" si="83"/>
        <v>Truncate table FST718;</v>
      </c>
      <c r="Q3452" s="5"/>
      <c r="R3452" s="5"/>
    </row>
    <row r="3453" spans="1:22" x14ac:dyDescent="0.25">
      <c r="B3453" s="118" t="s">
        <v>11522</v>
      </c>
      <c r="C3453" s="118" t="s">
        <v>11524</v>
      </c>
      <c r="D3453" s="16" t="s">
        <v>29</v>
      </c>
      <c r="E3453" s="16" t="s">
        <v>54</v>
      </c>
      <c r="F3453" s="5" t="s">
        <v>235</v>
      </c>
      <c r="G3453" s="16" t="s">
        <v>35</v>
      </c>
      <c r="H3453" s="16" t="s">
        <v>36</v>
      </c>
      <c r="I3453" s="16"/>
      <c r="J3453" s="16"/>
      <c r="K3453" s="118" t="s">
        <v>11526</v>
      </c>
      <c r="L3453" s="16"/>
      <c r="M3453" s="229"/>
      <c r="N3453" s="16"/>
      <c r="O3453" s="17" t="s">
        <v>38</v>
      </c>
      <c r="P3453" s="5" t="str">
        <f t="shared" si="83"/>
        <v>Truncate table FST719;</v>
      </c>
      <c r="Q3453" s="5"/>
      <c r="R3453" s="5"/>
    </row>
    <row r="3454" spans="1:22" s="409" customFormat="1" x14ac:dyDescent="0.25">
      <c r="A3454" s="408"/>
      <c r="B3454" s="19" t="s">
        <v>4653</v>
      </c>
      <c r="C3454" s="16" t="s">
        <v>4654</v>
      </c>
      <c r="D3454" s="16" t="s">
        <v>8152</v>
      </c>
      <c r="E3454" s="16"/>
      <c r="F3454" s="5"/>
      <c r="G3454" s="16" t="s">
        <v>35</v>
      </c>
      <c r="H3454" s="16"/>
      <c r="I3454" s="16"/>
      <c r="J3454" s="16"/>
      <c r="K3454" s="16"/>
      <c r="L3454" s="16"/>
      <c r="M3454" s="229"/>
      <c r="N3454" s="16" t="s">
        <v>4413</v>
      </c>
      <c r="O3454" s="17" t="s">
        <v>38</v>
      </c>
      <c r="P3454" s="5" t="str">
        <f t="shared" si="83"/>
        <v/>
      </c>
      <c r="Q3454" s="5"/>
      <c r="R3454" s="5"/>
      <c r="S3454" s="408"/>
      <c r="T3454" s="408"/>
      <c r="U3454" s="408"/>
      <c r="V3454" s="408"/>
    </row>
    <row r="3455" spans="1:22" x14ac:dyDescent="0.25">
      <c r="B3455" s="49" t="s">
        <v>4655</v>
      </c>
      <c r="C3455" s="50" t="s">
        <v>4656</v>
      </c>
      <c r="D3455" s="50" t="s">
        <v>8152</v>
      </c>
      <c r="E3455" s="50"/>
      <c r="F3455" s="51"/>
      <c r="G3455" s="50" t="s">
        <v>35</v>
      </c>
      <c r="H3455" s="50"/>
      <c r="I3455" s="50"/>
      <c r="J3455" s="50"/>
      <c r="K3455" s="50"/>
      <c r="L3455" s="50"/>
      <c r="M3455" s="407"/>
      <c r="N3455" s="50" t="s">
        <v>4413</v>
      </c>
      <c r="O3455" s="52" t="s">
        <v>38</v>
      </c>
      <c r="P3455" s="5" t="str">
        <f t="shared" si="83"/>
        <v/>
      </c>
      <c r="Q3455" s="51"/>
      <c r="R3455" s="51"/>
    </row>
    <row r="3456" spans="1:22" x14ac:dyDescent="0.25">
      <c r="B3456" s="19" t="s">
        <v>4657</v>
      </c>
      <c r="C3456" s="16" t="s">
        <v>4658</v>
      </c>
      <c r="D3456" s="16" t="s">
        <v>8152</v>
      </c>
      <c r="E3456" s="16" t="s">
        <v>54</v>
      </c>
      <c r="F3456" s="5" t="s">
        <v>74</v>
      </c>
      <c r="G3456" s="16" t="s">
        <v>35</v>
      </c>
      <c r="H3456" s="16" t="s">
        <v>36</v>
      </c>
      <c r="I3456" s="16"/>
      <c r="J3456" s="16"/>
      <c r="K3456" s="16"/>
      <c r="L3456" s="16"/>
      <c r="M3456" s="229"/>
      <c r="N3456" s="16"/>
      <c r="O3456" s="17" t="s">
        <v>387</v>
      </c>
      <c r="P3456" s="5" t="str">
        <f t="shared" si="83"/>
        <v/>
      </c>
      <c r="Q3456" s="5"/>
      <c r="R3456" s="5"/>
    </row>
    <row r="3457" spans="2:18" x14ac:dyDescent="0.25">
      <c r="B3457" s="19" t="s">
        <v>4659</v>
      </c>
      <c r="C3457" s="16" t="s">
        <v>8506</v>
      </c>
      <c r="D3457" s="16" t="s">
        <v>8152</v>
      </c>
      <c r="E3457" s="16" t="s">
        <v>54</v>
      </c>
      <c r="F3457" s="5" t="s">
        <v>163</v>
      </c>
      <c r="G3457" s="16" t="s">
        <v>35</v>
      </c>
      <c r="H3457" s="16" t="s">
        <v>36</v>
      </c>
      <c r="I3457" s="16"/>
      <c r="J3457" s="16"/>
      <c r="K3457" s="16"/>
      <c r="L3457" s="16"/>
      <c r="M3457" s="238" t="s">
        <v>387</v>
      </c>
      <c r="N3457" s="16"/>
      <c r="O3457" s="17" t="s">
        <v>38</v>
      </c>
      <c r="P3457" s="5" t="str">
        <f t="shared" ref="P3457:P3461" si="84">IF(D3457="Datos","Truncate table "&amp; B3457&amp; ";","")</f>
        <v/>
      </c>
      <c r="Q3457" s="5"/>
      <c r="R3457" s="5"/>
    </row>
    <row r="3458" spans="2:18" x14ac:dyDescent="0.25">
      <c r="B3458" s="19" t="s">
        <v>4660</v>
      </c>
      <c r="C3458" s="16" t="s">
        <v>4661</v>
      </c>
      <c r="D3458" s="16" t="s">
        <v>8152</v>
      </c>
      <c r="E3458" s="16" t="s">
        <v>54</v>
      </c>
      <c r="F3458" s="5" t="s">
        <v>163</v>
      </c>
      <c r="G3458" s="16" t="s">
        <v>35</v>
      </c>
      <c r="H3458" s="16" t="s">
        <v>36</v>
      </c>
      <c r="I3458" s="16"/>
      <c r="J3458" s="16"/>
      <c r="K3458" s="16"/>
      <c r="L3458" s="16"/>
      <c r="M3458" s="238" t="s">
        <v>387</v>
      </c>
      <c r="N3458" s="16"/>
      <c r="O3458" s="17" t="s">
        <v>38</v>
      </c>
      <c r="P3458" s="5" t="str">
        <f t="shared" si="84"/>
        <v/>
      </c>
      <c r="Q3458" s="5"/>
      <c r="R3458" s="5"/>
    </row>
    <row r="3459" spans="2:18" x14ac:dyDescent="0.25">
      <c r="B3459" s="19" t="s">
        <v>4662</v>
      </c>
      <c r="C3459" s="16" t="s">
        <v>8505</v>
      </c>
      <c r="D3459" s="16" t="s">
        <v>8152</v>
      </c>
      <c r="E3459" s="16" t="s">
        <v>54</v>
      </c>
      <c r="F3459" s="5" t="s">
        <v>163</v>
      </c>
      <c r="G3459" s="16" t="s">
        <v>35</v>
      </c>
      <c r="H3459" s="16" t="s">
        <v>36</v>
      </c>
      <c r="I3459" s="16"/>
      <c r="J3459" s="16"/>
      <c r="K3459" s="16"/>
      <c r="L3459" s="16"/>
      <c r="M3459" s="238" t="s">
        <v>387</v>
      </c>
      <c r="N3459" s="16"/>
      <c r="O3459" s="17" t="s">
        <v>38</v>
      </c>
      <c r="P3459" s="5" t="str">
        <f t="shared" si="84"/>
        <v/>
      </c>
      <c r="Q3459" s="5"/>
      <c r="R3459" s="5"/>
    </row>
    <row r="3460" spans="2:18" ht="24" customHeight="1" x14ac:dyDescent="0.25">
      <c r="B3460" s="19" t="s">
        <v>4663</v>
      </c>
      <c r="C3460" s="20" t="s">
        <v>4664</v>
      </c>
      <c r="D3460" s="16" t="s">
        <v>8152</v>
      </c>
      <c r="E3460" s="16"/>
      <c r="F3460" s="5"/>
      <c r="G3460" s="16" t="s">
        <v>35</v>
      </c>
      <c r="H3460" s="16"/>
      <c r="I3460" s="16"/>
      <c r="J3460" s="16"/>
      <c r="K3460" s="16"/>
      <c r="L3460" s="16"/>
      <c r="M3460" s="223" t="s">
        <v>387</v>
      </c>
      <c r="N3460" s="16"/>
      <c r="O3460" s="17" t="s">
        <v>38</v>
      </c>
      <c r="P3460" s="5" t="str">
        <f t="shared" si="84"/>
        <v/>
      </c>
      <c r="Q3460" s="5"/>
      <c r="R3460" s="5"/>
    </row>
    <row r="3461" spans="2:18" x14ac:dyDescent="0.25">
      <c r="B3461" s="19" t="s">
        <v>4665</v>
      </c>
      <c r="C3461" s="20" t="s">
        <v>4666</v>
      </c>
      <c r="D3461" s="16" t="s">
        <v>8152</v>
      </c>
      <c r="E3461" s="16"/>
      <c r="F3461" s="5"/>
      <c r="G3461" s="16" t="s">
        <v>35</v>
      </c>
      <c r="H3461" s="16"/>
      <c r="I3461" s="16"/>
      <c r="J3461" s="16"/>
      <c r="K3461" s="16"/>
      <c r="L3461" s="16"/>
      <c r="M3461" s="229"/>
      <c r="N3461" s="16" t="s">
        <v>4413</v>
      </c>
      <c r="O3461" s="17" t="s">
        <v>38</v>
      </c>
      <c r="P3461" s="5" t="str">
        <f t="shared" si="84"/>
        <v/>
      </c>
      <c r="Q3461" s="5"/>
      <c r="R3461" s="5"/>
    </row>
    <row r="3462" spans="2:18" x14ac:dyDescent="0.25">
      <c r="B3462" s="19" t="s">
        <v>4667</v>
      </c>
      <c r="C3462" s="20" t="s">
        <v>4668</v>
      </c>
      <c r="D3462" s="16" t="s">
        <v>8152</v>
      </c>
      <c r="E3462" s="16"/>
      <c r="F3462" s="5"/>
      <c r="G3462" s="16" t="s">
        <v>35</v>
      </c>
      <c r="H3462" s="16"/>
      <c r="I3462" s="16"/>
      <c r="J3462" s="16"/>
      <c r="K3462" s="16"/>
      <c r="L3462" s="16"/>
      <c r="M3462" s="229"/>
      <c r="N3462" s="16" t="s">
        <v>4413</v>
      </c>
      <c r="O3462" s="17" t="s">
        <v>38</v>
      </c>
      <c r="P3462" s="5" t="str">
        <f t="shared" ref="P3462:P3520" si="85">IF(D3462="Datos","Truncate table "&amp; B3462&amp; ";","")</f>
        <v/>
      </c>
      <c r="Q3462" s="5"/>
      <c r="R3462" s="5"/>
    </row>
    <row r="3463" spans="2:18" x14ac:dyDescent="0.25">
      <c r="B3463" s="19" t="s">
        <v>4669</v>
      </c>
      <c r="C3463" s="20" t="s">
        <v>4670</v>
      </c>
      <c r="D3463" s="16" t="s">
        <v>8152</v>
      </c>
      <c r="E3463" s="16"/>
      <c r="F3463" s="5"/>
      <c r="G3463" s="16" t="s">
        <v>35</v>
      </c>
      <c r="H3463" s="16"/>
      <c r="I3463" s="16"/>
      <c r="J3463" s="16"/>
      <c r="K3463" s="16"/>
      <c r="L3463" s="16"/>
      <c r="M3463" s="229"/>
      <c r="N3463" s="16" t="s">
        <v>4413</v>
      </c>
      <c r="O3463" s="17" t="s">
        <v>38</v>
      </c>
      <c r="P3463" s="5" t="str">
        <f t="shared" si="85"/>
        <v/>
      </c>
      <c r="Q3463" s="5"/>
      <c r="R3463" s="5"/>
    </row>
    <row r="3464" spans="2:18" ht="27" customHeight="1" x14ac:dyDescent="0.25">
      <c r="B3464" s="19" t="s">
        <v>4671</v>
      </c>
      <c r="C3464" s="16" t="s">
        <v>4672</v>
      </c>
      <c r="D3464" s="16" t="s">
        <v>8152</v>
      </c>
      <c r="E3464" s="16" t="s">
        <v>54</v>
      </c>
      <c r="F3464" s="5" t="s">
        <v>163</v>
      </c>
      <c r="G3464" s="16" t="s">
        <v>35</v>
      </c>
      <c r="H3464" s="16" t="s">
        <v>36</v>
      </c>
      <c r="I3464" s="16"/>
      <c r="J3464" s="16"/>
      <c r="K3464" s="16"/>
      <c r="L3464" s="16"/>
      <c r="M3464" s="238" t="s">
        <v>387</v>
      </c>
      <c r="N3464" s="16"/>
      <c r="O3464" s="17" t="s">
        <v>38</v>
      </c>
      <c r="P3464" s="5" t="str">
        <f t="shared" si="85"/>
        <v/>
      </c>
      <c r="Q3464" s="5"/>
      <c r="R3464" s="5"/>
    </row>
    <row r="3465" spans="2:18" x14ac:dyDescent="0.25">
      <c r="B3465" s="19" t="s">
        <v>4673</v>
      </c>
      <c r="C3465" s="16" t="s">
        <v>4674</v>
      </c>
      <c r="D3465" s="16" t="s">
        <v>8152</v>
      </c>
      <c r="E3465" s="16" t="s">
        <v>54</v>
      </c>
      <c r="F3465" s="5" t="s">
        <v>163</v>
      </c>
      <c r="G3465" s="16" t="s">
        <v>35</v>
      </c>
      <c r="H3465" s="16" t="s">
        <v>36</v>
      </c>
      <c r="I3465" s="16"/>
      <c r="J3465" s="16"/>
      <c r="K3465" s="16"/>
      <c r="L3465" s="16"/>
      <c r="M3465" s="229"/>
      <c r="N3465" s="16"/>
      <c r="O3465" s="17" t="s">
        <v>38</v>
      </c>
      <c r="P3465" s="5" t="str">
        <f t="shared" si="85"/>
        <v/>
      </c>
      <c r="Q3465" s="5"/>
      <c r="R3465" s="5"/>
    </row>
    <row r="3466" spans="2:18" x14ac:dyDescent="0.25">
      <c r="B3466" s="19" t="s">
        <v>4675</v>
      </c>
      <c r="C3466" s="20" t="s">
        <v>4676</v>
      </c>
      <c r="D3466" s="16" t="s">
        <v>8152</v>
      </c>
      <c r="E3466" s="16"/>
      <c r="F3466" s="5"/>
      <c r="G3466" s="16" t="s">
        <v>35</v>
      </c>
      <c r="H3466" s="16"/>
      <c r="I3466" s="16"/>
      <c r="J3466" s="16"/>
      <c r="K3466" s="16"/>
      <c r="L3466" s="16"/>
      <c r="M3466" s="229"/>
      <c r="N3466" s="16"/>
      <c r="O3466" s="17" t="s">
        <v>38</v>
      </c>
      <c r="P3466" s="5" t="str">
        <f t="shared" si="85"/>
        <v/>
      </c>
      <c r="Q3466" s="5"/>
      <c r="R3466" s="5"/>
    </row>
    <row r="3467" spans="2:18" x14ac:dyDescent="0.25">
      <c r="B3467" s="19" t="s">
        <v>4677</v>
      </c>
      <c r="C3467" s="20" t="s">
        <v>4678</v>
      </c>
      <c r="D3467" s="16" t="s">
        <v>8152</v>
      </c>
      <c r="E3467" s="16"/>
      <c r="F3467" s="5"/>
      <c r="G3467" s="16" t="s">
        <v>35</v>
      </c>
      <c r="H3467" s="16"/>
      <c r="I3467" s="16"/>
      <c r="J3467" s="16"/>
      <c r="K3467" s="16"/>
      <c r="L3467" s="16"/>
      <c r="M3467" s="229"/>
      <c r="N3467" s="16"/>
      <c r="O3467" s="17" t="s">
        <v>38</v>
      </c>
      <c r="P3467" s="5" t="str">
        <f t="shared" si="85"/>
        <v/>
      </c>
      <c r="Q3467" s="5"/>
      <c r="R3467" s="5"/>
    </row>
    <row r="3468" spans="2:18" x14ac:dyDescent="0.25">
      <c r="B3468" s="19" t="s">
        <v>4679</v>
      </c>
      <c r="C3468" s="16" t="s">
        <v>4680</v>
      </c>
      <c r="D3468" s="16" t="s">
        <v>8152</v>
      </c>
      <c r="E3468" s="16" t="s">
        <v>54</v>
      </c>
      <c r="F3468" s="5" t="s">
        <v>2657</v>
      </c>
      <c r="G3468" s="16" t="s">
        <v>35</v>
      </c>
      <c r="H3468" s="16" t="s">
        <v>36</v>
      </c>
      <c r="I3468" s="16"/>
      <c r="J3468" s="16"/>
      <c r="K3468" s="16"/>
      <c r="L3468" s="16"/>
      <c r="M3468" s="229"/>
      <c r="N3468" s="16"/>
      <c r="O3468" s="17" t="s">
        <v>38</v>
      </c>
      <c r="P3468" s="5" t="str">
        <f t="shared" si="85"/>
        <v/>
      </c>
      <c r="Q3468" s="5"/>
      <c r="R3468" s="5"/>
    </row>
    <row r="3469" spans="2:18" x14ac:dyDescent="0.25">
      <c r="B3469" s="19" t="s">
        <v>4681</v>
      </c>
      <c r="C3469" s="16" t="s">
        <v>4682</v>
      </c>
      <c r="D3469" s="16" t="s">
        <v>8152</v>
      </c>
      <c r="E3469" s="16" t="s">
        <v>54</v>
      </c>
      <c r="F3469" s="5" t="s">
        <v>2657</v>
      </c>
      <c r="G3469" s="16" t="s">
        <v>35</v>
      </c>
      <c r="H3469" s="16" t="s">
        <v>36</v>
      </c>
      <c r="I3469" s="16"/>
      <c r="J3469" s="16"/>
      <c r="K3469" s="16"/>
      <c r="L3469" s="16"/>
      <c r="M3469" s="229"/>
      <c r="N3469" s="16"/>
      <c r="O3469" s="17" t="s">
        <v>38</v>
      </c>
      <c r="P3469" s="5" t="str">
        <f t="shared" si="85"/>
        <v/>
      </c>
      <c r="Q3469" s="5"/>
      <c r="R3469" s="5"/>
    </row>
    <row r="3470" spans="2:18" x14ac:dyDescent="0.25">
      <c r="B3470" s="19" t="s">
        <v>4683</v>
      </c>
      <c r="C3470" s="16" t="s">
        <v>4684</v>
      </c>
      <c r="D3470" s="16" t="s">
        <v>8152</v>
      </c>
      <c r="E3470" s="16" t="s">
        <v>54</v>
      </c>
      <c r="F3470" s="5" t="s">
        <v>2657</v>
      </c>
      <c r="G3470" s="16" t="s">
        <v>35</v>
      </c>
      <c r="H3470" s="16" t="s">
        <v>36</v>
      </c>
      <c r="I3470" s="16"/>
      <c r="J3470" s="16"/>
      <c r="K3470" s="16"/>
      <c r="L3470" s="16"/>
      <c r="M3470" s="229"/>
      <c r="N3470" s="16"/>
      <c r="O3470" s="17" t="s">
        <v>38</v>
      </c>
      <c r="P3470" s="5" t="str">
        <f t="shared" si="85"/>
        <v/>
      </c>
      <c r="Q3470" s="5"/>
      <c r="R3470" s="5"/>
    </row>
    <row r="3471" spans="2:18" x14ac:dyDescent="0.25">
      <c r="B3471" s="19" t="s">
        <v>4685</v>
      </c>
      <c r="C3471" s="16" t="s">
        <v>4686</v>
      </c>
      <c r="D3471" s="16" t="s">
        <v>8152</v>
      </c>
      <c r="E3471" s="16" t="s">
        <v>54</v>
      </c>
      <c r="F3471" s="5" t="s">
        <v>74</v>
      </c>
      <c r="G3471" s="16" t="s">
        <v>35</v>
      </c>
      <c r="H3471" s="16" t="s">
        <v>36</v>
      </c>
      <c r="I3471" s="16"/>
      <c r="J3471" s="16"/>
      <c r="K3471" s="16"/>
      <c r="L3471" s="16"/>
      <c r="M3471" s="229"/>
      <c r="N3471" s="16"/>
      <c r="O3471" s="17" t="s">
        <v>387</v>
      </c>
      <c r="P3471" s="5" t="str">
        <f t="shared" si="85"/>
        <v/>
      </c>
      <c r="Q3471" s="5"/>
      <c r="R3471" s="5"/>
    </row>
    <row r="3472" spans="2:18" x14ac:dyDescent="0.25">
      <c r="B3472" s="19" t="s">
        <v>4687</v>
      </c>
      <c r="C3472" s="20" t="s">
        <v>4688</v>
      </c>
      <c r="D3472" s="16" t="s">
        <v>8152</v>
      </c>
      <c r="E3472" s="16"/>
      <c r="F3472" s="5"/>
      <c r="G3472" s="16" t="s">
        <v>35</v>
      </c>
      <c r="H3472" s="16"/>
      <c r="I3472" s="16"/>
      <c r="J3472" s="16"/>
      <c r="K3472" s="16"/>
      <c r="L3472" s="16"/>
      <c r="M3472" s="229"/>
      <c r="N3472" s="16" t="s">
        <v>4413</v>
      </c>
      <c r="O3472" s="17" t="s">
        <v>38</v>
      </c>
      <c r="P3472" s="5" t="str">
        <f t="shared" si="85"/>
        <v/>
      </c>
      <c r="Q3472" s="5"/>
      <c r="R3472" s="5"/>
    </row>
    <row r="3473" spans="2:22" ht="32.25" customHeight="1" x14ac:dyDescent="0.25">
      <c r="B3473" s="19" t="s">
        <v>4689</v>
      </c>
      <c r="C3473" s="16" t="s">
        <v>4690</v>
      </c>
      <c r="D3473" s="16" t="s">
        <v>8152</v>
      </c>
      <c r="E3473" s="16" t="s">
        <v>54</v>
      </c>
      <c r="F3473" s="5" t="s">
        <v>74</v>
      </c>
      <c r="G3473" s="16" t="s">
        <v>35</v>
      </c>
      <c r="H3473" s="16" t="s">
        <v>36</v>
      </c>
      <c r="I3473" s="16"/>
      <c r="J3473" s="16"/>
      <c r="K3473" s="16"/>
      <c r="L3473" s="20" t="s">
        <v>4279</v>
      </c>
      <c r="M3473" s="230"/>
      <c r="N3473" s="16"/>
      <c r="O3473" s="17" t="s">
        <v>38</v>
      </c>
      <c r="P3473" s="5" t="str">
        <f t="shared" si="85"/>
        <v/>
      </c>
      <c r="Q3473" s="5"/>
      <c r="R3473" s="5"/>
    </row>
    <row r="3474" spans="2:22" x14ac:dyDescent="0.25">
      <c r="B3474" s="19" t="s">
        <v>4691</v>
      </c>
      <c r="C3474" s="16" t="s">
        <v>4692</v>
      </c>
      <c r="D3474" s="16" t="s">
        <v>8152</v>
      </c>
      <c r="E3474" s="16"/>
      <c r="F3474" s="5"/>
      <c r="G3474" s="16" t="s">
        <v>35</v>
      </c>
      <c r="H3474" s="16"/>
      <c r="I3474" s="16"/>
      <c r="J3474" s="16"/>
      <c r="K3474" s="16"/>
      <c r="L3474" s="16"/>
      <c r="M3474" s="229"/>
      <c r="N3474" s="16" t="s">
        <v>4413</v>
      </c>
      <c r="O3474" s="17" t="s">
        <v>38</v>
      </c>
      <c r="P3474" s="5" t="str">
        <f t="shared" si="85"/>
        <v/>
      </c>
      <c r="Q3474" s="5"/>
      <c r="R3474" s="5"/>
    </row>
    <row r="3475" spans="2:22" x14ac:dyDescent="0.25">
      <c r="B3475" s="19" t="s">
        <v>4693</v>
      </c>
      <c r="C3475" s="16" t="s">
        <v>4694</v>
      </c>
      <c r="D3475" s="16" t="s">
        <v>29</v>
      </c>
      <c r="E3475" s="16"/>
      <c r="F3475" s="5"/>
      <c r="G3475" s="16" t="s">
        <v>35</v>
      </c>
      <c r="H3475" s="16"/>
      <c r="I3475" s="16"/>
      <c r="J3475" s="16"/>
      <c r="K3475" s="16"/>
      <c r="L3475" s="16"/>
      <c r="M3475" s="16"/>
      <c r="N3475" s="16"/>
      <c r="O3475" s="17" t="s">
        <v>38</v>
      </c>
      <c r="P3475" s="5" t="str">
        <f t="shared" si="85"/>
        <v>Truncate table FST912;</v>
      </c>
      <c r="Q3475" s="5"/>
      <c r="R3475" s="5"/>
    </row>
    <row r="3476" spans="2:22" x14ac:dyDescent="0.25">
      <c r="B3476" s="19" t="s">
        <v>4695</v>
      </c>
      <c r="C3476" s="16" t="s">
        <v>4696</v>
      </c>
      <c r="D3476" s="16" t="s">
        <v>29</v>
      </c>
      <c r="E3476" s="16" t="s">
        <v>54</v>
      </c>
      <c r="F3476" s="5" t="s">
        <v>74</v>
      </c>
      <c r="G3476" s="16" t="s">
        <v>35</v>
      </c>
      <c r="H3476" s="16" t="s">
        <v>36</v>
      </c>
      <c r="I3476" s="16"/>
      <c r="J3476" s="16"/>
      <c r="K3476" s="16"/>
      <c r="L3476" s="16"/>
      <c r="M3476" s="16"/>
      <c r="N3476" s="16"/>
      <c r="O3476" s="17" t="s">
        <v>38</v>
      </c>
      <c r="P3476" s="5" t="str">
        <f t="shared" si="85"/>
        <v>Truncate table FST946;</v>
      </c>
      <c r="Q3476" s="5"/>
      <c r="R3476" s="5"/>
    </row>
    <row r="3477" spans="2:22" x14ac:dyDescent="0.25">
      <c r="B3477" s="19" t="s">
        <v>4697</v>
      </c>
      <c r="C3477" s="20" t="s">
        <v>4698</v>
      </c>
      <c r="D3477" s="16" t="s">
        <v>8152</v>
      </c>
      <c r="E3477" s="16"/>
      <c r="F3477" s="5"/>
      <c r="G3477" s="16" t="s">
        <v>35</v>
      </c>
      <c r="H3477" s="16"/>
      <c r="I3477" s="16"/>
      <c r="J3477" s="16"/>
      <c r="K3477" s="16"/>
      <c r="L3477" s="16"/>
      <c r="M3477" s="229"/>
      <c r="N3477" s="16" t="s">
        <v>4413</v>
      </c>
      <c r="O3477" s="17" t="s">
        <v>38</v>
      </c>
      <c r="P3477" s="5" t="str">
        <f t="shared" si="85"/>
        <v/>
      </c>
      <c r="Q3477" s="5"/>
      <c r="R3477" s="5"/>
    </row>
    <row r="3478" spans="2:22" x14ac:dyDescent="0.25">
      <c r="B3478" s="19" t="s">
        <v>4699</v>
      </c>
      <c r="C3478" s="20" t="s">
        <v>4700</v>
      </c>
      <c r="D3478" s="16" t="s">
        <v>8152</v>
      </c>
      <c r="E3478" s="16"/>
      <c r="F3478" s="5"/>
      <c r="G3478" s="16" t="s">
        <v>35</v>
      </c>
      <c r="H3478" s="16"/>
      <c r="I3478" s="16"/>
      <c r="J3478" s="16"/>
      <c r="K3478" s="16"/>
      <c r="L3478" s="16"/>
      <c r="M3478" s="229"/>
      <c r="N3478" s="16" t="s">
        <v>4413</v>
      </c>
      <c r="O3478" s="17" t="s">
        <v>38</v>
      </c>
      <c r="P3478" s="5" t="str">
        <f t="shared" si="85"/>
        <v/>
      </c>
      <c r="Q3478" s="5"/>
      <c r="R3478" s="5"/>
    </row>
    <row r="3479" spans="2:22" x14ac:dyDescent="0.25">
      <c r="B3479" s="19" t="s">
        <v>4701</v>
      </c>
      <c r="C3479" s="20" t="s">
        <v>4702</v>
      </c>
      <c r="D3479" s="16" t="s">
        <v>8152</v>
      </c>
      <c r="E3479" s="16"/>
      <c r="F3479" s="5"/>
      <c r="G3479" s="16" t="s">
        <v>35</v>
      </c>
      <c r="H3479" s="16"/>
      <c r="I3479" s="16"/>
      <c r="J3479" s="16"/>
      <c r="K3479" s="16"/>
      <c r="L3479" s="16"/>
      <c r="M3479" s="229"/>
      <c r="N3479" s="16" t="s">
        <v>4413</v>
      </c>
      <c r="O3479" s="17" t="s">
        <v>38</v>
      </c>
      <c r="P3479" s="5" t="str">
        <f t="shared" si="85"/>
        <v/>
      </c>
      <c r="Q3479" s="5"/>
      <c r="R3479" s="5"/>
    </row>
    <row r="3480" spans="2:22" x14ac:dyDescent="0.25">
      <c r="B3480" s="19" t="s">
        <v>4703</v>
      </c>
      <c r="C3480" s="16" t="s">
        <v>4704</v>
      </c>
      <c r="D3480" s="16" t="s">
        <v>8152</v>
      </c>
      <c r="E3480" s="16" t="s">
        <v>54</v>
      </c>
      <c r="F3480" s="5" t="s">
        <v>163</v>
      </c>
      <c r="G3480" s="16" t="s">
        <v>35</v>
      </c>
      <c r="H3480" s="16" t="s">
        <v>36</v>
      </c>
      <c r="I3480" s="16"/>
      <c r="J3480" s="16"/>
      <c r="K3480" s="16"/>
      <c r="L3480" s="16"/>
      <c r="M3480" s="229"/>
      <c r="N3480" s="16"/>
      <c r="O3480" s="17" t="s">
        <v>38</v>
      </c>
      <c r="P3480" s="5" t="str">
        <f t="shared" si="85"/>
        <v/>
      </c>
      <c r="Q3480" s="5"/>
      <c r="R3480" s="5"/>
    </row>
    <row r="3481" spans="2:22" x14ac:dyDescent="0.25">
      <c r="B3481" s="19" t="s">
        <v>4705</v>
      </c>
      <c r="C3481" s="16" t="s">
        <v>4706</v>
      </c>
      <c r="D3481" s="16" t="s">
        <v>8152</v>
      </c>
      <c r="E3481" s="16" t="s">
        <v>54</v>
      </c>
      <c r="F3481" s="5" t="s">
        <v>2813</v>
      </c>
      <c r="G3481" s="16" t="s">
        <v>35</v>
      </c>
      <c r="H3481" s="16" t="s">
        <v>36</v>
      </c>
      <c r="I3481" s="16"/>
      <c r="J3481" s="16"/>
      <c r="K3481" s="16"/>
      <c r="L3481" s="16"/>
      <c r="M3481" s="229"/>
      <c r="N3481" s="16"/>
      <c r="O3481" s="17" t="s">
        <v>38</v>
      </c>
      <c r="P3481" s="5" t="str">
        <f t="shared" si="85"/>
        <v/>
      </c>
      <c r="Q3481" s="5"/>
      <c r="R3481" s="5"/>
    </row>
    <row r="3482" spans="2:22" x14ac:dyDescent="0.25">
      <c r="B3482" s="19" t="s">
        <v>4707</v>
      </c>
      <c r="C3482" s="16" t="s">
        <v>4708</v>
      </c>
      <c r="D3482" s="16" t="s">
        <v>8152</v>
      </c>
      <c r="E3482" s="16"/>
      <c r="F3482" s="16" t="s">
        <v>2786</v>
      </c>
      <c r="G3482" s="16" t="s">
        <v>35</v>
      </c>
      <c r="H3482" s="16" t="s">
        <v>36</v>
      </c>
      <c r="I3482" s="16"/>
      <c r="J3482" s="16"/>
      <c r="K3482" s="16"/>
      <c r="L3482" s="16"/>
      <c r="M3482" s="16"/>
      <c r="N3482" s="16"/>
      <c r="O3482" s="17" t="s">
        <v>387</v>
      </c>
      <c r="P3482" s="16" t="str">
        <f t="shared" si="85"/>
        <v/>
      </c>
      <c r="Q3482" s="16"/>
      <c r="R3482" s="16"/>
      <c r="S3482"/>
      <c r="T3482"/>
      <c r="U3482"/>
      <c r="V3482"/>
    </row>
    <row r="3483" spans="2:22" x14ac:dyDescent="0.25">
      <c r="B3483" s="19" t="s">
        <v>4709</v>
      </c>
      <c r="C3483" s="16" t="s">
        <v>4710</v>
      </c>
      <c r="D3483" s="16" t="s">
        <v>8152</v>
      </c>
      <c r="E3483" s="16"/>
      <c r="F3483" s="5" t="s">
        <v>2786</v>
      </c>
      <c r="G3483" s="16" t="s">
        <v>35</v>
      </c>
      <c r="H3483" s="16"/>
      <c r="I3483" s="16"/>
      <c r="J3483" s="16"/>
      <c r="K3483" s="16"/>
      <c r="L3483" s="16"/>
      <c r="M3483" s="16"/>
      <c r="N3483" s="16"/>
      <c r="O3483" s="17" t="s">
        <v>38</v>
      </c>
      <c r="P3483" s="5" t="str">
        <f t="shared" si="85"/>
        <v/>
      </c>
      <c r="Q3483" s="5"/>
      <c r="R3483" s="5"/>
    </row>
    <row r="3484" spans="2:22" x14ac:dyDescent="0.25">
      <c r="B3484" s="19" t="s">
        <v>4711</v>
      </c>
      <c r="C3484" s="16"/>
      <c r="D3484" s="16" t="s">
        <v>29</v>
      </c>
      <c r="E3484" s="16"/>
      <c r="F3484" s="5"/>
      <c r="G3484" s="16" t="s">
        <v>35</v>
      </c>
      <c r="H3484" s="16"/>
      <c r="I3484" s="16"/>
      <c r="J3484" s="16"/>
      <c r="K3484" s="16"/>
      <c r="L3484" s="16"/>
      <c r="M3484" s="16"/>
      <c r="N3484" s="16"/>
      <c r="O3484" s="17"/>
      <c r="P3484" s="5" t="str">
        <f t="shared" si="85"/>
        <v>Truncate table FSV001;</v>
      </c>
      <c r="Q3484" s="5"/>
      <c r="R3484" s="5"/>
    </row>
    <row r="3485" spans="2:22" x14ac:dyDescent="0.25">
      <c r="B3485" s="19" t="s">
        <v>4712</v>
      </c>
      <c r="C3485" s="16"/>
      <c r="D3485" s="16" t="s">
        <v>29</v>
      </c>
      <c r="E3485" s="16"/>
      <c r="F3485" s="5"/>
      <c r="G3485" s="16" t="s">
        <v>35</v>
      </c>
      <c r="H3485" s="16"/>
      <c r="I3485" s="16"/>
      <c r="J3485" s="16"/>
      <c r="K3485" s="16"/>
      <c r="L3485" s="16"/>
      <c r="M3485" s="16"/>
      <c r="N3485" s="16"/>
      <c r="O3485" s="17"/>
      <c r="P3485" s="5" t="str">
        <f t="shared" si="85"/>
        <v>Truncate table FSV002;</v>
      </c>
      <c r="Q3485" s="5"/>
      <c r="R3485" s="5"/>
    </row>
    <row r="3486" spans="2:22" x14ac:dyDescent="0.25">
      <c r="B3486" s="19" t="s">
        <v>4713</v>
      </c>
      <c r="C3486" s="16"/>
      <c r="D3486" s="16" t="s">
        <v>29</v>
      </c>
      <c r="E3486" s="16"/>
      <c r="F3486" s="5"/>
      <c r="G3486" s="16" t="s">
        <v>35</v>
      </c>
      <c r="H3486" s="16"/>
      <c r="I3486" s="16"/>
      <c r="J3486" s="16"/>
      <c r="K3486" s="16"/>
      <c r="L3486" s="16"/>
      <c r="M3486" s="16"/>
      <c r="N3486" s="16"/>
      <c r="O3486" s="17"/>
      <c r="P3486" s="5" t="str">
        <f t="shared" si="85"/>
        <v>Truncate table FSV003;</v>
      </c>
      <c r="Q3486" s="5"/>
      <c r="R3486" s="5"/>
    </row>
    <row r="3487" spans="2:22" x14ac:dyDescent="0.25">
      <c r="B3487" s="19" t="s">
        <v>4714</v>
      </c>
      <c r="C3487" s="16" t="s">
        <v>4715</v>
      </c>
      <c r="D3487" s="16" t="s">
        <v>29</v>
      </c>
      <c r="E3487" s="16" t="s">
        <v>54</v>
      </c>
      <c r="F3487" s="5" t="s">
        <v>2786</v>
      </c>
      <c r="G3487" s="16" t="s">
        <v>35</v>
      </c>
      <c r="H3487" s="16"/>
      <c r="I3487" s="16"/>
      <c r="J3487" s="16"/>
      <c r="K3487" s="16"/>
      <c r="L3487" s="16"/>
      <c r="M3487" s="16"/>
      <c r="N3487" s="16"/>
      <c r="O3487" s="17" t="s">
        <v>38</v>
      </c>
      <c r="P3487" s="5" t="str">
        <f t="shared" si="85"/>
        <v>Truncate table FSW017;</v>
      </c>
      <c r="Q3487" s="5"/>
      <c r="R3487" s="5"/>
    </row>
    <row r="3488" spans="2:22" x14ac:dyDescent="0.25">
      <c r="B3488" s="19" t="s">
        <v>4716</v>
      </c>
      <c r="C3488" s="16" t="s">
        <v>4717</v>
      </c>
      <c r="D3488" s="16" t="s">
        <v>29</v>
      </c>
      <c r="E3488" s="16" t="s">
        <v>54</v>
      </c>
      <c r="F3488" s="5" t="s">
        <v>2786</v>
      </c>
      <c r="G3488" s="16" t="s">
        <v>35</v>
      </c>
      <c r="H3488" s="16"/>
      <c r="I3488" s="16"/>
      <c r="J3488" s="16"/>
      <c r="K3488" s="16"/>
      <c r="L3488" s="16"/>
      <c r="M3488" s="16"/>
      <c r="N3488" s="16"/>
      <c r="O3488" s="17" t="s">
        <v>38</v>
      </c>
      <c r="P3488" s="5" t="str">
        <f t="shared" si="85"/>
        <v>Truncate table FSW117;</v>
      </c>
      <c r="Q3488" s="5"/>
      <c r="R3488" s="5"/>
    </row>
    <row r="3489" spans="2:18" x14ac:dyDescent="0.25">
      <c r="B3489" s="19" t="s">
        <v>4718</v>
      </c>
      <c r="C3489" s="16" t="s">
        <v>4719</v>
      </c>
      <c r="D3489" s="16" t="s">
        <v>8152</v>
      </c>
      <c r="E3489" s="16" t="s">
        <v>54</v>
      </c>
      <c r="F3489" s="5" t="s">
        <v>2786</v>
      </c>
      <c r="G3489" s="16" t="s">
        <v>35</v>
      </c>
      <c r="H3489" s="16" t="s">
        <v>36</v>
      </c>
      <c r="I3489" s="16"/>
      <c r="J3489" s="16"/>
      <c r="K3489" s="16"/>
      <c r="L3489" s="16"/>
      <c r="M3489" s="16"/>
      <c r="N3489" s="16"/>
      <c r="O3489" s="17" t="s">
        <v>38</v>
      </c>
      <c r="P3489" s="5" t="str">
        <f t="shared" si="85"/>
        <v/>
      </c>
      <c r="Q3489" s="5"/>
      <c r="R3489" s="5"/>
    </row>
    <row r="3490" spans="2:18" x14ac:dyDescent="0.25">
      <c r="B3490" s="19" t="s">
        <v>4720</v>
      </c>
      <c r="C3490" s="16"/>
      <c r="D3490" s="16" t="s">
        <v>29</v>
      </c>
      <c r="E3490" s="16"/>
      <c r="F3490" s="5"/>
      <c r="G3490" s="16" t="s">
        <v>35</v>
      </c>
      <c r="H3490" s="16"/>
      <c r="I3490" s="16"/>
      <c r="J3490" s="16"/>
      <c r="K3490" s="16"/>
      <c r="L3490" s="16"/>
      <c r="M3490" s="16"/>
      <c r="N3490" s="16"/>
      <c r="O3490" s="17"/>
      <c r="P3490" s="5" t="str">
        <f t="shared" si="85"/>
        <v>Truncate table FSWR17;</v>
      </c>
      <c r="Q3490" s="5"/>
      <c r="R3490" s="5"/>
    </row>
    <row r="3491" spans="2:18" x14ac:dyDescent="0.25">
      <c r="B3491" s="19" t="s">
        <v>4721</v>
      </c>
      <c r="C3491" s="16" t="s">
        <v>4722</v>
      </c>
      <c r="D3491" s="16" t="s">
        <v>29</v>
      </c>
      <c r="E3491" s="16" t="s">
        <v>54</v>
      </c>
      <c r="F3491" s="5" t="s">
        <v>163</v>
      </c>
      <c r="G3491" s="16" t="s">
        <v>35</v>
      </c>
      <c r="H3491" s="16"/>
      <c r="I3491" s="16"/>
      <c r="J3491" s="16"/>
      <c r="K3491" s="16"/>
      <c r="L3491" s="16"/>
      <c r="M3491" s="16"/>
      <c r="N3491" s="16"/>
      <c r="O3491" s="17" t="s">
        <v>38</v>
      </c>
      <c r="P3491" s="5" t="str">
        <f t="shared" si="85"/>
        <v>Truncate table FSX001;</v>
      </c>
      <c r="Q3491" s="5"/>
      <c r="R3491" s="5"/>
    </row>
    <row r="3492" spans="2:18" x14ac:dyDescent="0.25">
      <c r="B3492" s="19" t="s">
        <v>4723</v>
      </c>
      <c r="C3492" s="16" t="s">
        <v>4724</v>
      </c>
      <c r="D3492" s="16" t="s">
        <v>8152</v>
      </c>
      <c r="E3492" s="16" t="s">
        <v>54</v>
      </c>
      <c r="F3492" s="5" t="s">
        <v>2657</v>
      </c>
      <c r="G3492" s="16" t="s">
        <v>35</v>
      </c>
      <c r="H3492" s="16" t="s">
        <v>36</v>
      </c>
      <c r="I3492" s="16"/>
      <c r="J3492" s="16"/>
      <c r="K3492" s="16"/>
      <c r="L3492" s="16"/>
      <c r="M3492" s="229"/>
      <c r="N3492" s="16"/>
      <c r="O3492" s="17" t="s">
        <v>38</v>
      </c>
      <c r="P3492" s="5" t="str">
        <f t="shared" si="85"/>
        <v/>
      </c>
      <c r="Q3492" s="5"/>
      <c r="R3492" s="5"/>
    </row>
    <row r="3493" spans="2:18" x14ac:dyDescent="0.25">
      <c r="B3493" s="19" t="s">
        <v>4725</v>
      </c>
      <c r="C3493" s="16" t="s">
        <v>4726</v>
      </c>
      <c r="D3493" s="16" t="s">
        <v>29</v>
      </c>
      <c r="E3493" s="16" t="s">
        <v>54</v>
      </c>
      <c r="F3493" s="5" t="s">
        <v>163</v>
      </c>
      <c r="G3493" s="16" t="s">
        <v>35</v>
      </c>
      <c r="H3493" s="16"/>
      <c r="I3493" s="16"/>
      <c r="J3493" s="16"/>
      <c r="K3493" s="16"/>
      <c r="L3493" s="16"/>
      <c r="M3493" s="16"/>
      <c r="N3493" s="16"/>
      <c r="O3493" s="17" t="s">
        <v>38</v>
      </c>
      <c r="P3493" s="5" t="str">
        <f t="shared" si="85"/>
        <v>Truncate table FSX008;</v>
      </c>
      <c r="Q3493" s="5"/>
      <c r="R3493" s="5"/>
    </row>
    <row r="3494" spans="2:18" x14ac:dyDescent="0.25">
      <c r="B3494" s="19" t="s">
        <v>4727</v>
      </c>
      <c r="C3494" s="16" t="s">
        <v>4728</v>
      </c>
      <c r="D3494" s="16" t="s">
        <v>29</v>
      </c>
      <c r="E3494" s="16" t="s">
        <v>54</v>
      </c>
      <c r="F3494" s="5" t="s">
        <v>2932</v>
      </c>
      <c r="G3494" s="16" t="s">
        <v>35</v>
      </c>
      <c r="H3494" s="16" t="s">
        <v>36</v>
      </c>
      <c r="I3494" s="16"/>
      <c r="J3494" s="16"/>
      <c r="K3494" s="16"/>
      <c r="L3494" s="16"/>
      <c r="M3494" s="16"/>
      <c r="N3494" s="16"/>
      <c r="O3494" s="17" t="s">
        <v>38</v>
      </c>
      <c r="P3494" s="5" t="str">
        <f t="shared" si="85"/>
        <v>Truncate table FSX015;</v>
      </c>
      <c r="Q3494" s="5"/>
      <c r="R3494" s="5"/>
    </row>
    <row r="3495" spans="2:18" x14ac:dyDescent="0.25">
      <c r="B3495" s="19" t="s">
        <v>4729</v>
      </c>
      <c r="C3495" s="16" t="s">
        <v>4730</v>
      </c>
      <c r="D3495" s="16" t="s">
        <v>29</v>
      </c>
      <c r="E3495" s="16" t="s">
        <v>54</v>
      </c>
      <c r="F3495" s="5" t="s">
        <v>2932</v>
      </c>
      <c r="G3495" s="16" t="s">
        <v>35</v>
      </c>
      <c r="H3495" s="16" t="s">
        <v>36</v>
      </c>
      <c r="I3495" s="16"/>
      <c r="J3495" s="16"/>
      <c r="K3495" s="16"/>
      <c r="L3495" s="16"/>
      <c r="M3495" s="16"/>
      <c r="N3495" s="16"/>
      <c r="O3495" s="17" t="s">
        <v>38</v>
      </c>
      <c r="P3495" s="5" t="str">
        <f t="shared" si="85"/>
        <v>Truncate table FSX016;</v>
      </c>
      <c r="Q3495" s="5"/>
      <c r="R3495" s="5"/>
    </row>
    <row r="3496" spans="2:18" x14ac:dyDescent="0.25">
      <c r="B3496" s="19" t="s">
        <v>4731</v>
      </c>
      <c r="C3496" s="16" t="s">
        <v>4732</v>
      </c>
      <c r="D3496" s="16" t="s">
        <v>8152</v>
      </c>
      <c r="E3496" s="16" t="s">
        <v>54</v>
      </c>
      <c r="F3496" s="5" t="s">
        <v>2932</v>
      </c>
      <c r="G3496" s="16" t="s">
        <v>35</v>
      </c>
      <c r="H3496" s="16" t="s">
        <v>36</v>
      </c>
      <c r="I3496" s="16"/>
      <c r="J3496" s="16"/>
      <c r="K3496" s="16"/>
      <c r="L3496" s="16"/>
      <c r="M3496" s="16"/>
      <c r="N3496" s="16"/>
      <c r="O3496" s="17" t="s">
        <v>38</v>
      </c>
      <c r="P3496" s="5" t="str">
        <f t="shared" si="85"/>
        <v/>
      </c>
      <c r="Q3496" s="5"/>
      <c r="R3496" s="5"/>
    </row>
    <row r="3497" spans="2:18" x14ac:dyDescent="0.25">
      <c r="B3497" s="19" t="s">
        <v>4733</v>
      </c>
      <c r="C3497" s="16" t="s">
        <v>4732</v>
      </c>
      <c r="D3497" s="16" t="s">
        <v>8152</v>
      </c>
      <c r="E3497" s="16" t="s">
        <v>54</v>
      </c>
      <c r="F3497" s="5" t="s">
        <v>2932</v>
      </c>
      <c r="G3497" s="16" t="s">
        <v>35</v>
      </c>
      <c r="H3497" s="16" t="s">
        <v>36</v>
      </c>
      <c r="I3497" s="16"/>
      <c r="J3497" s="16"/>
      <c r="K3497" s="16"/>
      <c r="L3497" s="16"/>
      <c r="M3497" s="16"/>
      <c r="N3497" s="16"/>
      <c r="O3497" s="17" t="s">
        <v>38</v>
      </c>
      <c r="P3497" s="5" t="str">
        <f t="shared" si="85"/>
        <v/>
      </c>
      <c r="Q3497" s="5"/>
      <c r="R3497" s="5"/>
    </row>
    <row r="3498" spans="2:18" x14ac:dyDescent="0.25">
      <c r="B3498" s="19" t="s">
        <v>4734</v>
      </c>
      <c r="C3498" s="16"/>
      <c r="D3498" s="16" t="s">
        <v>29</v>
      </c>
      <c r="E3498" s="16"/>
      <c r="F3498" s="5"/>
      <c r="G3498" s="16" t="s">
        <v>35</v>
      </c>
      <c r="H3498" s="16"/>
      <c r="I3498" s="16"/>
      <c r="J3498" s="16"/>
      <c r="K3498" s="16"/>
      <c r="L3498" s="16"/>
      <c r="M3498" s="16"/>
      <c r="N3498" s="16"/>
      <c r="O3498" s="17"/>
      <c r="P3498" s="5" t="str">
        <f t="shared" si="85"/>
        <v>Truncate table FSX020;</v>
      </c>
      <c r="Q3498" s="5"/>
      <c r="R3498" s="5"/>
    </row>
    <row r="3499" spans="2:18" x14ac:dyDescent="0.25">
      <c r="B3499" s="19" t="s">
        <v>4735</v>
      </c>
      <c r="C3499" s="16"/>
      <c r="D3499" s="16" t="s">
        <v>29</v>
      </c>
      <c r="E3499" s="16"/>
      <c r="F3499" s="5"/>
      <c r="G3499" s="16" t="s">
        <v>35</v>
      </c>
      <c r="H3499" s="16"/>
      <c r="I3499" s="16"/>
      <c r="J3499" s="16"/>
      <c r="K3499" s="16"/>
      <c r="L3499" s="16"/>
      <c r="M3499" s="16"/>
      <c r="N3499" s="16"/>
      <c r="O3499" s="17"/>
      <c r="P3499" s="5" t="str">
        <f t="shared" si="85"/>
        <v>Truncate table FSX021;</v>
      </c>
      <c r="Q3499" s="5"/>
      <c r="R3499" s="5"/>
    </row>
    <row r="3500" spans="2:18" x14ac:dyDescent="0.25">
      <c r="B3500" s="19" t="s">
        <v>4736</v>
      </c>
      <c r="C3500" s="16"/>
      <c r="D3500" s="16" t="s">
        <v>29</v>
      </c>
      <c r="E3500" s="16"/>
      <c r="F3500" s="5"/>
      <c r="G3500" s="16" t="s">
        <v>35</v>
      </c>
      <c r="H3500" s="16"/>
      <c r="I3500" s="16"/>
      <c r="J3500" s="16"/>
      <c r="K3500" s="16"/>
      <c r="L3500" s="16"/>
      <c r="M3500" s="16"/>
      <c r="N3500" s="16"/>
      <c r="O3500" s="17"/>
      <c r="P3500" s="5" t="str">
        <f t="shared" si="85"/>
        <v>Truncate table FSX046;</v>
      </c>
      <c r="Q3500" s="5"/>
      <c r="R3500" s="5"/>
    </row>
    <row r="3501" spans="2:18" x14ac:dyDescent="0.25">
      <c r="B3501" s="19" t="s">
        <v>4737</v>
      </c>
      <c r="C3501" s="16"/>
      <c r="D3501" s="16" t="s">
        <v>29</v>
      </c>
      <c r="E3501" s="16"/>
      <c r="F3501" s="5"/>
      <c r="G3501" s="16" t="s">
        <v>35</v>
      </c>
      <c r="H3501" s="16"/>
      <c r="I3501" s="16"/>
      <c r="J3501" s="16"/>
      <c r="K3501" s="16"/>
      <c r="L3501" s="16"/>
      <c r="M3501" s="16"/>
      <c r="N3501" s="16"/>
      <c r="O3501" s="17"/>
      <c r="P3501" s="5" t="str">
        <f t="shared" si="85"/>
        <v>Truncate table FSX072;</v>
      </c>
      <c r="Q3501" s="5"/>
      <c r="R3501" s="5"/>
    </row>
    <row r="3502" spans="2:18" x14ac:dyDescent="0.25">
      <c r="B3502" s="19" t="s">
        <v>4738</v>
      </c>
      <c r="C3502" s="16" t="s">
        <v>4739</v>
      </c>
      <c r="D3502" s="16" t="s">
        <v>29</v>
      </c>
      <c r="E3502" s="16" t="s">
        <v>151</v>
      </c>
      <c r="F3502" s="5" t="s">
        <v>1030</v>
      </c>
      <c r="G3502" s="16" t="s">
        <v>35</v>
      </c>
      <c r="H3502" s="16"/>
      <c r="I3502" s="16"/>
      <c r="J3502" s="16"/>
      <c r="K3502" s="16"/>
      <c r="L3502" s="16"/>
      <c r="M3502" s="16"/>
      <c r="N3502" s="16"/>
      <c r="O3502" s="17" t="s">
        <v>38</v>
      </c>
      <c r="P3502" s="5" t="str">
        <f t="shared" si="85"/>
        <v>Truncate table FSX230;</v>
      </c>
      <c r="Q3502" s="5"/>
      <c r="R3502" s="5"/>
    </row>
    <row r="3503" spans="2:18" x14ac:dyDescent="0.25">
      <c r="B3503" s="19" t="s">
        <v>4740</v>
      </c>
      <c r="C3503" s="16"/>
      <c r="D3503" s="16" t="s">
        <v>29</v>
      </c>
      <c r="E3503" s="16"/>
      <c r="F3503" s="5"/>
      <c r="G3503" s="16" t="s">
        <v>35</v>
      </c>
      <c r="H3503" s="16"/>
      <c r="I3503" s="16"/>
      <c r="J3503" s="16"/>
      <c r="K3503" s="16"/>
      <c r="L3503" s="16"/>
      <c r="M3503" s="16"/>
      <c r="N3503" s="16"/>
      <c r="O3503" s="17"/>
      <c r="P3503" s="5" t="str">
        <f t="shared" si="85"/>
        <v>Truncate table FSX235;</v>
      </c>
      <c r="Q3503" s="5"/>
      <c r="R3503" s="5"/>
    </row>
    <row r="3504" spans="2:18" x14ac:dyDescent="0.25">
      <c r="B3504" s="19" t="s">
        <v>4741</v>
      </c>
      <c r="C3504" s="16"/>
      <c r="D3504" s="16" t="s">
        <v>29</v>
      </c>
      <c r="E3504" s="16"/>
      <c r="F3504" s="5"/>
      <c r="G3504" s="16" t="s">
        <v>35</v>
      </c>
      <c r="H3504" s="16"/>
      <c r="I3504" s="16"/>
      <c r="J3504" s="16"/>
      <c r="K3504" s="16"/>
      <c r="L3504" s="16"/>
      <c r="M3504" s="16"/>
      <c r="N3504" s="16"/>
      <c r="O3504" s="17"/>
      <c r="P3504" s="5" t="str">
        <f t="shared" si="85"/>
        <v>Truncate table FSXH17;</v>
      </c>
      <c r="Q3504" s="5"/>
      <c r="R3504" s="5"/>
    </row>
    <row r="3505" spans="2:18" x14ac:dyDescent="0.25">
      <c r="B3505" s="19" t="s">
        <v>4742</v>
      </c>
      <c r="C3505" s="16" t="s">
        <v>4743</v>
      </c>
      <c r="D3505" s="16" t="s">
        <v>29</v>
      </c>
      <c r="E3505" s="16" t="s">
        <v>54</v>
      </c>
      <c r="F3505" s="5" t="s">
        <v>163</v>
      </c>
      <c r="G3505" s="16" t="s">
        <v>35</v>
      </c>
      <c r="H3505" s="16"/>
      <c r="I3505" s="16"/>
      <c r="J3505" s="16"/>
      <c r="K3505" s="16"/>
      <c r="L3505" s="16"/>
      <c r="M3505" s="16"/>
      <c r="N3505" s="16"/>
      <c r="O3505" s="17" t="s">
        <v>38</v>
      </c>
      <c r="P3505" s="5" t="str">
        <f t="shared" si="85"/>
        <v>Truncate table FSXR17;</v>
      </c>
      <c r="Q3505" s="5"/>
      <c r="R3505" s="5"/>
    </row>
    <row r="3506" spans="2:18" x14ac:dyDescent="0.25">
      <c r="B3506" s="19" t="s">
        <v>4744</v>
      </c>
      <c r="C3506" s="16"/>
      <c r="D3506" s="16" t="s">
        <v>29</v>
      </c>
      <c r="E3506" s="16"/>
      <c r="F3506" s="5"/>
      <c r="G3506" s="16" t="s">
        <v>35</v>
      </c>
      <c r="H3506" s="16"/>
      <c r="I3506" s="16"/>
      <c r="J3506" s="16"/>
      <c r="K3506" s="16"/>
      <c r="L3506" s="16"/>
      <c r="M3506" s="16"/>
      <c r="N3506" s="16"/>
      <c r="O3506" s="17"/>
      <c r="P3506" s="5" t="str">
        <f t="shared" si="85"/>
        <v>Truncate table FTA331;</v>
      </c>
      <c r="Q3506" s="5"/>
      <c r="R3506" s="5"/>
    </row>
    <row r="3507" spans="2:18" x14ac:dyDescent="0.25">
      <c r="B3507" s="19" t="s">
        <v>4745</v>
      </c>
      <c r="C3507" s="16"/>
      <c r="D3507" s="16" t="s">
        <v>29</v>
      </c>
      <c r="E3507" s="16"/>
      <c r="F3507" s="5"/>
      <c r="G3507" s="16" t="s">
        <v>35</v>
      </c>
      <c r="H3507" s="16"/>
      <c r="I3507" s="16"/>
      <c r="J3507" s="16"/>
      <c r="K3507" s="16"/>
      <c r="L3507" s="16"/>
      <c r="M3507" s="16"/>
      <c r="N3507" s="16"/>
      <c r="O3507" s="17"/>
      <c r="P3507" s="5" t="str">
        <f t="shared" si="85"/>
        <v>Truncate table FTA332;</v>
      </c>
      <c r="Q3507" s="5"/>
      <c r="R3507" s="5"/>
    </row>
    <row r="3508" spans="2:18" x14ac:dyDescent="0.25">
      <c r="B3508" s="19" t="s">
        <v>4746</v>
      </c>
      <c r="C3508" s="16"/>
      <c r="D3508" s="16" t="s">
        <v>29</v>
      </c>
      <c r="E3508" s="16"/>
      <c r="F3508" s="5"/>
      <c r="G3508" s="16" t="s">
        <v>35</v>
      </c>
      <c r="H3508" s="16"/>
      <c r="I3508" s="16"/>
      <c r="J3508" s="16"/>
      <c r="K3508" s="16"/>
      <c r="L3508" s="16"/>
      <c r="M3508" s="16"/>
      <c r="N3508" s="16"/>
      <c r="O3508" s="17"/>
      <c r="P3508" s="5" t="str">
        <f t="shared" si="85"/>
        <v>Truncate table FTA333;</v>
      </c>
      <c r="Q3508" s="5"/>
      <c r="R3508" s="5"/>
    </row>
    <row r="3509" spans="2:18" x14ac:dyDescent="0.25">
      <c r="B3509" s="19" t="s">
        <v>4747</v>
      </c>
      <c r="C3509" s="16"/>
      <c r="D3509" s="16" t="s">
        <v>29</v>
      </c>
      <c r="E3509" s="16"/>
      <c r="F3509" s="5"/>
      <c r="G3509" s="16" t="s">
        <v>35</v>
      </c>
      <c r="H3509" s="16"/>
      <c r="I3509" s="16"/>
      <c r="J3509" s="16"/>
      <c r="K3509" s="16"/>
      <c r="L3509" s="16"/>
      <c r="M3509" s="16"/>
      <c r="N3509" s="16"/>
      <c r="O3509" s="17"/>
      <c r="P3509" s="5" t="str">
        <f t="shared" si="85"/>
        <v>Truncate table FTA334;</v>
      </c>
      <c r="Q3509" s="5"/>
      <c r="R3509" s="5"/>
    </row>
    <row r="3510" spans="2:18" x14ac:dyDescent="0.25">
      <c r="B3510" s="19" t="s">
        <v>4748</v>
      </c>
      <c r="C3510" s="16"/>
      <c r="D3510" s="16" t="s">
        <v>29</v>
      </c>
      <c r="E3510" s="16"/>
      <c r="F3510" s="5"/>
      <c r="G3510" s="16" t="s">
        <v>35</v>
      </c>
      <c r="H3510" s="16"/>
      <c r="I3510" s="16"/>
      <c r="J3510" s="16"/>
      <c r="K3510" s="16"/>
      <c r="L3510" s="16"/>
      <c r="M3510" s="16"/>
      <c r="N3510" s="16"/>
      <c r="O3510" s="17"/>
      <c r="P3510" s="5" t="str">
        <f t="shared" si="85"/>
        <v>Truncate table FTA335;</v>
      </c>
      <c r="Q3510" s="5"/>
      <c r="R3510" s="5"/>
    </row>
    <row r="3511" spans="2:18" x14ac:dyDescent="0.25">
      <c r="B3511" s="19" t="s">
        <v>4749</v>
      </c>
      <c r="C3511" s="16"/>
      <c r="D3511" s="16" t="s">
        <v>29</v>
      </c>
      <c r="E3511" s="16"/>
      <c r="F3511" s="5"/>
      <c r="G3511" s="16" t="s">
        <v>35</v>
      </c>
      <c r="H3511" s="16"/>
      <c r="I3511" s="16"/>
      <c r="J3511" s="16"/>
      <c r="K3511" s="16"/>
      <c r="L3511" s="16"/>
      <c r="M3511" s="16"/>
      <c r="N3511" s="16"/>
      <c r="O3511" s="17"/>
      <c r="P3511" s="5" t="str">
        <f t="shared" si="85"/>
        <v>Truncate table FTA336;</v>
      </c>
      <c r="Q3511" s="5"/>
      <c r="R3511" s="5"/>
    </row>
    <row r="3512" spans="2:18" x14ac:dyDescent="0.25">
      <c r="B3512" s="19" t="s">
        <v>4750</v>
      </c>
      <c r="C3512" s="16" t="s">
        <v>4751</v>
      </c>
      <c r="D3512" s="16" t="s">
        <v>29</v>
      </c>
      <c r="E3512" s="16" t="s">
        <v>151</v>
      </c>
      <c r="F3512" s="5" t="s">
        <v>4752</v>
      </c>
      <c r="G3512" s="16" t="s">
        <v>35</v>
      </c>
      <c r="H3512" s="16" t="s">
        <v>36</v>
      </c>
      <c r="I3512" s="16"/>
      <c r="J3512" s="16"/>
      <c r="K3512" s="16"/>
      <c r="L3512" s="16"/>
      <c r="M3512" s="16"/>
      <c r="N3512" s="16"/>
      <c r="O3512" s="17" t="s">
        <v>38</v>
      </c>
      <c r="P3512" s="5" t="str">
        <f t="shared" si="85"/>
        <v>Truncate table FTD10;</v>
      </c>
      <c r="Q3512" s="5"/>
      <c r="R3512" s="5"/>
    </row>
    <row r="3513" spans="2:18" x14ac:dyDescent="0.25">
      <c r="B3513" s="19" t="s">
        <v>4753</v>
      </c>
      <c r="C3513" s="16" t="s">
        <v>4754</v>
      </c>
      <c r="D3513" s="16" t="s">
        <v>29</v>
      </c>
      <c r="E3513" s="16" t="s">
        <v>151</v>
      </c>
      <c r="F3513" s="5" t="s">
        <v>4752</v>
      </c>
      <c r="G3513" s="16" t="s">
        <v>35</v>
      </c>
      <c r="H3513" s="16" t="s">
        <v>36</v>
      </c>
      <c r="I3513" s="16"/>
      <c r="J3513" s="16"/>
      <c r="K3513" s="16"/>
      <c r="L3513" s="16"/>
      <c r="M3513" s="16"/>
      <c r="N3513" s="16"/>
      <c r="O3513" s="17" t="s">
        <v>38</v>
      </c>
      <c r="P3513" s="5" t="str">
        <f t="shared" si="85"/>
        <v>Truncate table FTD11;</v>
      </c>
      <c r="Q3513" s="5"/>
      <c r="R3513" s="5"/>
    </row>
    <row r="3514" spans="2:18" x14ac:dyDescent="0.25">
      <c r="B3514" s="19" t="s">
        <v>4755</v>
      </c>
      <c r="C3514" s="16" t="s">
        <v>4756</v>
      </c>
      <c r="D3514" s="16" t="s">
        <v>29</v>
      </c>
      <c r="E3514" s="16" t="s">
        <v>151</v>
      </c>
      <c r="F3514" s="5" t="s">
        <v>4752</v>
      </c>
      <c r="G3514" s="16" t="s">
        <v>35</v>
      </c>
      <c r="H3514" s="16" t="s">
        <v>36</v>
      </c>
      <c r="I3514" s="16"/>
      <c r="J3514" s="16"/>
      <c r="K3514" s="16"/>
      <c r="L3514" s="16"/>
      <c r="M3514" s="16"/>
      <c r="N3514" s="16"/>
      <c r="O3514" s="17" t="s">
        <v>38</v>
      </c>
      <c r="P3514" s="5" t="str">
        <f t="shared" si="85"/>
        <v>Truncate table FTD12;</v>
      </c>
      <c r="Q3514" s="5"/>
      <c r="R3514" s="5"/>
    </row>
    <row r="3515" spans="2:18" x14ac:dyDescent="0.25">
      <c r="B3515" s="19" t="s">
        <v>4757</v>
      </c>
      <c r="C3515" s="16" t="s">
        <v>4758</v>
      </c>
      <c r="D3515" s="16" t="s">
        <v>8152</v>
      </c>
      <c r="E3515" s="16" t="s">
        <v>151</v>
      </c>
      <c r="F3515" s="5" t="s">
        <v>4752</v>
      </c>
      <c r="G3515" s="16" t="s">
        <v>35</v>
      </c>
      <c r="H3515" s="16" t="s">
        <v>36</v>
      </c>
      <c r="I3515" s="16"/>
      <c r="J3515" s="16"/>
      <c r="K3515" s="16"/>
      <c r="L3515" s="16"/>
      <c r="M3515" s="16"/>
      <c r="N3515" s="16"/>
      <c r="O3515" s="17" t="s">
        <v>38</v>
      </c>
      <c r="P3515" s="5" t="str">
        <f t="shared" si="85"/>
        <v/>
      </c>
      <c r="Q3515" s="5"/>
      <c r="R3515" s="5"/>
    </row>
    <row r="3516" spans="2:18" x14ac:dyDescent="0.25">
      <c r="B3516" s="19" t="s">
        <v>4759</v>
      </c>
      <c r="C3516" s="16"/>
      <c r="D3516" s="16" t="s">
        <v>29</v>
      </c>
      <c r="E3516" s="16" t="s">
        <v>151</v>
      </c>
      <c r="F3516" s="5" t="s">
        <v>4752</v>
      </c>
      <c r="G3516" s="16" t="s">
        <v>35</v>
      </c>
      <c r="H3516" s="16" t="s">
        <v>36</v>
      </c>
      <c r="I3516" s="16"/>
      <c r="J3516" s="16"/>
      <c r="K3516" s="16"/>
      <c r="L3516" s="16"/>
      <c r="M3516" s="16"/>
      <c r="N3516" s="16"/>
      <c r="O3516" s="17"/>
      <c r="P3516" s="5" t="str">
        <f t="shared" si="85"/>
        <v>Truncate table FTD14;</v>
      </c>
      <c r="Q3516" s="5"/>
      <c r="R3516" s="5"/>
    </row>
    <row r="3517" spans="2:18" x14ac:dyDescent="0.25">
      <c r="B3517" s="19" t="s">
        <v>4760</v>
      </c>
      <c r="C3517" s="16"/>
      <c r="D3517" s="16" t="s">
        <v>29</v>
      </c>
      <c r="E3517" s="16" t="s">
        <v>151</v>
      </c>
      <c r="F3517" s="5" t="s">
        <v>4752</v>
      </c>
      <c r="G3517" s="16" t="s">
        <v>35</v>
      </c>
      <c r="H3517" s="16" t="s">
        <v>36</v>
      </c>
      <c r="I3517" s="16"/>
      <c r="J3517" s="16"/>
      <c r="K3517" s="16"/>
      <c r="L3517" s="16"/>
      <c r="M3517" s="16"/>
      <c r="N3517" s="16"/>
      <c r="O3517" s="17"/>
      <c r="P3517" s="5" t="str">
        <f t="shared" si="85"/>
        <v>Truncate table FTD15;</v>
      </c>
      <c r="Q3517" s="5"/>
      <c r="R3517" s="5"/>
    </row>
    <row r="3518" spans="2:18" x14ac:dyDescent="0.25">
      <c r="B3518" s="19" t="s">
        <v>4761</v>
      </c>
      <c r="C3518" s="16"/>
      <c r="D3518" s="16" t="s">
        <v>29</v>
      </c>
      <c r="E3518" s="16" t="s">
        <v>151</v>
      </c>
      <c r="F3518" s="5" t="s">
        <v>4752</v>
      </c>
      <c r="G3518" s="16" t="s">
        <v>35</v>
      </c>
      <c r="H3518" s="16" t="s">
        <v>36</v>
      </c>
      <c r="I3518" s="16"/>
      <c r="J3518" s="16"/>
      <c r="K3518" s="16"/>
      <c r="L3518" s="16"/>
      <c r="M3518" s="16"/>
      <c r="N3518" s="16"/>
      <c r="O3518" s="17"/>
      <c r="P3518" s="5" t="str">
        <f t="shared" si="85"/>
        <v>Truncate table FTD16;</v>
      </c>
      <c r="Q3518" s="5"/>
      <c r="R3518" s="5"/>
    </row>
    <row r="3519" spans="2:18" x14ac:dyDescent="0.25">
      <c r="B3519" s="19" t="s">
        <v>4762</v>
      </c>
      <c r="C3519" s="16" t="s">
        <v>4763</v>
      </c>
      <c r="D3519" s="16" t="s">
        <v>29</v>
      </c>
      <c r="E3519" s="16" t="s">
        <v>151</v>
      </c>
      <c r="F3519" s="5" t="s">
        <v>4752</v>
      </c>
      <c r="G3519" s="16" t="s">
        <v>35</v>
      </c>
      <c r="H3519" s="16" t="s">
        <v>36</v>
      </c>
      <c r="I3519" s="16"/>
      <c r="J3519" s="16"/>
      <c r="K3519" s="16"/>
      <c r="L3519" s="16"/>
      <c r="M3519" s="16"/>
      <c r="N3519" s="16"/>
      <c r="O3519" s="17" t="s">
        <v>38</v>
      </c>
      <c r="P3519" s="5" t="str">
        <f t="shared" si="85"/>
        <v>Truncate table FTD17;</v>
      </c>
      <c r="Q3519" s="5"/>
      <c r="R3519" s="5"/>
    </row>
    <row r="3520" spans="2:18" x14ac:dyDescent="0.25">
      <c r="B3520" s="19" t="s">
        <v>4764</v>
      </c>
      <c r="C3520" s="16"/>
      <c r="D3520" s="16" t="s">
        <v>29</v>
      </c>
      <c r="E3520" s="16" t="s">
        <v>151</v>
      </c>
      <c r="F3520" s="5" t="s">
        <v>4752</v>
      </c>
      <c r="G3520" s="16" t="s">
        <v>35</v>
      </c>
      <c r="H3520" s="16" t="s">
        <v>36</v>
      </c>
      <c r="I3520" s="16"/>
      <c r="J3520" s="16"/>
      <c r="K3520" s="16"/>
      <c r="L3520" s="16"/>
      <c r="M3520" s="16"/>
      <c r="N3520" s="16"/>
      <c r="O3520" s="17"/>
      <c r="P3520" s="5" t="str">
        <f t="shared" si="85"/>
        <v>Truncate table FTD18;</v>
      </c>
      <c r="Q3520" s="5"/>
      <c r="R3520" s="5"/>
    </row>
    <row r="3521" spans="2:18" x14ac:dyDescent="0.25">
      <c r="B3521" s="19" t="s">
        <v>4765</v>
      </c>
      <c r="C3521" s="16"/>
      <c r="D3521" s="16" t="s">
        <v>29</v>
      </c>
      <c r="E3521" s="16" t="s">
        <v>151</v>
      </c>
      <c r="F3521" s="5" t="s">
        <v>4752</v>
      </c>
      <c r="G3521" s="16" t="s">
        <v>35</v>
      </c>
      <c r="H3521" s="16" t="s">
        <v>36</v>
      </c>
      <c r="I3521" s="16"/>
      <c r="J3521" s="16"/>
      <c r="K3521" s="16"/>
      <c r="L3521" s="16"/>
      <c r="M3521" s="16"/>
      <c r="N3521" s="16"/>
      <c r="O3521" s="17"/>
      <c r="P3521" s="5" t="str">
        <f t="shared" ref="P3521:P3584" si="86">IF(D3521="Datos","Truncate table "&amp; B3521&amp; ";","")</f>
        <v>Truncate table FTD19;</v>
      </c>
      <c r="Q3521" s="5"/>
      <c r="R3521" s="5"/>
    </row>
    <row r="3522" spans="2:18" x14ac:dyDescent="0.25">
      <c r="B3522" s="19" t="s">
        <v>4766</v>
      </c>
      <c r="C3522" s="16" t="s">
        <v>4767</v>
      </c>
      <c r="D3522" s="16" t="s">
        <v>8152</v>
      </c>
      <c r="E3522" s="16" t="s">
        <v>151</v>
      </c>
      <c r="F3522" s="5" t="s">
        <v>4752</v>
      </c>
      <c r="G3522" s="16" t="s">
        <v>35</v>
      </c>
      <c r="H3522" s="16" t="s">
        <v>36</v>
      </c>
      <c r="I3522" s="16"/>
      <c r="J3522" s="16"/>
      <c r="K3522" s="16"/>
      <c r="L3522" s="16"/>
      <c r="M3522" s="16"/>
      <c r="N3522" s="16"/>
      <c r="O3522" s="17" t="s">
        <v>38</v>
      </c>
      <c r="P3522" s="5" t="str">
        <f t="shared" si="86"/>
        <v/>
      </c>
      <c r="Q3522" s="5"/>
      <c r="R3522" s="5"/>
    </row>
    <row r="3523" spans="2:18" x14ac:dyDescent="0.25">
      <c r="B3523" s="19" t="s">
        <v>4768</v>
      </c>
      <c r="C3523" s="16"/>
      <c r="D3523" s="16" t="s">
        <v>29</v>
      </c>
      <c r="E3523" s="16" t="s">
        <v>151</v>
      </c>
      <c r="F3523" s="5" t="s">
        <v>4752</v>
      </c>
      <c r="G3523" s="16" t="s">
        <v>35</v>
      </c>
      <c r="H3523" s="16" t="s">
        <v>36</v>
      </c>
      <c r="I3523" s="16"/>
      <c r="J3523" s="16"/>
      <c r="K3523" s="16"/>
      <c r="L3523" s="16"/>
      <c r="M3523" s="16"/>
      <c r="N3523" s="16"/>
      <c r="O3523" s="17"/>
      <c r="P3523" s="5" t="str">
        <f t="shared" si="86"/>
        <v>Truncate table FTD22;</v>
      </c>
      <c r="Q3523" s="5"/>
      <c r="R3523" s="5"/>
    </row>
    <row r="3524" spans="2:18" x14ac:dyDescent="0.25">
      <c r="B3524" s="19" t="s">
        <v>4769</v>
      </c>
      <c r="C3524" s="16"/>
      <c r="D3524" s="16" t="s">
        <v>29</v>
      </c>
      <c r="E3524" s="16" t="s">
        <v>151</v>
      </c>
      <c r="F3524" s="5" t="s">
        <v>4752</v>
      </c>
      <c r="G3524" s="16" t="s">
        <v>35</v>
      </c>
      <c r="H3524" s="16" t="s">
        <v>36</v>
      </c>
      <c r="I3524" s="16"/>
      <c r="J3524" s="16"/>
      <c r="K3524" s="16"/>
      <c r="L3524" s="16"/>
      <c r="M3524" s="16"/>
      <c r="N3524" s="16"/>
      <c r="O3524" s="17"/>
      <c r="P3524" s="5" t="str">
        <f t="shared" si="86"/>
        <v>Truncate table FTD23;</v>
      </c>
      <c r="Q3524" s="5"/>
      <c r="R3524" s="5"/>
    </row>
    <row r="3525" spans="2:18" x14ac:dyDescent="0.25">
      <c r="B3525" s="19" t="s">
        <v>4770</v>
      </c>
      <c r="C3525" s="16"/>
      <c r="D3525" s="16" t="s">
        <v>29</v>
      </c>
      <c r="E3525" s="16" t="s">
        <v>151</v>
      </c>
      <c r="F3525" s="5" t="s">
        <v>4752</v>
      </c>
      <c r="G3525" s="16" t="s">
        <v>35</v>
      </c>
      <c r="H3525" s="16" t="s">
        <v>36</v>
      </c>
      <c r="I3525" s="16"/>
      <c r="J3525" s="16"/>
      <c r="K3525" s="16"/>
      <c r="L3525" s="16"/>
      <c r="M3525" s="16"/>
      <c r="N3525" s="16"/>
      <c r="O3525" s="17"/>
      <c r="P3525" s="5" t="str">
        <f t="shared" si="86"/>
        <v>Truncate table FTD24CS;</v>
      </c>
      <c r="Q3525" s="5"/>
      <c r="R3525" s="5"/>
    </row>
    <row r="3526" spans="2:18" x14ac:dyDescent="0.25">
      <c r="B3526" s="19" t="s">
        <v>4771</v>
      </c>
      <c r="C3526" s="16"/>
      <c r="D3526" s="16" t="s">
        <v>29</v>
      </c>
      <c r="E3526" s="16" t="s">
        <v>151</v>
      </c>
      <c r="F3526" s="5" t="s">
        <v>4752</v>
      </c>
      <c r="G3526" s="16" t="s">
        <v>35</v>
      </c>
      <c r="H3526" s="16" t="s">
        <v>36</v>
      </c>
      <c r="I3526" s="16"/>
      <c r="J3526" s="16"/>
      <c r="K3526" s="16"/>
      <c r="L3526" s="16"/>
      <c r="M3526" s="16"/>
      <c r="N3526" s="16"/>
      <c r="O3526" s="17"/>
      <c r="P3526" s="5" t="str">
        <f t="shared" si="86"/>
        <v>Truncate table FTD25;</v>
      </c>
      <c r="Q3526" s="5"/>
      <c r="R3526" s="5"/>
    </row>
    <row r="3527" spans="2:18" x14ac:dyDescent="0.25">
      <c r="B3527" s="19" t="s">
        <v>4772</v>
      </c>
      <c r="C3527" s="16"/>
      <c r="D3527" s="16" t="s">
        <v>29</v>
      </c>
      <c r="E3527" s="16" t="s">
        <v>151</v>
      </c>
      <c r="F3527" s="5" t="s">
        <v>4752</v>
      </c>
      <c r="G3527" s="16" t="s">
        <v>35</v>
      </c>
      <c r="H3527" s="16" t="s">
        <v>36</v>
      </c>
      <c r="I3527" s="16"/>
      <c r="J3527" s="16"/>
      <c r="K3527" s="16"/>
      <c r="L3527" s="16"/>
      <c r="M3527" s="16"/>
      <c r="N3527" s="16"/>
      <c r="O3527" s="17"/>
      <c r="P3527" s="5" t="str">
        <f t="shared" si="86"/>
        <v>Truncate table FTD31;</v>
      </c>
      <c r="Q3527" s="5"/>
      <c r="R3527" s="5"/>
    </row>
    <row r="3528" spans="2:18" x14ac:dyDescent="0.25">
      <c r="B3528" s="19" t="s">
        <v>4773</v>
      </c>
      <c r="C3528" s="16"/>
      <c r="D3528" s="16" t="s">
        <v>29</v>
      </c>
      <c r="E3528" s="16" t="s">
        <v>151</v>
      </c>
      <c r="F3528" s="5" t="s">
        <v>4752</v>
      </c>
      <c r="G3528" s="16" t="s">
        <v>35</v>
      </c>
      <c r="H3528" s="16" t="s">
        <v>36</v>
      </c>
      <c r="I3528" s="16"/>
      <c r="J3528" s="16"/>
      <c r="K3528" s="16"/>
      <c r="L3528" s="16"/>
      <c r="M3528" s="16"/>
      <c r="N3528" s="16"/>
      <c r="O3528" s="17"/>
      <c r="P3528" s="5" t="str">
        <f t="shared" si="86"/>
        <v>Truncate table FTD32;</v>
      </c>
      <c r="Q3528" s="5"/>
      <c r="R3528" s="5"/>
    </row>
    <row r="3529" spans="2:18" x14ac:dyDescent="0.25">
      <c r="B3529" s="19" t="s">
        <v>9533</v>
      </c>
      <c r="C3529" s="16"/>
      <c r="D3529" s="16" t="s">
        <v>29</v>
      </c>
      <c r="E3529" s="16"/>
      <c r="F3529" s="5"/>
      <c r="G3529" s="16"/>
      <c r="H3529" s="16"/>
      <c r="I3529" s="16"/>
      <c r="J3529" s="16"/>
      <c r="K3529" s="16"/>
      <c r="L3529" s="16"/>
      <c r="M3529" s="16"/>
      <c r="N3529" s="16"/>
      <c r="O3529" s="17"/>
      <c r="P3529" s="5" t="str">
        <f t="shared" si="86"/>
        <v>Truncate table FTD33;</v>
      </c>
      <c r="Q3529" s="5"/>
      <c r="R3529" s="5"/>
    </row>
    <row r="3530" spans="2:18" x14ac:dyDescent="0.25">
      <c r="B3530" s="19" t="s">
        <v>4774</v>
      </c>
      <c r="C3530" s="16" t="s">
        <v>4775</v>
      </c>
      <c r="D3530" s="16" t="s">
        <v>8152</v>
      </c>
      <c r="E3530" s="16" t="s">
        <v>151</v>
      </c>
      <c r="F3530" s="5" t="s">
        <v>4752</v>
      </c>
      <c r="G3530" s="16" t="s">
        <v>35</v>
      </c>
      <c r="H3530" s="16" t="s">
        <v>36</v>
      </c>
      <c r="I3530" s="16"/>
      <c r="J3530" s="16"/>
      <c r="K3530" s="16"/>
      <c r="L3530" s="16"/>
      <c r="M3530" s="16"/>
      <c r="N3530" s="16"/>
      <c r="O3530" s="17" t="s">
        <v>38</v>
      </c>
      <c r="P3530" s="5" t="str">
        <f t="shared" si="86"/>
        <v/>
      </c>
      <c r="Q3530" s="5"/>
      <c r="R3530" s="5"/>
    </row>
    <row r="3531" spans="2:18" x14ac:dyDescent="0.25">
      <c r="B3531" s="19" t="s">
        <v>4776</v>
      </c>
      <c r="C3531" s="16"/>
      <c r="D3531" s="16" t="s">
        <v>29</v>
      </c>
      <c r="E3531" s="16" t="s">
        <v>151</v>
      </c>
      <c r="F3531" s="5" t="s">
        <v>4752</v>
      </c>
      <c r="G3531" s="16" t="s">
        <v>35</v>
      </c>
      <c r="H3531" s="16" t="s">
        <v>36</v>
      </c>
      <c r="I3531" s="16"/>
      <c r="J3531" s="16"/>
      <c r="K3531" s="16"/>
      <c r="L3531" s="16"/>
      <c r="M3531" s="16"/>
      <c r="N3531" s="16"/>
      <c r="O3531" s="17"/>
      <c r="P3531" s="5" t="str">
        <f t="shared" si="86"/>
        <v>Truncate table FTD4DH;</v>
      </c>
      <c r="Q3531" s="5"/>
      <c r="R3531" s="5"/>
    </row>
    <row r="3532" spans="2:18" x14ac:dyDescent="0.25">
      <c r="B3532" s="19" t="s">
        <v>4777</v>
      </c>
      <c r="C3532" s="16"/>
      <c r="D3532" s="16" t="s">
        <v>29</v>
      </c>
      <c r="E3532" s="16" t="s">
        <v>151</v>
      </c>
      <c r="F3532" s="5" t="s">
        <v>4752</v>
      </c>
      <c r="G3532" s="16" t="s">
        <v>35</v>
      </c>
      <c r="H3532" s="16" t="s">
        <v>36</v>
      </c>
      <c r="I3532" s="16"/>
      <c r="J3532" s="16"/>
      <c r="K3532" s="16"/>
      <c r="L3532" s="16"/>
      <c r="M3532" s="16"/>
      <c r="N3532" s="16"/>
      <c r="O3532" s="17"/>
      <c r="P3532" s="5" t="str">
        <f t="shared" si="86"/>
        <v>Truncate table FTDFEI;</v>
      </c>
      <c r="Q3532" s="5"/>
      <c r="R3532" s="5"/>
    </row>
    <row r="3533" spans="2:18" x14ac:dyDescent="0.25">
      <c r="B3533" s="19" t="s">
        <v>4778</v>
      </c>
      <c r="C3533" s="16"/>
      <c r="D3533" s="16" t="s">
        <v>29</v>
      </c>
      <c r="E3533" s="16" t="s">
        <v>151</v>
      </c>
      <c r="F3533" s="5" t="s">
        <v>4752</v>
      </c>
      <c r="G3533" s="16" t="s">
        <v>35</v>
      </c>
      <c r="H3533" s="16" t="s">
        <v>36</v>
      </c>
      <c r="I3533" s="16"/>
      <c r="J3533" s="16"/>
      <c r="K3533" s="16"/>
      <c r="L3533" s="16"/>
      <c r="M3533" s="16"/>
      <c r="N3533" s="16"/>
      <c r="O3533" s="17"/>
      <c r="P3533" s="5" t="str">
        <f t="shared" si="86"/>
        <v>Truncate table FTDLOD;</v>
      </c>
      <c r="Q3533" s="5"/>
      <c r="R3533" s="5"/>
    </row>
    <row r="3534" spans="2:18" x14ac:dyDescent="0.25">
      <c r="B3534" s="19" t="s">
        <v>4779</v>
      </c>
      <c r="C3534" s="16"/>
      <c r="D3534" s="16" t="s">
        <v>29</v>
      </c>
      <c r="E3534" s="16" t="s">
        <v>151</v>
      </c>
      <c r="F3534" s="5" t="s">
        <v>4752</v>
      </c>
      <c r="G3534" s="16" t="s">
        <v>35</v>
      </c>
      <c r="H3534" s="16" t="s">
        <v>36</v>
      </c>
      <c r="I3534" s="16"/>
      <c r="J3534" s="16"/>
      <c r="K3534" s="16"/>
      <c r="L3534" s="16"/>
      <c r="M3534" s="16"/>
      <c r="N3534" s="16"/>
      <c r="O3534" s="17"/>
      <c r="P3534" s="5" t="str">
        <f t="shared" si="86"/>
        <v>Truncate table FTDLPO;</v>
      </c>
      <c r="Q3534" s="5"/>
      <c r="R3534" s="5"/>
    </row>
    <row r="3535" spans="2:18" x14ac:dyDescent="0.25">
      <c r="B3535" s="19" t="s">
        <v>4780</v>
      </c>
      <c r="C3535" s="16"/>
      <c r="D3535" s="16" t="s">
        <v>29</v>
      </c>
      <c r="E3535" s="16" t="s">
        <v>151</v>
      </c>
      <c r="F3535" s="5" t="s">
        <v>4752</v>
      </c>
      <c r="G3535" s="16" t="s">
        <v>35</v>
      </c>
      <c r="H3535" s="16" t="s">
        <v>36</v>
      </c>
      <c r="I3535" s="16"/>
      <c r="J3535" s="16"/>
      <c r="K3535" s="16"/>
      <c r="L3535" s="16"/>
      <c r="M3535" s="16"/>
      <c r="N3535" s="16"/>
      <c r="O3535" s="17"/>
      <c r="P3535" s="5" t="str">
        <f t="shared" si="86"/>
        <v>Truncate table FTDLUO;</v>
      </c>
      <c r="Q3535" s="5"/>
      <c r="R3535" s="5"/>
    </row>
    <row r="3536" spans="2:18" x14ac:dyDescent="0.25">
      <c r="B3536" s="19" t="s">
        <v>4781</v>
      </c>
      <c r="C3536" s="16"/>
      <c r="D3536" s="16" t="s">
        <v>29</v>
      </c>
      <c r="E3536" s="16" t="s">
        <v>151</v>
      </c>
      <c r="F3536" s="5" t="s">
        <v>4752</v>
      </c>
      <c r="G3536" s="16" t="s">
        <v>35</v>
      </c>
      <c r="H3536" s="16" t="s">
        <v>36</v>
      </c>
      <c r="I3536" s="16"/>
      <c r="J3536" s="16"/>
      <c r="K3536" s="16"/>
      <c r="L3536" s="16"/>
      <c r="M3536" s="16"/>
      <c r="N3536" s="16"/>
      <c r="O3536" s="17"/>
      <c r="P3536" s="5" t="str">
        <f t="shared" si="86"/>
        <v>Truncate table FTDP01;</v>
      </c>
      <c r="Q3536" s="5"/>
      <c r="R3536" s="5"/>
    </row>
    <row r="3537" spans="2:18" x14ac:dyDescent="0.25">
      <c r="B3537" s="19" t="s">
        <v>4782</v>
      </c>
      <c r="C3537" s="16" t="s">
        <v>4783</v>
      </c>
      <c r="D3537" s="16" t="s">
        <v>29</v>
      </c>
      <c r="E3537" s="16" t="s">
        <v>151</v>
      </c>
      <c r="F3537" s="5" t="s">
        <v>4752</v>
      </c>
      <c r="G3537" s="16" t="s">
        <v>35</v>
      </c>
      <c r="H3537" s="16" t="s">
        <v>36</v>
      </c>
      <c r="I3537" s="16"/>
      <c r="J3537" s="16"/>
      <c r="K3537" s="16"/>
      <c r="L3537" s="16"/>
      <c r="M3537" s="16"/>
      <c r="N3537" s="16"/>
      <c r="O3537" s="17" t="s">
        <v>38</v>
      </c>
      <c r="P3537" s="5" t="str">
        <f t="shared" si="86"/>
        <v>Truncate table FTDVDF;</v>
      </c>
      <c r="Q3537" s="5"/>
      <c r="R3537" s="5"/>
    </row>
    <row r="3538" spans="2:18" x14ac:dyDescent="0.25">
      <c r="B3538" s="19" t="s">
        <v>4784</v>
      </c>
      <c r="C3538" s="16" t="s">
        <v>4783</v>
      </c>
      <c r="D3538" s="16" t="s">
        <v>29</v>
      </c>
      <c r="E3538" s="16" t="s">
        <v>151</v>
      </c>
      <c r="F3538" s="5" t="s">
        <v>4752</v>
      </c>
      <c r="G3538" s="16" t="s">
        <v>35</v>
      </c>
      <c r="H3538" s="16" t="s">
        <v>36</v>
      </c>
      <c r="I3538" s="16"/>
      <c r="J3538" s="16"/>
      <c r="K3538" s="16"/>
      <c r="L3538" s="16"/>
      <c r="M3538" s="16"/>
      <c r="N3538" s="16"/>
      <c r="O3538" s="17" t="s">
        <v>38</v>
      </c>
      <c r="P3538" s="5" t="str">
        <f t="shared" si="86"/>
        <v>Truncate table FTDW01;</v>
      </c>
      <c r="Q3538" s="5"/>
      <c r="R3538" s="5"/>
    </row>
    <row r="3539" spans="2:18" x14ac:dyDescent="0.25">
      <c r="B3539" s="19" t="s">
        <v>4785</v>
      </c>
      <c r="C3539" s="16" t="s">
        <v>4786</v>
      </c>
      <c r="D3539" s="16" t="s">
        <v>8152</v>
      </c>
      <c r="E3539" s="16" t="s">
        <v>54</v>
      </c>
      <c r="F3539" s="5" t="s">
        <v>74</v>
      </c>
      <c r="G3539" s="16" t="s">
        <v>35</v>
      </c>
      <c r="H3539" s="16" t="s">
        <v>36</v>
      </c>
      <c r="I3539" s="16"/>
      <c r="J3539" s="16"/>
      <c r="K3539" s="16"/>
      <c r="L3539" s="16"/>
      <c r="M3539" s="229"/>
      <c r="N3539" s="16"/>
      <c r="O3539" s="17" t="s">
        <v>38</v>
      </c>
      <c r="P3539" s="5" t="str">
        <f t="shared" si="86"/>
        <v/>
      </c>
      <c r="Q3539" s="5"/>
      <c r="R3539" s="5"/>
    </row>
    <row r="3540" spans="2:18" x14ac:dyDescent="0.25">
      <c r="B3540" s="19" t="s">
        <v>4787</v>
      </c>
      <c r="C3540" s="16" t="s">
        <v>4788</v>
      </c>
      <c r="D3540" s="16" t="s">
        <v>8152</v>
      </c>
      <c r="E3540" s="16" t="s">
        <v>54</v>
      </c>
      <c r="F3540" s="5" t="s">
        <v>74</v>
      </c>
      <c r="G3540" s="16" t="s">
        <v>35</v>
      </c>
      <c r="H3540" s="16" t="s">
        <v>36</v>
      </c>
      <c r="I3540" s="16"/>
      <c r="J3540" s="16"/>
      <c r="K3540" s="16"/>
      <c r="L3540" s="16"/>
      <c r="M3540" s="229"/>
      <c r="N3540" s="16"/>
      <c r="O3540" s="17" t="s">
        <v>38</v>
      </c>
      <c r="P3540" s="5" t="str">
        <f t="shared" si="86"/>
        <v/>
      </c>
      <c r="Q3540" s="5"/>
      <c r="R3540" s="5"/>
    </row>
    <row r="3541" spans="2:18" x14ac:dyDescent="0.25">
      <c r="B3541" s="19" t="s">
        <v>4789</v>
      </c>
      <c r="C3541" s="16" t="s">
        <v>4790</v>
      </c>
      <c r="D3541" s="16" t="s">
        <v>8152</v>
      </c>
      <c r="E3541" s="16" t="s">
        <v>54</v>
      </c>
      <c r="F3541" s="5" t="s">
        <v>74</v>
      </c>
      <c r="G3541" s="16" t="s">
        <v>35</v>
      </c>
      <c r="H3541" s="16" t="s">
        <v>36</v>
      </c>
      <c r="I3541" s="16"/>
      <c r="J3541" s="16"/>
      <c r="K3541" s="16"/>
      <c r="L3541" s="16"/>
      <c r="M3541" s="229"/>
      <c r="N3541" s="16"/>
      <c r="O3541" s="17" t="s">
        <v>38</v>
      </c>
      <c r="P3541" s="5" t="str">
        <f t="shared" si="86"/>
        <v/>
      </c>
      <c r="Q3541" s="5"/>
      <c r="R3541" s="5"/>
    </row>
    <row r="3542" spans="2:18" x14ac:dyDescent="0.25">
      <c r="B3542" s="19" t="s">
        <v>4791</v>
      </c>
      <c r="C3542" s="16" t="s">
        <v>4790</v>
      </c>
      <c r="D3542" s="16" t="s">
        <v>8152</v>
      </c>
      <c r="E3542" s="16" t="s">
        <v>54</v>
      </c>
      <c r="F3542" s="5" t="s">
        <v>74</v>
      </c>
      <c r="G3542" s="16" t="s">
        <v>35</v>
      </c>
      <c r="H3542" s="16" t="s">
        <v>36</v>
      </c>
      <c r="I3542" s="16"/>
      <c r="J3542" s="16"/>
      <c r="K3542" s="16"/>
      <c r="L3542" s="16"/>
      <c r="M3542" s="229"/>
      <c r="N3542" s="16"/>
      <c r="O3542" s="17" t="s">
        <v>38</v>
      </c>
      <c r="P3542" s="5" t="str">
        <f t="shared" si="86"/>
        <v/>
      </c>
      <c r="Q3542" s="5"/>
      <c r="R3542" s="5"/>
    </row>
    <row r="3543" spans="2:18" x14ac:dyDescent="0.25">
      <c r="B3543" s="19" t="s">
        <v>4792</v>
      </c>
      <c r="C3543" s="16" t="s">
        <v>4790</v>
      </c>
      <c r="D3543" s="16" t="s">
        <v>8152</v>
      </c>
      <c r="E3543" s="16" t="s">
        <v>54</v>
      </c>
      <c r="F3543" s="5" t="s">
        <v>74</v>
      </c>
      <c r="G3543" s="16" t="s">
        <v>35</v>
      </c>
      <c r="H3543" s="16" t="s">
        <v>36</v>
      </c>
      <c r="I3543" s="16"/>
      <c r="J3543" s="16"/>
      <c r="K3543" s="16"/>
      <c r="L3543" s="16"/>
      <c r="M3543" s="229"/>
      <c r="N3543" s="16"/>
      <c r="O3543" s="17" t="s">
        <v>38</v>
      </c>
      <c r="P3543" s="5" t="str">
        <f t="shared" si="86"/>
        <v/>
      </c>
      <c r="Q3543" s="5"/>
      <c r="R3543" s="5"/>
    </row>
    <row r="3544" spans="2:18" x14ac:dyDescent="0.25">
      <c r="B3544" s="19" t="s">
        <v>4793</v>
      </c>
      <c r="C3544" s="16" t="s">
        <v>4794</v>
      </c>
      <c r="D3544" s="16" t="s">
        <v>29</v>
      </c>
      <c r="E3544" s="16" t="s">
        <v>54</v>
      </c>
      <c r="F3544" s="5" t="s">
        <v>1057</v>
      </c>
      <c r="G3544" s="16" t="s">
        <v>35</v>
      </c>
      <c r="H3544" s="16"/>
      <c r="I3544" s="16"/>
      <c r="J3544" s="16"/>
      <c r="K3544" s="16"/>
      <c r="L3544" s="16"/>
      <c r="M3544" s="16"/>
      <c r="N3544" s="16"/>
      <c r="O3544" s="17" t="s">
        <v>38</v>
      </c>
      <c r="P3544" s="5" t="str">
        <f t="shared" si="86"/>
        <v>Truncate table FUP006;</v>
      </c>
      <c r="Q3544" s="5"/>
      <c r="R3544" s="5"/>
    </row>
    <row r="3545" spans="2:18" x14ac:dyDescent="0.25">
      <c r="B3545" s="19" t="s">
        <v>4795</v>
      </c>
      <c r="C3545" s="16" t="s">
        <v>4794</v>
      </c>
      <c r="D3545" s="16" t="s">
        <v>29</v>
      </c>
      <c r="E3545" s="16" t="s">
        <v>54</v>
      </c>
      <c r="F3545" s="5" t="s">
        <v>1057</v>
      </c>
      <c r="G3545" s="16" t="s">
        <v>35</v>
      </c>
      <c r="H3545" s="16"/>
      <c r="I3545" s="16"/>
      <c r="J3545" s="16"/>
      <c r="K3545" s="16"/>
      <c r="L3545" s="16"/>
      <c r="M3545" s="16"/>
      <c r="N3545" s="16"/>
      <c r="O3545" s="17" t="s">
        <v>38</v>
      </c>
      <c r="P3545" s="5" t="str">
        <f t="shared" si="86"/>
        <v>Truncate table FUP007;</v>
      </c>
      <c r="Q3545" s="5"/>
      <c r="R3545" s="5"/>
    </row>
    <row r="3546" spans="2:18" x14ac:dyDescent="0.25">
      <c r="B3546" s="19" t="s">
        <v>4796</v>
      </c>
      <c r="C3546" s="16" t="s">
        <v>4794</v>
      </c>
      <c r="D3546" s="16" t="s">
        <v>8152</v>
      </c>
      <c r="E3546" s="16" t="s">
        <v>54</v>
      </c>
      <c r="F3546" s="5" t="s">
        <v>74</v>
      </c>
      <c r="G3546" s="16" t="s">
        <v>35</v>
      </c>
      <c r="H3546" s="16" t="s">
        <v>36</v>
      </c>
      <c r="I3546" s="16"/>
      <c r="J3546" s="16"/>
      <c r="K3546" s="16"/>
      <c r="L3546" s="16"/>
      <c r="M3546" s="229"/>
      <c r="N3546" s="16"/>
      <c r="O3546" s="17" t="s">
        <v>38</v>
      </c>
      <c r="P3546" s="5" t="str">
        <f t="shared" si="86"/>
        <v/>
      </c>
      <c r="Q3546" s="5"/>
      <c r="R3546" s="5"/>
    </row>
    <row r="3547" spans="2:18" x14ac:dyDescent="0.25">
      <c r="B3547" s="19" t="s">
        <v>4797</v>
      </c>
      <c r="C3547" s="16" t="s">
        <v>4794</v>
      </c>
      <c r="D3547" s="16" t="s">
        <v>8152</v>
      </c>
      <c r="E3547" s="16" t="s">
        <v>54</v>
      </c>
      <c r="F3547" s="5" t="s">
        <v>74</v>
      </c>
      <c r="G3547" s="16" t="s">
        <v>35</v>
      </c>
      <c r="H3547" s="16" t="s">
        <v>36</v>
      </c>
      <c r="I3547" s="16"/>
      <c r="J3547" s="16"/>
      <c r="K3547" s="16"/>
      <c r="L3547" s="16"/>
      <c r="M3547" s="229"/>
      <c r="N3547" s="16"/>
      <c r="O3547" s="17" t="s">
        <v>38</v>
      </c>
      <c r="P3547" s="5" t="str">
        <f t="shared" si="86"/>
        <v/>
      </c>
      <c r="Q3547" s="5"/>
      <c r="R3547" s="5"/>
    </row>
    <row r="3548" spans="2:18" x14ac:dyDescent="0.25">
      <c r="B3548" s="19" t="s">
        <v>4798</v>
      </c>
      <c r="C3548" s="16" t="s">
        <v>4794</v>
      </c>
      <c r="D3548" s="16" t="s">
        <v>8152</v>
      </c>
      <c r="E3548" s="16" t="s">
        <v>54</v>
      </c>
      <c r="F3548" s="5" t="s">
        <v>74</v>
      </c>
      <c r="G3548" s="16" t="s">
        <v>35</v>
      </c>
      <c r="H3548" s="16" t="s">
        <v>36</v>
      </c>
      <c r="I3548" s="16"/>
      <c r="J3548" s="16"/>
      <c r="K3548" s="16"/>
      <c r="L3548" s="16"/>
      <c r="M3548" s="229"/>
      <c r="N3548" s="16"/>
      <c r="O3548" s="17" t="s">
        <v>38</v>
      </c>
      <c r="P3548" s="5" t="str">
        <f t="shared" si="86"/>
        <v/>
      </c>
      <c r="Q3548" s="5"/>
      <c r="R3548" s="5"/>
    </row>
    <row r="3549" spans="2:18" x14ac:dyDescent="0.25">
      <c r="B3549" s="19" t="s">
        <v>4799</v>
      </c>
      <c r="C3549" s="16"/>
      <c r="D3549" s="16" t="s">
        <v>29</v>
      </c>
      <c r="E3549" s="16"/>
      <c r="F3549" s="5"/>
      <c r="G3549" s="16" t="s">
        <v>35</v>
      </c>
      <c r="H3549" s="16"/>
      <c r="I3549" s="16"/>
      <c r="J3549" s="16"/>
      <c r="K3549" s="16"/>
      <c r="L3549" s="16"/>
      <c r="M3549" s="16"/>
      <c r="N3549" s="16"/>
      <c r="O3549" s="17"/>
      <c r="P3549" s="5" t="str">
        <f t="shared" si="86"/>
        <v>Truncate table FVAC10;</v>
      </c>
      <c r="Q3549" s="5"/>
      <c r="R3549" s="5"/>
    </row>
    <row r="3550" spans="2:18" x14ac:dyDescent="0.25">
      <c r="B3550" s="19" t="s">
        <v>4800</v>
      </c>
      <c r="C3550" s="16"/>
      <c r="D3550" s="16" t="s">
        <v>29</v>
      </c>
      <c r="E3550" s="16"/>
      <c r="F3550" s="5"/>
      <c r="G3550" s="16" t="s">
        <v>35</v>
      </c>
      <c r="H3550" s="16"/>
      <c r="I3550" s="16"/>
      <c r="J3550" s="16"/>
      <c r="K3550" s="16"/>
      <c r="L3550" s="16"/>
      <c r="M3550" s="16"/>
      <c r="N3550" s="16"/>
      <c r="O3550" s="17"/>
      <c r="P3550" s="5" t="str">
        <f t="shared" si="86"/>
        <v>Truncate table FVAC11;</v>
      </c>
      <c r="Q3550" s="5"/>
      <c r="R3550" s="5"/>
    </row>
    <row r="3551" spans="2:18" x14ac:dyDescent="0.25">
      <c r="B3551" s="19" t="s">
        <v>4801</v>
      </c>
      <c r="C3551" s="16"/>
      <c r="D3551" s="16" t="s">
        <v>29</v>
      </c>
      <c r="E3551" s="16"/>
      <c r="F3551" s="5"/>
      <c r="G3551" s="16" t="s">
        <v>35</v>
      </c>
      <c r="H3551" s="16"/>
      <c r="I3551" s="16"/>
      <c r="J3551" s="16"/>
      <c r="K3551" s="16"/>
      <c r="L3551" s="16"/>
      <c r="M3551" s="16"/>
      <c r="N3551" s="16"/>
      <c r="O3551" s="17"/>
      <c r="P3551" s="5" t="str">
        <f t="shared" si="86"/>
        <v>Truncate table FVAC12;</v>
      </c>
      <c r="Q3551" s="5"/>
      <c r="R3551" s="5"/>
    </row>
    <row r="3552" spans="2:18" x14ac:dyDescent="0.25">
      <c r="B3552" s="19" t="s">
        <v>4802</v>
      </c>
      <c r="C3552" s="16"/>
      <c r="D3552" s="16" t="s">
        <v>29</v>
      </c>
      <c r="E3552" s="16"/>
      <c r="F3552" s="5"/>
      <c r="G3552" s="16" t="s">
        <v>35</v>
      </c>
      <c r="H3552" s="16"/>
      <c r="I3552" s="16"/>
      <c r="J3552" s="16"/>
      <c r="K3552" s="16"/>
      <c r="L3552" s="16"/>
      <c r="M3552" s="16"/>
      <c r="N3552" s="16"/>
      <c r="O3552" s="17"/>
      <c r="P3552" s="5" t="str">
        <f t="shared" si="86"/>
        <v>Truncate table FVAC13;</v>
      </c>
      <c r="Q3552" s="5"/>
      <c r="R3552" s="5"/>
    </row>
    <row r="3553" spans="2:22" x14ac:dyDescent="0.25">
      <c r="B3553" s="19" t="s">
        <v>4803</v>
      </c>
      <c r="C3553" s="16"/>
      <c r="D3553" s="16" t="s">
        <v>29</v>
      </c>
      <c r="E3553" s="16"/>
      <c r="F3553" s="5"/>
      <c r="G3553" s="16" t="s">
        <v>35</v>
      </c>
      <c r="H3553" s="16"/>
      <c r="I3553" s="16"/>
      <c r="J3553" s="16"/>
      <c r="K3553" s="16"/>
      <c r="L3553" s="16"/>
      <c r="M3553" s="16"/>
      <c r="N3553" s="16"/>
      <c r="O3553" s="17"/>
      <c r="P3553" s="5" t="str">
        <f t="shared" si="86"/>
        <v>Truncate table FVAC14;</v>
      </c>
      <c r="Q3553" s="5"/>
      <c r="R3553" s="5"/>
    </row>
    <row r="3554" spans="2:22" x14ac:dyDescent="0.25">
      <c r="B3554" s="19" t="s">
        <v>4804</v>
      </c>
      <c r="C3554" s="16"/>
      <c r="D3554" s="16" t="s">
        <v>29</v>
      </c>
      <c r="E3554" s="16"/>
      <c r="F3554" s="5"/>
      <c r="G3554" s="16" t="s">
        <v>35</v>
      </c>
      <c r="H3554" s="16"/>
      <c r="I3554" s="16"/>
      <c r="J3554" s="16"/>
      <c r="K3554" s="16"/>
      <c r="L3554" s="16"/>
      <c r="M3554" s="16"/>
      <c r="N3554" s="16"/>
      <c r="O3554" s="17"/>
      <c r="P3554" s="5" t="str">
        <f t="shared" si="86"/>
        <v>Truncate table FVAC15;</v>
      </c>
      <c r="Q3554" s="5"/>
      <c r="R3554" s="5"/>
    </row>
    <row r="3555" spans="2:22" x14ac:dyDescent="0.25">
      <c r="B3555" s="19" t="s">
        <v>4805</v>
      </c>
      <c r="C3555" s="16"/>
      <c r="D3555" s="16" t="s">
        <v>29</v>
      </c>
      <c r="E3555" s="16"/>
      <c r="F3555" s="5"/>
      <c r="G3555" s="16" t="s">
        <v>35</v>
      </c>
      <c r="H3555" s="16"/>
      <c r="I3555" s="16"/>
      <c r="J3555" s="16"/>
      <c r="K3555" s="16"/>
      <c r="L3555" s="16"/>
      <c r="M3555" s="16"/>
      <c r="N3555" s="16"/>
      <c r="O3555" s="17"/>
      <c r="P3555" s="5" t="str">
        <f t="shared" si="86"/>
        <v>Truncate table FVAC16;</v>
      </c>
      <c r="Q3555" s="5"/>
      <c r="R3555" s="5"/>
    </row>
    <row r="3556" spans="2:22" x14ac:dyDescent="0.25">
      <c r="B3556" s="19" t="s">
        <v>4806</v>
      </c>
      <c r="C3556" s="16"/>
      <c r="D3556" s="16" t="s">
        <v>29</v>
      </c>
      <c r="E3556" s="16"/>
      <c r="F3556" s="5"/>
      <c r="G3556" s="16" t="s">
        <v>35</v>
      </c>
      <c r="H3556" s="16"/>
      <c r="I3556" s="16"/>
      <c r="J3556" s="16"/>
      <c r="K3556" s="16"/>
      <c r="L3556" s="16"/>
      <c r="M3556" s="16"/>
      <c r="N3556" s="16"/>
      <c r="O3556" s="17"/>
      <c r="P3556" s="5" t="str">
        <f t="shared" si="86"/>
        <v>Truncate table FVAC24;</v>
      </c>
      <c r="Q3556" s="5"/>
      <c r="R3556" s="5"/>
    </row>
    <row r="3557" spans="2:22" x14ac:dyDescent="0.25">
      <c r="B3557" s="19" t="s">
        <v>4807</v>
      </c>
      <c r="C3557" s="16"/>
      <c r="D3557" s="16" t="s">
        <v>29</v>
      </c>
      <c r="E3557" s="16"/>
      <c r="F3557" s="5"/>
      <c r="G3557" s="16" t="s">
        <v>35</v>
      </c>
      <c r="H3557" s="16"/>
      <c r="I3557" s="16"/>
      <c r="J3557" s="16"/>
      <c r="K3557" s="16"/>
      <c r="L3557" s="16"/>
      <c r="M3557" s="16"/>
      <c r="N3557" s="16"/>
      <c r="O3557" s="17"/>
      <c r="P3557" s="5" t="str">
        <f t="shared" si="86"/>
        <v>Truncate table FVAC25;</v>
      </c>
      <c r="Q3557" s="5"/>
      <c r="R3557" s="5"/>
    </row>
    <row r="3558" spans="2:22" x14ac:dyDescent="0.25">
      <c r="B3558" s="19" t="s">
        <v>4808</v>
      </c>
      <c r="C3558" s="16"/>
      <c r="D3558" s="16" t="s">
        <v>29</v>
      </c>
      <c r="E3558" s="16"/>
      <c r="F3558" s="5"/>
      <c r="G3558" s="16" t="s">
        <v>35</v>
      </c>
      <c r="H3558" s="16"/>
      <c r="I3558" s="16"/>
      <c r="J3558" s="16"/>
      <c r="K3558" s="16"/>
      <c r="L3558" s="16"/>
      <c r="M3558" s="16"/>
      <c r="N3558" s="16"/>
      <c r="O3558" s="17"/>
      <c r="P3558" s="5" t="str">
        <f t="shared" si="86"/>
        <v>Truncate table FVAC31;</v>
      </c>
      <c r="Q3558" s="5"/>
      <c r="R3558" s="5"/>
    </row>
    <row r="3559" spans="2:22" x14ac:dyDescent="0.25">
      <c r="B3559" s="19" t="s">
        <v>4809</v>
      </c>
      <c r="C3559" s="16"/>
      <c r="D3559" s="16" t="s">
        <v>29</v>
      </c>
      <c r="E3559" s="16"/>
      <c r="F3559" s="5"/>
      <c r="G3559" s="16" t="s">
        <v>35</v>
      </c>
      <c r="H3559" s="16"/>
      <c r="I3559" s="16"/>
      <c r="J3559" s="16"/>
      <c r="K3559" s="16"/>
      <c r="L3559" s="16"/>
      <c r="M3559" s="16"/>
      <c r="N3559" s="16"/>
      <c r="O3559" s="17"/>
      <c r="P3559" s="5" t="str">
        <f t="shared" si="86"/>
        <v>Truncate table FVAC34;</v>
      </c>
      <c r="Q3559" s="5"/>
      <c r="R3559" s="5"/>
    </row>
    <row r="3560" spans="2:22" x14ac:dyDescent="0.25">
      <c r="B3560" s="19" t="s">
        <v>4810</v>
      </c>
      <c r="C3560" s="16"/>
      <c r="D3560" s="16" t="s">
        <v>29</v>
      </c>
      <c r="E3560" s="16"/>
      <c r="F3560" s="5"/>
      <c r="G3560" s="16" t="s">
        <v>35</v>
      </c>
      <c r="H3560" s="16"/>
      <c r="I3560" s="16"/>
      <c r="J3560" s="16"/>
      <c r="K3560" s="16"/>
      <c r="L3560" s="16"/>
      <c r="M3560" s="16"/>
      <c r="N3560" s="16"/>
      <c r="O3560" s="17"/>
      <c r="P3560" s="5" t="str">
        <f t="shared" si="86"/>
        <v>Truncate table FVC000;</v>
      </c>
      <c r="Q3560" s="5"/>
      <c r="R3560" s="5"/>
    </row>
    <row r="3561" spans="2:22" x14ac:dyDescent="0.25">
      <c r="B3561" s="19" t="s">
        <v>4811</v>
      </c>
      <c r="C3561" s="16"/>
      <c r="D3561" s="16" t="s">
        <v>29</v>
      </c>
      <c r="E3561" s="16"/>
      <c r="F3561" s="5"/>
      <c r="G3561" s="16" t="s">
        <v>35</v>
      </c>
      <c r="H3561" s="16"/>
      <c r="I3561" s="16"/>
      <c r="J3561" s="16"/>
      <c r="K3561" s="16"/>
      <c r="L3561" s="16"/>
      <c r="M3561" s="16"/>
      <c r="N3561" s="16"/>
      <c r="O3561" s="17"/>
      <c r="P3561" s="5" t="str">
        <f t="shared" si="86"/>
        <v>Truncate table FVC001;</v>
      </c>
      <c r="Q3561" s="5"/>
      <c r="R3561" s="5"/>
    </row>
    <row r="3562" spans="2:22" x14ac:dyDescent="0.25">
      <c r="B3562" s="19" t="s">
        <v>4812</v>
      </c>
      <c r="C3562" s="16" t="s">
        <v>4813</v>
      </c>
      <c r="D3562" s="16" t="s">
        <v>8152</v>
      </c>
      <c r="E3562" s="16" t="s">
        <v>54</v>
      </c>
      <c r="F3562" s="5" t="s">
        <v>216</v>
      </c>
      <c r="G3562" s="16" t="s">
        <v>35</v>
      </c>
      <c r="H3562" s="16" t="s">
        <v>36</v>
      </c>
      <c r="I3562" s="16"/>
      <c r="J3562" s="16"/>
      <c r="K3562" s="16"/>
      <c r="L3562" s="16"/>
      <c r="M3562" s="16"/>
      <c r="N3562" s="16"/>
      <c r="O3562" s="17" t="s">
        <v>38</v>
      </c>
      <c r="P3562" s="5" t="str">
        <f t="shared" si="86"/>
        <v/>
      </c>
      <c r="Q3562" s="5"/>
      <c r="R3562" s="5"/>
    </row>
    <row r="3563" spans="2:22" x14ac:dyDescent="0.25">
      <c r="B3563" s="19" t="s">
        <v>4814</v>
      </c>
      <c r="C3563" s="16" t="s">
        <v>4815</v>
      </c>
      <c r="D3563" s="16" t="s">
        <v>8152</v>
      </c>
      <c r="E3563" s="16" t="s">
        <v>54</v>
      </c>
      <c r="F3563" s="5" t="s">
        <v>216</v>
      </c>
      <c r="G3563" s="16" t="s">
        <v>35</v>
      </c>
      <c r="H3563" s="16" t="s">
        <v>36</v>
      </c>
      <c r="I3563" s="16"/>
      <c r="J3563" s="16"/>
      <c r="K3563" s="16"/>
      <c r="L3563" s="16"/>
      <c r="M3563" s="16"/>
      <c r="N3563" s="16"/>
      <c r="O3563" s="17" t="s">
        <v>38</v>
      </c>
      <c r="P3563" s="5" t="str">
        <f t="shared" si="86"/>
        <v/>
      </c>
      <c r="Q3563" s="5"/>
      <c r="R3563" s="5"/>
    </row>
    <row r="3564" spans="2:22" x14ac:dyDescent="0.25">
      <c r="B3564" s="19" t="s">
        <v>4816</v>
      </c>
      <c r="C3564" s="16"/>
      <c r="D3564" s="16" t="s">
        <v>29</v>
      </c>
      <c r="E3564" s="16"/>
      <c r="F3564" s="5"/>
      <c r="G3564" s="16" t="s">
        <v>35</v>
      </c>
      <c r="H3564" s="16"/>
      <c r="I3564" s="16"/>
      <c r="J3564" s="16"/>
      <c r="K3564" s="16"/>
      <c r="L3564" s="16"/>
      <c r="M3564" s="16"/>
      <c r="N3564" s="16"/>
      <c r="O3564" s="17"/>
      <c r="P3564" s="5" t="str">
        <f t="shared" si="86"/>
        <v>Truncate table FVHC03;</v>
      </c>
      <c r="Q3564" s="5"/>
      <c r="R3564" s="5"/>
    </row>
    <row r="3565" spans="2:22" x14ac:dyDescent="0.25">
      <c r="B3565" s="19" t="s">
        <v>4817</v>
      </c>
      <c r="C3565" s="16" t="s">
        <v>4818</v>
      </c>
      <c r="D3565" s="16" t="s">
        <v>8152</v>
      </c>
      <c r="E3565" s="16" t="s">
        <v>54</v>
      </c>
      <c r="F3565" s="5" t="s">
        <v>216</v>
      </c>
      <c r="G3565" s="16" t="s">
        <v>35</v>
      </c>
      <c r="H3565" s="16" t="s">
        <v>36</v>
      </c>
      <c r="I3565" s="16"/>
      <c r="J3565" s="16"/>
      <c r="K3565" s="16"/>
      <c r="L3565" s="16"/>
      <c r="M3565" s="16"/>
      <c r="N3565" s="16"/>
      <c r="O3565" s="17" t="s">
        <v>38</v>
      </c>
      <c r="P3565" s="5" t="str">
        <f t="shared" si="86"/>
        <v/>
      </c>
      <c r="Q3565" s="5"/>
      <c r="R3565" s="5"/>
    </row>
    <row r="3566" spans="2:22" x14ac:dyDescent="0.25">
      <c r="B3566" s="19" t="s">
        <v>4819</v>
      </c>
      <c r="C3566" s="16"/>
      <c r="D3566" s="16" t="s">
        <v>29</v>
      </c>
      <c r="E3566" s="16" t="s">
        <v>1712</v>
      </c>
      <c r="F3566" s="16" t="s">
        <v>1941</v>
      </c>
      <c r="G3566" s="16" t="s">
        <v>35</v>
      </c>
      <c r="H3566" s="16"/>
      <c r="I3566" s="16"/>
      <c r="J3566" s="16"/>
      <c r="K3566" s="16"/>
      <c r="L3566" s="16"/>
      <c r="M3566" s="16"/>
      <c r="N3566" s="16"/>
      <c r="O3566" s="17" t="s">
        <v>38</v>
      </c>
      <c r="P3566" s="5" t="str">
        <f t="shared" si="86"/>
        <v>Truncate table FWD603;</v>
      </c>
      <c r="Q3566" s="5"/>
      <c r="R3566" s="5"/>
    </row>
    <row r="3567" spans="2:22" x14ac:dyDescent="0.25">
      <c r="B3567" s="19" t="s">
        <v>4820</v>
      </c>
      <c r="C3567" s="16"/>
      <c r="D3567" s="16" t="s">
        <v>29</v>
      </c>
      <c r="E3567" s="16"/>
      <c r="F3567" s="5"/>
      <c r="G3567" s="16" t="s">
        <v>35</v>
      </c>
      <c r="H3567" s="16"/>
      <c r="I3567" s="16"/>
      <c r="J3567" s="16"/>
      <c r="K3567" s="16"/>
      <c r="L3567" s="16"/>
      <c r="M3567" s="16"/>
      <c r="N3567" s="16"/>
      <c r="O3567" s="17"/>
      <c r="P3567" s="5" t="str">
        <f t="shared" si="86"/>
        <v>Truncate table FXAUN0;</v>
      </c>
      <c r="Q3567" s="5"/>
      <c r="R3567" s="5"/>
    </row>
    <row r="3568" spans="2:22" x14ac:dyDescent="0.25">
      <c r="B3568" s="19" t="s">
        <v>4821</v>
      </c>
      <c r="C3568" s="297" t="s">
        <v>9779</v>
      </c>
      <c r="D3568" s="16" t="s">
        <v>29</v>
      </c>
      <c r="E3568" s="16" t="s">
        <v>1712</v>
      </c>
      <c r="F3568" s="16" t="s">
        <v>1941</v>
      </c>
      <c r="G3568" s="16" t="s">
        <v>35</v>
      </c>
      <c r="H3568" s="16" t="s">
        <v>36</v>
      </c>
      <c r="I3568" s="16"/>
      <c r="J3568" s="16"/>
      <c r="K3568" s="16"/>
      <c r="L3568" s="16"/>
      <c r="M3568" s="16"/>
      <c r="N3568" s="16"/>
      <c r="O3568" s="17"/>
      <c r="P3568" s="16" t="str">
        <f t="shared" si="86"/>
        <v>Truncate table FXAUN1;</v>
      </c>
      <c r="Q3568" s="16"/>
      <c r="R3568" s="16"/>
      <c r="S3568"/>
      <c r="T3568"/>
      <c r="U3568"/>
      <c r="V3568"/>
    </row>
    <row r="3569" spans="2:22" x14ac:dyDescent="0.25">
      <c r="B3569" s="19" t="s">
        <v>4822</v>
      </c>
      <c r="C3569" s="297" t="s">
        <v>9780</v>
      </c>
      <c r="D3569" s="16" t="s">
        <v>29</v>
      </c>
      <c r="E3569" s="16" t="s">
        <v>1712</v>
      </c>
      <c r="F3569" s="16" t="s">
        <v>1941</v>
      </c>
      <c r="G3569" s="16" t="s">
        <v>35</v>
      </c>
      <c r="H3569" s="16" t="s">
        <v>36</v>
      </c>
      <c r="I3569" s="16"/>
      <c r="J3569" s="16"/>
      <c r="K3569" s="16"/>
      <c r="L3569" s="16"/>
      <c r="M3569" s="16"/>
      <c r="N3569" s="16"/>
      <c r="O3569" s="17"/>
      <c r="P3569" s="16" t="str">
        <f t="shared" si="86"/>
        <v>Truncate table FXAUN2;</v>
      </c>
      <c r="Q3569" s="16"/>
      <c r="R3569" s="16"/>
      <c r="S3569"/>
      <c r="T3569"/>
      <c r="U3569"/>
      <c r="V3569"/>
    </row>
    <row r="3570" spans="2:22" x14ac:dyDescent="0.25">
      <c r="B3570" s="19" t="s">
        <v>4823</v>
      </c>
      <c r="C3570" s="297" t="s">
        <v>9781</v>
      </c>
      <c r="D3570" s="16" t="s">
        <v>29</v>
      </c>
      <c r="E3570" s="16" t="s">
        <v>1712</v>
      </c>
      <c r="F3570" s="16" t="s">
        <v>1941</v>
      </c>
      <c r="G3570" s="16" t="s">
        <v>35</v>
      </c>
      <c r="H3570" s="16" t="s">
        <v>36</v>
      </c>
      <c r="I3570" s="16"/>
      <c r="J3570" s="16"/>
      <c r="K3570" s="16"/>
      <c r="L3570" s="16"/>
      <c r="M3570" s="16"/>
      <c r="N3570" s="16"/>
      <c r="O3570" s="17"/>
      <c r="P3570" s="16" t="str">
        <f t="shared" si="86"/>
        <v>Truncate table FXAUN3;</v>
      </c>
      <c r="Q3570" s="16"/>
      <c r="R3570" s="16"/>
      <c r="S3570"/>
      <c r="T3570"/>
      <c r="U3570"/>
      <c r="V3570"/>
    </row>
    <row r="3571" spans="2:22" x14ac:dyDescent="0.25">
      <c r="B3571" s="19" t="s">
        <v>4824</v>
      </c>
      <c r="C3571" s="16"/>
      <c r="D3571" s="16" t="s">
        <v>29</v>
      </c>
      <c r="E3571" s="16"/>
      <c r="F3571" s="5"/>
      <c r="G3571" s="16" t="s">
        <v>35</v>
      </c>
      <c r="H3571" s="16"/>
      <c r="I3571" s="16"/>
      <c r="J3571" s="16"/>
      <c r="K3571" s="16"/>
      <c r="L3571" s="16"/>
      <c r="M3571" s="16"/>
      <c r="N3571" s="16"/>
      <c r="O3571" s="17"/>
      <c r="P3571" s="5" t="str">
        <f t="shared" si="86"/>
        <v>Truncate table FXBVS1;</v>
      </c>
      <c r="Q3571" s="5"/>
      <c r="R3571" s="5"/>
    </row>
    <row r="3572" spans="2:22" x14ac:dyDescent="0.25">
      <c r="B3572" s="19" t="s">
        <v>4825</v>
      </c>
      <c r="C3572" s="16"/>
      <c r="D3572" s="16" t="s">
        <v>29</v>
      </c>
      <c r="E3572" s="16"/>
      <c r="F3572" s="5"/>
      <c r="G3572" s="16" t="s">
        <v>35</v>
      </c>
      <c r="H3572" s="16"/>
      <c r="I3572" s="16"/>
      <c r="J3572" s="16"/>
      <c r="K3572" s="16"/>
      <c r="L3572" s="16"/>
      <c r="M3572" s="16"/>
      <c r="N3572" s="16"/>
      <c r="O3572" s="17"/>
      <c r="P3572" s="5" t="str">
        <f t="shared" si="86"/>
        <v>Truncate table FXBVS2;</v>
      </c>
      <c r="Q3572" s="5"/>
      <c r="R3572" s="5"/>
    </row>
    <row r="3573" spans="2:22" x14ac:dyDescent="0.25">
      <c r="B3573" s="19" t="s">
        <v>4826</v>
      </c>
      <c r="C3573" s="16"/>
      <c r="D3573" s="16" t="s">
        <v>29</v>
      </c>
      <c r="E3573" s="16"/>
      <c r="F3573" s="5"/>
      <c r="G3573" s="16" t="s">
        <v>35</v>
      </c>
      <c r="H3573" s="16"/>
      <c r="I3573" s="16"/>
      <c r="J3573" s="16"/>
      <c r="K3573" s="16"/>
      <c r="L3573" s="16"/>
      <c r="M3573" s="16"/>
      <c r="N3573" s="16"/>
      <c r="O3573" s="17"/>
      <c r="P3573" s="5" t="str">
        <f t="shared" si="86"/>
        <v>Truncate table FXBVS3;</v>
      </c>
      <c r="Q3573" s="5"/>
      <c r="R3573" s="5"/>
    </row>
    <row r="3574" spans="2:22" x14ac:dyDescent="0.25">
      <c r="B3574" s="19" t="s">
        <v>4827</v>
      </c>
      <c r="C3574" s="16"/>
      <c r="D3574" s="16" t="s">
        <v>29</v>
      </c>
      <c r="E3574" s="16"/>
      <c r="F3574" s="5"/>
      <c r="G3574" s="16" t="s">
        <v>35</v>
      </c>
      <c r="H3574" s="16"/>
      <c r="I3574" s="16"/>
      <c r="J3574" s="16"/>
      <c r="K3574" s="16"/>
      <c r="L3574" s="16"/>
      <c r="M3574" s="16"/>
      <c r="N3574" s="16"/>
      <c r="O3574" s="17"/>
      <c r="P3574" s="5" t="str">
        <f t="shared" si="86"/>
        <v>Truncate table FXBVS4;</v>
      </c>
      <c r="Q3574" s="5"/>
      <c r="R3574" s="5"/>
    </row>
    <row r="3575" spans="2:22" x14ac:dyDescent="0.25">
      <c r="B3575" s="19" t="s">
        <v>4828</v>
      </c>
      <c r="C3575" s="16"/>
      <c r="D3575" s="16" t="s">
        <v>29</v>
      </c>
      <c r="E3575" s="16"/>
      <c r="F3575" s="5"/>
      <c r="G3575" s="16" t="s">
        <v>35</v>
      </c>
      <c r="H3575" s="16"/>
      <c r="I3575" s="16"/>
      <c r="J3575" s="16"/>
      <c r="K3575" s="16"/>
      <c r="L3575" s="16"/>
      <c r="M3575" s="16"/>
      <c r="N3575" s="16"/>
      <c r="O3575" s="17"/>
      <c r="P3575" s="5" t="str">
        <f t="shared" si="86"/>
        <v>Truncate table FXCR21;</v>
      </c>
      <c r="Q3575" s="5"/>
      <c r="R3575" s="5"/>
    </row>
    <row r="3576" spans="2:22" x14ac:dyDescent="0.25">
      <c r="B3576" s="19" t="s">
        <v>4829</v>
      </c>
      <c r="C3576" s="16"/>
      <c r="D3576" s="16" t="s">
        <v>29</v>
      </c>
      <c r="E3576" s="16"/>
      <c r="F3576" s="5"/>
      <c r="G3576" s="16" t="s">
        <v>35</v>
      </c>
      <c r="H3576" s="16"/>
      <c r="I3576" s="16"/>
      <c r="J3576" s="16"/>
      <c r="K3576" s="16"/>
      <c r="L3576" s="16"/>
      <c r="M3576" s="16"/>
      <c r="N3576" s="16"/>
      <c r="O3576" s="17"/>
      <c r="P3576" s="5" t="str">
        <f t="shared" si="86"/>
        <v>Truncate table FXCR22;</v>
      </c>
      <c r="Q3576" s="5"/>
      <c r="R3576" s="5"/>
    </row>
    <row r="3577" spans="2:22" x14ac:dyDescent="0.25">
      <c r="B3577" s="19" t="s">
        <v>4830</v>
      </c>
      <c r="C3577" s="16"/>
      <c r="D3577" s="16" t="s">
        <v>29</v>
      </c>
      <c r="E3577" s="16"/>
      <c r="F3577" s="5"/>
      <c r="G3577" s="16" t="s">
        <v>35</v>
      </c>
      <c r="H3577" s="16"/>
      <c r="I3577" s="16"/>
      <c r="J3577" s="16"/>
      <c r="K3577" s="16"/>
      <c r="L3577" s="16"/>
      <c r="M3577" s="16"/>
      <c r="N3577" s="16"/>
      <c r="O3577" s="17"/>
      <c r="P3577" s="5" t="str">
        <f t="shared" si="86"/>
        <v>Truncate table FXD700;</v>
      </c>
      <c r="Q3577" s="5"/>
      <c r="R3577" s="5"/>
    </row>
    <row r="3578" spans="2:22" x14ac:dyDescent="0.25">
      <c r="B3578" s="19" t="s">
        <v>4831</v>
      </c>
      <c r="C3578" s="16" t="s">
        <v>4832</v>
      </c>
      <c r="D3578" s="16" t="s">
        <v>29</v>
      </c>
      <c r="E3578" s="16" t="s">
        <v>1712</v>
      </c>
      <c r="F3578" s="16" t="s">
        <v>1941</v>
      </c>
      <c r="G3578" s="16" t="s">
        <v>35</v>
      </c>
      <c r="H3578" s="16"/>
      <c r="I3578" s="16"/>
      <c r="J3578" s="16"/>
      <c r="K3578" s="16"/>
      <c r="L3578" s="16"/>
      <c r="M3578" s="16"/>
      <c r="N3578" s="16"/>
      <c r="O3578" s="17" t="s">
        <v>38</v>
      </c>
      <c r="P3578" s="5" t="str">
        <f t="shared" si="86"/>
        <v>Truncate table FXD801;</v>
      </c>
      <c r="Q3578" s="5"/>
      <c r="R3578" s="5"/>
    </row>
    <row r="3579" spans="2:22" x14ac:dyDescent="0.25">
      <c r="B3579" s="19" t="s">
        <v>4833</v>
      </c>
      <c r="C3579" s="16" t="s">
        <v>4832</v>
      </c>
      <c r="D3579" s="16" t="s">
        <v>29</v>
      </c>
      <c r="E3579" s="16" t="s">
        <v>1712</v>
      </c>
      <c r="F3579" s="16" t="s">
        <v>1941</v>
      </c>
      <c r="G3579" s="16" t="s">
        <v>35</v>
      </c>
      <c r="H3579" s="16"/>
      <c r="I3579" s="16"/>
      <c r="J3579" s="16"/>
      <c r="K3579" s="16"/>
      <c r="L3579" s="16"/>
      <c r="M3579" s="16"/>
      <c r="N3579" s="16"/>
      <c r="O3579" s="17" t="s">
        <v>38</v>
      </c>
      <c r="P3579" s="5" t="str">
        <f t="shared" si="86"/>
        <v>Truncate table FXD802;</v>
      </c>
      <c r="Q3579" s="5"/>
      <c r="R3579" s="5"/>
    </row>
    <row r="3580" spans="2:22" x14ac:dyDescent="0.25">
      <c r="B3580" s="19" t="s">
        <v>4834</v>
      </c>
      <c r="C3580" s="16" t="s">
        <v>4832</v>
      </c>
      <c r="D3580" s="16" t="s">
        <v>29</v>
      </c>
      <c r="E3580" s="16" t="s">
        <v>1712</v>
      </c>
      <c r="F3580" s="16" t="s">
        <v>1941</v>
      </c>
      <c r="G3580" s="16" t="s">
        <v>35</v>
      </c>
      <c r="H3580" s="16"/>
      <c r="I3580" s="16"/>
      <c r="J3580" s="16"/>
      <c r="K3580" s="16"/>
      <c r="L3580" s="16"/>
      <c r="M3580" s="16"/>
      <c r="N3580" s="16"/>
      <c r="O3580" s="17" t="s">
        <v>38</v>
      </c>
      <c r="P3580" s="5" t="str">
        <f t="shared" si="86"/>
        <v>Truncate table FXD803;</v>
      </c>
      <c r="Q3580" s="5"/>
      <c r="R3580" s="5"/>
    </row>
    <row r="3581" spans="2:22" x14ac:dyDescent="0.25">
      <c r="B3581" s="19" t="s">
        <v>4835</v>
      </c>
      <c r="C3581" s="16" t="s">
        <v>4836</v>
      </c>
      <c r="D3581" s="16" t="s">
        <v>29</v>
      </c>
      <c r="E3581" s="16" t="s">
        <v>1712</v>
      </c>
      <c r="F3581" s="16" t="s">
        <v>1941</v>
      </c>
      <c r="G3581" s="16" t="s">
        <v>35</v>
      </c>
      <c r="H3581" s="16"/>
      <c r="I3581" s="16"/>
      <c r="J3581" s="16"/>
      <c r="K3581" s="16"/>
      <c r="L3581" s="16"/>
      <c r="M3581" s="16"/>
      <c r="N3581" s="16"/>
      <c r="O3581" s="17" t="s">
        <v>38</v>
      </c>
      <c r="P3581" s="5" t="str">
        <f t="shared" si="86"/>
        <v>Truncate table FXD804;</v>
      </c>
      <c r="Q3581" s="5"/>
      <c r="R3581" s="5"/>
    </row>
    <row r="3582" spans="2:22" x14ac:dyDescent="0.25">
      <c r="B3582" s="19" t="s">
        <v>4837</v>
      </c>
      <c r="C3582" s="16"/>
      <c r="D3582" s="16" t="s">
        <v>29</v>
      </c>
      <c r="E3582" s="16"/>
      <c r="F3582" s="5"/>
      <c r="G3582" s="16" t="s">
        <v>35</v>
      </c>
      <c r="H3582" s="16"/>
      <c r="I3582" s="16"/>
      <c r="J3582" s="16"/>
      <c r="K3582" s="16"/>
      <c r="L3582" s="16"/>
      <c r="M3582" s="16"/>
      <c r="N3582" s="16"/>
      <c r="O3582" s="17"/>
      <c r="P3582" s="5" t="str">
        <f t="shared" si="86"/>
        <v>Truncate table FXD805;</v>
      </c>
      <c r="Q3582" s="5"/>
      <c r="R3582" s="5"/>
    </row>
    <row r="3583" spans="2:22" x14ac:dyDescent="0.25">
      <c r="B3583" s="19" t="s">
        <v>4838</v>
      </c>
      <c r="C3583" s="16"/>
      <c r="D3583" s="16" t="s">
        <v>29</v>
      </c>
      <c r="E3583" s="16"/>
      <c r="F3583" s="5"/>
      <c r="G3583" s="16" t="s">
        <v>35</v>
      </c>
      <c r="H3583" s="16"/>
      <c r="I3583" s="16"/>
      <c r="J3583" s="16"/>
      <c r="K3583" s="16"/>
      <c r="L3583" s="16"/>
      <c r="M3583" s="16"/>
      <c r="N3583" s="16"/>
      <c r="O3583" s="17"/>
      <c r="P3583" s="5" t="str">
        <f t="shared" si="86"/>
        <v>Truncate table FXD806;</v>
      </c>
      <c r="Q3583" s="5"/>
      <c r="R3583" s="5"/>
    </row>
    <row r="3584" spans="2:22" x14ac:dyDescent="0.25">
      <c r="B3584" s="19" t="s">
        <v>4839</v>
      </c>
      <c r="C3584" s="16"/>
      <c r="D3584" s="16" t="s">
        <v>29</v>
      </c>
      <c r="E3584" s="16"/>
      <c r="F3584" s="5"/>
      <c r="G3584" s="16" t="s">
        <v>35</v>
      </c>
      <c r="H3584" s="16"/>
      <c r="I3584" s="16"/>
      <c r="J3584" s="16"/>
      <c r="K3584" s="16"/>
      <c r="L3584" s="16"/>
      <c r="M3584" s="16"/>
      <c r="N3584" s="16"/>
      <c r="O3584" s="17"/>
      <c r="P3584" s="5" t="str">
        <f t="shared" si="86"/>
        <v>Truncate table FXD807;</v>
      </c>
      <c r="Q3584" s="5"/>
      <c r="R3584" s="5"/>
    </row>
    <row r="3585" spans="2:18" x14ac:dyDescent="0.25">
      <c r="B3585" s="19" t="s">
        <v>4840</v>
      </c>
      <c r="C3585" s="16"/>
      <c r="D3585" s="16" t="s">
        <v>29</v>
      </c>
      <c r="E3585" s="16"/>
      <c r="F3585" s="5"/>
      <c r="G3585" s="16" t="s">
        <v>35</v>
      </c>
      <c r="H3585" s="16"/>
      <c r="I3585" s="16"/>
      <c r="J3585" s="16"/>
      <c r="K3585" s="16"/>
      <c r="L3585" s="16"/>
      <c r="M3585" s="16"/>
      <c r="N3585" s="16"/>
      <c r="O3585" s="17"/>
      <c r="P3585" s="5" t="str">
        <f t="shared" ref="P3585:P3648" si="87">IF(D3585="Datos","Truncate table "&amp; B3585&amp; ";","")</f>
        <v>Truncate table FXD813;</v>
      </c>
      <c r="Q3585" s="5"/>
      <c r="R3585" s="5"/>
    </row>
    <row r="3586" spans="2:18" x14ac:dyDescent="0.25">
      <c r="B3586" s="19" t="s">
        <v>4841</v>
      </c>
      <c r="C3586" s="16" t="s">
        <v>4832</v>
      </c>
      <c r="D3586" s="16" t="s">
        <v>29</v>
      </c>
      <c r="E3586" s="16" t="s">
        <v>1712</v>
      </c>
      <c r="F3586" s="16" t="s">
        <v>1941</v>
      </c>
      <c r="G3586" s="16" t="s">
        <v>35</v>
      </c>
      <c r="H3586" s="16"/>
      <c r="I3586" s="16"/>
      <c r="J3586" s="16"/>
      <c r="K3586" s="16"/>
      <c r="L3586" s="16"/>
      <c r="M3586" s="16"/>
      <c r="N3586" s="16"/>
      <c r="O3586" s="17" t="s">
        <v>38</v>
      </c>
      <c r="P3586" s="5" t="str">
        <f t="shared" si="87"/>
        <v>Truncate table FXD891;</v>
      </c>
      <c r="Q3586" s="5"/>
      <c r="R3586" s="5"/>
    </row>
    <row r="3587" spans="2:18" x14ac:dyDescent="0.25">
      <c r="B3587" s="19" t="s">
        <v>4842</v>
      </c>
      <c r="C3587" s="16" t="s">
        <v>4832</v>
      </c>
      <c r="D3587" s="16" t="s">
        <v>29</v>
      </c>
      <c r="E3587" s="16" t="s">
        <v>1712</v>
      </c>
      <c r="F3587" s="16" t="s">
        <v>1941</v>
      </c>
      <c r="G3587" s="16" t="s">
        <v>35</v>
      </c>
      <c r="H3587" s="16"/>
      <c r="I3587" s="16"/>
      <c r="J3587" s="16"/>
      <c r="K3587" s="16"/>
      <c r="L3587" s="16"/>
      <c r="M3587" s="16"/>
      <c r="N3587" s="16"/>
      <c r="O3587" s="17" t="s">
        <v>38</v>
      </c>
      <c r="P3587" s="5" t="str">
        <f t="shared" si="87"/>
        <v>Truncate table FXD892;</v>
      </c>
      <c r="Q3587" s="5"/>
      <c r="R3587" s="5"/>
    </row>
    <row r="3588" spans="2:18" x14ac:dyDescent="0.25">
      <c r="B3588" s="19" t="s">
        <v>4843</v>
      </c>
      <c r="C3588" s="16" t="s">
        <v>4832</v>
      </c>
      <c r="D3588" s="16" t="s">
        <v>29</v>
      </c>
      <c r="E3588" s="16" t="s">
        <v>1712</v>
      </c>
      <c r="F3588" s="16" t="s">
        <v>1941</v>
      </c>
      <c r="G3588" s="16" t="s">
        <v>35</v>
      </c>
      <c r="H3588" s="16"/>
      <c r="I3588" s="16"/>
      <c r="J3588" s="16"/>
      <c r="K3588" s="16"/>
      <c r="L3588" s="16"/>
      <c r="M3588" s="16"/>
      <c r="N3588" s="16"/>
      <c r="O3588" s="17" t="s">
        <v>38</v>
      </c>
      <c r="P3588" s="5" t="str">
        <f t="shared" si="87"/>
        <v>Truncate table FXD893;</v>
      </c>
      <c r="Q3588" s="5"/>
      <c r="R3588" s="5"/>
    </row>
    <row r="3589" spans="2:18" x14ac:dyDescent="0.25">
      <c r="B3589" s="19" t="s">
        <v>4844</v>
      </c>
      <c r="C3589" s="16" t="s">
        <v>4832</v>
      </c>
      <c r="D3589" s="16" t="s">
        <v>29</v>
      </c>
      <c r="E3589" s="16" t="s">
        <v>1712</v>
      </c>
      <c r="F3589" s="16" t="s">
        <v>1941</v>
      </c>
      <c r="G3589" s="16" t="s">
        <v>35</v>
      </c>
      <c r="H3589" s="16"/>
      <c r="I3589" s="16"/>
      <c r="J3589" s="16"/>
      <c r="K3589" s="16"/>
      <c r="L3589" s="16"/>
      <c r="M3589" s="16"/>
      <c r="N3589" s="16"/>
      <c r="O3589" s="17" t="s">
        <v>38</v>
      </c>
      <c r="P3589" s="5" t="str">
        <f t="shared" si="87"/>
        <v>Truncate table FXD894;</v>
      </c>
      <c r="Q3589" s="5"/>
      <c r="R3589" s="5"/>
    </row>
    <row r="3590" spans="2:18" x14ac:dyDescent="0.25">
      <c r="B3590" s="19" t="s">
        <v>4845</v>
      </c>
      <c r="C3590" s="16" t="s">
        <v>4832</v>
      </c>
      <c r="D3590" s="16" t="s">
        <v>29</v>
      </c>
      <c r="E3590" s="16" t="s">
        <v>1712</v>
      </c>
      <c r="F3590" s="16" t="s">
        <v>1941</v>
      </c>
      <c r="G3590" s="16" t="s">
        <v>35</v>
      </c>
      <c r="H3590" s="16"/>
      <c r="I3590" s="16"/>
      <c r="J3590" s="16"/>
      <c r="K3590" s="16"/>
      <c r="L3590" s="16"/>
      <c r="M3590" s="16"/>
      <c r="N3590" s="16"/>
      <c r="O3590" s="17" t="s">
        <v>38</v>
      </c>
      <c r="P3590" s="5" t="str">
        <f t="shared" si="87"/>
        <v>Truncate table FXD900;</v>
      </c>
      <c r="Q3590" s="5"/>
      <c r="R3590" s="5"/>
    </row>
    <row r="3591" spans="2:18" x14ac:dyDescent="0.25">
      <c r="B3591" s="19" t="s">
        <v>4846</v>
      </c>
      <c r="C3591" s="16"/>
      <c r="D3591" s="16" t="s">
        <v>29</v>
      </c>
      <c r="E3591" s="16"/>
      <c r="F3591" s="5"/>
      <c r="G3591" s="16" t="s">
        <v>35</v>
      </c>
      <c r="H3591" s="16"/>
      <c r="I3591" s="16"/>
      <c r="J3591" s="16"/>
      <c r="K3591" s="16"/>
      <c r="L3591" s="16"/>
      <c r="M3591" s="16"/>
      <c r="N3591" s="16"/>
      <c r="O3591" s="17"/>
      <c r="P3591" s="5" t="str">
        <f t="shared" si="87"/>
        <v>Truncate table FXE700;</v>
      </c>
      <c r="Q3591" s="5"/>
      <c r="R3591" s="5"/>
    </row>
    <row r="3592" spans="2:18" x14ac:dyDescent="0.25">
      <c r="B3592" s="21" t="s">
        <v>4847</v>
      </c>
      <c r="C3592" s="5" t="s">
        <v>4832</v>
      </c>
      <c r="D3592" s="16" t="s">
        <v>29</v>
      </c>
      <c r="E3592" s="16" t="s">
        <v>1712</v>
      </c>
      <c r="F3592" s="16" t="s">
        <v>1941</v>
      </c>
      <c r="G3592" s="16" t="s">
        <v>35</v>
      </c>
      <c r="H3592" s="16"/>
      <c r="I3592" s="16"/>
      <c r="J3592" s="16"/>
      <c r="K3592" s="16"/>
      <c r="L3592" s="16"/>
      <c r="M3592" s="16"/>
      <c r="N3592" s="16"/>
      <c r="O3592" s="17"/>
      <c r="P3592" s="5" t="str">
        <f t="shared" si="87"/>
        <v>Truncate table FXE801 ;</v>
      </c>
      <c r="Q3592" s="5"/>
      <c r="R3592" s="5"/>
    </row>
    <row r="3593" spans="2:18" ht="40.5" x14ac:dyDescent="0.25">
      <c r="B3593" s="4" t="s">
        <v>4848</v>
      </c>
      <c r="C3593" s="5" t="s">
        <v>4849</v>
      </c>
      <c r="D3593" s="25" t="s">
        <v>29</v>
      </c>
      <c r="E3593" s="16" t="s">
        <v>1712</v>
      </c>
      <c r="F3593" s="5" t="s">
        <v>1711</v>
      </c>
      <c r="G3593" s="16" t="s">
        <v>503</v>
      </c>
      <c r="H3593" s="16" t="s">
        <v>36</v>
      </c>
      <c r="I3593" s="5" t="s">
        <v>4850</v>
      </c>
      <c r="J3593" s="5" t="s">
        <v>4851</v>
      </c>
      <c r="K3593" s="5" t="s">
        <v>2204</v>
      </c>
      <c r="L3593" s="5" t="s">
        <v>503</v>
      </c>
      <c r="M3593" s="5"/>
      <c r="N3593" s="5"/>
      <c r="O3593" s="17"/>
      <c r="P3593" s="5" t="str">
        <f t="shared" si="87"/>
        <v>Truncate table FXEL01;</v>
      </c>
      <c r="Q3593" s="5"/>
      <c r="R3593" s="5"/>
    </row>
    <row r="3594" spans="2:18" ht="40.5" x14ac:dyDescent="0.25">
      <c r="B3594" s="4" t="s">
        <v>4852</v>
      </c>
      <c r="C3594" s="5" t="s">
        <v>4853</v>
      </c>
      <c r="D3594" s="25" t="s">
        <v>29</v>
      </c>
      <c r="E3594" s="16" t="s">
        <v>1712</v>
      </c>
      <c r="F3594" s="5" t="s">
        <v>1711</v>
      </c>
      <c r="G3594" s="16" t="s">
        <v>503</v>
      </c>
      <c r="H3594" s="16" t="s">
        <v>36</v>
      </c>
      <c r="I3594" s="5" t="s">
        <v>4854</v>
      </c>
      <c r="J3594" s="5" t="s">
        <v>4855</v>
      </c>
      <c r="K3594" s="5" t="s">
        <v>2204</v>
      </c>
      <c r="L3594" s="5" t="s">
        <v>503</v>
      </c>
      <c r="M3594" s="5"/>
      <c r="N3594" s="5"/>
      <c r="O3594" s="17"/>
      <c r="P3594" s="5" t="str">
        <f t="shared" si="87"/>
        <v>Truncate table FXEL02;</v>
      </c>
      <c r="Q3594" s="5"/>
      <c r="R3594" s="5"/>
    </row>
    <row r="3595" spans="2:18" x14ac:dyDescent="0.25">
      <c r="B3595" s="19" t="s">
        <v>4856</v>
      </c>
      <c r="C3595" s="16"/>
      <c r="D3595" s="16" t="s">
        <v>29</v>
      </c>
      <c r="E3595" s="16"/>
      <c r="F3595" s="5"/>
      <c r="G3595" s="16" t="s">
        <v>35</v>
      </c>
      <c r="H3595" s="16"/>
      <c r="I3595" s="16"/>
      <c r="J3595" s="16"/>
      <c r="K3595" s="16"/>
      <c r="L3595" s="16"/>
      <c r="M3595" s="16"/>
      <c r="N3595" s="16"/>
      <c r="O3595" s="17"/>
      <c r="P3595" s="5" t="str">
        <f t="shared" si="87"/>
        <v>Truncate table FXENV1;</v>
      </c>
      <c r="Q3595" s="5"/>
      <c r="R3595" s="5"/>
    </row>
    <row r="3596" spans="2:18" x14ac:dyDescent="0.25">
      <c r="B3596" s="19" t="s">
        <v>4857</v>
      </c>
      <c r="C3596" s="16"/>
      <c r="D3596" s="16" t="s">
        <v>29</v>
      </c>
      <c r="E3596" s="16"/>
      <c r="F3596" s="5"/>
      <c r="G3596" s="16" t="s">
        <v>35</v>
      </c>
      <c r="H3596" s="16"/>
      <c r="I3596" s="16"/>
      <c r="J3596" s="16"/>
      <c r="K3596" s="16"/>
      <c r="L3596" s="16"/>
      <c r="M3596" s="16"/>
      <c r="N3596" s="16"/>
      <c r="O3596" s="17"/>
      <c r="P3596" s="5" t="str">
        <f t="shared" si="87"/>
        <v>Truncate table FXENV2;</v>
      </c>
      <c r="Q3596" s="5"/>
      <c r="R3596" s="5"/>
    </row>
    <row r="3597" spans="2:18" x14ac:dyDescent="0.25">
      <c r="B3597" s="19" t="s">
        <v>4858</v>
      </c>
      <c r="C3597" s="16"/>
      <c r="D3597" s="16" t="s">
        <v>29</v>
      </c>
      <c r="E3597" s="16"/>
      <c r="F3597" s="5"/>
      <c r="G3597" s="16" t="s">
        <v>35</v>
      </c>
      <c r="H3597" s="16"/>
      <c r="I3597" s="16"/>
      <c r="J3597" s="16"/>
      <c r="K3597" s="16"/>
      <c r="L3597" s="16"/>
      <c r="M3597" s="16"/>
      <c r="N3597" s="16"/>
      <c r="O3597" s="17"/>
      <c r="P3597" s="5" t="str">
        <f t="shared" si="87"/>
        <v>Truncate table FXESPY;</v>
      </c>
      <c r="Q3597" s="5"/>
      <c r="R3597" s="5"/>
    </row>
    <row r="3598" spans="2:18" x14ac:dyDescent="0.25">
      <c r="B3598" s="19" t="s">
        <v>4859</v>
      </c>
      <c r="C3598" s="16"/>
      <c r="D3598" s="16" t="s">
        <v>29</v>
      </c>
      <c r="E3598" s="16" t="s">
        <v>1712</v>
      </c>
      <c r="F3598" s="16" t="s">
        <v>1941</v>
      </c>
      <c r="G3598" s="16" t="s">
        <v>35</v>
      </c>
      <c r="H3598" s="16"/>
      <c r="I3598" s="16"/>
      <c r="J3598" s="16"/>
      <c r="K3598" s="16"/>
      <c r="L3598" s="16"/>
      <c r="M3598" s="16"/>
      <c r="N3598" s="16"/>
      <c r="O3598" s="17" t="s">
        <v>38</v>
      </c>
      <c r="P3598" s="5" t="str">
        <f t="shared" si="87"/>
        <v>Truncate table FXH801;</v>
      </c>
      <c r="Q3598" s="5"/>
      <c r="R3598" s="5"/>
    </row>
    <row r="3599" spans="2:18" x14ac:dyDescent="0.25">
      <c r="B3599" s="19" t="s">
        <v>4860</v>
      </c>
      <c r="C3599" s="16"/>
      <c r="D3599" s="16" t="s">
        <v>29</v>
      </c>
      <c r="E3599" s="16" t="s">
        <v>1712</v>
      </c>
      <c r="F3599" s="16" t="s">
        <v>1941</v>
      </c>
      <c r="G3599" s="16" t="s">
        <v>35</v>
      </c>
      <c r="H3599" s="16"/>
      <c r="I3599" s="16"/>
      <c r="J3599" s="16"/>
      <c r="K3599" s="16"/>
      <c r="L3599" s="16"/>
      <c r="M3599" s="16"/>
      <c r="N3599" s="16"/>
      <c r="O3599" s="17" t="s">
        <v>38</v>
      </c>
      <c r="P3599" s="5" t="str">
        <f t="shared" si="87"/>
        <v>Truncate table FXH802;</v>
      </c>
      <c r="Q3599" s="5"/>
      <c r="R3599" s="5"/>
    </row>
    <row r="3600" spans="2:18" x14ac:dyDescent="0.25">
      <c r="B3600" s="19" t="s">
        <v>4861</v>
      </c>
      <c r="C3600" s="16"/>
      <c r="D3600" s="16" t="s">
        <v>29</v>
      </c>
      <c r="E3600" s="16" t="s">
        <v>1712</v>
      </c>
      <c r="F3600" s="16" t="s">
        <v>1941</v>
      </c>
      <c r="G3600" s="16" t="s">
        <v>35</v>
      </c>
      <c r="H3600" s="16"/>
      <c r="I3600" s="16"/>
      <c r="J3600" s="16"/>
      <c r="K3600" s="16"/>
      <c r="L3600" s="16"/>
      <c r="M3600" s="16"/>
      <c r="N3600" s="16"/>
      <c r="O3600" s="17" t="s">
        <v>38</v>
      </c>
      <c r="P3600" s="5" t="str">
        <f t="shared" si="87"/>
        <v>Truncate table FXH803;</v>
      </c>
      <c r="Q3600" s="5"/>
      <c r="R3600" s="5"/>
    </row>
    <row r="3601" spans="2:18" x14ac:dyDescent="0.25">
      <c r="B3601" s="19" t="s">
        <v>4862</v>
      </c>
      <c r="C3601" s="16"/>
      <c r="D3601" s="16" t="s">
        <v>29</v>
      </c>
      <c r="E3601" s="16" t="s">
        <v>1712</v>
      </c>
      <c r="F3601" s="16" t="s">
        <v>1941</v>
      </c>
      <c r="G3601" s="16" t="s">
        <v>35</v>
      </c>
      <c r="H3601" s="16"/>
      <c r="I3601" s="16"/>
      <c r="J3601" s="16"/>
      <c r="K3601" s="16"/>
      <c r="L3601" s="16"/>
      <c r="M3601" s="16"/>
      <c r="N3601" s="16"/>
      <c r="O3601" s="17"/>
      <c r="P3601" s="5" t="str">
        <f t="shared" si="87"/>
        <v>Truncate table FXLOG;</v>
      </c>
      <c r="Q3601" s="5"/>
      <c r="R3601" s="5"/>
    </row>
    <row r="3602" spans="2:18" x14ac:dyDescent="0.25">
      <c r="B3602" s="19" t="s">
        <v>4863</v>
      </c>
      <c r="C3602" s="16"/>
      <c r="D3602" s="16" t="s">
        <v>29</v>
      </c>
      <c r="E3602" s="16" t="s">
        <v>1712</v>
      </c>
      <c r="F3602" s="16" t="s">
        <v>1941</v>
      </c>
      <c r="G3602" s="16" t="s">
        <v>35</v>
      </c>
      <c r="H3602" s="16"/>
      <c r="I3602" s="16"/>
      <c r="J3602" s="16"/>
      <c r="K3602" s="16"/>
      <c r="L3602" s="16"/>
      <c r="M3602" s="16"/>
      <c r="N3602" s="16"/>
      <c r="O3602" s="17"/>
      <c r="P3602" s="5" t="str">
        <f t="shared" si="87"/>
        <v>Truncate table FXMQ01;</v>
      </c>
      <c r="Q3602" s="5"/>
      <c r="R3602" s="5"/>
    </row>
    <row r="3603" spans="2:18" x14ac:dyDescent="0.25">
      <c r="B3603" s="19" t="s">
        <v>4864</v>
      </c>
      <c r="C3603" s="16"/>
      <c r="D3603" s="16" t="s">
        <v>29</v>
      </c>
      <c r="E3603" s="16" t="s">
        <v>1712</v>
      </c>
      <c r="F3603" s="16" t="s">
        <v>1941</v>
      </c>
      <c r="G3603" s="16" t="s">
        <v>35</v>
      </c>
      <c r="H3603" s="16"/>
      <c r="I3603" s="16"/>
      <c r="J3603" s="16"/>
      <c r="K3603" s="16"/>
      <c r="L3603" s="16"/>
      <c r="M3603" s="16"/>
      <c r="N3603" s="16"/>
      <c r="O3603" s="17"/>
      <c r="P3603" s="5" t="str">
        <f t="shared" si="87"/>
        <v>Truncate table FXR700;</v>
      </c>
      <c r="Q3603" s="5"/>
      <c r="R3603" s="5"/>
    </row>
    <row r="3604" spans="2:18" x14ac:dyDescent="0.25">
      <c r="B3604" s="19" t="s">
        <v>4865</v>
      </c>
      <c r="C3604" s="16"/>
      <c r="D3604" s="16" t="s">
        <v>29</v>
      </c>
      <c r="E3604" s="16" t="s">
        <v>1712</v>
      </c>
      <c r="F3604" s="16" t="s">
        <v>1941</v>
      </c>
      <c r="G3604" s="16" t="s">
        <v>35</v>
      </c>
      <c r="H3604" s="16"/>
      <c r="I3604" s="16"/>
      <c r="J3604" s="16"/>
      <c r="K3604" s="16"/>
      <c r="L3604" s="16"/>
      <c r="M3604" s="16"/>
      <c r="N3604" s="16"/>
      <c r="O3604" s="17"/>
      <c r="P3604" s="5" t="str">
        <f t="shared" si="87"/>
        <v>Truncate table FXR701;</v>
      </c>
      <c r="Q3604" s="5"/>
      <c r="R3604" s="5"/>
    </row>
    <row r="3605" spans="2:18" x14ac:dyDescent="0.25">
      <c r="B3605" s="19" t="s">
        <v>4866</v>
      </c>
      <c r="C3605" s="16"/>
      <c r="D3605" s="16" t="s">
        <v>29</v>
      </c>
      <c r="E3605" s="16" t="s">
        <v>1712</v>
      </c>
      <c r="F3605" s="16" t="s">
        <v>1941</v>
      </c>
      <c r="G3605" s="16" t="s">
        <v>35</v>
      </c>
      <c r="H3605" s="16"/>
      <c r="I3605" s="16"/>
      <c r="J3605" s="16"/>
      <c r="K3605" s="16"/>
      <c r="L3605" s="16"/>
      <c r="M3605" s="16"/>
      <c r="N3605" s="16"/>
      <c r="O3605" s="17"/>
      <c r="P3605" s="5" t="str">
        <f t="shared" si="87"/>
        <v>Truncate table FXR801;</v>
      </c>
      <c r="Q3605" s="5"/>
      <c r="R3605" s="5"/>
    </row>
    <row r="3606" spans="2:18" x14ac:dyDescent="0.25">
      <c r="B3606" s="19" t="s">
        <v>4867</v>
      </c>
      <c r="C3606" s="16"/>
      <c r="D3606" s="16" t="s">
        <v>8152</v>
      </c>
      <c r="E3606" s="16" t="s">
        <v>1712</v>
      </c>
      <c r="F3606" s="16" t="s">
        <v>1941</v>
      </c>
      <c r="G3606" s="16" t="s">
        <v>35</v>
      </c>
      <c r="H3606" s="16"/>
      <c r="I3606" s="16"/>
      <c r="J3606" s="16"/>
      <c r="K3606" s="16"/>
      <c r="L3606" s="16"/>
      <c r="M3606" s="16"/>
      <c r="N3606" s="16"/>
      <c r="O3606" s="17" t="s">
        <v>38</v>
      </c>
      <c r="P3606" s="5" t="str">
        <f t="shared" si="87"/>
        <v/>
      </c>
      <c r="Q3606" s="5"/>
      <c r="R3606" s="5"/>
    </row>
    <row r="3607" spans="2:18" x14ac:dyDescent="0.25">
      <c r="B3607" s="19" t="s">
        <v>4868</v>
      </c>
      <c r="C3607" s="16"/>
      <c r="D3607" s="16" t="s">
        <v>29</v>
      </c>
      <c r="E3607" s="16" t="s">
        <v>1712</v>
      </c>
      <c r="F3607" s="16" t="s">
        <v>1941</v>
      </c>
      <c r="G3607" s="16" t="s">
        <v>35</v>
      </c>
      <c r="H3607" s="16"/>
      <c r="I3607" s="16"/>
      <c r="J3607" s="16"/>
      <c r="K3607" s="16"/>
      <c r="L3607" s="16"/>
      <c r="M3607" s="16"/>
      <c r="N3607" s="16"/>
      <c r="O3607" s="17"/>
      <c r="P3607" s="5" t="str">
        <f t="shared" si="87"/>
        <v>Truncate table FXR803;</v>
      </c>
      <c r="Q3607" s="5"/>
      <c r="R3607" s="5"/>
    </row>
    <row r="3608" spans="2:18" x14ac:dyDescent="0.25">
      <c r="B3608" s="19" t="s">
        <v>4869</v>
      </c>
      <c r="C3608" s="16"/>
      <c r="D3608" s="16" t="s">
        <v>29</v>
      </c>
      <c r="E3608" s="16" t="s">
        <v>1712</v>
      </c>
      <c r="F3608" s="16" t="s">
        <v>1941</v>
      </c>
      <c r="G3608" s="16" t="s">
        <v>35</v>
      </c>
      <c r="H3608" s="16"/>
      <c r="I3608" s="16"/>
      <c r="J3608" s="16"/>
      <c r="K3608" s="16"/>
      <c r="L3608" s="16"/>
      <c r="M3608" s="16"/>
      <c r="N3608" s="16"/>
      <c r="O3608" s="17" t="s">
        <v>38</v>
      </c>
      <c r="P3608" s="5" t="str">
        <f t="shared" si="87"/>
        <v>Truncate table FXR804;</v>
      </c>
      <c r="Q3608" s="5"/>
      <c r="R3608" s="5"/>
    </row>
    <row r="3609" spans="2:18" x14ac:dyDescent="0.25">
      <c r="B3609" s="19" t="s">
        <v>4870</v>
      </c>
      <c r="C3609" s="16" t="s">
        <v>4832</v>
      </c>
      <c r="D3609" s="16" t="s">
        <v>8152</v>
      </c>
      <c r="E3609" s="16" t="s">
        <v>1712</v>
      </c>
      <c r="F3609" s="16" t="s">
        <v>1941</v>
      </c>
      <c r="G3609" s="16" t="s">
        <v>35</v>
      </c>
      <c r="H3609" s="16"/>
      <c r="I3609" s="16"/>
      <c r="J3609" s="16"/>
      <c r="K3609" s="16"/>
      <c r="L3609" s="16"/>
      <c r="M3609" s="16"/>
      <c r="N3609" s="16"/>
      <c r="O3609" s="17" t="s">
        <v>38</v>
      </c>
      <c r="P3609" s="5" t="str">
        <f t="shared" si="87"/>
        <v/>
      </c>
      <c r="Q3609" s="5"/>
      <c r="R3609" s="5"/>
    </row>
    <row r="3610" spans="2:18" x14ac:dyDescent="0.25">
      <c r="B3610" s="19" t="s">
        <v>4871</v>
      </c>
      <c r="C3610" s="16"/>
      <c r="D3610" s="16" t="s">
        <v>29</v>
      </c>
      <c r="E3610" s="16" t="s">
        <v>1712</v>
      </c>
      <c r="F3610" s="16" t="s">
        <v>1941</v>
      </c>
      <c r="G3610" s="16" t="s">
        <v>35</v>
      </c>
      <c r="H3610" s="16"/>
      <c r="I3610" s="16"/>
      <c r="J3610" s="16"/>
      <c r="K3610" s="16"/>
      <c r="L3610" s="16"/>
      <c r="M3610" s="16"/>
      <c r="N3610" s="16"/>
      <c r="O3610" s="17"/>
      <c r="P3610" s="5" t="str">
        <f t="shared" si="87"/>
        <v>Truncate table FXR830;</v>
      </c>
      <c r="Q3610" s="5"/>
      <c r="R3610" s="5"/>
    </row>
    <row r="3611" spans="2:18" x14ac:dyDescent="0.25">
      <c r="B3611" s="19" t="s">
        <v>4872</v>
      </c>
      <c r="C3611" s="16"/>
      <c r="D3611" s="16" t="s">
        <v>29</v>
      </c>
      <c r="E3611" s="16" t="s">
        <v>1712</v>
      </c>
      <c r="F3611" s="16" t="s">
        <v>1941</v>
      </c>
      <c r="G3611" s="16" t="s">
        <v>35</v>
      </c>
      <c r="H3611" s="16"/>
      <c r="I3611" s="16"/>
      <c r="J3611" s="16"/>
      <c r="K3611" s="16"/>
      <c r="L3611" s="16"/>
      <c r="M3611" s="16"/>
      <c r="N3611" s="16"/>
      <c r="O3611" s="17"/>
      <c r="P3611" s="5" t="str">
        <f t="shared" si="87"/>
        <v>Truncate table FXR831;</v>
      </c>
      <c r="Q3611" s="5"/>
      <c r="R3611" s="5"/>
    </row>
    <row r="3612" spans="2:18" x14ac:dyDescent="0.25">
      <c r="B3612" s="19" t="s">
        <v>4873</v>
      </c>
      <c r="C3612" s="16"/>
      <c r="D3612" s="16" t="s">
        <v>29</v>
      </c>
      <c r="E3612" s="16" t="s">
        <v>1712</v>
      </c>
      <c r="F3612" s="16" t="s">
        <v>1941</v>
      </c>
      <c r="G3612" s="16" t="s">
        <v>35</v>
      </c>
      <c r="H3612" s="16"/>
      <c r="I3612" s="16"/>
      <c r="J3612" s="16"/>
      <c r="K3612" s="16"/>
      <c r="L3612" s="16"/>
      <c r="M3612" s="16"/>
      <c r="N3612" s="16"/>
      <c r="O3612" s="17" t="s">
        <v>38</v>
      </c>
      <c r="P3612" s="5" t="str">
        <f t="shared" si="87"/>
        <v>Truncate table FXR891;</v>
      </c>
      <c r="Q3612" s="5"/>
      <c r="R3612" s="5"/>
    </row>
    <row r="3613" spans="2:18" x14ac:dyDescent="0.25">
      <c r="B3613" s="19" t="s">
        <v>4874</v>
      </c>
      <c r="C3613" s="16"/>
      <c r="D3613" s="16" t="s">
        <v>29</v>
      </c>
      <c r="E3613" s="16" t="s">
        <v>1712</v>
      </c>
      <c r="F3613" s="16" t="s">
        <v>1941</v>
      </c>
      <c r="G3613" s="16" t="s">
        <v>35</v>
      </c>
      <c r="H3613" s="16"/>
      <c r="I3613" s="16"/>
      <c r="J3613" s="16"/>
      <c r="K3613" s="16"/>
      <c r="L3613" s="16"/>
      <c r="M3613" s="16"/>
      <c r="N3613" s="16"/>
      <c r="O3613" s="17" t="s">
        <v>38</v>
      </c>
      <c r="P3613" s="5" t="str">
        <f t="shared" si="87"/>
        <v>Truncate table FXR892;</v>
      </c>
      <c r="Q3613" s="5"/>
      <c r="R3613" s="5"/>
    </row>
    <row r="3614" spans="2:18" x14ac:dyDescent="0.25">
      <c r="B3614" s="19" t="s">
        <v>4875</v>
      </c>
      <c r="C3614" s="16"/>
      <c r="D3614" s="16" t="s">
        <v>29</v>
      </c>
      <c r="E3614" s="16" t="s">
        <v>1712</v>
      </c>
      <c r="F3614" s="16" t="s">
        <v>1941</v>
      </c>
      <c r="G3614" s="16" t="s">
        <v>35</v>
      </c>
      <c r="H3614" s="16"/>
      <c r="I3614" s="16"/>
      <c r="J3614" s="16"/>
      <c r="K3614" s="16"/>
      <c r="L3614" s="16"/>
      <c r="M3614" s="16"/>
      <c r="N3614" s="16"/>
      <c r="O3614" s="17"/>
      <c r="P3614" s="5" t="str">
        <f t="shared" si="87"/>
        <v>Truncate table FXR893;</v>
      </c>
      <c r="Q3614" s="5"/>
      <c r="R3614" s="5"/>
    </row>
    <row r="3615" spans="2:18" x14ac:dyDescent="0.25">
      <c r="B3615" s="19" t="s">
        <v>4876</v>
      </c>
      <c r="C3615" s="16"/>
      <c r="D3615" s="16" t="s">
        <v>29</v>
      </c>
      <c r="E3615" s="16" t="s">
        <v>1712</v>
      </c>
      <c r="F3615" s="16" t="s">
        <v>1941</v>
      </c>
      <c r="G3615" s="16" t="s">
        <v>35</v>
      </c>
      <c r="H3615" s="16"/>
      <c r="I3615" s="16"/>
      <c r="J3615" s="16"/>
      <c r="K3615" s="16"/>
      <c r="L3615" s="16"/>
      <c r="M3615" s="16"/>
      <c r="N3615" s="16"/>
      <c r="O3615" s="17" t="s">
        <v>38</v>
      </c>
      <c r="P3615" s="5" t="str">
        <f t="shared" si="87"/>
        <v>Truncate table FXR894;</v>
      </c>
      <c r="Q3615" s="5"/>
      <c r="R3615" s="5"/>
    </row>
    <row r="3616" spans="2:18" x14ac:dyDescent="0.25">
      <c r="B3616" s="19" t="s">
        <v>4877</v>
      </c>
      <c r="C3616" s="16"/>
      <c r="D3616" s="16" t="s">
        <v>29</v>
      </c>
      <c r="E3616" s="16" t="s">
        <v>1712</v>
      </c>
      <c r="F3616" s="16" t="s">
        <v>1941</v>
      </c>
      <c r="G3616" s="16" t="s">
        <v>35</v>
      </c>
      <c r="H3616" s="16"/>
      <c r="I3616" s="16"/>
      <c r="J3616" s="16"/>
      <c r="K3616" s="16"/>
      <c r="L3616" s="16"/>
      <c r="M3616" s="16"/>
      <c r="N3616" s="16"/>
      <c r="O3616" s="17" t="s">
        <v>38</v>
      </c>
      <c r="P3616" s="5" t="str">
        <f t="shared" si="87"/>
        <v>Truncate table FXRH82;</v>
      </c>
      <c r="Q3616" s="5"/>
      <c r="R3616" s="5"/>
    </row>
    <row r="3617" spans="2:18" ht="27" x14ac:dyDescent="0.25">
      <c r="B3617" s="19" t="s">
        <v>4878</v>
      </c>
      <c r="C3617" s="16" t="s">
        <v>8656</v>
      </c>
      <c r="D3617" s="16" t="s">
        <v>8152</v>
      </c>
      <c r="E3617" s="16" t="s">
        <v>151</v>
      </c>
      <c r="F3617" s="16" t="s">
        <v>8216</v>
      </c>
      <c r="G3617" s="16" t="s">
        <v>35</v>
      </c>
      <c r="H3617" s="16" t="s">
        <v>12</v>
      </c>
      <c r="I3617" s="16"/>
      <c r="J3617" s="16"/>
      <c r="K3617" s="16"/>
      <c r="L3617" s="16" t="s">
        <v>8655</v>
      </c>
      <c r="M3617" s="238"/>
      <c r="N3617" s="16"/>
      <c r="O3617" s="17" t="s">
        <v>38</v>
      </c>
      <c r="P3617" s="5" t="str">
        <f t="shared" si="87"/>
        <v/>
      </c>
      <c r="Q3617" s="5" t="s">
        <v>1442</v>
      </c>
      <c r="R3617" s="5"/>
    </row>
    <row r="3618" spans="2:18" ht="27" x14ac:dyDescent="0.25">
      <c r="B3618" s="19" t="s">
        <v>4879</v>
      </c>
      <c r="C3618" s="16" t="s">
        <v>8654</v>
      </c>
      <c r="D3618" s="16" t="s">
        <v>8152</v>
      </c>
      <c r="E3618" s="16" t="s">
        <v>151</v>
      </c>
      <c r="F3618" s="16" t="s">
        <v>8216</v>
      </c>
      <c r="G3618" s="16" t="s">
        <v>35</v>
      </c>
      <c r="H3618" s="16" t="s">
        <v>12</v>
      </c>
      <c r="I3618" s="16"/>
      <c r="J3618" s="16"/>
      <c r="K3618" s="16"/>
      <c r="L3618" s="16" t="s">
        <v>8655</v>
      </c>
      <c r="M3618" s="238"/>
      <c r="N3618" s="16"/>
      <c r="O3618" s="17" t="s">
        <v>38</v>
      </c>
      <c r="P3618" s="5" t="str">
        <f t="shared" si="87"/>
        <v/>
      </c>
      <c r="Q3618" s="5" t="s">
        <v>1442</v>
      </c>
      <c r="R3618" s="5"/>
    </row>
    <row r="3619" spans="2:18" ht="27" x14ac:dyDescent="0.25">
      <c r="B3619" s="19" t="s">
        <v>4880</v>
      </c>
      <c r="C3619" s="16" t="s">
        <v>8657</v>
      </c>
      <c r="D3619" s="16" t="s">
        <v>8152</v>
      </c>
      <c r="E3619" s="16" t="s">
        <v>151</v>
      </c>
      <c r="F3619" s="16" t="s">
        <v>8216</v>
      </c>
      <c r="G3619" s="16" t="s">
        <v>35</v>
      </c>
      <c r="H3619" s="16" t="s">
        <v>12</v>
      </c>
      <c r="I3619" s="16"/>
      <c r="J3619" s="16"/>
      <c r="K3619" s="16"/>
      <c r="L3619" s="16" t="s">
        <v>8655</v>
      </c>
      <c r="M3619" s="238"/>
      <c r="N3619" s="16"/>
      <c r="O3619" s="17" t="s">
        <v>38</v>
      </c>
      <c r="P3619" s="5" t="str">
        <f t="shared" si="87"/>
        <v/>
      </c>
      <c r="Q3619" s="5" t="s">
        <v>1442</v>
      </c>
      <c r="R3619" s="5"/>
    </row>
    <row r="3620" spans="2:18" x14ac:dyDescent="0.25">
      <c r="B3620" s="19" t="s">
        <v>4881</v>
      </c>
      <c r="C3620" s="16"/>
      <c r="D3620" s="16" t="s">
        <v>29</v>
      </c>
      <c r="E3620" s="16" t="s">
        <v>1712</v>
      </c>
      <c r="F3620" s="16" t="s">
        <v>1941</v>
      </c>
      <c r="G3620" s="16" t="s">
        <v>35</v>
      </c>
      <c r="H3620" s="16"/>
      <c r="I3620" s="16"/>
      <c r="J3620" s="16"/>
      <c r="K3620" s="16"/>
      <c r="L3620" s="16"/>
      <c r="M3620" s="16"/>
      <c r="N3620" s="16"/>
      <c r="O3620" s="17"/>
      <c r="P3620" s="5" t="str">
        <f t="shared" si="87"/>
        <v>Truncate table FXSNP4;</v>
      </c>
      <c r="Q3620" s="5"/>
      <c r="R3620" s="5"/>
    </row>
    <row r="3621" spans="2:18" x14ac:dyDescent="0.25">
      <c r="B3621" s="19" t="s">
        <v>4882</v>
      </c>
      <c r="C3621" s="16"/>
      <c r="D3621" s="16" t="s">
        <v>29</v>
      </c>
      <c r="E3621" s="16" t="s">
        <v>1712</v>
      </c>
      <c r="F3621" s="16" t="s">
        <v>1941</v>
      </c>
      <c r="G3621" s="16" t="s">
        <v>35</v>
      </c>
      <c r="H3621" s="16"/>
      <c r="I3621" s="16"/>
      <c r="J3621" s="16"/>
      <c r="K3621" s="16"/>
      <c r="L3621" s="16"/>
      <c r="M3621" s="16"/>
      <c r="N3621" s="16"/>
      <c r="O3621" s="17"/>
      <c r="P3621" s="5" t="str">
        <f t="shared" si="87"/>
        <v>Truncate table FXSNP5;</v>
      </c>
      <c r="Q3621" s="5"/>
      <c r="R3621" s="5"/>
    </row>
    <row r="3622" spans="2:18" ht="27" x14ac:dyDescent="0.25">
      <c r="B3622" s="19" t="s">
        <v>8658</v>
      </c>
      <c r="C3622" s="16" t="s">
        <v>8660</v>
      </c>
      <c r="D3622" s="16" t="s">
        <v>8152</v>
      </c>
      <c r="E3622" s="16" t="s">
        <v>151</v>
      </c>
      <c r="F3622" s="16" t="s">
        <v>8216</v>
      </c>
      <c r="G3622" s="16" t="s">
        <v>35</v>
      </c>
      <c r="H3622" s="16" t="s">
        <v>12</v>
      </c>
      <c r="I3622" s="16"/>
      <c r="J3622" s="16"/>
      <c r="K3622" s="16"/>
      <c r="L3622" s="16" t="s">
        <v>8655</v>
      </c>
      <c r="M3622" s="238"/>
      <c r="N3622" s="16"/>
      <c r="O3622" s="17" t="s">
        <v>38</v>
      </c>
      <c r="P3622" s="5" t="str">
        <f t="shared" si="87"/>
        <v/>
      </c>
      <c r="Q3622" s="5" t="s">
        <v>1442</v>
      </c>
      <c r="R3622" s="5"/>
    </row>
    <row r="3623" spans="2:18" ht="27" x14ac:dyDescent="0.25">
      <c r="B3623" s="19" t="s">
        <v>8659</v>
      </c>
      <c r="C3623" s="16" t="s">
        <v>8661</v>
      </c>
      <c r="D3623" s="16" t="s">
        <v>8152</v>
      </c>
      <c r="E3623" s="16" t="s">
        <v>151</v>
      </c>
      <c r="F3623" s="16" t="s">
        <v>8216</v>
      </c>
      <c r="G3623" s="16" t="s">
        <v>35</v>
      </c>
      <c r="H3623" s="16" t="s">
        <v>12</v>
      </c>
      <c r="I3623" s="16"/>
      <c r="J3623" s="16"/>
      <c r="K3623" s="16"/>
      <c r="L3623" s="16" t="s">
        <v>8655</v>
      </c>
      <c r="M3623" s="238"/>
      <c r="N3623" s="16"/>
      <c r="O3623" s="17" t="s">
        <v>38</v>
      </c>
      <c r="P3623" s="5" t="str">
        <f t="shared" si="87"/>
        <v/>
      </c>
      <c r="Q3623" s="5" t="s">
        <v>1442</v>
      </c>
      <c r="R3623" s="5"/>
    </row>
    <row r="3624" spans="2:18" ht="27" x14ac:dyDescent="0.25">
      <c r="B3624" s="19" t="s">
        <v>4883</v>
      </c>
      <c r="C3624" s="16" t="s">
        <v>8662</v>
      </c>
      <c r="D3624" s="16" t="s">
        <v>8152</v>
      </c>
      <c r="E3624" s="16" t="s">
        <v>151</v>
      </c>
      <c r="F3624" s="16" t="s">
        <v>8216</v>
      </c>
      <c r="G3624" s="16" t="s">
        <v>35</v>
      </c>
      <c r="H3624" s="16" t="s">
        <v>12</v>
      </c>
      <c r="I3624" s="16"/>
      <c r="J3624" s="16"/>
      <c r="K3624" s="16"/>
      <c r="L3624" s="16" t="s">
        <v>8655</v>
      </c>
      <c r="M3624" s="238"/>
      <c r="N3624" s="16"/>
      <c r="O3624" s="17" t="s">
        <v>38</v>
      </c>
      <c r="P3624" s="5" t="str">
        <f t="shared" si="87"/>
        <v/>
      </c>
      <c r="Q3624" s="5" t="s">
        <v>1442</v>
      </c>
      <c r="R3624" s="5"/>
    </row>
    <row r="3625" spans="2:18" ht="27" x14ac:dyDescent="0.25">
      <c r="B3625" s="19" t="s">
        <v>8663</v>
      </c>
      <c r="C3625" s="16" t="s">
        <v>8664</v>
      </c>
      <c r="D3625" s="16" t="s">
        <v>8152</v>
      </c>
      <c r="E3625" s="16" t="s">
        <v>151</v>
      </c>
      <c r="F3625" s="16" t="s">
        <v>8216</v>
      </c>
      <c r="G3625" s="16" t="s">
        <v>35</v>
      </c>
      <c r="H3625" s="16" t="s">
        <v>12</v>
      </c>
      <c r="I3625" s="16"/>
      <c r="J3625" s="16"/>
      <c r="K3625" s="16"/>
      <c r="L3625" s="16" t="s">
        <v>8655</v>
      </c>
      <c r="M3625" s="238" t="s">
        <v>8577</v>
      </c>
      <c r="N3625" s="16"/>
      <c r="O3625" s="17" t="s">
        <v>38</v>
      </c>
      <c r="P3625" s="5" t="str">
        <f t="shared" si="87"/>
        <v/>
      </c>
      <c r="Q3625" s="5" t="s">
        <v>1442</v>
      </c>
      <c r="R3625" s="5"/>
    </row>
    <row r="3626" spans="2:18" ht="27" x14ac:dyDescent="0.25">
      <c r="B3626" s="19" t="s">
        <v>8665</v>
      </c>
      <c r="C3626" s="16" t="s">
        <v>8666</v>
      </c>
      <c r="D3626" s="16" t="s">
        <v>8152</v>
      </c>
      <c r="E3626" s="16" t="s">
        <v>151</v>
      </c>
      <c r="F3626" s="16" t="s">
        <v>8216</v>
      </c>
      <c r="G3626" s="16" t="s">
        <v>35</v>
      </c>
      <c r="H3626" s="16" t="s">
        <v>12</v>
      </c>
      <c r="I3626" s="16"/>
      <c r="J3626" s="16"/>
      <c r="K3626" s="16"/>
      <c r="L3626" s="16" t="s">
        <v>8655</v>
      </c>
      <c r="M3626" s="238"/>
      <c r="N3626" s="16"/>
      <c r="O3626" s="17" t="s">
        <v>38</v>
      </c>
      <c r="P3626" s="5" t="str">
        <f t="shared" si="87"/>
        <v/>
      </c>
      <c r="Q3626" s="5" t="s">
        <v>1442</v>
      </c>
      <c r="R3626" s="5"/>
    </row>
    <row r="3627" spans="2:18" ht="27" x14ac:dyDescent="0.25">
      <c r="B3627" s="19" t="s">
        <v>8667</v>
      </c>
      <c r="C3627" s="16" t="s">
        <v>8668</v>
      </c>
      <c r="D3627" s="16" t="s">
        <v>8152</v>
      </c>
      <c r="E3627" s="16" t="s">
        <v>151</v>
      </c>
      <c r="F3627" s="16" t="s">
        <v>8216</v>
      </c>
      <c r="G3627" s="16" t="s">
        <v>35</v>
      </c>
      <c r="H3627" s="16" t="s">
        <v>12</v>
      </c>
      <c r="I3627" s="16"/>
      <c r="J3627" s="16"/>
      <c r="K3627" s="16"/>
      <c r="L3627" s="16" t="s">
        <v>8655</v>
      </c>
      <c r="M3627" s="238"/>
      <c r="N3627" s="16"/>
      <c r="O3627" s="17" t="s">
        <v>38</v>
      </c>
      <c r="P3627" s="5" t="str">
        <f t="shared" si="87"/>
        <v/>
      </c>
      <c r="Q3627" s="5" t="s">
        <v>1442</v>
      </c>
      <c r="R3627" s="5"/>
    </row>
    <row r="3628" spans="2:18" ht="27" x14ac:dyDescent="0.25">
      <c r="B3628" s="19" t="s">
        <v>8669</v>
      </c>
      <c r="C3628" s="16" t="s">
        <v>8670</v>
      </c>
      <c r="D3628" s="16" t="s">
        <v>8152</v>
      </c>
      <c r="E3628" s="16" t="s">
        <v>151</v>
      </c>
      <c r="F3628" s="16" t="s">
        <v>8216</v>
      </c>
      <c r="G3628" s="16" t="s">
        <v>35</v>
      </c>
      <c r="H3628" s="16" t="s">
        <v>12</v>
      </c>
      <c r="I3628" s="16"/>
      <c r="J3628" s="16"/>
      <c r="K3628" s="16"/>
      <c r="L3628" s="16" t="s">
        <v>8655</v>
      </c>
      <c r="M3628" s="238"/>
      <c r="N3628" s="16"/>
      <c r="O3628" s="17" t="s">
        <v>38</v>
      </c>
      <c r="P3628" s="5" t="str">
        <f t="shared" si="87"/>
        <v/>
      </c>
      <c r="Q3628" s="5" t="s">
        <v>1442</v>
      </c>
      <c r="R3628" s="5"/>
    </row>
    <row r="3629" spans="2:18" ht="27" x14ac:dyDescent="0.25">
      <c r="B3629" s="16" t="s">
        <v>8671</v>
      </c>
      <c r="C3629" s="16" t="s">
        <v>8672</v>
      </c>
      <c r="D3629" s="16" t="s">
        <v>8152</v>
      </c>
      <c r="E3629" s="16" t="s">
        <v>151</v>
      </c>
      <c r="F3629" s="16" t="s">
        <v>8216</v>
      </c>
      <c r="G3629" s="16" t="s">
        <v>35</v>
      </c>
      <c r="H3629" s="16" t="s">
        <v>12</v>
      </c>
      <c r="I3629" s="16"/>
      <c r="J3629" s="16"/>
      <c r="K3629" s="16"/>
      <c r="L3629" s="16" t="s">
        <v>8655</v>
      </c>
      <c r="M3629" s="238"/>
      <c r="N3629" s="16"/>
      <c r="O3629" s="17" t="s">
        <v>38</v>
      </c>
      <c r="P3629" s="5" t="str">
        <f t="shared" si="87"/>
        <v/>
      </c>
      <c r="Q3629" s="5" t="s">
        <v>1442</v>
      </c>
      <c r="R3629" s="5"/>
    </row>
    <row r="3630" spans="2:18" ht="27" x14ac:dyDescent="0.25">
      <c r="B3630" s="19" t="s">
        <v>4884</v>
      </c>
      <c r="C3630" s="16" t="s">
        <v>8674</v>
      </c>
      <c r="D3630" s="16" t="s">
        <v>8152</v>
      </c>
      <c r="E3630" s="16" t="s">
        <v>151</v>
      </c>
      <c r="F3630" s="16" t="s">
        <v>8216</v>
      </c>
      <c r="G3630" s="16" t="s">
        <v>35</v>
      </c>
      <c r="H3630" s="16" t="s">
        <v>12</v>
      </c>
      <c r="I3630" s="16"/>
      <c r="J3630" s="16"/>
      <c r="K3630" s="16"/>
      <c r="L3630" s="16" t="s">
        <v>8655</v>
      </c>
      <c r="M3630" s="238"/>
      <c r="N3630" s="16"/>
      <c r="O3630" s="17" t="s">
        <v>38</v>
      </c>
      <c r="P3630" s="5" t="str">
        <f t="shared" si="87"/>
        <v/>
      </c>
      <c r="Q3630" s="5" t="s">
        <v>1442</v>
      </c>
      <c r="R3630" s="5"/>
    </row>
    <row r="3631" spans="2:18" ht="27" x14ac:dyDescent="0.25">
      <c r="B3631" s="19" t="s">
        <v>8673</v>
      </c>
      <c r="C3631" s="16" t="s">
        <v>2459</v>
      </c>
      <c r="D3631" s="16" t="s">
        <v>8152</v>
      </c>
      <c r="E3631" s="16" t="s">
        <v>151</v>
      </c>
      <c r="F3631" s="16" t="s">
        <v>8216</v>
      </c>
      <c r="G3631" s="16" t="s">
        <v>35</v>
      </c>
      <c r="H3631" s="16" t="s">
        <v>12</v>
      </c>
      <c r="I3631" s="16"/>
      <c r="J3631" s="16"/>
      <c r="K3631" s="16"/>
      <c r="L3631" s="16" t="s">
        <v>8655</v>
      </c>
      <c r="M3631" s="238"/>
      <c r="N3631" s="16"/>
      <c r="O3631" s="17" t="s">
        <v>38</v>
      </c>
      <c r="P3631" s="5" t="str">
        <f t="shared" si="87"/>
        <v/>
      </c>
      <c r="Q3631" s="5" t="s">
        <v>1442</v>
      </c>
      <c r="R3631" s="5"/>
    </row>
    <row r="3632" spans="2:18" x14ac:dyDescent="0.25">
      <c r="B3632" s="19" t="s">
        <v>4885</v>
      </c>
      <c r="C3632" s="16" t="s">
        <v>4886</v>
      </c>
      <c r="D3632" s="16" t="s">
        <v>8152</v>
      </c>
      <c r="E3632" s="16" t="s">
        <v>1712</v>
      </c>
      <c r="F3632" s="16" t="s">
        <v>1941</v>
      </c>
      <c r="G3632" s="16" t="s">
        <v>35</v>
      </c>
      <c r="H3632" s="16"/>
      <c r="I3632" s="16"/>
      <c r="J3632" s="16"/>
      <c r="K3632" s="16"/>
      <c r="L3632" s="16"/>
      <c r="M3632" s="16"/>
      <c r="N3632" s="16"/>
      <c r="O3632" s="17" t="s">
        <v>38</v>
      </c>
      <c r="P3632" s="5" t="str">
        <f t="shared" si="87"/>
        <v/>
      </c>
      <c r="Q3632" s="5"/>
      <c r="R3632" s="5"/>
    </row>
    <row r="3633" spans="2:18" x14ac:dyDescent="0.25">
      <c r="B3633" s="19" t="s">
        <v>4887</v>
      </c>
      <c r="C3633" s="16" t="s">
        <v>4832</v>
      </c>
      <c r="D3633" s="16" t="s">
        <v>8152</v>
      </c>
      <c r="E3633" s="16" t="s">
        <v>1712</v>
      </c>
      <c r="F3633" s="16" t="s">
        <v>1941</v>
      </c>
      <c r="G3633" s="16" t="s">
        <v>35</v>
      </c>
      <c r="H3633" s="16"/>
      <c r="I3633" s="16"/>
      <c r="J3633" s="16"/>
      <c r="K3633" s="16"/>
      <c r="L3633" s="16"/>
      <c r="M3633" s="16"/>
      <c r="N3633" s="16"/>
      <c r="O3633" s="17" t="s">
        <v>38</v>
      </c>
      <c r="P3633" s="5" t="str">
        <f t="shared" si="87"/>
        <v/>
      </c>
      <c r="Q3633" s="5"/>
      <c r="R3633" s="5"/>
    </row>
    <row r="3634" spans="2:18" x14ac:dyDescent="0.25">
      <c r="B3634" s="19" t="s">
        <v>4888</v>
      </c>
      <c r="C3634" s="16" t="s">
        <v>8546</v>
      </c>
      <c r="D3634" s="16" t="s">
        <v>8152</v>
      </c>
      <c r="E3634" s="16" t="s">
        <v>8230</v>
      </c>
      <c r="F3634" s="16" t="s">
        <v>8219</v>
      </c>
      <c r="G3634" s="16" t="s">
        <v>35</v>
      </c>
      <c r="H3634" s="16" t="s">
        <v>36</v>
      </c>
      <c r="I3634" s="16"/>
      <c r="J3634" s="16"/>
      <c r="K3634" s="16"/>
      <c r="L3634" s="16"/>
      <c r="M3634" s="16"/>
      <c r="N3634" s="16" t="s">
        <v>8401</v>
      </c>
      <c r="O3634" s="17" t="s">
        <v>38</v>
      </c>
      <c r="P3634" s="5" t="str">
        <f t="shared" si="87"/>
        <v/>
      </c>
      <c r="Q3634" s="5"/>
      <c r="R3634" s="5"/>
    </row>
    <row r="3635" spans="2:18" x14ac:dyDescent="0.25">
      <c r="B3635" s="19" t="s">
        <v>4889</v>
      </c>
      <c r="C3635" s="16"/>
      <c r="D3635" s="16" t="s">
        <v>29</v>
      </c>
      <c r="E3635" s="16" t="s">
        <v>1712</v>
      </c>
      <c r="F3635" s="16" t="s">
        <v>1941</v>
      </c>
      <c r="G3635" s="16" t="s">
        <v>35</v>
      </c>
      <c r="H3635" s="16"/>
      <c r="I3635" s="16"/>
      <c r="J3635" s="16"/>
      <c r="K3635" s="16"/>
      <c r="L3635" s="16"/>
      <c r="M3635" s="16"/>
      <c r="N3635" s="16"/>
      <c r="O3635" s="17"/>
      <c r="P3635" s="5" t="str">
        <f t="shared" si="87"/>
        <v>Truncate table FXT700;</v>
      </c>
      <c r="Q3635" s="5"/>
      <c r="R3635" s="5"/>
    </row>
    <row r="3636" spans="2:18" x14ac:dyDescent="0.25">
      <c r="B3636" s="19" t="s">
        <v>4890</v>
      </c>
      <c r="C3636" s="16" t="s">
        <v>8678</v>
      </c>
      <c r="D3636" s="16" t="s">
        <v>8152</v>
      </c>
      <c r="E3636" s="16" t="s">
        <v>54</v>
      </c>
      <c r="F3636" s="16" t="s">
        <v>3711</v>
      </c>
      <c r="G3636" s="16" t="s">
        <v>35</v>
      </c>
      <c r="H3636" s="16"/>
      <c r="I3636" s="16"/>
      <c r="J3636" s="16"/>
      <c r="K3636" s="16"/>
      <c r="L3636" s="16"/>
      <c r="M3636" s="16"/>
      <c r="N3636" s="16"/>
      <c r="O3636" s="17" t="s">
        <v>38</v>
      </c>
      <c r="P3636" s="5" t="str">
        <f t="shared" si="87"/>
        <v/>
      </c>
      <c r="Q3636" s="5"/>
      <c r="R3636" s="5"/>
    </row>
    <row r="3637" spans="2:18" x14ac:dyDescent="0.25">
      <c r="B3637" s="19" t="s">
        <v>4891</v>
      </c>
      <c r="C3637" s="16" t="s">
        <v>8679</v>
      </c>
      <c r="D3637" s="16" t="s">
        <v>8152</v>
      </c>
      <c r="E3637" s="16" t="s">
        <v>54</v>
      </c>
      <c r="F3637" s="16" t="s">
        <v>3711</v>
      </c>
      <c r="G3637" s="16" t="s">
        <v>35</v>
      </c>
      <c r="H3637" s="16"/>
      <c r="I3637" s="16"/>
      <c r="J3637" s="16"/>
      <c r="K3637" s="16"/>
      <c r="L3637" s="16"/>
      <c r="M3637" s="16"/>
      <c r="N3637" s="16"/>
      <c r="O3637" s="17" t="s">
        <v>38</v>
      </c>
      <c r="P3637" s="5" t="str">
        <f t="shared" si="87"/>
        <v/>
      </c>
      <c r="Q3637" s="5"/>
      <c r="R3637" s="5"/>
    </row>
    <row r="3638" spans="2:18" x14ac:dyDescent="0.25">
      <c r="B3638" s="19" t="s">
        <v>4892</v>
      </c>
      <c r="C3638" s="16" t="s">
        <v>8680</v>
      </c>
      <c r="D3638" s="16" t="s">
        <v>8152</v>
      </c>
      <c r="E3638" s="16" t="s">
        <v>54</v>
      </c>
      <c r="F3638" s="16" t="s">
        <v>3711</v>
      </c>
      <c r="G3638" s="16" t="s">
        <v>35</v>
      </c>
      <c r="H3638" s="16"/>
      <c r="I3638" s="16"/>
      <c r="J3638" s="16"/>
      <c r="K3638" s="16"/>
      <c r="L3638" s="16"/>
      <c r="M3638" s="16"/>
      <c r="N3638" s="16"/>
      <c r="O3638" s="17" t="s">
        <v>38</v>
      </c>
      <c r="P3638" s="5" t="str">
        <f t="shared" si="87"/>
        <v/>
      </c>
      <c r="Q3638" s="5"/>
      <c r="R3638" s="5"/>
    </row>
    <row r="3639" spans="2:18" x14ac:dyDescent="0.25">
      <c r="B3639" s="19" t="s">
        <v>4893</v>
      </c>
      <c r="C3639" s="16" t="s">
        <v>4832</v>
      </c>
      <c r="D3639" s="16" t="s">
        <v>8152</v>
      </c>
      <c r="E3639" s="16" t="s">
        <v>54</v>
      </c>
      <c r="F3639" s="16" t="s">
        <v>3711</v>
      </c>
      <c r="G3639" s="16" t="s">
        <v>35</v>
      </c>
      <c r="H3639" s="16"/>
      <c r="I3639" s="16"/>
      <c r="J3639" s="16"/>
      <c r="K3639" s="16"/>
      <c r="L3639" s="16"/>
      <c r="M3639" s="16"/>
      <c r="N3639" s="16"/>
      <c r="O3639" s="17" t="s">
        <v>38</v>
      </c>
      <c r="P3639" s="5" t="str">
        <f t="shared" si="87"/>
        <v/>
      </c>
      <c r="Q3639" s="5"/>
      <c r="R3639" s="5"/>
    </row>
    <row r="3640" spans="2:18" x14ac:dyDescent="0.25">
      <c r="B3640" s="19" t="s">
        <v>4894</v>
      </c>
      <c r="C3640" s="16" t="s">
        <v>4832</v>
      </c>
      <c r="D3640" s="16" t="s">
        <v>8152</v>
      </c>
      <c r="E3640" s="16" t="s">
        <v>54</v>
      </c>
      <c r="F3640" s="16" t="s">
        <v>3711</v>
      </c>
      <c r="G3640" s="16" t="s">
        <v>35</v>
      </c>
      <c r="H3640" s="16"/>
      <c r="I3640" s="16"/>
      <c r="J3640" s="16"/>
      <c r="K3640" s="16"/>
      <c r="L3640" s="16"/>
      <c r="M3640" s="16"/>
      <c r="N3640" s="16"/>
      <c r="O3640" s="17" t="s">
        <v>38</v>
      </c>
      <c r="P3640" s="5" t="str">
        <f t="shared" si="87"/>
        <v/>
      </c>
      <c r="Q3640" s="5"/>
      <c r="R3640" s="5"/>
    </row>
    <row r="3641" spans="2:18" x14ac:dyDescent="0.25">
      <c r="B3641" s="19" t="s">
        <v>4895</v>
      </c>
      <c r="C3641" s="16" t="s">
        <v>4832</v>
      </c>
      <c r="D3641" s="16" t="s">
        <v>8152</v>
      </c>
      <c r="E3641" s="16" t="s">
        <v>54</v>
      </c>
      <c r="F3641" s="16" t="s">
        <v>3711</v>
      </c>
      <c r="G3641" s="16" t="s">
        <v>35</v>
      </c>
      <c r="H3641" s="16"/>
      <c r="I3641" s="16"/>
      <c r="J3641" s="16"/>
      <c r="K3641" s="16"/>
      <c r="L3641" s="16"/>
      <c r="M3641" s="16"/>
      <c r="N3641" s="16"/>
      <c r="O3641" s="17" t="s">
        <v>38</v>
      </c>
      <c r="P3641" s="5" t="str">
        <f t="shared" si="87"/>
        <v/>
      </c>
      <c r="Q3641" s="5"/>
      <c r="R3641" s="5"/>
    </row>
    <row r="3642" spans="2:18" x14ac:dyDescent="0.25">
      <c r="B3642" s="19" t="s">
        <v>4896</v>
      </c>
      <c r="C3642" s="16" t="s">
        <v>4832</v>
      </c>
      <c r="D3642" s="16" t="s">
        <v>8152</v>
      </c>
      <c r="E3642" s="16" t="s">
        <v>54</v>
      </c>
      <c r="F3642" s="16" t="s">
        <v>3711</v>
      </c>
      <c r="G3642" s="16" t="s">
        <v>35</v>
      </c>
      <c r="H3642" s="16"/>
      <c r="I3642" s="16"/>
      <c r="J3642" s="16"/>
      <c r="K3642" s="16"/>
      <c r="L3642" s="16"/>
      <c r="M3642" s="16"/>
      <c r="N3642" s="16"/>
      <c r="O3642" s="17" t="s">
        <v>38</v>
      </c>
      <c r="P3642" s="5" t="str">
        <f t="shared" si="87"/>
        <v/>
      </c>
      <c r="Q3642" s="5"/>
      <c r="R3642" s="5"/>
    </row>
    <row r="3643" spans="2:18" x14ac:dyDescent="0.25">
      <c r="B3643" s="19" t="s">
        <v>4897</v>
      </c>
      <c r="C3643" s="16" t="s">
        <v>4832</v>
      </c>
      <c r="D3643" s="16" t="s">
        <v>8152</v>
      </c>
      <c r="E3643" s="16" t="s">
        <v>54</v>
      </c>
      <c r="F3643" s="16" t="s">
        <v>3711</v>
      </c>
      <c r="G3643" s="16" t="s">
        <v>35</v>
      </c>
      <c r="H3643" s="16"/>
      <c r="I3643" s="16"/>
      <c r="J3643" s="16"/>
      <c r="K3643" s="16"/>
      <c r="L3643" s="16"/>
      <c r="M3643" s="16"/>
      <c r="N3643" s="16"/>
      <c r="O3643" s="17" t="s">
        <v>38</v>
      </c>
      <c r="P3643" s="5" t="str">
        <f t="shared" si="87"/>
        <v/>
      </c>
      <c r="Q3643" s="5"/>
      <c r="R3643" s="5"/>
    </row>
    <row r="3644" spans="2:18" x14ac:dyDescent="0.25">
      <c r="B3644" s="19" t="s">
        <v>4898</v>
      </c>
      <c r="C3644" s="16" t="s">
        <v>4832</v>
      </c>
      <c r="D3644" s="16" t="s">
        <v>8152</v>
      </c>
      <c r="E3644" s="16" t="s">
        <v>54</v>
      </c>
      <c r="F3644" s="16" t="s">
        <v>3711</v>
      </c>
      <c r="G3644" s="16" t="s">
        <v>35</v>
      </c>
      <c r="H3644" s="16"/>
      <c r="I3644" s="16"/>
      <c r="J3644" s="16"/>
      <c r="K3644" s="16"/>
      <c r="L3644" s="16"/>
      <c r="M3644" s="16"/>
      <c r="N3644" s="16"/>
      <c r="O3644" s="17" t="s">
        <v>38</v>
      </c>
      <c r="P3644" s="5" t="str">
        <f t="shared" si="87"/>
        <v/>
      </c>
      <c r="Q3644" s="5"/>
      <c r="R3644" s="5"/>
    </row>
    <row r="3645" spans="2:18" x14ac:dyDescent="0.25">
      <c r="B3645" s="19" t="s">
        <v>4899</v>
      </c>
      <c r="C3645" s="16" t="s">
        <v>8676</v>
      </c>
      <c r="D3645" s="16" t="s">
        <v>8152</v>
      </c>
      <c r="E3645" s="16" t="s">
        <v>54</v>
      </c>
      <c r="F3645" s="16" t="s">
        <v>3711</v>
      </c>
      <c r="G3645" s="16" t="s">
        <v>35</v>
      </c>
      <c r="H3645" s="16"/>
      <c r="I3645" s="16"/>
      <c r="J3645" s="16"/>
      <c r="K3645" s="16"/>
      <c r="L3645" s="16"/>
      <c r="M3645" s="16"/>
      <c r="N3645" s="16"/>
      <c r="O3645" s="17" t="s">
        <v>38</v>
      </c>
      <c r="P3645" s="5" t="str">
        <f t="shared" si="87"/>
        <v/>
      </c>
      <c r="Q3645" s="5"/>
      <c r="R3645" s="5"/>
    </row>
    <row r="3646" spans="2:18" x14ac:dyDescent="0.25">
      <c r="B3646" s="19" t="s">
        <v>4900</v>
      </c>
      <c r="C3646" s="16" t="s">
        <v>4832</v>
      </c>
      <c r="D3646" s="16" t="s">
        <v>8152</v>
      </c>
      <c r="E3646" s="16" t="s">
        <v>54</v>
      </c>
      <c r="F3646" s="16" t="s">
        <v>3711</v>
      </c>
      <c r="G3646" s="16" t="s">
        <v>35</v>
      </c>
      <c r="H3646" s="16"/>
      <c r="I3646" s="16"/>
      <c r="J3646" s="16"/>
      <c r="K3646" s="16"/>
      <c r="L3646" s="16"/>
      <c r="M3646" s="16"/>
      <c r="N3646" s="16"/>
      <c r="O3646" s="17" t="s">
        <v>38</v>
      </c>
      <c r="P3646" s="5" t="str">
        <f t="shared" si="87"/>
        <v/>
      </c>
      <c r="Q3646" s="5"/>
      <c r="R3646" s="5"/>
    </row>
    <row r="3647" spans="2:18" x14ac:dyDescent="0.25">
      <c r="B3647" s="19" t="s">
        <v>4901</v>
      </c>
      <c r="C3647" s="16" t="s">
        <v>4832</v>
      </c>
      <c r="D3647" s="16" t="s">
        <v>8152</v>
      </c>
      <c r="E3647" s="16" t="s">
        <v>54</v>
      </c>
      <c r="F3647" s="16" t="s">
        <v>3711</v>
      </c>
      <c r="G3647" s="16" t="s">
        <v>35</v>
      </c>
      <c r="H3647" s="16"/>
      <c r="I3647" s="16"/>
      <c r="J3647" s="16"/>
      <c r="K3647" s="16"/>
      <c r="L3647" s="16"/>
      <c r="M3647" s="16"/>
      <c r="N3647" s="16"/>
      <c r="O3647" s="17" t="s">
        <v>38</v>
      </c>
      <c r="P3647" s="5" t="str">
        <f t="shared" si="87"/>
        <v/>
      </c>
      <c r="Q3647" s="5"/>
      <c r="R3647" s="5"/>
    </row>
    <row r="3648" spans="2:18" x14ac:dyDescent="0.25">
      <c r="B3648" s="19" t="s">
        <v>4902</v>
      </c>
      <c r="C3648" s="16" t="s">
        <v>4832</v>
      </c>
      <c r="D3648" s="16" t="s">
        <v>8152</v>
      </c>
      <c r="E3648" s="16" t="s">
        <v>54</v>
      </c>
      <c r="F3648" s="16" t="s">
        <v>3711</v>
      </c>
      <c r="G3648" s="16" t="s">
        <v>35</v>
      </c>
      <c r="H3648" s="16"/>
      <c r="I3648" s="16"/>
      <c r="J3648" s="16"/>
      <c r="K3648" s="16"/>
      <c r="L3648" s="16"/>
      <c r="M3648" s="16"/>
      <c r="N3648" s="16"/>
      <c r="O3648" s="17" t="s">
        <v>38</v>
      </c>
      <c r="P3648" s="5" t="str">
        <f t="shared" si="87"/>
        <v/>
      </c>
      <c r="Q3648" s="5"/>
      <c r="R3648" s="5"/>
    </row>
    <row r="3649" spans="2:18" x14ac:dyDescent="0.25">
      <c r="B3649" s="19" t="s">
        <v>4903</v>
      </c>
      <c r="C3649" s="16" t="s">
        <v>8677</v>
      </c>
      <c r="D3649" s="16" t="s">
        <v>8152</v>
      </c>
      <c r="E3649" s="16" t="s">
        <v>54</v>
      </c>
      <c r="F3649" s="16" t="s">
        <v>3711</v>
      </c>
      <c r="G3649" s="16" t="s">
        <v>35</v>
      </c>
      <c r="H3649" s="16"/>
      <c r="I3649" s="16"/>
      <c r="J3649" s="16"/>
      <c r="K3649" s="16"/>
      <c r="L3649" s="16"/>
      <c r="M3649" s="16"/>
      <c r="N3649" s="16" t="s">
        <v>8675</v>
      </c>
      <c r="O3649" s="17" t="s">
        <v>38</v>
      </c>
      <c r="P3649" s="5" t="str">
        <f t="shared" ref="P3649:P3712" si="88">IF(D3649="Datos","Truncate table "&amp; B3649&amp; ";","")</f>
        <v/>
      </c>
      <c r="Q3649" s="5"/>
      <c r="R3649" s="5"/>
    </row>
    <row r="3650" spans="2:18" x14ac:dyDescent="0.25">
      <c r="B3650" s="19" t="s">
        <v>4904</v>
      </c>
      <c r="C3650" s="16" t="s">
        <v>4832</v>
      </c>
      <c r="D3650" s="16" t="s">
        <v>8152</v>
      </c>
      <c r="E3650" s="16" t="s">
        <v>54</v>
      </c>
      <c r="F3650" s="16" t="s">
        <v>3711</v>
      </c>
      <c r="G3650" s="16" t="s">
        <v>35</v>
      </c>
      <c r="H3650" s="16"/>
      <c r="I3650" s="16"/>
      <c r="J3650" s="16"/>
      <c r="K3650" s="16"/>
      <c r="L3650" s="16"/>
      <c r="M3650" s="16"/>
      <c r="N3650" s="16"/>
      <c r="O3650" s="17" t="s">
        <v>38</v>
      </c>
      <c r="P3650" s="5" t="str">
        <f t="shared" si="88"/>
        <v/>
      </c>
      <c r="Q3650" s="5"/>
      <c r="R3650" s="5"/>
    </row>
    <row r="3651" spans="2:18" x14ac:dyDescent="0.25">
      <c r="B3651" s="19" t="s">
        <v>4905</v>
      </c>
      <c r="C3651" s="16" t="s">
        <v>4832</v>
      </c>
      <c r="D3651" s="16" t="s">
        <v>8152</v>
      </c>
      <c r="E3651" s="16" t="s">
        <v>54</v>
      </c>
      <c r="F3651" s="16" t="s">
        <v>3711</v>
      </c>
      <c r="G3651" s="16" t="s">
        <v>35</v>
      </c>
      <c r="H3651" s="16"/>
      <c r="I3651" s="16"/>
      <c r="J3651" s="16"/>
      <c r="K3651" s="16"/>
      <c r="L3651" s="16"/>
      <c r="M3651" s="16"/>
      <c r="N3651" s="16"/>
      <c r="O3651" s="17" t="s">
        <v>38</v>
      </c>
      <c r="P3651" s="5" t="str">
        <f t="shared" si="88"/>
        <v/>
      </c>
      <c r="Q3651" s="5"/>
      <c r="R3651" s="5"/>
    </row>
    <row r="3652" spans="2:18" x14ac:dyDescent="0.25">
      <c r="B3652" s="19" t="s">
        <v>4906</v>
      </c>
      <c r="C3652" s="16" t="s">
        <v>4832</v>
      </c>
      <c r="D3652" s="16" t="s">
        <v>8152</v>
      </c>
      <c r="E3652" s="16" t="s">
        <v>54</v>
      </c>
      <c r="F3652" s="16" t="s">
        <v>3711</v>
      </c>
      <c r="G3652" s="16" t="s">
        <v>35</v>
      </c>
      <c r="H3652" s="16"/>
      <c r="I3652" s="16"/>
      <c r="J3652" s="16"/>
      <c r="K3652" s="16"/>
      <c r="L3652" s="16"/>
      <c r="M3652" s="16"/>
      <c r="N3652" s="16"/>
      <c r="O3652" s="17" t="s">
        <v>38</v>
      </c>
      <c r="P3652" s="5" t="str">
        <f t="shared" si="88"/>
        <v/>
      </c>
      <c r="Q3652" s="5"/>
      <c r="R3652" s="5"/>
    </row>
    <row r="3653" spans="2:18" x14ac:dyDescent="0.25">
      <c r="B3653" s="19" t="s">
        <v>4907</v>
      </c>
      <c r="C3653" s="16" t="s">
        <v>4832</v>
      </c>
      <c r="D3653" s="16" t="s">
        <v>8152</v>
      </c>
      <c r="E3653" s="16" t="s">
        <v>54</v>
      </c>
      <c r="F3653" s="16" t="s">
        <v>3711</v>
      </c>
      <c r="G3653" s="16" t="s">
        <v>35</v>
      </c>
      <c r="H3653" s="16"/>
      <c r="I3653" s="16"/>
      <c r="J3653" s="16"/>
      <c r="K3653" s="16"/>
      <c r="L3653" s="16"/>
      <c r="M3653" s="16"/>
      <c r="N3653" s="16"/>
      <c r="O3653" s="17" t="s">
        <v>38</v>
      </c>
      <c r="P3653" s="5" t="str">
        <f t="shared" si="88"/>
        <v/>
      </c>
      <c r="Q3653" s="5"/>
      <c r="R3653" s="5"/>
    </row>
    <row r="3654" spans="2:18" x14ac:dyDescent="0.25">
      <c r="B3654" s="19" t="s">
        <v>4908</v>
      </c>
      <c r="C3654" s="16" t="s">
        <v>4832</v>
      </c>
      <c r="D3654" s="16" t="s">
        <v>8152</v>
      </c>
      <c r="E3654" s="16" t="s">
        <v>54</v>
      </c>
      <c r="F3654" s="16" t="s">
        <v>3711</v>
      </c>
      <c r="G3654" s="16" t="s">
        <v>35</v>
      </c>
      <c r="H3654" s="16"/>
      <c r="I3654" s="16"/>
      <c r="J3654" s="16"/>
      <c r="K3654" s="16"/>
      <c r="L3654" s="16"/>
      <c r="M3654" s="16"/>
      <c r="N3654" s="16"/>
      <c r="O3654" s="17" t="s">
        <v>38</v>
      </c>
      <c r="P3654" s="5" t="str">
        <f t="shared" si="88"/>
        <v/>
      </c>
      <c r="Q3654" s="5"/>
      <c r="R3654" s="5"/>
    </row>
    <row r="3655" spans="2:18" x14ac:dyDescent="0.25">
      <c r="B3655" s="19" t="s">
        <v>4909</v>
      </c>
      <c r="C3655" s="16" t="s">
        <v>4832</v>
      </c>
      <c r="D3655" s="16" t="s">
        <v>8152</v>
      </c>
      <c r="E3655" s="16" t="s">
        <v>54</v>
      </c>
      <c r="F3655" s="16" t="s">
        <v>3711</v>
      </c>
      <c r="G3655" s="16" t="s">
        <v>35</v>
      </c>
      <c r="H3655" s="16"/>
      <c r="I3655" s="16"/>
      <c r="J3655" s="16"/>
      <c r="K3655" s="16"/>
      <c r="L3655" s="16"/>
      <c r="M3655" s="16"/>
      <c r="N3655" s="16"/>
      <c r="O3655" s="17" t="s">
        <v>38</v>
      </c>
      <c r="P3655" s="5" t="str">
        <f t="shared" si="88"/>
        <v/>
      </c>
      <c r="Q3655" s="5"/>
      <c r="R3655" s="5"/>
    </row>
    <row r="3656" spans="2:18" x14ac:dyDescent="0.25">
      <c r="B3656" s="19" t="s">
        <v>4910</v>
      </c>
      <c r="C3656" s="16" t="s">
        <v>4832</v>
      </c>
      <c r="D3656" s="16" t="s">
        <v>8152</v>
      </c>
      <c r="E3656" s="16" t="s">
        <v>54</v>
      </c>
      <c r="F3656" s="16" t="s">
        <v>3711</v>
      </c>
      <c r="G3656" s="16" t="s">
        <v>35</v>
      </c>
      <c r="H3656" s="16"/>
      <c r="I3656" s="16"/>
      <c r="J3656" s="16"/>
      <c r="K3656" s="16"/>
      <c r="L3656" s="16"/>
      <c r="M3656" s="16"/>
      <c r="N3656" s="16"/>
      <c r="O3656" s="17" t="s">
        <v>38</v>
      </c>
      <c r="P3656" s="5" t="str">
        <f t="shared" si="88"/>
        <v/>
      </c>
      <c r="Q3656" s="5"/>
      <c r="R3656" s="5"/>
    </row>
    <row r="3657" spans="2:18" x14ac:dyDescent="0.25">
      <c r="B3657" s="19" t="s">
        <v>4911</v>
      </c>
      <c r="C3657" s="16" t="s">
        <v>4832</v>
      </c>
      <c r="D3657" s="16" t="s">
        <v>8152</v>
      </c>
      <c r="E3657" s="16" t="s">
        <v>54</v>
      </c>
      <c r="F3657" s="16" t="s">
        <v>3711</v>
      </c>
      <c r="G3657" s="16" t="s">
        <v>35</v>
      </c>
      <c r="H3657" s="16"/>
      <c r="I3657" s="16"/>
      <c r="J3657" s="16"/>
      <c r="K3657" s="16"/>
      <c r="L3657" s="16"/>
      <c r="M3657" s="16"/>
      <c r="N3657" s="16"/>
      <c r="O3657" s="17" t="s">
        <v>38</v>
      </c>
      <c r="P3657" s="5" t="str">
        <f t="shared" si="88"/>
        <v/>
      </c>
      <c r="Q3657" s="5"/>
      <c r="R3657" s="5"/>
    </row>
    <row r="3658" spans="2:18" x14ac:dyDescent="0.25">
      <c r="B3658" s="19" t="s">
        <v>4912</v>
      </c>
      <c r="C3658" s="16"/>
      <c r="D3658" s="16" t="s">
        <v>29</v>
      </c>
      <c r="E3658" s="16" t="s">
        <v>54</v>
      </c>
      <c r="F3658" s="16" t="s">
        <v>3711</v>
      </c>
      <c r="G3658" s="16" t="s">
        <v>35</v>
      </c>
      <c r="H3658" s="16"/>
      <c r="I3658" s="16"/>
      <c r="J3658" s="16"/>
      <c r="K3658" s="16"/>
      <c r="L3658" s="16"/>
      <c r="M3658" s="16"/>
      <c r="N3658" s="16"/>
      <c r="O3658" s="17"/>
      <c r="P3658" s="5" t="str">
        <f t="shared" si="88"/>
        <v>Truncate table FXT81A;</v>
      </c>
      <c r="Q3658" s="5"/>
      <c r="R3658" s="5"/>
    </row>
    <row r="3659" spans="2:18" x14ac:dyDescent="0.25">
      <c r="B3659" s="19" t="s">
        <v>4913</v>
      </c>
      <c r="C3659" s="16" t="s">
        <v>4832</v>
      </c>
      <c r="D3659" s="16" t="s">
        <v>8152</v>
      </c>
      <c r="E3659" s="16" t="s">
        <v>54</v>
      </c>
      <c r="F3659" s="16" t="s">
        <v>3711</v>
      </c>
      <c r="G3659" s="16" t="s">
        <v>35</v>
      </c>
      <c r="H3659" s="16"/>
      <c r="I3659" s="16"/>
      <c r="J3659" s="16"/>
      <c r="K3659" s="16"/>
      <c r="L3659" s="16"/>
      <c r="M3659" s="16"/>
      <c r="N3659" s="16"/>
      <c r="O3659" s="17" t="s">
        <v>38</v>
      </c>
      <c r="P3659" s="5" t="str">
        <f t="shared" si="88"/>
        <v/>
      </c>
      <c r="Q3659" s="5"/>
      <c r="R3659" s="5"/>
    </row>
    <row r="3660" spans="2:18" x14ac:dyDescent="0.25">
      <c r="B3660" s="19" t="s">
        <v>4914</v>
      </c>
      <c r="C3660" s="16" t="s">
        <v>4832</v>
      </c>
      <c r="D3660" s="16" t="s">
        <v>8152</v>
      </c>
      <c r="E3660" s="16" t="s">
        <v>54</v>
      </c>
      <c r="F3660" s="16" t="s">
        <v>3711</v>
      </c>
      <c r="G3660" s="16" t="s">
        <v>35</v>
      </c>
      <c r="H3660" s="16"/>
      <c r="I3660" s="16"/>
      <c r="J3660" s="16"/>
      <c r="K3660" s="16"/>
      <c r="L3660" s="16"/>
      <c r="M3660" s="16"/>
      <c r="N3660" s="16"/>
      <c r="O3660" s="17" t="s">
        <v>38</v>
      </c>
      <c r="P3660" s="5" t="str">
        <f t="shared" si="88"/>
        <v/>
      </c>
      <c r="Q3660" s="5"/>
      <c r="R3660" s="5"/>
    </row>
    <row r="3661" spans="2:18" x14ac:dyDescent="0.25">
      <c r="B3661" s="19" t="s">
        <v>4915</v>
      </c>
      <c r="C3661" s="16" t="s">
        <v>4832</v>
      </c>
      <c r="D3661" s="16" t="s">
        <v>8152</v>
      </c>
      <c r="E3661" s="16" t="s">
        <v>54</v>
      </c>
      <c r="F3661" s="16" t="s">
        <v>3711</v>
      </c>
      <c r="G3661" s="16" t="s">
        <v>35</v>
      </c>
      <c r="H3661" s="16"/>
      <c r="I3661" s="16"/>
      <c r="J3661" s="16"/>
      <c r="K3661" s="16"/>
      <c r="L3661" s="16"/>
      <c r="M3661" s="16"/>
      <c r="N3661" s="16"/>
      <c r="O3661" s="17" t="s">
        <v>38</v>
      </c>
      <c r="P3661" s="5" t="str">
        <f t="shared" si="88"/>
        <v/>
      </c>
      <c r="Q3661" s="5"/>
      <c r="R3661" s="5"/>
    </row>
    <row r="3662" spans="2:18" x14ac:dyDescent="0.25">
      <c r="B3662" s="19" t="s">
        <v>4916</v>
      </c>
      <c r="C3662" s="16" t="s">
        <v>4832</v>
      </c>
      <c r="D3662" s="16" t="s">
        <v>8152</v>
      </c>
      <c r="E3662" s="16" t="s">
        <v>54</v>
      </c>
      <c r="F3662" s="16" t="s">
        <v>3711</v>
      </c>
      <c r="G3662" s="16" t="s">
        <v>35</v>
      </c>
      <c r="H3662" s="16"/>
      <c r="I3662" s="16"/>
      <c r="J3662" s="16"/>
      <c r="K3662" s="16"/>
      <c r="L3662" s="16"/>
      <c r="M3662" s="16"/>
      <c r="N3662" s="16"/>
      <c r="O3662" s="17" t="s">
        <v>38</v>
      </c>
      <c r="P3662" s="5" t="str">
        <f t="shared" si="88"/>
        <v/>
      </c>
      <c r="Q3662" s="5"/>
      <c r="R3662" s="5"/>
    </row>
    <row r="3663" spans="2:18" x14ac:dyDescent="0.25">
      <c r="B3663" s="19" t="s">
        <v>4917</v>
      </c>
      <c r="C3663" s="16"/>
      <c r="D3663" s="16" t="s">
        <v>29</v>
      </c>
      <c r="E3663" s="16" t="s">
        <v>54</v>
      </c>
      <c r="F3663" s="16" t="s">
        <v>3711</v>
      </c>
      <c r="G3663" s="16" t="s">
        <v>35</v>
      </c>
      <c r="H3663" s="16"/>
      <c r="I3663" s="16"/>
      <c r="J3663" s="16"/>
      <c r="K3663" s="16"/>
      <c r="L3663" s="16"/>
      <c r="M3663" s="16"/>
      <c r="N3663" s="16"/>
      <c r="O3663" s="17"/>
      <c r="P3663" s="5" t="str">
        <f t="shared" si="88"/>
        <v>Truncate table FXT830;</v>
      </c>
      <c r="Q3663" s="5"/>
      <c r="R3663" s="5"/>
    </row>
    <row r="3664" spans="2:18" x14ac:dyDescent="0.25">
      <c r="B3664" s="19" t="s">
        <v>4918</v>
      </c>
      <c r="C3664" s="16"/>
      <c r="D3664" s="16" t="s">
        <v>29</v>
      </c>
      <c r="E3664" s="16" t="s">
        <v>54</v>
      </c>
      <c r="F3664" s="16" t="s">
        <v>3711</v>
      </c>
      <c r="G3664" s="16" t="s">
        <v>35</v>
      </c>
      <c r="H3664" s="16"/>
      <c r="I3664" s="16"/>
      <c r="J3664" s="16"/>
      <c r="K3664" s="16"/>
      <c r="L3664" s="16"/>
      <c r="M3664" s="16"/>
      <c r="N3664" s="16"/>
      <c r="O3664" s="17"/>
      <c r="P3664" s="5" t="str">
        <f t="shared" si="88"/>
        <v>Truncate table FXT831;</v>
      </c>
      <c r="Q3664" s="5"/>
      <c r="R3664" s="5"/>
    </row>
    <row r="3665" spans="2:18" x14ac:dyDescent="0.25">
      <c r="B3665" s="19" t="s">
        <v>4919</v>
      </c>
      <c r="C3665" s="16"/>
      <c r="D3665" s="16" t="s">
        <v>29</v>
      </c>
      <c r="E3665" s="16" t="s">
        <v>54</v>
      </c>
      <c r="F3665" s="16" t="s">
        <v>3711</v>
      </c>
      <c r="G3665" s="16" t="s">
        <v>35</v>
      </c>
      <c r="H3665" s="16"/>
      <c r="I3665" s="16"/>
      <c r="J3665" s="16"/>
      <c r="K3665" s="16"/>
      <c r="L3665" s="16"/>
      <c r="M3665" s="16"/>
      <c r="N3665" s="16"/>
      <c r="O3665" s="17"/>
      <c r="P3665" s="5" t="str">
        <f t="shared" si="88"/>
        <v>Truncate table FXT832;</v>
      </c>
      <c r="Q3665" s="5"/>
      <c r="R3665" s="5"/>
    </row>
    <row r="3666" spans="2:18" x14ac:dyDescent="0.25">
      <c r="B3666" s="19" t="s">
        <v>4920</v>
      </c>
      <c r="C3666" s="16" t="s">
        <v>4832</v>
      </c>
      <c r="D3666" s="16" t="s">
        <v>8152</v>
      </c>
      <c r="E3666" s="16" t="s">
        <v>54</v>
      </c>
      <c r="F3666" s="16" t="s">
        <v>3711</v>
      </c>
      <c r="G3666" s="16" t="s">
        <v>35</v>
      </c>
      <c r="H3666" s="16"/>
      <c r="I3666" s="16"/>
      <c r="J3666" s="16"/>
      <c r="K3666" s="16"/>
      <c r="L3666" s="16"/>
      <c r="M3666" s="16"/>
      <c r="N3666" s="16"/>
      <c r="O3666" s="17" t="s">
        <v>38</v>
      </c>
      <c r="P3666" s="5" t="str">
        <f t="shared" si="88"/>
        <v/>
      </c>
      <c r="Q3666" s="5"/>
      <c r="R3666" s="5"/>
    </row>
    <row r="3667" spans="2:18" x14ac:dyDescent="0.25">
      <c r="B3667" s="19" t="s">
        <v>4921</v>
      </c>
      <c r="C3667" s="16" t="s">
        <v>4832</v>
      </c>
      <c r="D3667" s="16" t="s">
        <v>8152</v>
      </c>
      <c r="E3667" s="16" t="s">
        <v>54</v>
      </c>
      <c r="F3667" s="16" t="s">
        <v>3711</v>
      </c>
      <c r="G3667" s="16" t="s">
        <v>35</v>
      </c>
      <c r="H3667" s="16"/>
      <c r="I3667" s="16"/>
      <c r="J3667" s="16"/>
      <c r="K3667" s="16"/>
      <c r="L3667" s="16"/>
      <c r="M3667" s="16"/>
      <c r="N3667" s="16"/>
      <c r="O3667" s="17" t="s">
        <v>38</v>
      </c>
      <c r="P3667" s="5" t="str">
        <f t="shared" si="88"/>
        <v/>
      </c>
      <c r="Q3667" s="5"/>
      <c r="R3667" s="5"/>
    </row>
    <row r="3668" spans="2:18" x14ac:dyDescent="0.25">
      <c r="B3668" s="19" t="s">
        <v>4922</v>
      </c>
      <c r="C3668" s="16" t="s">
        <v>4832</v>
      </c>
      <c r="D3668" s="16" t="s">
        <v>29</v>
      </c>
      <c r="E3668" s="16" t="s">
        <v>54</v>
      </c>
      <c r="F3668" s="16" t="s">
        <v>3711</v>
      </c>
      <c r="G3668" s="16" t="s">
        <v>35</v>
      </c>
      <c r="H3668" s="16"/>
      <c r="I3668" s="16"/>
      <c r="J3668" s="16"/>
      <c r="K3668" s="16"/>
      <c r="L3668" s="16"/>
      <c r="M3668" s="16"/>
      <c r="N3668" s="16"/>
      <c r="O3668" s="17" t="s">
        <v>38</v>
      </c>
      <c r="P3668" s="5" t="str">
        <f t="shared" si="88"/>
        <v>Truncate table FXT880;</v>
      </c>
      <c r="Q3668" s="5"/>
      <c r="R3668" s="5"/>
    </row>
    <row r="3669" spans="2:18" x14ac:dyDescent="0.25">
      <c r="B3669" s="19" t="s">
        <v>4923</v>
      </c>
      <c r="C3669" s="16" t="s">
        <v>4832</v>
      </c>
      <c r="D3669" s="16" t="s">
        <v>29</v>
      </c>
      <c r="E3669" s="16" t="s">
        <v>54</v>
      </c>
      <c r="F3669" s="16" t="s">
        <v>3711</v>
      </c>
      <c r="G3669" s="16" t="s">
        <v>35</v>
      </c>
      <c r="H3669" s="16"/>
      <c r="I3669" s="16"/>
      <c r="J3669" s="16"/>
      <c r="K3669" s="16"/>
      <c r="L3669" s="16"/>
      <c r="M3669" s="16"/>
      <c r="N3669" s="16"/>
      <c r="O3669" s="17" t="s">
        <v>38</v>
      </c>
      <c r="P3669" s="5" t="str">
        <f t="shared" si="88"/>
        <v>Truncate table FXT881;</v>
      </c>
      <c r="Q3669" s="5"/>
      <c r="R3669" s="5"/>
    </row>
    <row r="3670" spans="2:18" x14ac:dyDescent="0.25">
      <c r="B3670" s="19" t="s">
        <v>4924</v>
      </c>
      <c r="C3670" s="16" t="s">
        <v>4832</v>
      </c>
      <c r="D3670" s="16" t="s">
        <v>29</v>
      </c>
      <c r="E3670" s="16" t="s">
        <v>54</v>
      </c>
      <c r="F3670" s="16" t="s">
        <v>3711</v>
      </c>
      <c r="G3670" s="16" t="s">
        <v>35</v>
      </c>
      <c r="H3670" s="16"/>
      <c r="I3670" s="16"/>
      <c r="J3670" s="16"/>
      <c r="K3670" s="16"/>
      <c r="L3670" s="16"/>
      <c r="M3670" s="16"/>
      <c r="N3670" s="16"/>
      <c r="O3670" s="17" t="s">
        <v>38</v>
      </c>
      <c r="P3670" s="5" t="str">
        <f t="shared" si="88"/>
        <v>Truncate table FXT882;</v>
      </c>
      <c r="Q3670" s="5"/>
      <c r="R3670" s="5"/>
    </row>
    <row r="3671" spans="2:18" ht="40.5" x14ac:dyDescent="0.25">
      <c r="B3671" s="4" t="s">
        <v>4925</v>
      </c>
      <c r="C3671" s="5" t="s">
        <v>4926</v>
      </c>
      <c r="D3671" s="25" t="s">
        <v>8152</v>
      </c>
      <c r="E3671" s="16" t="s">
        <v>54</v>
      </c>
      <c r="F3671" s="16" t="s">
        <v>3711</v>
      </c>
      <c r="G3671" s="16" t="s">
        <v>35</v>
      </c>
      <c r="H3671" s="16" t="s">
        <v>36</v>
      </c>
      <c r="I3671" s="5" t="s">
        <v>4927</v>
      </c>
      <c r="J3671" s="5" t="s">
        <v>4928</v>
      </c>
      <c r="K3671" s="5" t="s">
        <v>2204</v>
      </c>
      <c r="L3671" s="5"/>
      <c r="M3671" s="5"/>
      <c r="N3671" s="5" t="s">
        <v>4929</v>
      </c>
      <c r="O3671" s="17"/>
      <c r="P3671" s="5" t="str">
        <f t="shared" si="88"/>
        <v/>
      </c>
      <c r="Q3671" s="5"/>
      <c r="R3671" s="5"/>
    </row>
    <row r="3672" spans="2:18" ht="40.5" x14ac:dyDescent="0.25">
      <c r="B3672" s="4" t="s">
        <v>4930</v>
      </c>
      <c r="C3672" s="5" t="s">
        <v>4931</v>
      </c>
      <c r="D3672" s="25" t="s">
        <v>8152</v>
      </c>
      <c r="E3672" s="16" t="s">
        <v>54</v>
      </c>
      <c r="F3672" s="16" t="s">
        <v>3711</v>
      </c>
      <c r="G3672" s="16" t="s">
        <v>35</v>
      </c>
      <c r="H3672" s="16" t="s">
        <v>36</v>
      </c>
      <c r="I3672" s="5" t="s">
        <v>4932</v>
      </c>
      <c r="J3672" s="5" t="s">
        <v>4933</v>
      </c>
      <c r="K3672" s="5" t="s">
        <v>2204</v>
      </c>
      <c r="L3672" s="5"/>
      <c r="M3672" s="5"/>
      <c r="N3672" s="5" t="s">
        <v>4934</v>
      </c>
      <c r="O3672" s="17"/>
      <c r="P3672" s="5" t="str">
        <f t="shared" si="88"/>
        <v/>
      </c>
      <c r="Q3672" s="5"/>
      <c r="R3672" s="5"/>
    </row>
    <row r="3673" spans="2:18" ht="40.5" x14ac:dyDescent="0.25">
      <c r="B3673" s="4" t="s">
        <v>4935</v>
      </c>
      <c r="C3673" s="5" t="s">
        <v>4936</v>
      </c>
      <c r="D3673" s="25" t="s">
        <v>8152</v>
      </c>
      <c r="E3673" s="16" t="s">
        <v>54</v>
      </c>
      <c r="F3673" s="16" t="s">
        <v>3711</v>
      </c>
      <c r="G3673" s="16" t="s">
        <v>35</v>
      </c>
      <c r="H3673" s="16" t="s">
        <v>36</v>
      </c>
      <c r="I3673" s="5" t="s">
        <v>4937</v>
      </c>
      <c r="J3673" s="5" t="s">
        <v>4938</v>
      </c>
      <c r="K3673" s="5" t="s">
        <v>2204</v>
      </c>
      <c r="L3673" s="5"/>
      <c r="M3673" s="5"/>
      <c r="N3673" s="5" t="s">
        <v>4939</v>
      </c>
      <c r="O3673" s="17"/>
      <c r="P3673" s="5" t="str">
        <f t="shared" si="88"/>
        <v/>
      </c>
      <c r="Q3673" s="5"/>
      <c r="R3673" s="5"/>
    </row>
    <row r="3674" spans="2:18" ht="40.5" x14ac:dyDescent="0.25">
      <c r="B3674" s="4" t="s">
        <v>4940</v>
      </c>
      <c r="C3674" s="5" t="s">
        <v>4941</v>
      </c>
      <c r="D3674" s="25" t="s">
        <v>8152</v>
      </c>
      <c r="E3674" s="16" t="s">
        <v>54</v>
      </c>
      <c r="F3674" s="16" t="s">
        <v>3711</v>
      </c>
      <c r="G3674" s="16" t="s">
        <v>35</v>
      </c>
      <c r="H3674" s="16" t="s">
        <v>36</v>
      </c>
      <c r="I3674" s="5" t="s">
        <v>4942</v>
      </c>
      <c r="J3674" s="5" t="s">
        <v>4943</v>
      </c>
      <c r="K3674" s="5" t="s">
        <v>2204</v>
      </c>
      <c r="L3674" s="5"/>
      <c r="M3674" s="5"/>
      <c r="N3674" s="5" t="s">
        <v>4944</v>
      </c>
      <c r="O3674" s="17"/>
      <c r="P3674" s="5" t="str">
        <f t="shared" si="88"/>
        <v/>
      </c>
      <c r="Q3674" s="5"/>
      <c r="R3674" s="5"/>
    </row>
    <row r="3675" spans="2:18" x14ac:dyDescent="0.25">
      <c r="B3675" s="19" t="s">
        <v>4945</v>
      </c>
      <c r="C3675" s="16"/>
      <c r="D3675" s="16" t="s">
        <v>29</v>
      </c>
      <c r="E3675" s="16" t="s">
        <v>1712</v>
      </c>
      <c r="F3675" s="16" t="s">
        <v>1941</v>
      </c>
      <c r="G3675" s="16" t="s">
        <v>35</v>
      </c>
      <c r="H3675" s="16"/>
      <c r="I3675" s="16"/>
      <c r="J3675" s="16"/>
      <c r="K3675" s="16"/>
      <c r="L3675" s="16"/>
      <c r="M3675" s="16"/>
      <c r="N3675" s="16"/>
      <c r="O3675" s="17" t="s">
        <v>38</v>
      </c>
      <c r="P3675" s="5" t="str">
        <f t="shared" si="88"/>
        <v>Truncate table FXW800;</v>
      </c>
      <c r="Q3675" s="5"/>
      <c r="R3675" s="5"/>
    </row>
    <row r="3676" spans="2:18" x14ac:dyDescent="0.25">
      <c r="B3676" s="19" t="s">
        <v>4946</v>
      </c>
      <c r="C3676" s="16"/>
      <c r="D3676" s="16" t="s">
        <v>29</v>
      </c>
      <c r="E3676" s="16" t="s">
        <v>1712</v>
      </c>
      <c r="F3676" s="16" t="s">
        <v>1941</v>
      </c>
      <c r="G3676" s="16" t="s">
        <v>35</v>
      </c>
      <c r="H3676" s="16"/>
      <c r="I3676" s="16"/>
      <c r="J3676" s="16"/>
      <c r="K3676" s="16"/>
      <c r="L3676" s="16"/>
      <c r="M3676" s="16"/>
      <c r="N3676" s="16"/>
      <c r="O3676" s="17" t="s">
        <v>38</v>
      </c>
      <c r="P3676" s="5" t="str">
        <f t="shared" si="88"/>
        <v>Truncate table FXW804;</v>
      </c>
      <c r="Q3676" s="5"/>
      <c r="R3676" s="5"/>
    </row>
    <row r="3677" spans="2:18" x14ac:dyDescent="0.25">
      <c r="B3677" s="19" t="s">
        <v>4947</v>
      </c>
      <c r="C3677" s="16"/>
      <c r="D3677" s="16" t="s">
        <v>29</v>
      </c>
      <c r="E3677" s="16"/>
      <c r="F3677" s="5"/>
      <c r="G3677" s="16" t="s">
        <v>35</v>
      </c>
      <c r="H3677" s="16"/>
      <c r="I3677" s="16"/>
      <c r="J3677" s="16"/>
      <c r="K3677" s="16"/>
      <c r="L3677" s="16"/>
      <c r="M3677" s="16"/>
      <c r="N3677" s="16"/>
      <c r="O3677" s="17"/>
      <c r="P3677" s="5" t="str">
        <f t="shared" si="88"/>
        <v>Truncate table HBK001;</v>
      </c>
      <c r="Q3677" s="5"/>
      <c r="R3677" s="5"/>
    </row>
    <row r="3678" spans="2:18" x14ac:dyDescent="0.25">
      <c r="B3678" s="19" t="s">
        <v>4948</v>
      </c>
      <c r="C3678" s="16"/>
      <c r="D3678" s="16" t="s">
        <v>29</v>
      </c>
      <c r="E3678" s="16"/>
      <c r="F3678" s="5"/>
      <c r="G3678" s="16" t="s">
        <v>35</v>
      </c>
      <c r="H3678" s="16"/>
      <c r="I3678" s="16"/>
      <c r="J3678" s="16"/>
      <c r="K3678" s="16"/>
      <c r="L3678" s="16"/>
      <c r="M3678" s="16"/>
      <c r="N3678" s="16"/>
      <c r="O3678" s="17"/>
      <c r="P3678" s="5" t="str">
        <f t="shared" si="88"/>
        <v>Truncate table HBK008;</v>
      </c>
      <c r="Q3678" s="5"/>
      <c r="R3678" s="5"/>
    </row>
    <row r="3679" spans="2:18" x14ac:dyDescent="0.25">
      <c r="B3679" s="19" t="s">
        <v>4949</v>
      </c>
      <c r="C3679" s="16"/>
      <c r="D3679" s="16" t="s">
        <v>29</v>
      </c>
      <c r="E3679" s="16"/>
      <c r="F3679" s="5"/>
      <c r="G3679" s="16" t="s">
        <v>35</v>
      </c>
      <c r="H3679" s="16"/>
      <c r="I3679" s="16"/>
      <c r="J3679" s="16"/>
      <c r="K3679" s="16"/>
      <c r="L3679" s="16"/>
      <c r="M3679" s="16"/>
      <c r="N3679" s="16"/>
      <c r="O3679" s="17"/>
      <c r="P3679" s="5" t="str">
        <f t="shared" si="88"/>
        <v>Truncate table HBK030;</v>
      </c>
      <c r="Q3679" s="5"/>
      <c r="R3679" s="5"/>
    </row>
    <row r="3680" spans="2:18" x14ac:dyDescent="0.25">
      <c r="B3680" s="19" t="s">
        <v>4950</v>
      </c>
      <c r="C3680" s="16"/>
      <c r="D3680" s="16" t="s">
        <v>29</v>
      </c>
      <c r="E3680" s="16"/>
      <c r="F3680" s="5"/>
      <c r="G3680" s="16" t="s">
        <v>35</v>
      </c>
      <c r="H3680" s="16"/>
      <c r="I3680" s="16"/>
      <c r="J3680" s="16"/>
      <c r="K3680" s="16"/>
      <c r="L3680" s="16"/>
      <c r="M3680" s="16"/>
      <c r="N3680" s="16"/>
      <c r="O3680" s="17"/>
      <c r="P3680" s="5" t="str">
        <f t="shared" si="88"/>
        <v>Truncate table HBK031;</v>
      </c>
      <c r="Q3680" s="5"/>
      <c r="R3680" s="5"/>
    </row>
    <row r="3681" spans="2:18" x14ac:dyDescent="0.25">
      <c r="B3681" s="19" t="s">
        <v>4951</v>
      </c>
      <c r="C3681" s="16"/>
      <c r="D3681" s="16" t="s">
        <v>29</v>
      </c>
      <c r="E3681" s="16"/>
      <c r="F3681" s="5"/>
      <c r="G3681" s="16" t="s">
        <v>35</v>
      </c>
      <c r="H3681" s="16"/>
      <c r="I3681" s="16"/>
      <c r="J3681" s="16"/>
      <c r="K3681" s="16"/>
      <c r="L3681" s="16"/>
      <c r="M3681" s="16"/>
      <c r="N3681" s="16"/>
      <c r="O3681" s="17"/>
      <c r="P3681" s="5" t="str">
        <f t="shared" si="88"/>
        <v>Truncate table HBK070;</v>
      </c>
      <c r="Q3681" s="5"/>
      <c r="R3681" s="5"/>
    </row>
    <row r="3682" spans="2:18" x14ac:dyDescent="0.25">
      <c r="B3682" s="19" t="s">
        <v>4952</v>
      </c>
      <c r="C3682" s="16"/>
      <c r="D3682" s="16" t="s">
        <v>29</v>
      </c>
      <c r="E3682" s="16"/>
      <c r="F3682" s="5"/>
      <c r="G3682" s="16" t="s">
        <v>35</v>
      </c>
      <c r="H3682" s="16"/>
      <c r="I3682" s="16"/>
      <c r="J3682" s="16"/>
      <c r="K3682" s="16"/>
      <c r="L3682" s="16"/>
      <c r="M3682" s="16"/>
      <c r="N3682" s="16"/>
      <c r="O3682" s="17"/>
      <c r="P3682" s="5" t="str">
        <f t="shared" si="88"/>
        <v>Truncate table HBK115;</v>
      </c>
      <c r="Q3682" s="5"/>
      <c r="R3682" s="5"/>
    </row>
    <row r="3683" spans="2:18" x14ac:dyDescent="0.25">
      <c r="B3683" s="19" t="s">
        <v>4953</v>
      </c>
      <c r="C3683" s="16"/>
      <c r="D3683" s="16" t="s">
        <v>29</v>
      </c>
      <c r="E3683" s="16"/>
      <c r="F3683" s="5"/>
      <c r="G3683" s="16" t="s">
        <v>35</v>
      </c>
      <c r="H3683" s="16"/>
      <c r="I3683" s="16"/>
      <c r="J3683" s="16"/>
      <c r="K3683" s="16"/>
      <c r="L3683" s="16"/>
      <c r="M3683" s="16"/>
      <c r="N3683" s="16"/>
      <c r="O3683" s="17"/>
      <c r="P3683" s="5" t="str">
        <f t="shared" si="88"/>
        <v>Truncate table HBK116;</v>
      </c>
      <c r="Q3683" s="5"/>
      <c r="R3683" s="5"/>
    </row>
    <row r="3684" spans="2:18" x14ac:dyDescent="0.25">
      <c r="B3684" s="19" t="s">
        <v>4954</v>
      </c>
      <c r="C3684" s="16"/>
      <c r="D3684" s="16" t="s">
        <v>29</v>
      </c>
      <c r="E3684" s="16"/>
      <c r="F3684" s="5"/>
      <c r="G3684" s="16" t="s">
        <v>35</v>
      </c>
      <c r="H3684" s="16"/>
      <c r="I3684" s="16"/>
      <c r="J3684" s="16"/>
      <c r="K3684" s="16"/>
      <c r="L3684" s="16"/>
      <c r="M3684" s="16"/>
      <c r="N3684" s="16"/>
      <c r="O3684" s="17"/>
      <c r="P3684" s="5" t="str">
        <f t="shared" si="88"/>
        <v>Truncate table HBK200;</v>
      </c>
      <c r="Q3684" s="5"/>
      <c r="R3684" s="5"/>
    </row>
    <row r="3685" spans="2:18" x14ac:dyDescent="0.25">
      <c r="B3685" s="19" t="s">
        <v>4955</v>
      </c>
      <c r="C3685" s="16"/>
      <c r="D3685" s="16" t="s">
        <v>29</v>
      </c>
      <c r="E3685" s="16"/>
      <c r="F3685" s="5"/>
      <c r="G3685" s="16" t="s">
        <v>35</v>
      </c>
      <c r="H3685" s="16"/>
      <c r="I3685" s="16"/>
      <c r="J3685" s="16"/>
      <c r="K3685" s="16"/>
      <c r="L3685" s="16"/>
      <c r="M3685" s="16"/>
      <c r="N3685" s="16"/>
      <c r="O3685" s="17"/>
      <c r="P3685" s="5" t="str">
        <f t="shared" si="88"/>
        <v>Truncate table HBK201;</v>
      </c>
      <c r="Q3685" s="5"/>
      <c r="R3685" s="5"/>
    </row>
    <row r="3686" spans="2:18" x14ac:dyDescent="0.25">
      <c r="B3686" s="19" t="s">
        <v>4956</v>
      </c>
      <c r="C3686" s="16"/>
      <c r="D3686" s="16" t="s">
        <v>29</v>
      </c>
      <c r="E3686" s="16"/>
      <c r="F3686" s="5"/>
      <c r="G3686" s="16" t="s">
        <v>35</v>
      </c>
      <c r="H3686" s="16"/>
      <c r="I3686" s="16"/>
      <c r="J3686" s="16"/>
      <c r="K3686" s="16"/>
      <c r="L3686" s="16"/>
      <c r="M3686" s="16"/>
      <c r="N3686" s="16"/>
      <c r="O3686" s="17"/>
      <c r="P3686" s="5" t="str">
        <f t="shared" si="88"/>
        <v>Truncate table HBK210;</v>
      </c>
      <c r="Q3686" s="5"/>
      <c r="R3686" s="5"/>
    </row>
    <row r="3687" spans="2:18" x14ac:dyDescent="0.25">
      <c r="B3687" s="19" t="s">
        <v>4957</v>
      </c>
      <c r="C3687" s="16"/>
      <c r="D3687" s="16" t="s">
        <v>29</v>
      </c>
      <c r="E3687" s="16"/>
      <c r="F3687" s="5"/>
      <c r="G3687" s="16" t="s">
        <v>35</v>
      </c>
      <c r="H3687" s="16"/>
      <c r="I3687" s="16"/>
      <c r="J3687" s="16"/>
      <c r="K3687" s="16"/>
      <c r="L3687" s="16"/>
      <c r="M3687" s="16"/>
      <c r="N3687" s="16"/>
      <c r="O3687" s="17"/>
      <c r="P3687" s="5" t="str">
        <f t="shared" si="88"/>
        <v>Truncate table HBK220;</v>
      </c>
      <c r="Q3687" s="5"/>
      <c r="R3687" s="5"/>
    </row>
    <row r="3688" spans="2:18" x14ac:dyDescent="0.25">
      <c r="B3688" s="19" t="s">
        <v>4958</v>
      </c>
      <c r="C3688" s="16"/>
      <c r="D3688" s="16" t="s">
        <v>29</v>
      </c>
      <c r="E3688" s="16"/>
      <c r="F3688" s="5"/>
      <c r="G3688" s="16" t="s">
        <v>35</v>
      </c>
      <c r="H3688" s="16"/>
      <c r="I3688" s="16"/>
      <c r="J3688" s="16"/>
      <c r="K3688" s="16"/>
      <c r="L3688" s="16"/>
      <c r="M3688" s="16"/>
      <c r="N3688" s="16"/>
      <c r="O3688" s="17"/>
      <c r="P3688" s="5" t="str">
        <f t="shared" si="88"/>
        <v>Truncate table HBK526;</v>
      </c>
      <c r="Q3688" s="5"/>
      <c r="R3688" s="5"/>
    </row>
    <row r="3689" spans="2:18" x14ac:dyDescent="0.25">
      <c r="B3689" s="19" t="s">
        <v>4959</v>
      </c>
      <c r="C3689" s="16"/>
      <c r="D3689" s="16" t="s">
        <v>29</v>
      </c>
      <c r="E3689" s="16"/>
      <c r="F3689" s="5"/>
      <c r="G3689" s="16" t="s">
        <v>35</v>
      </c>
      <c r="H3689" s="16"/>
      <c r="I3689" s="16"/>
      <c r="J3689" s="16"/>
      <c r="K3689" s="16"/>
      <c r="L3689" s="16"/>
      <c r="M3689" s="16"/>
      <c r="N3689" s="16"/>
      <c r="O3689" s="17"/>
      <c r="P3689" s="5" t="str">
        <f t="shared" si="88"/>
        <v>Truncate table HNUA00;</v>
      </c>
      <c r="Q3689" s="5"/>
      <c r="R3689" s="5"/>
    </row>
    <row r="3690" spans="2:18" x14ac:dyDescent="0.25">
      <c r="B3690" s="12" t="s">
        <v>4960</v>
      </c>
      <c r="C3690" s="5"/>
      <c r="D3690" s="5" t="s">
        <v>29</v>
      </c>
      <c r="E3690" s="5" t="s">
        <v>734</v>
      </c>
      <c r="F3690" s="5" t="s">
        <v>4961</v>
      </c>
      <c r="G3690" s="5" t="s">
        <v>28</v>
      </c>
      <c r="H3690" s="5"/>
      <c r="I3690" s="5"/>
      <c r="J3690" s="5"/>
      <c r="K3690" s="5"/>
      <c r="L3690" s="5"/>
      <c r="M3690" s="5"/>
      <c r="N3690" s="5"/>
      <c r="O3690" s="17" t="s">
        <v>38</v>
      </c>
      <c r="P3690" s="5" t="str">
        <f t="shared" si="88"/>
        <v>Truncate table HNUA01;</v>
      </c>
      <c r="Q3690" s="5"/>
      <c r="R3690" s="5"/>
    </row>
    <row r="3691" spans="2:18" x14ac:dyDescent="0.25">
      <c r="B3691" s="19" t="s">
        <v>4962</v>
      </c>
      <c r="C3691" s="16"/>
      <c r="D3691" s="16" t="s">
        <v>29</v>
      </c>
      <c r="E3691" s="16"/>
      <c r="F3691" s="5"/>
      <c r="G3691" s="16" t="s">
        <v>35</v>
      </c>
      <c r="H3691" s="16"/>
      <c r="I3691" s="16"/>
      <c r="J3691" s="16"/>
      <c r="K3691" s="16"/>
      <c r="L3691" s="16"/>
      <c r="M3691" s="16"/>
      <c r="N3691" s="16"/>
      <c r="O3691" s="17"/>
      <c r="P3691" s="5" t="str">
        <f t="shared" si="88"/>
        <v>Truncate table HNUA02;</v>
      </c>
      <c r="Q3691" s="5"/>
      <c r="R3691" s="5"/>
    </row>
    <row r="3692" spans="2:18" x14ac:dyDescent="0.25">
      <c r="B3692" s="19" t="s">
        <v>4963</v>
      </c>
      <c r="C3692" s="16"/>
      <c r="D3692" s="16" t="s">
        <v>29</v>
      </c>
      <c r="E3692" s="16"/>
      <c r="F3692" s="5"/>
      <c r="G3692" s="16" t="s">
        <v>35</v>
      </c>
      <c r="H3692" s="16"/>
      <c r="I3692" s="16"/>
      <c r="J3692" s="16"/>
      <c r="K3692" s="16"/>
      <c r="L3692" s="16"/>
      <c r="M3692" s="16"/>
      <c r="N3692" s="16"/>
      <c r="O3692" s="17"/>
      <c r="P3692" s="5" t="str">
        <f t="shared" si="88"/>
        <v>Truncate table HNUA03;</v>
      </c>
      <c r="Q3692" s="5"/>
      <c r="R3692" s="5"/>
    </row>
    <row r="3693" spans="2:18" x14ac:dyDescent="0.25">
      <c r="B3693" s="19" t="s">
        <v>4964</v>
      </c>
      <c r="C3693" s="16"/>
      <c r="D3693" s="16" t="s">
        <v>29</v>
      </c>
      <c r="E3693" s="16"/>
      <c r="F3693" s="5"/>
      <c r="G3693" s="16" t="s">
        <v>35</v>
      </c>
      <c r="H3693" s="16"/>
      <c r="I3693" s="16"/>
      <c r="J3693" s="16"/>
      <c r="K3693" s="16"/>
      <c r="L3693" s="16"/>
      <c r="M3693" s="16"/>
      <c r="N3693" s="16"/>
      <c r="O3693" s="17"/>
      <c r="P3693" s="5" t="str">
        <f t="shared" si="88"/>
        <v>Truncate table HNUA04;</v>
      </c>
      <c r="Q3693" s="5"/>
      <c r="R3693" s="5"/>
    </row>
    <row r="3694" spans="2:18" x14ac:dyDescent="0.25">
      <c r="B3694" s="12" t="s">
        <v>4965</v>
      </c>
      <c r="C3694" s="5"/>
      <c r="D3694" s="5" t="s">
        <v>29</v>
      </c>
      <c r="E3694" s="5" t="s">
        <v>734</v>
      </c>
      <c r="F3694" s="5" t="s">
        <v>4961</v>
      </c>
      <c r="G3694" s="5" t="s">
        <v>28</v>
      </c>
      <c r="H3694" s="5"/>
      <c r="I3694" s="5"/>
      <c r="J3694" s="5"/>
      <c r="K3694" s="5"/>
      <c r="L3694" s="5"/>
      <c r="M3694" s="5"/>
      <c r="N3694" s="5"/>
      <c r="O3694" s="17" t="s">
        <v>38</v>
      </c>
      <c r="P3694" s="5" t="str">
        <f t="shared" si="88"/>
        <v>Truncate table HNUA05;</v>
      </c>
      <c r="Q3694" s="5"/>
      <c r="R3694" s="5"/>
    </row>
    <row r="3695" spans="2:18" x14ac:dyDescent="0.25">
      <c r="B3695" s="19" t="s">
        <v>4966</v>
      </c>
      <c r="C3695" s="16"/>
      <c r="D3695" s="16" t="s">
        <v>29</v>
      </c>
      <c r="E3695" s="16"/>
      <c r="F3695" s="5"/>
      <c r="G3695" s="16" t="s">
        <v>35</v>
      </c>
      <c r="H3695" s="16"/>
      <c r="I3695" s="16"/>
      <c r="J3695" s="16"/>
      <c r="K3695" s="16"/>
      <c r="L3695" s="16"/>
      <c r="M3695" s="16"/>
      <c r="N3695" s="16"/>
      <c r="O3695" s="17"/>
      <c r="P3695" s="5" t="str">
        <f t="shared" si="88"/>
        <v>Truncate table HNUA06;</v>
      </c>
      <c r="Q3695" s="5"/>
      <c r="R3695" s="5"/>
    </row>
    <row r="3696" spans="2:18" x14ac:dyDescent="0.25">
      <c r="B3696" s="12" t="s">
        <v>4967</v>
      </c>
      <c r="C3696" s="5"/>
      <c r="D3696" s="5" t="s">
        <v>29</v>
      </c>
      <c r="E3696" s="5" t="s">
        <v>734</v>
      </c>
      <c r="F3696" s="5" t="s">
        <v>4961</v>
      </c>
      <c r="G3696" s="5" t="s">
        <v>28</v>
      </c>
      <c r="H3696" s="5"/>
      <c r="I3696" s="5"/>
      <c r="J3696" s="5"/>
      <c r="K3696" s="5"/>
      <c r="L3696" s="5"/>
      <c r="M3696" s="5"/>
      <c r="N3696" s="5"/>
      <c r="O3696" s="17" t="s">
        <v>38</v>
      </c>
      <c r="P3696" s="5" t="str">
        <f t="shared" si="88"/>
        <v>Truncate table HNUA07;</v>
      </c>
      <c r="Q3696" s="5"/>
      <c r="R3696" s="5"/>
    </row>
    <row r="3697" spans="2:18" x14ac:dyDescent="0.25">
      <c r="B3697" s="12" t="s">
        <v>4968</v>
      </c>
      <c r="C3697" s="5"/>
      <c r="D3697" s="5" t="s">
        <v>29</v>
      </c>
      <c r="E3697" s="5" t="s">
        <v>734</v>
      </c>
      <c r="F3697" s="5" t="s">
        <v>4961</v>
      </c>
      <c r="G3697" s="5" t="s">
        <v>28</v>
      </c>
      <c r="H3697" s="5"/>
      <c r="I3697" s="5"/>
      <c r="J3697" s="5"/>
      <c r="K3697" s="5"/>
      <c r="L3697" s="5"/>
      <c r="M3697" s="5"/>
      <c r="N3697" s="5"/>
      <c r="O3697" s="17" t="s">
        <v>38</v>
      </c>
      <c r="P3697" s="5" t="str">
        <f t="shared" si="88"/>
        <v>Truncate table HNUA08;</v>
      </c>
      <c r="Q3697" s="5"/>
      <c r="R3697" s="5"/>
    </row>
    <row r="3698" spans="2:18" x14ac:dyDescent="0.25">
      <c r="B3698" s="19" t="s">
        <v>4969</v>
      </c>
      <c r="C3698" s="16"/>
      <c r="D3698" s="16" t="s">
        <v>29</v>
      </c>
      <c r="E3698" s="16"/>
      <c r="F3698" s="5"/>
      <c r="G3698" s="16" t="s">
        <v>35</v>
      </c>
      <c r="H3698" s="16"/>
      <c r="I3698" s="16"/>
      <c r="J3698" s="16"/>
      <c r="K3698" s="16"/>
      <c r="L3698" s="16"/>
      <c r="M3698" s="16"/>
      <c r="N3698" s="16"/>
      <c r="O3698" s="17"/>
      <c r="P3698" s="5" t="str">
        <f t="shared" si="88"/>
        <v>Truncate table HNUA09;</v>
      </c>
      <c r="Q3698" s="5"/>
      <c r="R3698" s="5"/>
    </row>
    <row r="3699" spans="2:18" x14ac:dyDescent="0.25">
      <c r="B3699" s="12" t="s">
        <v>4970</v>
      </c>
      <c r="C3699" s="5"/>
      <c r="D3699" s="5" t="s">
        <v>29</v>
      </c>
      <c r="E3699" s="5" t="s">
        <v>734</v>
      </c>
      <c r="F3699" s="5" t="s">
        <v>4961</v>
      </c>
      <c r="G3699" s="5" t="s">
        <v>28</v>
      </c>
      <c r="H3699" s="5"/>
      <c r="I3699" s="5"/>
      <c r="J3699" s="5"/>
      <c r="K3699" s="5"/>
      <c r="L3699" s="5"/>
      <c r="M3699" s="5"/>
      <c r="N3699" s="5"/>
      <c r="O3699" s="17" t="s">
        <v>38</v>
      </c>
      <c r="P3699" s="5" t="str">
        <f t="shared" si="88"/>
        <v>Truncate table HNUA10;</v>
      </c>
      <c r="Q3699" s="5"/>
      <c r="R3699" s="5"/>
    </row>
    <row r="3700" spans="2:18" x14ac:dyDescent="0.25">
      <c r="B3700" s="19" t="s">
        <v>4971</v>
      </c>
      <c r="C3700" s="16"/>
      <c r="D3700" s="16" t="s">
        <v>29</v>
      </c>
      <c r="E3700" s="16"/>
      <c r="F3700" s="5"/>
      <c r="G3700" s="16" t="s">
        <v>35</v>
      </c>
      <c r="H3700" s="16"/>
      <c r="I3700" s="16"/>
      <c r="J3700" s="16"/>
      <c r="K3700" s="16"/>
      <c r="L3700" s="16"/>
      <c r="M3700" s="16"/>
      <c r="N3700" s="16"/>
      <c r="O3700" s="17"/>
      <c r="P3700" s="5" t="str">
        <f t="shared" si="88"/>
        <v>Truncate table HNUA11;</v>
      </c>
      <c r="Q3700" s="5"/>
      <c r="R3700" s="5"/>
    </row>
    <row r="3701" spans="2:18" x14ac:dyDescent="0.25">
      <c r="B3701" s="12" t="s">
        <v>4972</v>
      </c>
      <c r="C3701" s="5"/>
      <c r="D3701" s="5" t="s">
        <v>29</v>
      </c>
      <c r="E3701" s="5" t="s">
        <v>734</v>
      </c>
      <c r="F3701" s="5" t="s">
        <v>4961</v>
      </c>
      <c r="G3701" s="5" t="s">
        <v>28</v>
      </c>
      <c r="H3701" s="5"/>
      <c r="I3701" s="5"/>
      <c r="J3701" s="5"/>
      <c r="K3701" s="5"/>
      <c r="L3701" s="5"/>
      <c r="M3701" s="5"/>
      <c r="N3701" s="5"/>
      <c r="O3701" s="17" t="s">
        <v>38</v>
      </c>
      <c r="P3701" s="5" t="str">
        <f t="shared" si="88"/>
        <v>Truncate table HNUA12;</v>
      </c>
      <c r="Q3701" s="5"/>
      <c r="R3701" s="5"/>
    </row>
    <row r="3702" spans="2:18" x14ac:dyDescent="0.25">
      <c r="B3702" s="19" t="s">
        <v>4973</v>
      </c>
      <c r="C3702" s="16"/>
      <c r="D3702" s="16" t="s">
        <v>29</v>
      </c>
      <c r="E3702" s="16"/>
      <c r="F3702" s="5"/>
      <c r="G3702" s="16" t="s">
        <v>35</v>
      </c>
      <c r="H3702" s="16"/>
      <c r="I3702" s="16"/>
      <c r="J3702" s="16"/>
      <c r="K3702" s="16"/>
      <c r="L3702" s="16"/>
      <c r="M3702" s="16"/>
      <c r="N3702" s="16"/>
      <c r="O3702" s="17"/>
      <c r="P3702" s="5" t="str">
        <f t="shared" si="88"/>
        <v>Truncate table HNUA13;</v>
      </c>
      <c r="Q3702" s="5"/>
      <c r="R3702" s="5"/>
    </row>
    <row r="3703" spans="2:18" x14ac:dyDescent="0.25">
      <c r="B3703" s="12" t="s">
        <v>4974</v>
      </c>
      <c r="C3703" s="5"/>
      <c r="D3703" s="5" t="s">
        <v>29</v>
      </c>
      <c r="E3703" s="5" t="s">
        <v>734</v>
      </c>
      <c r="F3703" s="5" t="s">
        <v>4961</v>
      </c>
      <c r="G3703" s="5" t="s">
        <v>28</v>
      </c>
      <c r="H3703" s="5"/>
      <c r="I3703" s="5"/>
      <c r="J3703" s="5"/>
      <c r="K3703" s="5"/>
      <c r="L3703" s="5"/>
      <c r="M3703" s="5"/>
      <c r="N3703" s="5"/>
      <c r="O3703" s="17" t="s">
        <v>38</v>
      </c>
      <c r="P3703" s="5" t="str">
        <f t="shared" si="88"/>
        <v>Truncate table HNUA14;</v>
      </c>
      <c r="Q3703" s="5"/>
      <c r="R3703" s="5"/>
    </row>
    <row r="3704" spans="2:18" x14ac:dyDescent="0.25">
      <c r="B3704" s="19" t="s">
        <v>4975</v>
      </c>
      <c r="C3704" s="16"/>
      <c r="D3704" s="16" t="s">
        <v>29</v>
      </c>
      <c r="E3704" s="16"/>
      <c r="F3704" s="5"/>
      <c r="G3704" s="16" t="s">
        <v>35</v>
      </c>
      <c r="H3704" s="16"/>
      <c r="I3704" s="16"/>
      <c r="J3704" s="16"/>
      <c r="K3704" s="16"/>
      <c r="L3704" s="16"/>
      <c r="M3704" s="16"/>
      <c r="N3704" s="16"/>
      <c r="O3704" s="17"/>
      <c r="P3704" s="5" t="str">
        <f t="shared" si="88"/>
        <v>Truncate table HNUA15;</v>
      </c>
      <c r="Q3704" s="5"/>
      <c r="R3704" s="5"/>
    </row>
    <row r="3705" spans="2:18" x14ac:dyDescent="0.25">
      <c r="B3705" s="19" t="s">
        <v>4976</v>
      </c>
      <c r="C3705" s="16"/>
      <c r="D3705" s="16" t="s">
        <v>29</v>
      </c>
      <c r="E3705" s="16"/>
      <c r="F3705" s="5"/>
      <c r="G3705" s="16" t="s">
        <v>35</v>
      </c>
      <c r="H3705" s="16"/>
      <c r="I3705" s="16"/>
      <c r="J3705" s="16"/>
      <c r="K3705" s="16"/>
      <c r="L3705" s="16"/>
      <c r="M3705" s="16"/>
      <c r="N3705" s="16"/>
      <c r="O3705" s="17"/>
      <c r="P3705" s="5" t="str">
        <f t="shared" si="88"/>
        <v>Truncate table HNUA16;</v>
      </c>
      <c r="Q3705" s="5"/>
      <c r="R3705" s="5"/>
    </row>
    <row r="3706" spans="2:18" x14ac:dyDescent="0.25">
      <c r="B3706" s="19" t="s">
        <v>4977</v>
      </c>
      <c r="C3706" s="16"/>
      <c r="D3706" s="16" t="s">
        <v>29</v>
      </c>
      <c r="E3706" s="16"/>
      <c r="F3706" s="5"/>
      <c r="G3706" s="16" t="s">
        <v>35</v>
      </c>
      <c r="H3706" s="16"/>
      <c r="I3706" s="16"/>
      <c r="J3706" s="16"/>
      <c r="K3706" s="16"/>
      <c r="L3706" s="16"/>
      <c r="M3706" s="16"/>
      <c r="N3706" s="16"/>
      <c r="O3706" s="17"/>
      <c r="P3706" s="5" t="str">
        <f t="shared" si="88"/>
        <v>Truncate table HNUA17;</v>
      </c>
      <c r="Q3706" s="5"/>
      <c r="R3706" s="5"/>
    </row>
    <row r="3707" spans="2:18" x14ac:dyDescent="0.25">
      <c r="B3707" s="19" t="s">
        <v>4978</v>
      </c>
      <c r="C3707" s="16"/>
      <c r="D3707" s="16" t="s">
        <v>29</v>
      </c>
      <c r="E3707" s="16"/>
      <c r="F3707" s="5"/>
      <c r="G3707" s="16" t="s">
        <v>35</v>
      </c>
      <c r="H3707" s="16"/>
      <c r="I3707" s="16"/>
      <c r="J3707" s="16"/>
      <c r="K3707" s="16"/>
      <c r="L3707" s="16"/>
      <c r="M3707" s="16"/>
      <c r="N3707" s="16"/>
      <c r="O3707" s="17"/>
      <c r="P3707" s="5" t="str">
        <f t="shared" si="88"/>
        <v>Truncate table HNUA18;</v>
      </c>
      <c r="Q3707" s="5"/>
      <c r="R3707" s="5"/>
    </row>
    <row r="3708" spans="2:18" x14ac:dyDescent="0.25">
      <c r="B3708" s="19" t="s">
        <v>4979</v>
      </c>
      <c r="C3708" s="16"/>
      <c r="D3708" s="16" t="s">
        <v>29</v>
      </c>
      <c r="E3708" s="16"/>
      <c r="F3708" s="5"/>
      <c r="G3708" s="16" t="s">
        <v>35</v>
      </c>
      <c r="H3708" s="16"/>
      <c r="I3708" s="16"/>
      <c r="J3708" s="16"/>
      <c r="K3708" s="16"/>
      <c r="L3708" s="16"/>
      <c r="M3708" s="16"/>
      <c r="N3708" s="16"/>
      <c r="O3708" s="17"/>
      <c r="P3708" s="5" t="str">
        <f t="shared" si="88"/>
        <v>Truncate table HNUA20;</v>
      </c>
      <c r="Q3708" s="5"/>
      <c r="R3708" s="5"/>
    </row>
    <row r="3709" spans="2:18" x14ac:dyDescent="0.25">
      <c r="B3709" s="12" t="s">
        <v>4980</v>
      </c>
      <c r="C3709" s="5"/>
      <c r="D3709" s="5" t="s">
        <v>29</v>
      </c>
      <c r="E3709" s="5" t="s">
        <v>734</v>
      </c>
      <c r="F3709" s="5" t="s">
        <v>4961</v>
      </c>
      <c r="G3709" s="5" t="s">
        <v>28</v>
      </c>
      <c r="H3709" s="5"/>
      <c r="I3709" s="5"/>
      <c r="J3709" s="5"/>
      <c r="K3709" s="5"/>
      <c r="L3709" s="5"/>
      <c r="M3709" s="5"/>
      <c r="N3709" s="5"/>
      <c r="O3709" s="17" t="s">
        <v>38</v>
      </c>
      <c r="P3709" s="5" t="str">
        <f t="shared" si="88"/>
        <v>Truncate table HNUA22;</v>
      </c>
      <c r="Q3709" s="5"/>
      <c r="R3709" s="5"/>
    </row>
    <row r="3710" spans="2:18" x14ac:dyDescent="0.25">
      <c r="B3710" s="19" t="s">
        <v>4981</v>
      </c>
      <c r="C3710" s="16"/>
      <c r="D3710" s="16" t="s">
        <v>29</v>
      </c>
      <c r="E3710" s="16"/>
      <c r="F3710" s="5"/>
      <c r="G3710" s="16" t="s">
        <v>35</v>
      </c>
      <c r="H3710" s="16"/>
      <c r="I3710" s="16"/>
      <c r="J3710" s="16"/>
      <c r="K3710" s="16"/>
      <c r="L3710" s="16"/>
      <c r="M3710" s="16"/>
      <c r="N3710" s="16"/>
      <c r="O3710" s="17"/>
      <c r="P3710" s="5" t="str">
        <f t="shared" si="88"/>
        <v>Truncate table HNUA24;</v>
      </c>
      <c r="Q3710" s="5"/>
      <c r="R3710" s="5"/>
    </row>
    <row r="3711" spans="2:18" x14ac:dyDescent="0.25">
      <c r="B3711" s="19" t="s">
        <v>4982</v>
      </c>
      <c r="C3711" s="16"/>
      <c r="D3711" s="16" t="s">
        <v>29</v>
      </c>
      <c r="E3711" s="16"/>
      <c r="F3711" s="5"/>
      <c r="G3711" s="16" t="s">
        <v>35</v>
      </c>
      <c r="H3711" s="16"/>
      <c r="I3711" s="16"/>
      <c r="J3711" s="16"/>
      <c r="K3711" s="16"/>
      <c r="L3711" s="16"/>
      <c r="M3711" s="16"/>
      <c r="N3711" s="16"/>
      <c r="O3711" s="17"/>
      <c r="P3711" s="5" t="str">
        <f t="shared" si="88"/>
        <v>Truncate table HNUA25;</v>
      </c>
      <c r="Q3711" s="5"/>
      <c r="R3711" s="5"/>
    </row>
    <row r="3712" spans="2:18" x14ac:dyDescent="0.25">
      <c r="B3712" s="19" t="s">
        <v>4983</v>
      </c>
      <c r="C3712" s="16"/>
      <c r="D3712" s="16" t="s">
        <v>29</v>
      </c>
      <c r="E3712" s="16"/>
      <c r="F3712" s="5"/>
      <c r="G3712" s="16" t="s">
        <v>35</v>
      </c>
      <c r="H3712" s="16"/>
      <c r="I3712" s="16"/>
      <c r="J3712" s="16"/>
      <c r="K3712" s="16"/>
      <c r="L3712" s="16"/>
      <c r="M3712" s="16"/>
      <c r="N3712" s="16"/>
      <c r="O3712" s="17"/>
      <c r="P3712" s="5" t="str">
        <f t="shared" si="88"/>
        <v>Truncate table HNUA26;</v>
      </c>
      <c r="Q3712" s="5"/>
      <c r="R3712" s="5"/>
    </row>
    <row r="3713" spans="2:18" x14ac:dyDescent="0.25">
      <c r="B3713" s="19" t="s">
        <v>4984</v>
      </c>
      <c r="C3713" s="16"/>
      <c r="D3713" s="16" t="s">
        <v>29</v>
      </c>
      <c r="E3713" s="16"/>
      <c r="F3713" s="5"/>
      <c r="G3713" s="16" t="s">
        <v>35</v>
      </c>
      <c r="H3713" s="16"/>
      <c r="I3713" s="16"/>
      <c r="J3713" s="16"/>
      <c r="K3713" s="16"/>
      <c r="L3713" s="16"/>
      <c r="M3713" s="16"/>
      <c r="N3713" s="16"/>
      <c r="O3713" s="17"/>
      <c r="P3713" s="5" t="str">
        <f t="shared" ref="P3713:P3776" si="89">IF(D3713="Datos","Truncate table "&amp; B3713&amp; ";","")</f>
        <v>Truncate table HNUA27;</v>
      </c>
      <c r="Q3713" s="5"/>
      <c r="R3713" s="5"/>
    </row>
    <row r="3714" spans="2:18" x14ac:dyDescent="0.25">
      <c r="B3714" s="19" t="s">
        <v>4985</v>
      </c>
      <c r="C3714" s="16"/>
      <c r="D3714" s="16" t="s">
        <v>29</v>
      </c>
      <c r="E3714" s="16"/>
      <c r="F3714" s="5"/>
      <c r="G3714" s="16" t="s">
        <v>35</v>
      </c>
      <c r="H3714" s="16"/>
      <c r="I3714" s="16"/>
      <c r="J3714" s="16"/>
      <c r="K3714" s="16"/>
      <c r="L3714" s="16"/>
      <c r="M3714" s="16"/>
      <c r="N3714" s="16"/>
      <c r="O3714" s="17"/>
      <c r="P3714" s="5" t="str">
        <f t="shared" si="89"/>
        <v>Truncate table HNUA28;</v>
      </c>
      <c r="Q3714" s="5"/>
      <c r="R3714" s="5"/>
    </row>
    <row r="3715" spans="2:18" x14ac:dyDescent="0.25">
      <c r="B3715" s="19" t="s">
        <v>4986</v>
      </c>
      <c r="C3715" s="16"/>
      <c r="D3715" s="16" t="s">
        <v>29</v>
      </c>
      <c r="E3715" s="16"/>
      <c r="F3715" s="5"/>
      <c r="G3715" s="16" t="s">
        <v>35</v>
      </c>
      <c r="H3715" s="16"/>
      <c r="I3715" s="16"/>
      <c r="J3715" s="16"/>
      <c r="K3715" s="16"/>
      <c r="L3715" s="16"/>
      <c r="M3715" s="16"/>
      <c r="N3715" s="16"/>
      <c r="O3715" s="17"/>
      <c r="P3715" s="5" t="str">
        <f t="shared" si="89"/>
        <v>Truncate table HNUA30;</v>
      </c>
      <c r="Q3715" s="5"/>
      <c r="R3715" s="5"/>
    </row>
    <row r="3716" spans="2:18" x14ac:dyDescent="0.25">
      <c r="B3716" s="19" t="s">
        <v>4987</v>
      </c>
      <c r="C3716" s="16"/>
      <c r="D3716" s="16" t="s">
        <v>29</v>
      </c>
      <c r="E3716" s="16"/>
      <c r="F3716" s="5"/>
      <c r="G3716" s="16" t="s">
        <v>35</v>
      </c>
      <c r="H3716" s="16"/>
      <c r="I3716" s="16"/>
      <c r="J3716" s="16"/>
      <c r="K3716" s="16"/>
      <c r="L3716" s="16"/>
      <c r="M3716" s="16"/>
      <c r="N3716" s="16"/>
      <c r="O3716" s="17"/>
      <c r="P3716" s="5" t="str">
        <f t="shared" si="89"/>
        <v>Truncate table HNUA31;</v>
      </c>
      <c r="Q3716" s="5"/>
      <c r="R3716" s="5"/>
    </row>
    <row r="3717" spans="2:18" x14ac:dyDescent="0.25">
      <c r="B3717" s="19" t="s">
        <v>4988</v>
      </c>
      <c r="C3717" s="16"/>
      <c r="D3717" s="16" t="s">
        <v>29</v>
      </c>
      <c r="E3717" s="16"/>
      <c r="F3717" s="5"/>
      <c r="G3717" s="16" t="s">
        <v>35</v>
      </c>
      <c r="H3717" s="16"/>
      <c r="I3717" s="16"/>
      <c r="J3717" s="16"/>
      <c r="K3717" s="16"/>
      <c r="L3717" s="16"/>
      <c r="M3717" s="16"/>
      <c r="N3717" s="16"/>
      <c r="O3717" s="17"/>
      <c r="P3717" s="5" t="str">
        <f t="shared" si="89"/>
        <v>Truncate table HNUA39;</v>
      </c>
      <c r="Q3717" s="5"/>
      <c r="R3717" s="5"/>
    </row>
    <row r="3718" spans="2:18" x14ac:dyDescent="0.25">
      <c r="B3718" s="12" t="s">
        <v>4989</v>
      </c>
      <c r="C3718" s="5"/>
      <c r="D3718" s="5" t="s">
        <v>29</v>
      </c>
      <c r="E3718" s="5" t="s">
        <v>734</v>
      </c>
      <c r="F3718" s="5" t="s">
        <v>4961</v>
      </c>
      <c r="G3718" s="5" t="s">
        <v>28</v>
      </c>
      <c r="H3718" s="5"/>
      <c r="I3718" s="5"/>
      <c r="J3718" s="5"/>
      <c r="K3718" s="5"/>
      <c r="L3718" s="5"/>
      <c r="M3718" s="5"/>
      <c r="N3718" s="5"/>
      <c r="O3718" s="17" t="s">
        <v>38</v>
      </c>
      <c r="P3718" s="5" t="str">
        <f t="shared" si="89"/>
        <v>Truncate table HNUA40;</v>
      </c>
      <c r="Q3718" s="5"/>
      <c r="R3718" s="5"/>
    </row>
    <row r="3719" spans="2:18" x14ac:dyDescent="0.25">
      <c r="B3719" s="19" t="s">
        <v>4990</v>
      </c>
      <c r="C3719" s="16"/>
      <c r="D3719" s="16" t="s">
        <v>29</v>
      </c>
      <c r="E3719" s="16"/>
      <c r="F3719" s="5"/>
      <c r="G3719" s="16" t="s">
        <v>35</v>
      </c>
      <c r="H3719" s="16"/>
      <c r="I3719" s="16"/>
      <c r="J3719" s="16"/>
      <c r="K3719" s="16"/>
      <c r="L3719" s="16"/>
      <c r="M3719" s="16"/>
      <c r="N3719" s="16"/>
      <c r="O3719" s="17"/>
      <c r="P3719" s="5" t="str">
        <f t="shared" si="89"/>
        <v>Truncate table HNUA50;</v>
      </c>
      <c r="Q3719" s="5"/>
      <c r="R3719" s="5"/>
    </row>
    <row r="3720" spans="2:18" x14ac:dyDescent="0.25">
      <c r="B3720" s="19" t="s">
        <v>4991</v>
      </c>
      <c r="C3720" s="16"/>
      <c r="D3720" s="16" t="s">
        <v>29</v>
      </c>
      <c r="E3720" s="16"/>
      <c r="F3720" s="5"/>
      <c r="G3720" s="16" t="s">
        <v>35</v>
      </c>
      <c r="H3720" s="16"/>
      <c r="I3720" s="16"/>
      <c r="J3720" s="16"/>
      <c r="K3720" s="16"/>
      <c r="L3720" s="16"/>
      <c r="M3720" s="16"/>
      <c r="N3720" s="16"/>
      <c r="O3720" s="17"/>
      <c r="P3720" s="5" t="str">
        <f t="shared" si="89"/>
        <v>Truncate table HNUA53;</v>
      </c>
      <c r="Q3720" s="5"/>
      <c r="R3720" s="5"/>
    </row>
    <row r="3721" spans="2:18" x14ac:dyDescent="0.25">
      <c r="B3721" s="19" t="s">
        <v>4992</v>
      </c>
      <c r="C3721" s="16"/>
      <c r="D3721" s="16" t="s">
        <v>29</v>
      </c>
      <c r="E3721" s="16"/>
      <c r="F3721" s="5"/>
      <c r="G3721" s="16" t="s">
        <v>35</v>
      </c>
      <c r="H3721" s="16"/>
      <c r="I3721" s="16"/>
      <c r="J3721" s="16"/>
      <c r="K3721" s="16"/>
      <c r="L3721" s="16"/>
      <c r="M3721" s="16"/>
      <c r="N3721" s="16"/>
      <c r="O3721" s="17"/>
      <c r="P3721" s="5" t="str">
        <f t="shared" si="89"/>
        <v>Truncate table HNUA54;</v>
      </c>
      <c r="Q3721" s="5"/>
      <c r="R3721" s="5"/>
    </row>
    <row r="3722" spans="2:18" x14ac:dyDescent="0.25">
      <c r="B3722" s="19" t="s">
        <v>4993</v>
      </c>
      <c r="C3722" s="16"/>
      <c r="D3722" s="16" t="s">
        <v>29</v>
      </c>
      <c r="E3722" s="16"/>
      <c r="F3722" s="5"/>
      <c r="G3722" s="16" t="s">
        <v>35</v>
      </c>
      <c r="H3722" s="16"/>
      <c r="I3722" s="16"/>
      <c r="J3722" s="16"/>
      <c r="K3722" s="16"/>
      <c r="L3722" s="16"/>
      <c r="M3722" s="16"/>
      <c r="N3722" s="16"/>
      <c r="O3722" s="17"/>
      <c r="P3722" s="5" t="str">
        <f t="shared" si="89"/>
        <v>Truncate table HNUA69;</v>
      </c>
      <c r="Q3722" s="5"/>
      <c r="R3722" s="5"/>
    </row>
    <row r="3723" spans="2:18" x14ac:dyDescent="0.25">
      <c r="B3723" s="19" t="s">
        <v>4994</v>
      </c>
      <c r="C3723" s="16"/>
      <c r="D3723" s="16" t="s">
        <v>29</v>
      </c>
      <c r="E3723" s="16"/>
      <c r="F3723" s="5"/>
      <c r="G3723" s="16" t="s">
        <v>35</v>
      </c>
      <c r="H3723" s="16"/>
      <c r="I3723" s="16"/>
      <c r="J3723" s="16"/>
      <c r="K3723" s="16"/>
      <c r="L3723" s="16"/>
      <c r="M3723" s="16"/>
      <c r="N3723" s="16"/>
      <c r="O3723" s="17"/>
      <c r="P3723" s="5" t="str">
        <f t="shared" si="89"/>
        <v>Truncate table HNUA75;</v>
      </c>
      <c r="Q3723" s="5"/>
      <c r="R3723" s="5"/>
    </row>
    <row r="3724" spans="2:18" x14ac:dyDescent="0.25">
      <c r="B3724" s="12" t="s">
        <v>4995</v>
      </c>
      <c r="C3724" s="5"/>
      <c r="D3724" s="5" t="s">
        <v>29</v>
      </c>
      <c r="E3724" s="5" t="s">
        <v>734</v>
      </c>
      <c r="F3724" s="5" t="s">
        <v>4961</v>
      </c>
      <c r="G3724" s="5" t="s">
        <v>28</v>
      </c>
      <c r="H3724" s="5"/>
      <c r="I3724" s="5"/>
      <c r="J3724" s="5"/>
      <c r="K3724" s="5"/>
      <c r="L3724" s="5"/>
      <c r="M3724" s="5"/>
      <c r="N3724" s="5"/>
      <c r="O3724" s="17" t="s">
        <v>38</v>
      </c>
      <c r="P3724" s="5" t="str">
        <f t="shared" si="89"/>
        <v>Truncate table HNUA76;</v>
      </c>
      <c r="Q3724" s="5"/>
      <c r="R3724" s="5"/>
    </row>
    <row r="3725" spans="2:18" x14ac:dyDescent="0.25">
      <c r="B3725" s="19" t="s">
        <v>4996</v>
      </c>
      <c r="C3725" s="16"/>
      <c r="D3725" s="16" t="s">
        <v>29</v>
      </c>
      <c r="E3725" s="16"/>
      <c r="F3725" s="5"/>
      <c r="G3725" s="16" t="s">
        <v>35</v>
      </c>
      <c r="H3725" s="16"/>
      <c r="I3725" s="16"/>
      <c r="J3725" s="16"/>
      <c r="K3725" s="16"/>
      <c r="L3725" s="16"/>
      <c r="M3725" s="16"/>
      <c r="N3725" s="16"/>
      <c r="O3725" s="17"/>
      <c r="P3725" s="5" t="str">
        <f t="shared" si="89"/>
        <v>Truncate table HNUA77;</v>
      </c>
      <c r="Q3725" s="5"/>
      <c r="R3725" s="5"/>
    </row>
    <row r="3726" spans="2:18" x14ac:dyDescent="0.25">
      <c r="B3726" s="19" t="s">
        <v>4997</v>
      </c>
      <c r="C3726" s="16"/>
      <c r="D3726" s="16" t="s">
        <v>29</v>
      </c>
      <c r="E3726" s="16"/>
      <c r="F3726" s="5"/>
      <c r="G3726" s="16" t="s">
        <v>35</v>
      </c>
      <c r="H3726" s="16"/>
      <c r="I3726" s="16"/>
      <c r="J3726" s="16"/>
      <c r="K3726" s="16"/>
      <c r="L3726" s="16"/>
      <c r="M3726" s="16"/>
      <c r="N3726" s="16"/>
      <c r="O3726" s="17"/>
      <c r="P3726" s="5" t="str">
        <f t="shared" si="89"/>
        <v>Truncate table HNUA80;</v>
      </c>
      <c r="Q3726" s="5"/>
      <c r="R3726" s="5"/>
    </row>
    <row r="3727" spans="2:18" x14ac:dyDescent="0.25">
      <c r="B3727" s="19" t="s">
        <v>4998</v>
      </c>
      <c r="C3727" s="16"/>
      <c r="D3727" s="16" t="s">
        <v>29</v>
      </c>
      <c r="E3727" s="16"/>
      <c r="F3727" s="5"/>
      <c r="G3727" s="16" t="s">
        <v>35</v>
      </c>
      <c r="H3727" s="16"/>
      <c r="I3727" s="16"/>
      <c r="J3727" s="16"/>
      <c r="K3727" s="16"/>
      <c r="L3727" s="16"/>
      <c r="M3727" s="16"/>
      <c r="N3727" s="16"/>
      <c r="O3727" s="17"/>
      <c r="P3727" s="5" t="str">
        <f t="shared" si="89"/>
        <v>Truncate table HNUA81;</v>
      </c>
      <c r="Q3727" s="5"/>
      <c r="R3727" s="5"/>
    </row>
    <row r="3728" spans="2:18" x14ac:dyDescent="0.25">
      <c r="B3728" s="19" t="s">
        <v>4999</v>
      </c>
      <c r="C3728" s="16"/>
      <c r="D3728" s="16" t="s">
        <v>29</v>
      </c>
      <c r="E3728" s="16"/>
      <c r="F3728" s="5"/>
      <c r="G3728" s="16" t="s">
        <v>35</v>
      </c>
      <c r="H3728" s="16"/>
      <c r="I3728" s="16"/>
      <c r="J3728" s="16"/>
      <c r="K3728" s="16"/>
      <c r="L3728" s="16"/>
      <c r="M3728" s="16"/>
      <c r="N3728" s="16"/>
      <c r="O3728" s="17"/>
      <c r="P3728" s="5" t="str">
        <f t="shared" si="89"/>
        <v>Truncate table HNUA82;</v>
      </c>
      <c r="Q3728" s="5"/>
      <c r="R3728" s="5"/>
    </row>
    <row r="3729" spans="2:18" x14ac:dyDescent="0.25">
      <c r="B3729" s="19" t="s">
        <v>5000</v>
      </c>
      <c r="C3729" s="16"/>
      <c r="D3729" s="16" t="s">
        <v>29</v>
      </c>
      <c r="E3729" s="16"/>
      <c r="F3729" s="5"/>
      <c r="G3729" s="16" t="s">
        <v>35</v>
      </c>
      <c r="H3729" s="16"/>
      <c r="I3729" s="16"/>
      <c r="J3729" s="16"/>
      <c r="K3729" s="16"/>
      <c r="L3729" s="16"/>
      <c r="M3729" s="16"/>
      <c r="N3729" s="16"/>
      <c r="O3729" s="17"/>
      <c r="P3729" s="5" t="str">
        <f t="shared" si="89"/>
        <v>Truncate table HNUA90;</v>
      </c>
      <c r="Q3729" s="5"/>
      <c r="R3729" s="5"/>
    </row>
    <row r="3730" spans="2:18" x14ac:dyDescent="0.25">
      <c r="B3730" s="19" t="s">
        <v>5001</v>
      </c>
      <c r="C3730" s="16"/>
      <c r="D3730" s="16" t="s">
        <v>29</v>
      </c>
      <c r="E3730" s="16"/>
      <c r="F3730" s="5"/>
      <c r="G3730" s="16" t="s">
        <v>35</v>
      </c>
      <c r="H3730" s="16"/>
      <c r="I3730" s="16"/>
      <c r="J3730" s="16"/>
      <c r="K3730" s="16"/>
      <c r="L3730" s="16"/>
      <c r="M3730" s="16"/>
      <c r="N3730" s="16"/>
      <c r="O3730" s="17"/>
      <c r="P3730" s="5" t="str">
        <f t="shared" si="89"/>
        <v>Truncate table HNUAB0;</v>
      </c>
      <c r="Q3730" s="5"/>
      <c r="R3730" s="5"/>
    </row>
    <row r="3731" spans="2:18" x14ac:dyDescent="0.25">
      <c r="B3731" s="19" t="s">
        <v>5002</v>
      </c>
      <c r="C3731" s="16"/>
      <c r="D3731" s="16" t="s">
        <v>29</v>
      </c>
      <c r="E3731" s="16"/>
      <c r="F3731" s="5"/>
      <c r="G3731" s="16" t="s">
        <v>35</v>
      </c>
      <c r="H3731" s="16"/>
      <c r="I3731" s="16"/>
      <c r="J3731" s="16"/>
      <c r="K3731" s="16"/>
      <c r="L3731" s="16"/>
      <c r="M3731" s="16"/>
      <c r="N3731" s="16"/>
      <c r="O3731" s="17"/>
      <c r="P3731" s="5" t="str">
        <f t="shared" si="89"/>
        <v>Truncate table HNUAB2;</v>
      </c>
      <c r="Q3731" s="5"/>
      <c r="R3731" s="5"/>
    </row>
    <row r="3732" spans="2:18" x14ac:dyDescent="0.25">
      <c r="B3732" s="19" t="s">
        <v>5003</v>
      </c>
      <c r="C3732" s="16"/>
      <c r="D3732" s="16" t="s">
        <v>29</v>
      </c>
      <c r="E3732" s="16"/>
      <c r="F3732" s="5"/>
      <c r="G3732" s="16" t="s">
        <v>35</v>
      </c>
      <c r="H3732" s="16"/>
      <c r="I3732" s="16"/>
      <c r="J3732" s="16"/>
      <c r="K3732" s="16"/>
      <c r="L3732" s="16"/>
      <c r="M3732" s="16"/>
      <c r="N3732" s="16"/>
      <c r="O3732" s="17"/>
      <c r="P3732" s="5" t="str">
        <f t="shared" si="89"/>
        <v>Truncate table HNUAB5;</v>
      </c>
      <c r="Q3732" s="5"/>
      <c r="R3732" s="5"/>
    </row>
    <row r="3733" spans="2:18" x14ac:dyDescent="0.25">
      <c r="B3733" s="12" t="s">
        <v>5004</v>
      </c>
      <c r="C3733" s="5"/>
      <c r="D3733" s="5" t="s">
        <v>29</v>
      </c>
      <c r="E3733" s="5" t="s">
        <v>734</v>
      </c>
      <c r="F3733" s="5" t="s">
        <v>4961</v>
      </c>
      <c r="G3733" s="5" t="s">
        <v>28</v>
      </c>
      <c r="H3733" s="5"/>
      <c r="I3733" s="5"/>
      <c r="J3733" s="5"/>
      <c r="K3733" s="5"/>
      <c r="L3733" s="5"/>
      <c r="M3733" s="5"/>
      <c r="N3733" s="5"/>
      <c r="O3733" s="17" t="s">
        <v>38</v>
      </c>
      <c r="P3733" s="5" t="str">
        <f t="shared" si="89"/>
        <v>Truncate table HNUAC01;</v>
      </c>
      <c r="Q3733" s="5"/>
      <c r="R3733" s="5"/>
    </row>
    <row r="3734" spans="2:18" x14ac:dyDescent="0.25">
      <c r="B3734" s="12" t="s">
        <v>5005</v>
      </c>
      <c r="C3734" s="5"/>
      <c r="D3734" s="5" t="s">
        <v>29</v>
      </c>
      <c r="E3734" s="5" t="s">
        <v>734</v>
      </c>
      <c r="F3734" s="5" t="s">
        <v>4961</v>
      </c>
      <c r="G3734" s="5" t="s">
        <v>28</v>
      </c>
      <c r="H3734" s="5"/>
      <c r="I3734" s="5"/>
      <c r="J3734" s="5"/>
      <c r="K3734" s="5"/>
      <c r="L3734" s="5"/>
      <c r="M3734" s="5"/>
      <c r="N3734" s="5"/>
      <c r="O3734" s="17" t="s">
        <v>38</v>
      </c>
      <c r="P3734" s="5" t="str">
        <f t="shared" si="89"/>
        <v>Truncate table HNUAC02;</v>
      </c>
      <c r="Q3734" s="5"/>
      <c r="R3734" s="5"/>
    </row>
    <row r="3735" spans="2:18" x14ac:dyDescent="0.25">
      <c r="B3735" s="19" t="s">
        <v>5006</v>
      </c>
      <c r="C3735" s="16"/>
      <c r="D3735" s="16" t="s">
        <v>29</v>
      </c>
      <c r="E3735" s="16"/>
      <c r="F3735" s="5"/>
      <c r="G3735" s="16" t="s">
        <v>35</v>
      </c>
      <c r="H3735" s="16"/>
      <c r="I3735" s="16"/>
      <c r="J3735" s="16"/>
      <c r="K3735" s="16"/>
      <c r="L3735" s="16"/>
      <c r="M3735" s="16"/>
      <c r="N3735" s="16"/>
      <c r="O3735" s="17"/>
      <c r="P3735" s="5" t="str">
        <f t="shared" si="89"/>
        <v>Truncate table HNUAC03;</v>
      </c>
      <c r="Q3735" s="5"/>
      <c r="R3735" s="5"/>
    </row>
    <row r="3736" spans="2:18" x14ac:dyDescent="0.25">
      <c r="B3736" s="19" t="s">
        <v>5007</v>
      </c>
      <c r="C3736" s="16"/>
      <c r="D3736" s="16" t="s">
        <v>29</v>
      </c>
      <c r="E3736" s="16"/>
      <c r="F3736" s="5"/>
      <c r="G3736" s="16" t="s">
        <v>35</v>
      </c>
      <c r="H3736" s="16"/>
      <c r="I3736" s="16"/>
      <c r="J3736" s="16"/>
      <c r="K3736" s="16"/>
      <c r="L3736" s="16"/>
      <c r="M3736" s="16"/>
      <c r="N3736" s="16"/>
      <c r="O3736" s="17"/>
      <c r="P3736" s="5" t="str">
        <f t="shared" si="89"/>
        <v>Truncate table HNUAC04;</v>
      </c>
      <c r="Q3736" s="5"/>
      <c r="R3736" s="5"/>
    </row>
    <row r="3737" spans="2:18" x14ac:dyDescent="0.25">
      <c r="B3737" s="19" t="s">
        <v>5008</v>
      </c>
      <c r="C3737" s="16"/>
      <c r="D3737" s="16" t="s">
        <v>29</v>
      </c>
      <c r="E3737" s="16"/>
      <c r="F3737" s="5"/>
      <c r="G3737" s="16" t="s">
        <v>35</v>
      </c>
      <c r="H3737" s="16"/>
      <c r="I3737" s="16"/>
      <c r="J3737" s="16"/>
      <c r="K3737" s="16"/>
      <c r="L3737" s="16"/>
      <c r="M3737" s="16"/>
      <c r="N3737" s="16"/>
      <c r="O3737" s="17"/>
      <c r="P3737" s="5" t="str">
        <f t="shared" si="89"/>
        <v>Truncate table HNUAC05;</v>
      </c>
      <c r="Q3737" s="5"/>
      <c r="R3737" s="5"/>
    </row>
    <row r="3738" spans="2:18" x14ac:dyDescent="0.25">
      <c r="B3738" s="12" t="s">
        <v>5009</v>
      </c>
      <c r="C3738" s="5"/>
      <c r="D3738" s="5" t="s">
        <v>29</v>
      </c>
      <c r="E3738" s="5" t="s">
        <v>734</v>
      </c>
      <c r="F3738" s="5" t="s">
        <v>4961</v>
      </c>
      <c r="G3738" s="5" t="s">
        <v>28</v>
      </c>
      <c r="H3738" s="5"/>
      <c r="I3738" s="5"/>
      <c r="J3738" s="5"/>
      <c r="K3738" s="5"/>
      <c r="L3738" s="5"/>
      <c r="M3738" s="5"/>
      <c r="N3738" s="5"/>
      <c r="O3738" s="17" t="s">
        <v>38</v>
      </c>
      <c r="P3738" s="5" t="str">
        <f t="shared" si="89"/>
        <v>Truncate table HNUAC06;</v>
      </c>
      <c r="Q3738" s="5"/>
      <c r="R3738" s="5"/>
    </row>
    <row r="3739" spans="2:18" x14ac:dyDescent="0.25">
      <c r="B3739" s="19" t="s">
        <v>5010</v>
      </c>
      <c r="C3739" s="16"/>
      <c r="D3739" s="16" t="s">
        <v>29</v>
      </c>
      <c r="E3739" s="16"/>
      <c r="F3739" s="5"/>
      <c r="G3739" s="16" t="s">
        <v>35</v>
      </c>
      <c r="H3739" s="16"/>
      <c r="I3739" s="16"/>
      <c r="J3739" s="16"/>
      <c r="K3739" s="16"/>
      <c r="L3739" s="16"/>
      <c r="M3739" s="16"/>
      <c r="N3739" s="16"/>
      <c r="O3739" s="17"/>
      <c r="P3739" s="5" t="str">
        <f t="shared" si="89"/>
        <v>Truncate table HNUAC07;</v>
      </c>
      <c r="Q3739" s="5"/>
      <c r="R3739" s="5"/>
    </row>
    <row r="3740" spans="2:18" x14ac:dyDescent="0.25">
      <c r="B3740" s="19" t="s">
        <v>5011</v>
      </c>
      <c r="C3740" s="16"/>
      <c r="D3740" s="16" t="s">
        <v>29</v>
      </c>
      <c r="E3740" s="16"/>
      <c r="F3740" s="5"/>
      <c r="G3740" s="16" t="s">
        <v>35</v>
      </c>
      <c r="H3740" s="16"/>
      <c r="I3740" s="16"/>
      <c r="J3740" s="16"/>
      <c r="K3740" s="16"/>
      <c r="L3740" s="16"/>
      <c r="M3740" s="16"/>
      <c r="N3740" s="16"/>
      <c r="O3740" s="17"/>
      <c r="P3740" s="5" t="str">
        <f t="shared" si="89"/>
        <v>Truncate table HNUAC08;</v>
      </c>
      <c r="Q3740" s="5"/>
      <c r="R3740" s="5"/>
    </row>
    <row r="3741" spans="2:18" x14ac:dyDescent="0.25">
      <c r="B3741" s="19" t="s">
        <v>5012</v>
      </c>
      <c r="C3741" s="16"/>
      <c r="D3741" s="16" t="s">
        <v>29</v>
      </c>
      <c r="E3741" s="16"/>
      <c r="F3741" s="5"/>
      <c r="G3741" s="16" t="s">
        <v>35</v>
      </c>
      <c r="H3741" s="16"/>
      <c r="I3741" s="16"/>
      <c r="J3741" s="16"/>
      <c r="K3741" s="16"/>
      <c r="L3741" s="16"/>
      <c r="M3741" s="16"/>
      <c r="N3741" s="16"/>
      <c r="O3741" s="17"/>
      <c r="P3741" s="5" t="str">
        <f t="shared" si="89"/>
        <v>Truncate table HNUAC09;</v>
      </c>
      <c r="Q3741" s="5"/>
      <c r="R3741" s="5"/>
    </row>
    <row r="3742" spans="2:18" x14ac:dyDescent="0.25">
      <c r="B3742" s="12" t="s">
        <v>5013</v>
      </c>
      <c r="C3742" s="5"/>
      <c r="D3742" s="5" t="s">
        <v>29</v>
      </c>
      <c r="E3742" s="5" t="s">
        <v>734</v>
      </c>
      <c r="F3742" s="5" t="s">
        <v>4961</v>
      </c>
      <c r="G3742" s="5" t="s">
        <v>28</v>
      </c>
      <c r="H3742" s="5"/>
      <c r="I3742" s="5"/>
      <c r="J3742" s="5"/>
      <c r="K3742" s="5"/>
      <c r="L3742" s="5"/>
      <c r="M3742" s="5"/>
      <c r="N3742" s="5"/>
      <c r="O3742" s="17" t="s">
        <v>38</v>
      </c>
      <c r="P3742" s="5" t="str">
        <f t="shared" si="89"/>
        <v>Truncate table HNUAC10;</v>
      </c>
      <c r="Q3742" s="5"/>
      <c r="R3742" s="5"/>
    </row>
    <row r="3743" spans="2:18" x14ac:dyDescent="0.25">
      <c r="B3743" s="19" t="s">
        <v>5014</v>
      </c>
      <c r="C3743" s="16"/>
      <c r="D3743" s="16" t="s">
        <v>29</v>
      </c>
      <c r="E3743" s="16"/>
      <c r="F3743" s="5"/>
      <c r="G3743" s="16" t="s">
        <v>35</v>
      </c>
      <c r="H3743" s="16"/>
      <c r="I3743" s="16"/>
      <c r="J3743" s="16"/>
      <c r="K3743" s="16"/>
      <c r="L3743" s="16"/>
      <c r="M3743" s="16"/>
      <c r="N3743" s="16"/>
      <c r="O3743" s="17"/>
      <c r="P3743" s="5" t="str">
        <f t="shared" si="89"/>
        <v>Truncate table HNUAC11;</v>
      </c>
      <c r="Q3743" s="5"/>
      <c r="R3743" s="5"/>
    </row>
    <row r="3744" spans="2:18" x14ac:dyDescent="0.25">
      <c r="B3744" s="12" t="s">
        <v>5015</v>
      </c>
      <c r="C3744" s="5"/>
      <c r="D3744" s="5" t="s">
        <v>29</v>
      </c>
      <c r="E3744" s="5" t="s">
        <v>734</v>
      </c>
      <c r="F3744" s="5" t="s">
        <v>4961</v>
      </c>
      <c r="G3744" s="5" t="s">
        <v>28</v>
      </c>
      <c r="H3744" s="5"/>
      <c r="I3744" s="5"/>
      <c r="J3744" s="5"/>
      <c r="K3744" s="5"/>
      <c r="L3744" s="5"/>
      <c r="M3744" s="5"/>
      <c r="N3744" s="5"/>
      <c r="O3744" s="17" t="s">
        <v>38</v>
      </c>
      <c r="P3744" s="5" t="str">
        <f t="shared" si="89"/>
        <v>Truncate table HNUAC12;</v>
      </c>
      <c r="Q3744" s="5"/>
      <c r="R3744" s="5"/>
    </row>
    <row r="3745" spans="2:18" x14ac:dyDescent="0.25">
      <c r="B3745" s="12" t="s">
        <v>5016</v>
      </c>
      <c r="C3745" s="5"/>
      <c r="D3745" s="5" t="s">
        <v>29</v>
      </c>
      <c r="E3745" s="5" t="s">
        <v>734</v>
      </c>
      <c r="F3745" s="5" t="s">
        <v>4961</v>
      </c>
      <c r="G3745" s="5" t="s">
        <v>28</v>
      </c>
      <c r="H3745" s="5"/>
      <c r="I3745" s="5"/>
      <c r="J3745" s="5"/>
      <c r="K3745" s="5"/>
      <c r="L3745" s="5"/>
      <c r="M3745" s="5"/>
      <c r="N3745" s="5"/>
      <c r="O3745" s="17" t="s">
        <v>38</v>
      </c>
      <c r="P3745" s="5" t="str">
        <f t="shared" si="89"/>
        <v>Truncate table HNUAC13;</v>
      </c>
      <c r="Q3745" s="5"/>
      <c r="R3745" s="5"/>
    </row>
    <row r="3746" spans="2:18" x14ac:dyDescent="0.25">
      <c r="B3746" s="19" t="s">
        <v>5017</v>
      </c>
      <c r="C3746" s="16"/>
      <c r="D3746" s="16" t="s">
        <v>29</v>
      </c>
      <c r="E3746" s="16"/>
      <c r="F3746" s="5"/>
      <c r="G3746" s="16" t="s">
        <v>35</v>
      </c>
      <c r="H3746" s="16"/>
      <c r="I3746" s="16"/>
      <c r="J3746" s="16"/>
      <c r="K3746" s="16"/>
      <c r="L3746" s="16"/>
      <c r="M3746" s="16"/>
      <c r="N3746" s="16"/>
      <c r="O3746" s="17"/>
      <c r="P3746" s="5" t="str">
        <f t="shared" si="89"/>
        <v>Truncate table HNUAC14;</v>
      </c>
      <c r="Q3746" s="5"/>
      <c r="R3746" s="5"/>
    </row>
    <row r="3747" spans="2:18" x14ac:dyDescent="0.25">
      <c r="B3747" s="12" t="s">
        <v>5018</v>
      </c>
      <c r="C3747" s="5"/>
      <c r="D3747" s="5" t="s">
        <v>29</v>
      </c>
      <c r="E3747" s="5" t="s">
        <v>734</v>
      </c>
      <c r="F3747" s="5" t="s">
        <v>4961</v>
      </c>
      <c r="G3747" s="5" t="s">
        <v>28</v>
      </c>
      <c r="H3747" s="5"/>
      <c r="I3747" s="5"/>
      <c r="J3747" s="5"/>
      <c r="K3747" s="5"/>
      <c r="L3747" s="5"/>
      <c r="M3747" s="5"/>
      <c r="N3747" s="5"/>
      <c r="O3747" s="17" t="s">
        <v>38</v>
      </c>
      <c r="P3747" s="5" t="str">
        <f t="shared" si="89"/>
        <v>Truncate table HNUAC15;</v>
      </c>
      <c r="Q3747" s="5"/>
      <c r="R3747" s="5"/>
    </row>
    <row r="3748" spans="2:18" x14ac:dyDescent="0.25">
      <c r="B3748" s="19" t="s">
        <v>5019</v>
      </c>
      <c r="C3748" s="16"/>
      <c r="D3748" s="16" t="s">
        <v>29</v>
      </c>
      <c r="E3748" s="16"/>
      <c r="F3748" s="5"/>
      <c r="G3748" s="16" t="s">
        <v>35</v>
      </c>
      <c r="H3748" s="16"/>
      <c r="I3748" s="16"/>
      <c r="J3748" s="16"/>
      <c r="K3748" s="16"/>
      <c r="L3748" s="16"/>
      <c r="M3748" s="16"/>
      <c r="N3748" s="16"/>
      <c r="O3748" s="17"/>
      <c r="P3748" s="5" t="str">
        <f t="shared" si="89"/>
        <v>Truncate table HNUAGE;</v>
      </c>
      <c r="Q3748" s="5"/>
      <c r="R3748" s="5"/>
    </row>
    <row r="3749" spans="2:18" x14ac:dyDescent="0.25">
      <c r="B3749" s="19" t="s">
        <v>5020</v>
      </c>
      <c r="C3749" s="16"/>
      <c r="D3749" s="16" t="s">
        <v>29</v>
      </c>
      <c r="E3749" s="16"/>
      <c r="F3749" s="5"/>
      <c r="G3749" s="16" t="s">
        <v>35</v>
      </c>
      <c r="H3749" s="16"/>
      <c r="I3749" s="16"/>
      <c r="J3749" s="16"/>
      <c r="K3749" s="16"/>
      <c r="L3749" s="16"/>
      <c r="M3749" s="16"/>
      <c r="N3749" s="16"/>
      <c r="O3749" s="17"/>
      <c r="P3749" s="5" t="str">
        <f t="shared" si="89"/>
        <v>Truncate table HNUAM1;</v>
      </c>
      <c r="Q3749" s="5"/>
      <c r="R3749" s="5"/>
    </row>
    <row r="3750" spans="2:18" x14ac:dyDescent="0.25">
      <c r="B3750" s="19" t="s">
        <v>5021</v>
      </c>
      <c r="C3750" s="16"/>
      <c r="D3750" s="16" t="s">
        <v>29</v>
      </c>
      <c r="E3750" s="16"/>
      <c r="F3750" s="5"/>
      <c r="G3750" s="16" t="s">
        <v>35</v>
      </c>
      <c r="H3750" s="16"/>
      <c r="I3750" s="16"/>
      <c r="J3750" s="16"/>
      <c r="K3750" s="16"/>
      <c r="L3750" s="16"/>
      <c r="M3750" s="16"/>
      <c r="N3750" s="16"/>
      <c r="O3750" s="17"/>
      <c r="P3750" s="5" t="str">
        <f t="shared" si="89"/>
        <v>Truncate table HNUAM2;</v>
      </c>
      <c r="Q3750" s="5"/>
      <c r="R3750" s="5"/>
    </row>
    <row r="3751" spans="2:18" x14ac:dyDescent="0.25">
      <c r="B3751" s="19" t="s">
        <v>5022</v>
      </c>
      <c r="C3751" s="16"/>
      <c r="D3751" s="16" t="s">
        <v>29</v>
      </c>
      <c r="E3751" s="16"/>
      <c r="F3751" s="5"/>
      <c r="G3751" s="16" t="s">
        <v>35</v>
      </c>
      <c r="H3751" s="16"/>
      <c r="I3751" s="16"/>
      <c r="J3751" s="16"/>
      <c r="K3751" s="16"/>
      <c r="L3751" s="16"/>
      <c r="M3751" s="16"/>
      <c r="N3751" s="16"/>
      <c r="O3751" s="17"/>
      <c r="P3751" s="5" t="str">
        <f t="shared" si="89"/>
        <v>Truncate table HNUAM3;</v>
      </c>
      <c r="Q3751" s="5"/>
      <c r="R3751" s="5"/>
    </row>
    <row r="3752" spans="2:18" x14ac:dyDescent="0.25">
      <c r="B3752" s="19" t="s">
        <v>5023</v>
      </c>
      <c r="C3752" s="16"/>
      <c r="D3752" s="16" t="s">
        <v>29</v>
      </c>
      <c r="E3752" s="16"/>
      <c r="F3752" s="5"/>
      <c r="G3752" s="16" t="s">
        <v>35</v>
      </c>
      <c r="H3752" s="16"/>
      <c r="I3752" s="16"/>
      <c r="J3752" s="16"/>
      <c r="K3752" s="16"/>
      <c r="L3752" s="16"/>
      <c r="M3752" s="16"/>
      <c r="N3752" s="16"/>
      <c r="O3752" s="17"/>
      <c r="P3752" s="5" t="str">
        <f t="shared" si="89"/>
        <v>Truncate table HNUAM4;</v>
      </c>
      <c r="Q3752" s="5"/>
      <c r="R3752" s="5"/>
    </row>
    <row r="3753" spans="2:18" x14ac:dyDescent="0.25">
      <c r="B3753" s="19" t="s">
        <v>5024</v>
      </c>
      <c r="C3753" s="16"/>
      <c r="D3753" s="16" t="s">
        <v>29</v>
      </c>
      <c r="E3753" s="16"/>
      <c r="F3753" s="5"/>
      <c r="G3753" s="16" t="s">
        <v>35</v>
      </c>
      <c r="H3753" s="16"/>
      <c r="I3753" s="16"/>
      <c r="J3753" s="16"/>
      <c r="K3753" s="16"/>
      <c r="L3753" s="16"/>
      <c r="M3753" s="16"/>
      <c r="N3753" s="16"/>
      <c r="O3753" s="17"/>
      <c r="P3753" s="5" t="str">
        <f t="shared" si="89"/>
        <v>Truncate table HNUAM5;</v>
      </c>
      <c r="Q3753" s="5"/>
      <c r="R3753" s="5"/>
    </row>
    <row r="3754" spans="2:18" x14ac:dyDescent="0.25">
      <c r="B3754" s="19" t="s">
        <v>5025</v>
      </c>
      <c r="C3754" s="16"/>
      <c r="D3754" s="16" t="s">
        <v>29</v>
      </c>
      <c r="E3754" s="16"/>
      <c r="F3754" s="5"/>
      <c r="G3754" s="16" t="s">
        <v>35</v>
      </c>
      <c r="H3754" s="16"/>
      <c r="I3754" s="16"/>
      <c r="J3754" s="16"/>
      <c r="K3754" s="16"/>
      <c r="L3754" s="16"/>
      <c r="M3754" s="16"/>
      <c r="N3754" s="16"/>
      <c r="O3754" s="17"/>
      <c r="P3754" s="5" t="str">
        <f t="shared" si="89"/>
        <v>Truncate table HNUAM6;</v>
      </c>
      <c r="Q3754" s="5"/>
      <c r="R3754" s="5"/>
    </row>
    <row r="3755" spans="2:18" x14ac:dyDescent="0.25">
      <c r="B3755" s="19" t="s">
        <v>5026</v>
      </c>
      <c r="C3755" s="16"/>
      <c r="D3755" s="16" t="s">
        <v>29</v>
      </c>
      <c r="E3755" s="16"/>
      <c r="F3755" s="5"/>
      <c r="G3755" s="16" t="s">
        <v>35</v>
      </c>
      <c r="H3755" s="16"/>
      <c r="I3755" s="16"/>
      <c r="J3755" s="16"/>
      <c r="K3755" s="16"/>
      <c r="L3755" s="16"/>
      <c r="M3755" s="16"/>
      <c r="N3755" s="16"/>
      <c r="O3755" s="17"/>
      <c r="P3755" s="5" t="str">
        <f t="shared" si="89"/>
        <v>Truncate table HNUAM7;</v>
      </c>
      <c r="Q3755" s="5"/>
      <c r="R3755" s="5"/>
    </row>
    <row r="3756" spans="2:18" x14ac:dyDescent="0.25">
      <c r="B3756" s="19" t="s">
        <v>5027</v>
      </c>
      <c r="C3756" s="16"/>
      <c r="D3756" s="16" t="s">
        <v>29</v>
      </c>
      <c r="E3756" s="16"/>
      <c r="F3756" s="5"/>
      <c r="G3756" s="16" t="s">
        <v>35</v>
      </c>
      <c r="H3756" s="16"/>
      <c r="I3756" s="16"/>
      <c r="J3756" s="16"/>
      <c r="K3756" s="16"/>
      <c r="L3756" s="16"/>
      <c r="M3756" s="16"/>
      <c r="N3756" s="16"/>
      <c r="O3756" s="17"/>
      <c r="P3756" s="5" t="str">
        <f t="shared" si="89"/>
        <v>Truncate table HNUAP4;</v>
      </c>
      <c r="Q3756" s="5"/>
      <c r="R3756" s="5"/>
    </row>
    <row r="3757" spans="2:18" x14ac:dyDescent="0.25">
      <c r="B3757" s="19" t="s">
        <v>5028</v>
      </c>
      <c r="C3757" s="16"/>
      <c r="D3757" s="16" t="s">
        <v>29</v>
      </c>
      <c r="E3757" s="16"/>
      <c r="F3757" s="5"/>
      <c r="G3757" s="16" t="s">
        <v>35</v>
      </c>
      <c r="H3757" s="16"/>
      <c r="I3757" s="16"/>
      <c r="J3757" s="16"/>
      <c r="K3757" s="16"/>
      <c r="L3757" s="16"/>
      <c r="M3757" s="16"/>
      <c r="N3757" s="16"/>
      <c r="O3757" s="17"/>
      <c r="P3757" s="5" t="str">
        <f t="shared" si="89"/>
        <v>Truncate table HNUAP9;</v>
      </c>
      <c r="Q3757" s="5"/>
      <c r="R3757" s="5"/>
    </row>
    <row r="3758" spans="2:18" x14ac:dyDescent="0.25">
      <c r="B3758" s="19" t="s">
        <v>5029</v>
      </c>
      <c r="C3758" s="16"/>
      <c r="D3758" s="16" t="s">
        <v>29</v>
      </c>
      <c r="E3758" s="16"/>
      <c r="F3758" s="5"/>
      <c r="G3758" s="16" t="s">
        <v>35</v>
      </c>
      <c r="H3758" s="16"/>
      <c r="I3758" s="16"/>
      <c r="J3758" s="16"/>
      <c r="K3758" s="16"/>
      <c r="L3758" s="16"/>
      <c r="M3758" s="16"/>
      <c r="N3758" s="16"/>
      <c r="O3758" s="17"/>
      <c r="P3758" s="5" t="str">
        <f t="shared" si="89"/>
        <v>Truncate table HNUAPC;</v>
      </c>
      <c r="Q3758" s="5"/>
      <c r="R3758" s="5"/>
    </row>
    <row r="3759" spans="2:18" x14ac:dyDescent="0.25">
      <c r="B3759" s="19" t="s">
        <v>5030</v>
      </c>
      <c r="C3759" s="16"/>
      <c r="D3759" s="16" t="s">
        <v>29</v>
      </c>
      <c r="E3759" s="16"/>
      <c r="F3759" s="5"/>
      <c r="G3759" s="16" t="s">
        <v>35</v>
      </c>
      <c r="H3759" s="16"/>
      <c r="I3759" s="16"/>
      <c r="J3759" s="16"/>
      <c r="K3759" s="16"/>
      <c r="L3759" s="16"/>
      <c r="M3759" s="16"/>
      <c r="N3759" s="16"/>
      <c r="O3759" s="17"/>
      <c r="P3759" s="5" t="str">
        <f t="shared" si="89"/>
        <v>Truncate table HNUAT1;</v>
      </c>
      <c r="Q3759" s="5"/>
      <c r="R3759" s="5"/>
    </row>
    <row r="3760" spans="2:18" x14ac:dyDescent="0.25">
      <c r="B3760" s="12" t="s">
        <v>5031</v>
      </c>
      <c r="C3760" s="5"/>
      <c r="D3760" s="5" t="s">
        <v>29</v>
      </c>
      <c r="E3760" s="5" t="s">
        <v>734</v>
      </c>
      <c r="F3760" s="5" t="s">
        <v>4961</v>
      </c>
      <c r="G3760" s="5" t="s">
        <v>28</v>
      </c>
      <c r="H3760" s="5"/>
      <c r="I3760" s="5"/>
      <c r="J3760" s="5"/>
      <c r="K3760" s="5"/>
      <c r="L3760" s="5"/>
      <c r="M3760" s="5"/>
      <c r="N3760" s="5"/>
      <c r="O3760" s="17" t="s">
        <v>38</v>
      </c>
      <c r="P3760" s="5" t="str">
        <f t="shared" si="89"/>
        <v>Truncate table HNUB04;</v>
      </c>
      <c r="Q3760" s="5"/>
      <c r="R3760" s="5"/>
    </row>
    <row r="3761" spans="2:18" x14ac:dyDescent="0.25">
      <c r="B3761" s="12" t="s">
        <v>5032</v>
      </c>
      <c r="C3761" s="5"/>
      <c r="D3761" s="5" t="s">
        <v>29</v>
      </c>
      <c r="E3761" s="5" t="s">
        <v>734</v>
      </c>
      <c r="F3761" s="5" t="s">
        <v>4961</v>
      </c>
      <c r="G3761" s="5" t="s">
        <v>28</v>
      </c>
      <c r="H3761" s="5"/>
      <c r="I3761" s="5"/>
      <c r="J3761" s="5"/>
      <c r="K3761" s="5"/>
      <c r="L3761" s="5"/>
      <c r="M3761" s="5"/>
      <c r="N3761" s="5"/>
      <c r="O3761" s="17" t="s">
        <v>38</v>
      </c>
      <c r="P3761" s="5" t="str">
        <f t="shared" si="89"/>
        <v>Truncate table HNUB05;</v>
      </c>
      <c r="Q3761" s="5"/>
      <c r="R3761" s="5"/>
    </row>
    <row r="3762" spans="2:18" x14ac:dyDescent="0.25">
      <c r="B3762" s="12" t="s">
        <v>5033</v>
      </c>
      <c r="C3762" s="5"/>
      <c r="D3762" s="5" t="s">
        <v>29</v>
      </c>
      <c r="E3762" s="5" t="s">
        <v>734</v>
      </c>
      <c r="F3762" s="5" t="s">
        <v>4961</v>
      </c>
      <c r="G3762" s="5" t="s">
        <v>28</v>
      </c>
      <c r="H3762" s="5"/>
      <c r="I3762" s="5"/>
      <c r="J3762" s="5"/>
      <c r="K3762" s="5"/>
      <c r="L3762" s="5"/>
      <c r="M3762" s="5"/>
      <c r="N3762" s="5"/>
      <c r="O3762" s="17" t="s">
        <v>38</v>
      </c>
      <c r="P3762" s="5" t="str">
        <f t="shared" si="89"/>
        <v>Truncate table HNUB06;</v>
      </c>
      <c r="Q3762" s="5"/>
      <c r="R3762" s="5"/>
    </row>
    <row r="3763" spans="2:18" x14ac:dyDescent="0.25">
      <c r="B3763" s="12" t="s">
        <v>5034</v>
      </c>
      <c r="C3763" s="5"/>
      <c r="D3763" s="5" t="s">
        <v>29</v>
      </c>
      <c r="E3763" s="5" t="s">
        <v>734</v>
      </c>
      <c r="F3763" s="5" t="s">
        <v>4961</v>
      </c>
      <c r="G3763" s="5" t="s">
        <v>28</v>
      </c>
      <c r="H3763" s="5"/>
      <c r="I3763" s="5"/>
      <c r="J3763" s="5"/>
      <c r="K3763" s="5"/>
      <c r="L3763" s="5"/>
      <c r="M3763" s="5"/>
      <c r="N3763" s="5"/>
      <c r="O3763" s="17" t="s">
        <v>38</v>
      </c>
      <c r="P3763" s="5" t="str">
        <f t="shared" si="89"/>
        <v>Truncate table HNUB07;</v>
      </c>
      <c r="Q3763" s="5"/>
      <c r="R3763" s="5"/>
    </row>
    <row r="3764" spans="2:18" x14ac:dyDescent="0.25">
      <c r="B3764" s="12" t="s">
        <v>5035</v>
      </c>
      <c r="C3764" s="5"/>
      <c r="D3764" s="5" t="s">
        <v>29</v>
      </c>
      <c r="E3764" s="5" t="s">
        <v>734</v>
      </c>
      <c r="F3764" s="5" t="s">
        <v>4961</v>
      </c>
      <c r="G3764" s="5" t="s">
        <v>28</v>
      </c>
      <c r="H3764" s="5"/>
      <c r="I3764" s="5"/>
      <c r="J3764" s="5"/>
      <c r="K3764" s="5"/>
      <c r="L3764" s="5"/>
      <c r="M3764" s="5"/>
      <c r="N3764" s="5"/>
      <c r="O3764" s="17" t="s">
        <v>38</v>
      </c>
      <c r="P3764" s="5" t="str">
        <f t="shared" si="89"/>
        <v>Truncate table HNUB08;</v>
      </c>
      <c r="Q3764" s="5"/>
      <c r="R3764" s="5"/>
    </row>
    <row r="3765" spans="2:18" x14ac:dyDescent="0.25">
      <c r="B3765" s="12" t="s">
        <v>5036</v>
      </c>
      <c r="C3765" s="5"/>
      <c r="D3765" s="5" t="s">
        <v>29</v>
      </c>
      <c r="E3765" s="5" t="s">
        <v>734</v>
      </c>
      <c r="F3765" s="5" t="s">
        <v>4961</v>
      </c>
      <c r="G3765" s="5" t="s">
        <v>28</v>
      </c>
      <c r="H3765" s="5"/>
      <c r="I3765" s="5"/>
      <c r="J3765" s="5"/>
      <c r="K3765" s="5"/>
      <c r="L3765" s="5"/>
      <c r="M3765" s="5"/>
      <c r="N3765" s="5"/>
      <c r="O3765" s="17" t="s">
        <v>38</v>
      </c>
      <c r="P3765" s="5" t="str">
        <f t="shared" si="89"/>
        <v>Truncate table HNUB09;</v>
      </c>
      <c r="Q3765" s="5"/>
      <c r="R3765" s="5"/>
    </row>
    <row r="3766" spans="2:18" x14ac:dyDescent="0.25">
      <c r="B3766" s="12" t="s">
        <v>5037</v>
      </c>
      <c r="C3766" s="5"/>
      <c r="D3766" s="5" t="s">
        <v>29</v>
      </c>
      <c r="E3766" s="5" t="s">
        <v>734</v>
      </c>
      <c r="F3766" s="5" t="s">
        <v>4961</v>
      </c>
      <c r="G3766" s="5" t="s">
        <v>28</v>
      </c>
      <c r="H3766" s="5"/>
      <c r="I3766" s="5"/>
      <c r="J3766" s="5"/>
      <c r="K3766" s="5"/>
      <c r="L3766" s="5"/>
      <c r="M3766" s="5"/>
      <c r="N3766" s="5"/>
      <c r="O3766" s="17" t="s">
        <v>38</v>
      </c>
      <c r="P3766" s="5" t="str">
        <f t="shared" si="89"/>
        <v>Truncate table HNUB10;</v>
      </c>
      <c r="Q3766" s="5"/>
      <c r="R3766" s="5"/>
    </row>
    <row r="3767" spans="2:18" x14ac:dyDescent="0.25">
      <c r="B3767" s="12" t="s">
        <v>5038</v>
      </c>
      <c r="C3767" s="5"/>
      <c r="D3767" s="5" t="s">
        <v>29</v>
      </c>
      <c r="E3767" s="5" t="s">
        <v>734</v>
      </c>
      <c r="F3767" s="5" t="s">
        <v>4961</v>
      </c>
      <c r="G3767" s="5" t="s">
        <v>28</v>
      </c>
      <c r="H3767" s="5"/>
      <c r="I3767" s="5"/>
      <c r="J3767" s="5"/>
      <c r="K3767" s="5"/>
      <c r="L3767" s="5"/>
      <c r="M3767" s="5"/>
      <c r="N3767" s="5"/>
      <c r="O3767" s="17" t="s">
        <v>38</v>
      </c>
      <c r="P3767" s="5" t="str">
        <f t="shared" si="89"/>
        <v>Truncate table HNUB11;</v>
      </c>
      <c r="Q3767" s="5"/>
      <c r="R3767" s="5"/>
    </row>
    <row r="3768" spans="2:18" x14ac:dyDescent="0.25">
      <c r="B3768" s="12" t="s">
        <v>5039</v>
      </c>
      <c r="C3768" s="5"/>
      <c r="D3768" s="5" t="s">
        <v>29</v>
      </c>
      <c r="E3768" s="5" t="s">
        <v>734</v>
      </c>
      <c r="F3768" s="5" t="s">
        <v>4961</v>
      </c>
      <c r="G3768" s="5" t="s">
        <v>28</v>
      </c>
      <c r="H3768" s="5"/>
      <c r="I3768" s="5"/>
      <c r="J3768" s="5"/>
      <c r="K3768" s="5"/>
      <c r="L3768" s="5"/>
      <c r="M3768" s="5"/>
      <c r="N3768" s="5"/>
      <c r="O3768" s="17" t="s">
        <v>38</v>
      </c>
      <c r="P3768" s="5" t="str">
        <f t="shared" si="89"/>
        <v>Truncate table HNUB12;</v>
      </c>
      <c r="Q3768" s="5"/>
      <c r="R3768" s="5"/>
    </row>
    <row r="3769" spans="2:18" x14ac:dyDescent="0.25">
      <c r="B3769" s="12" t="s">
        <v>5040</v>
      </c>
      <c r="C3769" s="5"/>
      <c r="D3769" s="5" t="s">
        <v>29</v>
      </c>
      <c r="E3769" s="5" t="s">
        <v>734</v>
      </c>
      <c r="F3769" s="5" t="s">
        <v>4961</v>
      </c>
      <c r="G3769" s="5" t="s">
        <v>28</v>
      </c>
      <c r="H3769" s="5"/>
      <c r="I3769" s="5"/>
      <c r="J3769" s="5"/>
      <c r="K3769" s="5"/>
      <c r="L3769" s="5"/>
      <c r="M3769" s="5"/>
      <c r="N3769" s="5"/>
      <c r="O3769" s="17" t="s">
        <v>38</v>
      </c>
      <c r="P3769" s="5" t="str">
        <f t="shared" si="89"/>
        <v>Truncate table HNUB13;</v>
      </c>
      <c r="Q3769" s="5"/>
      <c r="R3769" s="5"/>
    </row>
    <row r="3770" spans="2:18" x14ac:dyDescent="0.25">
      <c r="B3770" s="12" t="s">
        <v>5041</v>
      </c>
      <c r="C3770" s="5"/>
      <c r="D3770" s="5" t="s">
        <v>29</v>
      </c>
      <c r="E3770" s="5" t="s">
        <v>734</v>
      </c>
      <c r="F3770" s="5" t="s">
        <v>4961</v>
      </c>
      <c r="G3770" s="5" t="s">
        <v>28</v>
      </c>
      <c r="H3770" s="5"/>
      <c r="I3770" s="5"/>
      <c r="J3770" s="5"/>
      <c r="K3770" s="5"/>
      <c r="L3770" s="5"/>
      <c r="M3770" s="5"/>
      <c r="N3770" s="5"/>
      <c r="O3770" s="17" t="s">
        <v>38</v>
      </c>
      <c r="P3770" s="5" t="str">
        <f t="shared" si="89"/>
        <v>Truncate table HNUB14;</v>
      </c>
      <c r="Q3770" s="5"/>
      <c r="R3770" s="5"/>
    </row>
    <row r="3771" spans="2:18" x14ac:dyDescent="0.25">
      <c r="B3771" s="12" t="s">
        <v>5042</v>
      </c>
      <c r="C3771" s="5"/>
      <c r="D3771" s="5" t="s">
        <v>29</v>
      </c>
      <c r="E3771" s="5" t="s">
        <v>734</v>
      </c>
      <c r="F3771" s="5" t="s">
        <v>4961</v>
      </c>
      <c r="G3771" s="5" t="s">
        <v>28</v>
      </c>
      <c r="H3771" s="5"/>
      <c r="I3771" s="5"/>
      <c r="J3771" s="5"/>
      <c r="K3771" s="5"/>
      <c r="L3771" s="5"/>
      <c r="M3771" s="5"/>
      <c r="N3771" s="5"/>
      <c r="O3771" s="17" t="s">
        <v>38</v>
      </c>
      <c r="P3771" s="5" t="str">
        <f t="shared" si="89"/>
        <v>Truncate table HNUB15;</v>
      </c>
      <c r="Q3771" s="5"/>
      <c r="R3771" s="5"/>
    </row>
    <row r="3772" spans="2:18" x14ac:dyDescent="0.25">
      <c r="B3772" s="12" t="s">
        <v>5043</v>
      </c>
      <c r="C3772" s="5"/>
      <c r="D3772" s="5" t="s">
        <v>29</v>
      </c>
      <c r="E3772" s="5" t="s">
        <v>734</v>
      </c>
      <c r="F3772" s="5" t="s">
        <v>4961</v>
      </c>
      <c r="G3772" s="5" t="s">
        <v>28</v>
      </c>
      <c r="H3772" s="5"/>
      <c r="I3772" s="5"/>
      <c r="J3772" s="5"/>
      <c r="K3772" s="5"/>
      <c r="L3772" s="5"/>
      <c r="M3772" s="5"/>
      <c r="N3772" s="5"/>
      <c r="O3772" s="17" t="s">
        <v>38</v>
      </c>
      <c r="P3772" s="5" t="str">
        <f t="shared" si="89"/>
        <v>Truncate table HNUB16;</v>
      </c>
      <c r="Q3772" s="5"/>
      <c r="R3772" s="5"/>
    </row>
    <row r="3773" spans="2:18" x14ac:dyDescent="0.25">
      <c r="B3773" s="12" t="s">
        <v>5044</v>
      </c>
      <c r="C3773" s="5"/>
      <c r="D3773" s="5" t="s">
        <v>29</v>
      </c>
      <c r="E3773" s="5" t="s">
        <v>734</v>
      </c>
      <c r="F3773" s="5" t="s">
        <v>4961</v>
      </c>
      <c r="G3773" s="5" t="s">
        <v>28</v>
      </c>
      <c r="H3773" s="5"/>
      <c r="I3773" s="5"/>
      <c r="J3773" s="5"/>
      <c r="K3773" s="5"/>
      <c r="L3773" s="5"/>
      <c r="M3773" s="5"/>
      <c r="N3773" s="5"/>
      <c r="O3773" s="17" t="s">
        <v>38</v>
      </c>
      <c r="P3773" s="5" t="str">
        <f t="shared" si="89"/>
        <v>Truncate table HNUB17;</v>
      </c>
      <c r="Q3773" s="5"/>
      <c r="R3773" s="5"/>
    </row>
    <row r="3774" spans="2:18" x14ac:dyDescent="0.25">
      <c r="B3774" s="12" t="s">
        <v>5045</v>
      </c>
      <c r="C3774" s="5"/>
      <c r="D3774" s="5" t="s">
        <v>29</v>
      </c>
      <c r="E3774" s="5" t="s">
        <v>734</v>
      </c>
      <c r="F3774" s="5" t="s">
        <v>4961</v>
      </c>
      <c r="G3774" s="5" t="s">
        <v>28</v>
      </c>
      <c r="H3774" s="5"/>
      <c r="I3774" s="5"/>
      <c r="J3774" s="5"/>
      <c r="K3774" s="5"/>
      <c r="L3774" s="5"/>
      <c r="M3774" s="5"/>
      <c r="N3774" s="5"/>
      <c r="O3774" s="17" t="s">
        <v>38</v>
      </c>
      <c r="P3774" s="5" t="str">
        <f t="shared" si="89"/>
        <v>Truncate table HNUB18;</v>
      </c>
      <c r="Q3774" s="5"/>
      <c r="R3774" s="5"/>
    </row>
    <row r="3775" spans="2:18" x14ac:dyDescent="0.25">
      <c r="B3775" s="12" t="s">
        <v>5046</v>
      </c>
      <c r="C3775" s="5"/>
      <c r="D3775" s="5" t="s">
        <v>29</v>
      </c>
      <c r="E3775" s="5" t="s">
        <v>734</v>
      </c>
      <c r="F3775" s="5" t="s">
        <v>4961</v>
      </c>
      <c r="G3775" s="5" t="s">
        <v>28</v>
      </c>
      <c r="H3775" s="5"/>
      <c r="I3775" s="5"/>
      <c r="J3775" s="5"/>
      <c r="K3775" s="5"/>
      <c r="L3775" s="5"/>
      <c r="M3775" s="5"/>
      <c r="N3775" s="5"/>
      <c r="O3775" s="17" t="s">
        <v>38</v>
      </c>
      <c r="P3775" s="5" t="str">
        <f t="shared" si="89"/>
        <v>Truncate table HNUB19;</v>
      </c>
      <c r="Q3775" s="5"/>
      <c r="R3775" s="5"/>
    </row>
    <row r="3776" spans="2:18" x14ac:dyDescent="0.25">
      <c r="B3776" s="12" t="s">
        <v>5047</v>
      </c>
      <c r="C3776" s="5"/>
      <c r="D3776" s="5" t="s">
        <v>29</v>
      </c>
      <c r="E3776" s="5" t="s">
        <v>734</v>
      </c>
      <c r="F3776" s="5" t="s">
        <v>4961</v>
      </c>
      <c r="G3776" s="5" t="s">
        <v>28</v>
      </c>
      <c r="H3776" s="5"/>
      <c r="I3776" s="5"/>
      <c r="J3776" s="5"/>
      <c r="K3776" s="5"/>
      <c r="L3776" s="5"/>
      <c r="M3776" s="5"/>
      <c r="N3776" s="5"/>
      <c r="O3776" s="17" t="s">
        <v>38</v>
      </c>
      <c r="P3776" s="5" t="str">
        <f t="shared" si="89"/>
        <v>Truncate table HNUB20;</v>
      </c>
      <c r="Q3776" s="5"/>
      <c r="R3776" s="5"/>
    </row>
    <row r="3777" spans="2:18" x14ac:dyDescent="0.25">
      <c r="B3777" s="12" t="s">
        <v>5048</v>
      </c>
      <c r="C3777" s="5"/>
      <c r="D3777" s="5" t="s">
        <v>29</v>
      </c>
      <c r="E3777" s="5" t="s">
        <v>734</v>
      </c>
      <c r="F3777" s="5" t="s">
        <v>4961</v>
      </c>
      <c r="G3777" s="5" t="s">
        <v>28</v>
      </c>
      <c r="H3777" s="5"/>
      <c r="I3777" s="5"/>
      <c r="J3777" s="5"/>
      <c r="K3777" s="5"/>
      <c r="L3777" s="5"/>
      <c r="M3777" s="5"/>
      <c r="N3777" s="5"/>
      <c r="O3777" s="17" t="s">
        <v>38</v>
      </c>
      <c r="P3777" s="5" t="str">
        <f t="shared" ref="P3777:P3840" si="90">IF(D3777="Datos","Truncate table "&amp; B3777&amp; ";","")</f>
        <v>Truncate table HNUB21;</v>
      </c>
      <c r="Q3777" s="5"/>
      <c r="R3777" s="5"/>
    </row>
    <row r="3778" spans="2:18" x14ac:dyDescent="0.25">
      <c r="B3778" s="12" t="s">
        <v>5049</v>
      </c>
      <c r="C3778" s="5"/>
      <c r="D3778" s="5" t="s">
        <v>29</v>
      </c>
      <c r="E3778" s="5" t="s">
        <v>734</v>
      </c>
      <c r="F3778" s="5" t="s">
        <v>4961</v>
      </c>
      <c r="G3778" s="5" t="s">
        <v>28</v>
      </c>
      <c r="H3778" s="5"/>
      <c r="I3778" s="5"/>
      <c r="J3778" s="5"/>
      <c r="K3778" s="5"/>
      <c r="L3778" s="5"/>
      <c r="M3778" s="5"/>
      <c r="N3778" s="5"/>
      <c r="O3778" s="17" t="s">
        <v>38</v>
      </c>
      <c r="P3778" s="5" t="str">
        <f t="shared" si="90"/>
        <v>Truncate table HNUB22;</v>
      </c>
      <c r="Q3778" s="5"/>
      <c r="R3778" s="5"/>
    </row>
    <row r="3779" spans="2:18" x14ac:dyDescent="0.25">
      <c r="B3779" s="12" t="s">
        <v>5050</v>
      </c>
      <c r="C3779" s="5"/>
      <c r="D3779" s="5" t="s">
        <v>29</v>
      </c>
      <c r="E3779" s="5" t="s">
        <v>734</v>
      </c>
      <c r="F3779" s="5" t="s">
        <v>4961</v>
      </c>
      <c r="G3779" s="5" t="s">
        <v>28</v>
      </c>
      <c r="H3779" s="5"/>
      <c r="I3779" s="5"/>
      <c r="J3779" s="5"/>
      <c r="K3779" s="5"/>
      <c r="L3779" s="5"/>
      <c r="M3779" s="5"/>
      <c r="N3779" s="5"/>
      <c r="O3779" s="17" t="s">
        <v>38</v>
      </c>
      <c r="P3779" s="5" t="str">
        <f t="shared" si="90"/>
        <v>Truncate table HNUB23;</v>
      </c>
      <c r="Q3779" s="5"/>
      <c r="R3779" s="5"/>
    </row>
    <row r="3780" spans="2:18" x14ac:dyDescent="0.25">
      <c r="B3780" s="12" t="s">
        <v>5051</v>
      </c>
      <c r="C3780" s="5"/>
      <c r="D3780" s="5" t="s">
        <v>29</v>
      </c>
      <c r="E3780" s="5" t="s">
        <v>734</v>
      </c>
      <c r="F3780" s="5" t="s">
        <v>4961</v>
      </c>
      <c r="G3780" s="5" t="s">
        <v>28</v>
      </c>
      <c r="H3780" s="5"/>
      <c r="I3780" s="5"/>
      <c r="J3780" s="5"/>
      <c r="K3780" s="5"/>
      <c r="L3780" s="5"/>
      <c r="M3780" s="5"/>
      <c r="N3780" s="5"/>
      <c r="O3780" s="17" t="s">
        <v>38</v>
      </c>
      <c r="P3780" s="5" t="str">
        <f t="shared" si="90"/>
        <v>Truncate table HNUB24;</v>
      </c>
      <c r="Q3780" s="5"/>
      <c r="R3780" s="5"/>
    </row>
    <row r="3781" spans="2:18" x14ac:dyDescent="0.25">
      <c r="B3781" s="12" t="s">
        <v>5052</v>
      </c>
      <c r="C3781" s="5"/>
      <c r="D3781" s="5" t="s">
        <v>29</v>
      </c>
      <c r="E3781" s="5" t="s">
        <v>734</v>
      </c>
      <c r="F3781" s="5" t="s">
        <v>4961</v>
      </c>
      <c r="G3781" s="5" t="s">
        <v>28</v>
      </c>
      <c r="H3781" s="5"/>
      <c r="I3781" s="5"/>
      <c r="J3781" s="5"/>
      <c r="K3781" s="5"/>
      <c r="L3781" s="5"/>
      <c r="M3781" s="5"/>
      <c r="N3781" s="5"/>
      <c r="O3781" s="17" t="s">
        <v>38</v>
      </c>
      <c r="P3781" s="5" t="str">
        <f t="shared" si="90"/>
        <v>Truncate table HNUB25;</v>
      </c>
      <c r="Q3781" s="5"/>
      <c r="R3781" s="5"/>
    </row>
    <row r="3782" spans="2:18" x14ac:dyDescent="0.25">
      <c r="B3782" s="12" t="s">
        <v>5053</v>
      </c>
      <c r="C3782" s="5"/>
      <c r="D3782" s="5" t="s">
        <v>29</v>
      </c>
      <c r="E3782" s="5" t="s">
        <v>734</v>
      </c>
      <c r="F3782" s="5" t="s">
        <v>4961</v>
      </c>
      <c r="G3782" s="5" t="s">
        <v>28</v>
      </c>
      <c r="H3782" s="5"/>
      <c r="I3782" s="5"/>
      <c r="J3782" s="5"/>
      <c r="K3782" s="5"/>
      <c r="L3782" s="5"/>
      <c r="M3782" s="5"/>
      <c r="N3782" s="5"/>
      <c r="O3782" s="17" t="s">
        <v>38</v>
      </c>
      <c r="P3782" s="5" t="str">
        <f t="shared" si="90"/>
        <v>Truncate table HNUB26;</v>
      </c>
      <c r="Q3782" s="5"/>
      <c r="R3782" s="5"/>
    </row>
    <row r="3783" spans="2:18" x14ac:dyDescent="0.25">
      <c r="B3783" s="12" t="s">
        <v>5054</v>
      </c>
      <c r="C3783" s="5"/>
      <c r="D3783" s="5" t="s">
        <v>29</v>
      </c>
      <c r="E3783" s="5" t="s">
        <v>734</v>
      </c>
      <c r="F3783" s="5" t="s">
        <v>4961</v>
      </c>
      <c r="G3783" s="5" t="s">
        <v>28</v>
      </c>
      <c r="H3783" s="5"/>
      <c r="I3783" s="5"/>
      <c r="J3783" s="5"/>
      <c r="K3783" s="5"/>
      <c r="L3783" s="5"/>
      <c r="M3783" s="5"/>
      <c r="N3783" s="5"/>
      <c r="O3783" s="17" t="s">
        <v>38</v>
      </c>
      <c r="P3783" s="5" t="str">
        <f t="shared" si="90"/>
        <v>Truncate table HNUB27;</v>
      </c>
      <c r="Q3783" s="5"/>
      <c r="R3783" s="5"/>
    </row>
    <row r="3784" spans="2:18" x14ac:dyDescent="0.25">
      <c r="B3784" s="12" t="s">
        <v>5055</v>
      </c>
      <c r="C3784" s="5"/>
      <c r="D3784" s="5" t="s">
        <v>29</v>
      </c>
      <c r="E3784" s="5" t="s">
        <v>734</v>
      </c>
      <c r="F3784" s="5" t="s">
        <v>4961</v>
      </c>
      <c r="G3784" s="5" t="s">
        <v>28</v>
      </c>
      <c r="H3784" s="5"/>
      <c r="I3784" s="5"/>
      <c r="J3784" s="5"/>
      <c r="K3784" s="5"/>
      <c r="L3784" s="5"/>
      <c r="M3784" s="5"/>
      <c r="N3784" s="5"/>
      <c r="O3784" s="17" t="s">
        <v>38</v>
      </c>
      <c r="P3784" s="5" t="str">
        <f t="shared" si="90"/>
        <v>Truncate table HNUB28;</v>
      </c>
      <c r="Q3784" s="5"/>
      <c r="R3784" s="5"/>
    </row>
    <row r="3785" spans="2:18" x14ac:dyDescent="0.25">
      <c r="B3785" s="12" t="s">
        <v>5056</v>
      </c>
      <c r="C3785" s="5"/>
      <c r="D3785" s="5" t="s">
        <v>29</v>
      </c>
      <c r="E3785" s="5" t="s">
        <v>734</v>
      </c>
      <c r="F3785" s="5" t="s">
        <v>4961</v>
      </c>
      <c r="G3785" s="5" t="s">
        <v>28</v>
      </c>
      <c r="H3785" s="5"/>
      <c r="I3785" s="5"/>
      <c r="J3785" s="5"/>
      <c r="K3785" s="5"/>
      <c r="L3785" s="5"/>
      <c r="M3785" s="5"/>
      <c r="N3785" s="5"/>
      <c r="O3785" s="17" t="s">
        <v>38</v>
      </c>
      <c r="P3785" s="5" t="str">
        <f t="shared" si="90"/>
        <v>Truncate table HNUB29;</v>
      </c>
      <c r="Q3785" s="5"/>
      <c r="R3785" s="5"/>
    </row>
    <row r="3786" spans="2:18" x14ac:dyDescent="0.25">
      <c r="B3786" s="12" t="s">
        <v>5057</v>
      </c>
      <c r="C3786" s="5"/>
      <c r="D3786" s="5" t="s">
        <v>29</v>
      </c>
      <c r="E3786" s="5" t="s">
        <v>734</v>
      </c>
      <c r="F3786" s="5" t="s">
        <v>4961</v>
      </c>
      <c r="G3786" s="5" t="s">
        <v>28</v>
      </c>
      <c r="H3786" s="5"/>
      <c r="I3786" s="5"/>
      <c r="J3786" s="5"/>
      <c r="K3786" s="5"/>
      <c r="L3786" s="5"/>
      <c r="M3786" s="5"/>
      <c r="N3786" s="5"/>
      <c r="O3786" s="17" t="s">
        <v>38</v>
      </c>
      <c r="P3786" s="5" t="str">
        <f t="shared" si="90"/>
        <v>Truncate table HNUB30;</v>
      </c>
      <c r="Q3786" s="5"/>
      <c r="R3786" s="5"/>
    </row>
    <row r="3787" spans="2:18" x14ac:dyDescent="0.25">
      <c r="B3787" s="12" t="s">
        <v>5058</v>
      </c>
      <c r="C3787" s="5"/>
      <c r="D3787" s="5" t="s">
        <v>29</v>
      </c>
      <c r="E3787" s="5" t="s">
        <v>734</v>
      </c>
      <c r="F3787" s="5" t="s">
        <v>4961</v>
      </c>
      <c r="G3787" s="5" t="s">
        <v>28</v>
      </c>
      <c r="H3787" s="5"/>
      <c r="I3787" s="5"/>
      <c r="J3787" s="5"/>
      <c r="K3787" s="5"/>
      <c r="L3787" s="5"/>
      <c r="M3787" s="5"/>
      <c r="N3787" s="5"/>
      <c r="O3787" s="17" t="s">
        <v>38</v>
      </c>
      <c r="P3787" s="5" t="str">
        <f t="shared" si="90"/>
        <v>Truncate table HNUB31;</v>
      </c>
      <c r="Q3787" s="5"/>
      <c r="R3787" s="5"/>
    </row>
    <row r="3788" spans="2:18" x14ac:dyDescent="0.25">
      <c r="B3788" s="12" t="s">
        <v>5059</v>
      </c>
      <c r="C3788" s="5"/>
      <c r="D3788" s="5" t="s">
        <v>29</v>
      </c>
      <c r="E3788" s="5" t="s">
        <v>734</v>
      </c>
      <c r="F3788" s="5" t="s">
        <v>4961</v>
      </c>
      <c r="G3788" s="5" t="s">
        <v>28</v>
      </c>
      <c r="H3788" s="5"/>
      <c r="I3788" s="5"/>
      <c r="J3788" s="5"/>
      <c r="K3788" s="5"/>
      <c r="L3788" s="5"/>
      <c r="M3788" s="5"/>
      <c r="N3788" s="5"/>
      <c r="O3788" s="17" t="s">
        <v>38</v>
      </c>
      <c r="P3788" s="5" t="str">
        <f t="shared" si="90"/>
        <v>Truncate table HNUB32;</v>
      </c>
      <c r="Q3788" s="5"/>
      <c r="R3788" s="5"/>
    </row>
    <row r="3789" spans="2:18" x14ac:dyDescent="0.25">
      <c r="B3789" s="12" t="s">
        <v>5060</v>
      </c>
      <c r="C3789" s="5"/>
      <c r="D3789" s="5" t="s">
        <v>29</v>
      </c>
      <c r="E3789" s="5" t="s">
        <v>734</v>
      </c>
      <c r="F3789" s="5" t="s">
        <v>4961</v>
      </c>
      <c r="G3789" s="5" t="s">
        <v>28</v>
      </c>
      <c r="H3789" s="5"/>
      <c r="I3789" s="5"/>
      <c r="J3789" s="5"/>
      <c r="K3789" s="5"/>
      <c r="L3789" s="5"/>
      <c r="M3789" s="5"/>
      <c r="N3789" s="5"/>
      <c r="O3789" s="17" t="s">
        <v>38</v>
      </c>
      <c r="P3789" s="5" t="str">
        <f t="shared" si="90"/>
        <v>Truncate table HNUB33;</v>
      </c>
      <c r="Q3789" s="5"/>
      <c r="R3789" s="5"/>
    </row>
    <row r="3790" spans="2:18" x14ac:dyDescent="0.25">
      <c r="B3790" s="12" t="s">
        <v>5061</v>
      </c>
      <c r="C3790" s="5"/>
      <c r="D3790" s="5" t="s">
        <v>29</v>
      </c>
      <c r="E3790" s="5" t="s">
        <v>734</v>
      </c>
      <c r="F3790" s="5" t="s">
        <v>4961</v>
      </c>
      <c r="G3790" s="5" t="s">
        <v>28</v>
      </c>
      <c r="H3790" s="5"/>
      <c r="I3790" s="5"/>
      <c r="J3790" s="5"/>
      <c r="K3790" s="5"/>
      <c r="L3790" s="5"/>
      <c r="M3790" s="5"/>
      <c r="N3790" s="5"/>
      <c r="O3790" s="17" t="s">
        <v>38</v>
      </c>
      <c r="P3790" s="5" t="str">
        <f t="shared" si="90"/>
        <v>Truncate table HNUB34;</v>
      </c>
      <c r="Q3790" s="5"/>
      <c r="R3790" s="5"/>
    </row>
    <row r="3791" spans="2:18" x14ac:dyDescent="0.25">
      <c r="B3791" s="12" t="s">
        <v>5062</v>
      </c>
      <c r="C3791" s="5"/>
      <c r="D3791" s="5" t="s">
        <v>29</v>
      </c>
      <c r="E3791" s="5" t="s">
        <v>734</v>
      </c>
      <c r="F3791" s="5" t="s">
        <v>4961</v>
      </c>
      <c r="G3791" s="5" t="s">
        <v>28</v>
      </c>
      <c r="H3791" s="5"/>
      <c r="I3791" s="5"/>
      <c r="J3791" s="5"/>
      <c r="K3791" s="5"/>
      <c r="L3791" s="5"/>
      <c r="M3791" s="5"/>
      <c r="N3791" s="5"/>
      <c r="O3791" s="17" t="s">
        <v>38</v>
      </c>
      <c r="P3791" s="5" t="str">
        <f t="shared" si="90"/>
        <v>Truncate table HNUB35;</v>
      </c>
      <c r="Q3791" s="5"/>
      <c r="R3791" s="5"/>
    </row>
    <row r="3792" spans="2:18" x14ac:dyDescent="0.25">
      <c r="B3792" s="12" t="s">
        <v>5063</v>
      </c>
      <c r="C3792" s="5"/>
      <c r="D3792" s="5" t="s">
        <v>29</v>
      </c>
      <c r="E3792" s="5" t="s">
        <v>734</v>
      </c>
      <c r="F3792" s="5" t="s">
        <v>4961</v>
      </c>
      <c r="G3792" s="5" t="s">
        <v>28</v>
      </c>
      <c r="H3792" s="5"/>
      <c r="I3792" s="5"/>
      <c r="J3792" s="5"/>
      <c r="K3792" s="5"/>
      <c r="L3792" s="5"/>
      <c r="M3792" s="5"/>
      <c r="N3792" s="5"/>
      <c r="O3792" s="17" t="s">
        <v>38</v>
      </c>
      <c r="P3792" s="5" t="str">
        <f t="shared" si="90"/>
        <v>Truncate table HNUB36;</v>
      </c>
      <c r="Q3792" s="5"/>
      <c r="R3792" s="5"/>
    </row>
    <row r="3793" spans="2:18" x14ac:dyDescent="0.25">
      <c r="B3793" s="12" t="s">
        <v>5064</v>
      </c>
      <c r="C3793" s="5"/>
      <c r="D3793" s="5" t="s">
        <v>29</v>
      </c>
      <c r="E3793" s="5" t="s">
        <v>734</v>
      </c>
      <c r="F3793" s="5" t="s">
        <v>4961</v>
      </c>
      <c r="G3793" s="5" t="s">
        <v>28</v>
      </c>
      <c r="H3793" s="5"/>
      <c r="I3793" s="5"/>
      <c r="J3793" s="5"/>
      <c r="K3793" s="5"/>
      <c r="L3793" s="5"/>
      <c r="M3793" s="5"/>
      <c r="N3793" s="5"/>
      <c r="O3793" s="17" t="s">
        <v>38</v>
      </c>
      <c r="P3793" s="5" t="str">
        <f t="shared" si="90"/>
        <v>Truncate table HNUB37;</v>
      </c>
      <c r="Q3793" s="5"/>
      <c r="R3793" s="5"/>
    </row>
    <row r="3794" spans="2:18" x14ac:dyDescent="0.25">
      <c r="B3794" s="12" t="s">
        <v>5065</v>
      </c>
      <c r="C3794" s="5"/>
      <c r="D3794" s="5" t="s">
        <v>29</v>
      </c>
      <c r="E3794" s="5" t="s">
        <v>734</v>
      </c>
      <c r="F3794" s="5" t="s">
        <v>4961</v>
      </c>
      <c r="G3794" s="5" t="s">
        <v>28</v>
      </c>
      <c r="H3794" s="5"/>
      <c r="I3794" s="5"/>
      <c r="J3794" s="5"/>
      <c r="K3794" s="5"/>
      <c r="L3794" s="5"/>
      <c r="M3794" s="5"/>
      <c r="N3794" s="5"/>
      <c r="O3794" s="17" t="s">
        <v>38</v>
      </c>
      <c r="P3794" s="5" t="str">
        <f t="shared" si="90"/>
        <v>Truncate table HNUB38;</v>
      </c>
      <c r="Q3794" s="5"/>
      <c r="R3794" s="5"/>
    </row>
    <row r="3795" spans="2:18" x14ac:dyDescent="0.25">
      <c r="B3795" s="12" t="s">
        <v>5066</v>
      </c>
      <c r="C3795" s="5"/>
      <c r="D3795" s="5" t="s">
        <v>29</v>
      </c>
      <c r="E3795" s="5" t="s">
        <v>734</v>
      </c>
      <c r="F3795" s="5" t="s">
        <v>4961</v>
      </c>
      <c r="G3795" s="5" t="s">
        <v>28</v>
      </c>
      <c r="H3795" s="5"/>
      <c r="I3795" s="5"/>
      <c r="J3795" s="5"/>
      <c r="K3795" s="5"/>
      <c r="L3795" s="5"/>
      <c r="M3795" s="5"/>
      <c r="N3795" s="5"/>
      <c r="O3795" s="17" t="s">
        <v>38</v>
      </c>
      <c r="P3795" s="5" t="str">
        <f t="shared" si="90"/>
        <v>Truncate table HNUB39;</v>
      </c>
      <c r="Q3795" s="5"/>
      <c r="R3795" s="5"/>
    </row>
    <row r="3796" spans="2:18" x14ac:dyDescent="0.25">
      <c r="B3796" s="12" t="s">
        <v>5067</v>
      </c>
      <c r="C3796" s="5"/>
      <c r="D3796" s="5" t="s">
        <v>29</v>
      </c>
      <c r="E3796" s="5" t="s">
        <v>734</v>
      </c>
      <c r="F3796" s="5" t="s">
        <v>4961</v>
      </c>
      <c r="G3796" s="5" t="s">
        <v>28</v>
      </c>
      <c r="H3796" s="5"/>
      <c r="I3796" s="5"/>
      <c r="J3796" s="5"/>
      <c r="K3796" s="5"/>
      <c r="L3796" s="5"/>
      <c r="M3796" s="5"/>
      <c r="N3796" s="5"/>
      <c r="O3796" s="17" t="s">
        <v>38</v>
      </c>
      <c r="P3796" s="5" t="str">
        <f t="shared" si="90"/>
        <v>Truncate table HNUB40;</v>
      </c>
      <c r="Q3796" s="5"/>
      <c r="R3796" s="5"/>
    </row>
    <row r="3797" spans="2:18" x14ac:dyDescent="0.25">
      <c r="B3797" s="12" t="s">
        <v>5068</v>
      </c>
      <c r="C3797" s="5"/>
      <c r="D3797" s="5" t="s">
        <v>29</v>
      </c>
      <c r="E3797" s="5" t="s">
        <v>734</v>
      </c>
      <c r="F3797" s="5" t="s">
        <v>4961</v>
      </c>
      <c r="G3797" s="5" t="s">
        <v>28</v>
      </c>
      <c r="H3797" s="5"/>
      <c r="I3797" s="5"/>
      <c r="J3797" s="5"/>
      <c r="K3797" s="5"/>
      <c r="L3797" s="5"/>
      <c r="M3797" s="5"/>
      <c r="N3797" s="5"/>
      <c r="O3797" s="17" t="s">
        <v>38</v>
      </c>
      <c r="P3797" s="5" t="str">
        <f t="shared" si="90"/>
        <v>Truncate table HNUB41;</v>
      </c>
      <c r="Q3797" s="5"/>
      <c r="R3797" s="5"/>
    </row>
    <row r="3798" spans="2:18" x14ac:dyDescent="0.25">
      <c r="B3798" s="12" t="s">
        <v>5069</v>
      </c>
      <c r="C3798" s="5"/>
      <c r="D3798" s="5" t="s">
        <v>29</v>
      </c>
      <c r="E3798" s="5" t="s">
        <v>734</v>
      </c>
      <c r="F3798" s="5" t="s">
        <v>4961</v>
      </c>
      <c r="G3798" s="5" t="s">
        <v>28</v>
      </c>
      <c r="H3798" s="5"/>
      <c r="I3798" s="5"/>
      <c r="J3798" s="5"/>
      <c r="K3798" s="5"/>
      <c r="L3798" s="5"/>
      <c r="M3798" s="5"/>
      <c r="N3798" s="5"/>
      <c r="O3798" s="17" t="s">
        <v>38</v>
      </c>
      <c r="P3798" s="5" t="str">
        <f t="shared" si="90"/>
        <v>Truncate table HNUB42;</v>
      </c>
      <c r="Q3798" s="5"/>
      <c r="R3798" s="5"/>
    </row>
    <row r="3799" spans="2:18" x14ac:dyDescent="0.25">
      <c r="B3799" s="12" t="s">
        <v>5070</v>
      </c>
      <c r="C3799" s="5"/>
      <c r="D3799" s="5" t="s">
        <v>29</v>
      </c>
      <c r="E3799" s="5" t="s">
        <v>734</v>
      </c>
      <c r="F3799" s="5" t="s">
        <v>4961</v>
      </c>
      <c r="G3799" s="5" t="s">
        <v>28</v>
      </c>
      <c r="H3799" s="5"/>
      <c r="I3799" s="5"/>
      <c r="J3799" s="5"/>
      <c r="K3799" s="5"/>
      <c r="L3799" s="5"/>
      <c r="M3799" s="5"/>
      <c r="N3799" s="5"/>
      <c r="O3799" s="17" t="s">
        <v>38</v>
      </c>
      <c r="P3799" s="5" t="str">
        <f t="shared" si="90"/>
        <v>Truncate table HNUB43;</v>
      </c>
      <c r="Q3799" s="5"/>
      <c r="R3799" s="5"/>
    </row>
    <row r="3800" spans="2:18" x14ac:dyDescent="0.25">
      <c r="B3800" s="12" t="s">
        <v>5071</v>
      </c>
      <c r="C3800" s="5"/>
      <c r="D3800" s="5" t="s">
        <v>29</v>
      </c>
      <c r="E3800" s="5" t="s">
        <v>734</v>
      </c>
      <c r="F3800" s="5" t="s">
        <v>4961</v>
      </c>
      <c r="G3800" s="5" t="s">
        <v>28</v>
      </c>
      <c r="H3800" s="5"/>
      <c r="I3800" s="5"/>
      <c r="J3800" s="5"/>
      <c r="K3800" s="5"/>
      <c r="L3800" s="5"/>
      <c r="M3800" s="5"/>
      <c r="N3800" s="5"/>
      <c r="O3800" s="17" t="s">
        <v>38</v>
      </c>
      <c r="P3800" s="5" t="str">
        <f t="shared" si="90"/>
        <v>Truncate table HNUB44;</v>
      </c>
      <c r="Q3800" s="5"/>
      <c r="R3800" s="5"/>
    </row>
    <row r="3801" spans="2:18" x14ac:dyDescent="0.25">
      <c r="B3801" s="12" t="s">
        <v>5072</v>
      </c>
      <c r="C3801" s="5"/>
      <c r="D3801" s="5" t="s">
        <v>29</v>
      </c>
      <c r="E3801" s="5" t="s">
        <v>734</v>
      </c>
      <c r="F3801" s="5" t="s">
        <v>4961</v>
      </c>
      <c r="G3801" s="5" t="s">
        <v>28</v>
      </c>
      <c r="H3801" s="5"/>
      <c r="I3801" s="5"/>
      <c r="J3801" s="5"/>
      <c r="K3801" s="5"/>
      <c r="L3801" s="5"/>
      <c r="M3801" s="5"/>
      <c r="N3801" s="5"/>
      <c r="O3801" s="17" t="s">
        <v>38</v>
      </c>
      <c r="P3801" s="5" t="str">
        <f t="shared" si="90"/>
        <v>Truncate table HNUB45;</v>
      </c>
      <c r="Q3801" s="5"/>
      <c r="R3801" s="5"/>
    </row>
    <row r="3802" spans="2:18" x14ac:dyDescent="0.25">
      <c r="B3802" s="12" t="s">
        <v>5073</v>
      </c>
      <c r="C3802" s="5"/>
      <c r="D3802" s="5" t="s">
        <v>29</v>
      </c>
      <c r="E3802" s="5" t="s">
        <v>734</v>
      </c>
      <c r="F3802" s="5" t="s">
        <v>4961</v>
      </c>
      <c r="G3802" s="5" t="s">
        <v>28</v>
      </c>
      <c r="H3802" s="5"/>
      <c r="I3802" s="5"/>
      <c r="J3802" s="5"/>
      <c r="K3802" s="5"/>
      <c r="L3802" s="5"/>
      <c r="M3802" s="5"/>
      <c r="N3802" s="5"/>
      <c r="O3802" s="17" t="s">
        <v>38</v>
      </c>
      <c r="P3802" s="5" t="str">
        <f t="shared" si="90"/>
        <v>Truncate table HNUB46;</v>
      </c>
      <c r="Q3802" s="5"/>
      <c r="R3802" s="5"/>
    </row>
    <row r="3803" spans="2:18" x14ac:dyDescent="0.25">
      <c r="B3803" s="12" t="s">
        <v>5074</v>
      </c>
      <c r="C3803" s="5"/>
      <c r="D3803" s="5" t="s">
        <v>29</v>
      </c>
      <c r="E3803" s="5" t="s">
        <v>734</v>
      </c>
      <c r="F3803" s="5" t="s">
        <v>4961</v>
      </c>
      <c r="G3803" s="5" t="s">
        <v>28</v>
      </c>
      <c r="H3803" s="5"/>
      <c r="I3803" s="5"/>
      <c r="J3803" s="5"/>
      <c r="K3803" s="5"/>
      <c r="L3803" s="5"/>
      <c r="M3803" s="5"/>
      <c r="N3803" s="5"/>
      <c r="O3803" s="17" t="s">
        <v>38</v>
      </c>
      <c r="P3803" s="5" t="str">
        <f t="shared" si="90"/>
        <v>Truncate table HNUB47;</v>
      </c>
      <c r="Q3803" s="5"/>
      <c r="R3803" s="5"/>
    </row>
    <row r="3804" spans="2:18" x14ac:dyDescent="0.25">
      <c r="B3804" s="12" t="s">
        <v>5075</v>
      </c>
      <c r="C3804" s="5"/>
      <c r="D3804" s="5" t="s">
        <v>29</v>
      </c>
      <c r="E3804" s="5" t="s">
        <v>734</v>
      </c>
      <c r="F3804" s="5" t="s">
        <v>4961</v>
      </c>
      <c r="G3804" s="5" t="s">
        <v>28</v>
      </c>
      <c r="H3804" s="5"/>
      <c r="I3804" s="5"/>
      <c r="J3804" s="5"/>
      <c r="K3804" s="5"/>
      <c r="L3804" s="5"/>
      <c r="M3804" s="5"/>
      <c r="N3804" s="5"/>
      <c r="O3804" s="17" t="s">
        <v>38</v>
      </c>
      <c r="P3804" s="5" t="str">
        <f t="shared" si="90"/>
        <v>Truncate table HNUB48;</v>
      </c>
      <c r="Q3804" s="5"/>
      <c r="R3804" s="5"/>
    </row>
    <row r="3805" spans="2:18" x14ac:dyDescent="0.25">
      <c r="B3805" s="12" t="s">
        <v>5076</v>
      </c>
      <c r="C3805" s="5"/>
      <c r="D3805" s="5" t="s">
        <v>29</v>
      </c>
      <c r="E3805" s="5" t="s">
        <v>734</v>
      </c>
      <c r="F3805" s="5" t="s">
        <v>4961</v>
      </c>
      <c r="G3805" s="5" t="s">
        <v>28</v>
      </c>
      <c r="H3805" s="5"/>
      <c r="I3805" s="5"/>
      <c r="J3805" s="5"/>
      <c r="K3805" s="5"/>
      <c r="L3805" s="5"/>
      <c r="M3805" s="5"/>
      <c r="N3805" s="5"/>
      <c r="O3805" s="17" t="s">
        <v>38</v>
      </c>
      <c r="P3805" s="5" t="str">
        <f t="shared" si="90"/>
        <v>Truncate table HNUB49;</v>
      </c>
      <c r="Q3805" s="5"/>
      <c r="R3805" s="5"/>
    </row>
    <row r="3806" spans="2:18" x14ac:dyDescent="0.25">
      <c r="B3806" s="12" t="s">
        <v>5077</v>
      </c>
      <c r="C3806" s="5"/>
      <c r="D3806" s="5" t="s">
        <v>29</v>
      </c>
      <c r="E3806" s="5" t="s">
        <v>734</v>
      </c>
      <c r="F3806" s="5" t="s">
        <v>4961</v>
      </c>
      <c r="G3806" s="5" t="s">
        <v>28</v>
      </c>
      <c r="H3806" s="5"/>
      <c r="I3806" s="5"/>
      <c r="J3806" s="5"/>
      <c r="K3806" s="5"/>
      <c r="L3806" s="5"/>
      <c r="M3806" s="5"/>
      <c r="N3806" s="5"/>
      <c r="O3806" s="17" t="s">
        <v>38</v>
      </c>
      <c r="P3806" s="5" t="str">
        <f t="shared" si="90"/>
        <v>Truncate table HNUB51;</v>
      </c>
      <c r="Q3806" s="5"/>
      <c r="R3806" s="5"/>
    </row>
    <row r="3807" spans="2:18" x14ac:dyDescent="0.25">
      <c r="B3807" s="12" t="s">
        <v>5078</v>
      </c>
      <c r="C3807" s="5"/>
      <c r="D3807" s="5" t="s">
        <v>29</v>
      </c>
      <c r="E3807" s="5" t="s">
        <v>734</v>
      </c>
      <c r="F3807" s="5" t="s">
        <v>4961</v>
      </c>
      <c r="G3807" s="5" t="s">
        <v>28</v>
      </c>
      <c r="H3807" s="5"/>
      <c r="I3807" s="5"/>
      <c r="J3807" s="5"/>
      <c r="K3807" s="5"/>
      <c r="L3807" s="5"/>
      <c r="M3807" s="5"/>
      <c r="N3807" s="5"/>
      <c r="O3807" s="17" t="s">
        <v>38</v>
      </c>
      <c r="P3807" s="5" t="str">
        <f t="shared" si="90"/>
        <v>Truncate table HNUB52;</v>
      </c>
      <c r="Q3807" s="5"/>
      <c r="R3807" s="5"/>
    </row>
    <row r="3808" spans="2:18" x14ac:dyDescent="0.25">
      <c r="B3808" s="12" t="s">
        <v>5079</v>
      </c>
      <c r="C3808" s="5"/>
      <c r="D3808" s="5" t="s">
        <v>29</v>
      </c>
      <c r="E3808" s="5" t="s">
        <v>734</v>
      </c>
      <c r="F3808" s="5" t="s">
        <v>4961</v>
      </c>
      <c r="G3808" s="5" t="s">
        <v>28</v>
      </c>
      <c r="H3808" s="5"/>
      <c r="I3808" s="5"/>
      <c r="J3808" s="5"/>
      <c r="K3808" s="5"/>
      <c r="L3808" s="5"/>
      <c r="M3808" s="5"/>
      <c r="N3808" s="5"/>
      <c r="O3808" s="17" t="s">
        <v>38</v>
      </c>
      <c r="P3808" s="5" t="str">
        <f t="shared" si="90"/>
        <v>Truncate table HNUB53;</v>
      </c>
      <c r="Q3808" s="5"/>
      <c r="R3808" s="5"/>
    </row>
    <row r="3809" spans="2:18" x14ac:dyDescent="0.25">
      <c r="B3809" s="12" t="s">
        <v>5080</v>
      </c>
      <c r="C3809" s="5"/>
      <c r="D3809" s="5" t="s">
        <v>29</v>
      </c>
      <c r="E3809" s="5" t="s">
        <v>734</v>
      </c>
      <c r="F3809" s="5" t="s">
        <v>4961</v>
      </c>
      <c r="G3809" s="5" t="s">
        <v>28</v>
      </c>
      <c r="H3809" s="5"/>
      <c r="I3809" s="5"/>
      <c r="J3809" s="5"/>
      <c r="K3809" s="5"/>
      <c r="L3809" s="5"/>
      <c r="M3809" s="5"/>
      <c r="N3809" s="5"/>
      <c r="O3809" s="17" t="s">
        <v>38</v>
      </c>
      <c r="P3809" s="5" t="str">
        <f t="shared" si="90"/>
        <v>Truncate table HNUB54;</v>
      </c>
      <c r="Q3809" s="5"/>
      <c r="R3809" s="5"/>
    </row>
    <row r="3810" spans="2:18" x14ac:dyDescent="0.25">
      <c r="B3810" s="12" t="s">
        <v>5081</v>
      </c>
      <c r="C3810" s="5"/>
      <c r="D3810" s="5" t="s">
        <v>29</v>
      </c>
      <c r="E3810" s="5" t="s">
        <v>734</v>
      </c>
      <c r="F3810" s="5" t="s">
        <v>4961</v>
      </c>
      <c r="G3810" s="5" t="s">
        <v>28</v>
      </c>
      <c r="H3810" s="5"/>
      <c r="I3810" s="5"/>
      <c r="J3810" s="5"/>
      <c r="K3810" s="5"/>
      <c r="L3810" s="5"/>
      <c r="M3810" s="5"/>
      <c r="N3810" s="5"/>
      <c r="O3810" s="17" t="s">
        <v>38</v>
      </c>
      <c r="P3810" s="5" t="str">
        <f t="shared" si="90"/>
        <v>Truncate table HNUB55;</v>
      </c>
      <c r="Q3810" s="5"/>
      <c r="R3810" s="5"/>
    </row>
    <row r="3811" spans="2:18" x14ac:dyDescent="0.25">
      <c r="B3811" s="12" t="s">
        <v>5082</v>
      </c>
      <c r="C3811" s="5"/>
      <c r="D3811" s="5" t="s">
        <v>29</v>
      </c>
      <c r="E3811" s="5" t="s">
        <v>734</v>
      </c>
      <c r="F3811" s="5" t="s">
        <v>4961</v>
      </c>
      <c r="G3811" s="5" t="s">
        <v>28</v>
      </c>
      <c r="H3811" s="5"/>
      <c r="I3811" s="5"/>
      <c r="J3811" s="5"/>
      <c r="K3811" s="5"/>
      <c r="L3811" s="5"/>
      <c r="M3811" s="5"/>
      <c r="N3811" s="5"/>
      <c r="O3811" s="17" t="s">
        <v>38</v>
      </c>
      <c r="P3811" s="5" t="str">
        <f t="shared" si="90"/>
        <v>Truncate table HNUB56;</v>
      </c>
      <c r="Q3811" s="5"/>
      <c r="R3811" s="5"/>
    </row>
    <row r="3812" spans="2:18" x14ac:dyDescent="0.25">
      <c r="B3812" s="12" t="s">
        <v>5083</v>
      </c>
      <c r="C3812" s="5"/>
      <c r="D3812" s="5" t="s">
        <v>29</v>
      </c>
      <c r="E3812" s="5" t="s">
        <v>734</v>
      </c>
      <c r="F3812" s="5" t="s">
        <v>4961</v>
      </c>
      <c r="G3812" s="5" t="s">
        <v>28</v>
      </c>
      <c r="H3812" s="5"/>
      <c r="I3812" s="5"/>
      <c r="J3812" s="5"/>
      <c r="K3812" s="5"/>
      <c r="L3812" s="5"/>
      <c r="M3812" s="5"/>
      <c r="N3812" s="5"/>
      <c r="O3812" s="17" t="s">
        <v>38</v>
      </c>
      <c r="P3812" s="5" t="str">
        <f t="shared" si="90"/>
        <v>Truncate table HNUB57;</v>
      </c>
      <c r="Q3812" s="5"/>
      <c r="R3812" s="5"/>
    </row>
    <row r="3813" spans="2:18" x14ac:dyDescent="0.25">
      <c r="B3813" s="12" t="s">
        <v>5084</v>
      </c>
      <c r="C3813" s="5"/>
      <c r="D3813" s="5" t="s">
        <v>29</v>
      </c>
      <c r="E3813" s="5" t="s">
        <v>734</v>
      </c>
      <c r="F3813" s="5" t="s">
        <v>4961</v>
      </c>
      <c r="G3813" s="5" t="s">
        <v>28</v>
      </c>
      <c r="H3813" s="5"/>
      <c r="I3813" s="5"/>
      <c r="J3813" s="5"/>
      <c r="K3813" s="5"/>
      <c r="L3813" s="5"/>
      <c r="M3813" s="5"/>
      <c r="N3813" s="5"/>
      <c r="O3813" s="17" t="s">
        <v>38</v>
      </c>
      <c r="P3813" s="5" t="str">
        <f t="shared" si="90"/>
        <v>Truncate table HNUB58;</v>
      </c>
      <c r="Q3813" s="5"/>
      <c r="R3813" s="5"/>
    </row>
    <row r="3814" spans="2:18" x14ac:dyDescent="0.25">
      <c r="B3814" s="12" t="s">
        <v>5085</v>
      </c>
      <c r="C3814" s="5"/>
      <c r="D3814" s="5" t="s">
        <v>29</v>
      </c>
      <c r="E3814" s="5" t="s">
        <v>734</v>
      </c>
      <c r="F3814" s="5" t="s">
        <v>4961</v>
      </c>
      <c r="G3814" s="5" t="s">
        <v>28</v>
      </c>
      <c r="H3814" s="5"/>
      <c r="I3814" s="5"/>
      <c r="J3814" s="5"/>
      <c r="K3814" s="5"/>
      <c r="L3814" s="5"/>
      <c r="M3814" s="5"/>
      <c r="N3814" s="5"/>
      <c r="O3814" s="17" t="s">
        <v>38</v>
      </c>
      <c r="P3814" s="5" t="str">
        <f t="shared" si="90"/>
        <v>Truncate table HNUB59;</v>
      </c>
      <c r="Q3814" s="5"/>
      <c r="R3814" s="5"/>
    </row>
    <row r="3815" spans="2:18" x14ac:dyDescent="0.25">
      <c r="B3815" s="12" t="s">
        <v>5086</v>
      </c>
      <c r="C3815" s="5"/>
      <c r="D3815" s="5" t="s">
        <v>29</v>
      </c>
      <c r="E3815" s="5" t="s">
        <v>734</v>
      </c>
      <c r="F3815" s="5" t="s">
        <v>4961</v>
      </c>
      <c r="G3815" s="5" t="s">
        <v>28</v>
      </c>
      <c r="H3815" s="5"/>
      <c r="I3815" s="5"/>
      <c r="J3815" s="5"/>
      <c r="K3815" s="5"/>
      <c r="L3815" s="5"/>
      <c r="M3815" s="5"/>
      <c r="N3815" s="5"/>
      <c r="O3815" s="17" t="s">
        <v>38</v>
      </c>
      <c r="P3815" s="5" t="str">
        <f t="shared" si="90"/>
        <v>Truncate table HNUB5A;</v>
      </c>
      <c r="Q3815" s="5"/>
      <c r="R3815" s="5"/>
    </row>
    <row r="3816" spans="2:18" x14ac:dyDescent="0.25">
      <c r="B3816" s="12" t="s">
        <v>5087</v>
      </c>
      <c r="C3816" s="5"/>
      <c r="D3816" s="5" t="s">
        <v>29</v>
      </c>
      <c r="E3816" s="5" t="s">
        <v>734</v>
      </c>
      <c r="F3816" s="5" t="s">
        <v>4961</v>
      </c>
      <c r="G3816" s="5" t="s">
        <v>28</v>
      </c>
      <c r="H3816" s="5"/>
      <c r="I3816" s="5"/>
      <c r="J3816" s="5"/>
      <c r="K3816" s="5"/>
      <c r="L3816" s="5"/>
      <c r="M3816" s="5"/>
      <c r="N3816" s="5"/>
      <c r="O3816" s="17" t="s">
        <v>38</v>
      </c>
      <c r="P3816" s="5" t="str">
        <f t="shared" si="90"/>
        <v>Truncate table HNUB5B;</v>
      </c>
      <c r="Q3816" s="5"/>
      <c r="R3816" s="5"/>
    </row>
    <row r="3817" spans="2:18" x14ac:dyDescent="0.25">
      <c r="B3817" s="12" t="s">
        <v>5088</v>
      </c>
      <c r="C3817" s="5"/>
      <c r="D3817" s="5" t="s">
        <v>29</v>
      </c>
      <c r="E3817" s="5" t="s">
        <v>734</v>
      </c>
      <c r="F3817" s="5" t="s">
        <v>4961</v>
      </c>
      <c r="G3817" s="5" t="s">
        <v>28</v>
      </c>
      <c r="H3817" s="5"/>
      <c r="I3817" s="5"/>
      <c r="J3817" s="5"/>
      <c r="K3817" s="5"/>
      <c r="L3817" s="5"/>
      <c r="M3817" s="5"/>
      <c r="N3817" s="5"/>
      <c r="O3817" s="17" t="s">
        <v>38</v>
      </c>
      <c r="P3817" s="5" t="str">
        <f t="shared" si="90"/>
        <v>Truncate table HNUB5C;</v>
      </c>
      <c r="Q3817" s="5"/>
      <c r="R3817" s="5"/>
    </row>
    <row r="3818" spans="2:18" x14ac:dyDescent="0.25">
      <c r="B3818" s="12" t="s">
        <v>5089</v>
      </c>
      <c r="C3818" s="5"/>
      <c r="D3818" s="5" t="s">
        <v>29</v>
      </c>
      <c r="E3818" s="5" t="s">
        <v>734</v>
      </c>
      <c r="F3818" s="5" t="s">
        <v>4961</v>
      </c>
      <c r="G3818" s="5" t="s">
        <v>28</v>
      </c>
      <c r="H3818" s="5"/>
      <c r="I3818" s="5"/>
      <c r="J3818" s="5"/>
      <c r="K3818" s="5"/>
      <c r="L3818" s="5"/>
      <c r="M3818" s="5"/>
      <c r="N3818" s="5"/>
      <c r="O3818" s="17" t="s">
        <v>38</v>
      </c>
      <c r="P3818" s="5" t="str">
        <f t="shared" si="90"/>
        <v>Truncate table HNUB60;</v>
      </c>
      <c r="Q3818" s="5"/>
      <c r="R3818" s="5"/>
    </row>
    <row r="3819" spans="2:18" x14ac:dyDescent="0.25">
      <c r="B3819" s="12" t="s">
        <v>5090</v>
      </c>
      <c r="C3819" s="5"/>
      <c r="D3819" s="5" t="s">
        <v>29</v>
      </c>
      <c r="E3819" s="5" t="s">
        <v>734</v>
      </c>
      <c r="F3819" s="5" t="s">
        <v>4961</v>
      </c>
      <c r="G3819" s="5" t="s">
        <v>28</v>
      </c>
      <c r="H3819" s="5"/>
      <c r="I3819" s="5"/>
      <c r="J3819" s="5"/>
      <c r="K3819" s="5"/>
      <c r="L3819" s="5"/>
      <c r="M3819" s="5"/>
      <c r="N3819" s="5"/>
      <c r="O3819" s="17" t="s">
        <v>38</v>
      </c>
      <c r="P3819" s="5" t="str">
        <f t="shared" si="90"/>
        <v>Truncate table HNUB61;</v>
      </c>
      <c r="Q3819" s="5"/>
      <c r="R3819" s="5"/>
    </row>
    <row r="3820" spans="2:18" x14ac:dyDescent="0.25">
      <c r="B3820" s="12" t="s">
        <v>5091</v>
      </c>
      <c r="C3820" s="5"/>
      <c r="D3820" s="5" t="s">
        <v>29</v>
      </c>
      <c r="E3820" s="5" t="s">
        <v>734</v>
      </c>
      <c r="F3820" s="5" t="s">
        <v>4961</v>
      </c>
      <c r="G3820" s="5" t="s">
        <v>28</v>
      </c>
      <c r="H3820" s="5"/>
      <c r="I3820" s="5"/>
      <c r="J3820" s="5"/>
      <c r="K3820" s="5"/>
      <c r="L3820" s="5"/>
      <c r="M3820" s="5"/>
      <c r="N3820" s="5"/>
      <c r="O3820" s="17" t="s">
        <v>38</v>
      </c>
      <c r="P3820" s="5" t="str">
        <f t="shared" si="90"/>
        <v>Truncate table HNUB62;</v>
      </c>
      <c r="Q3820" s="5"/>
      <c r="R3820" s="5"/>
    </row>
    <row r="3821" spans="2:18" x14ac:dyDescent="0.25">
      <c r="B3821" s="12" t="s">
        <v>5092</v>
      </c>
      <c r="C3821" s="5"/>
      <c r="D3821" s="5" t="s">
        <v>29</v>
      </c>
      <c r="E3821" s="5" t="s">
        <v>734</v>
      </c>
      <c r="F3821" s="5" t="s">
        <v>4961</v>
      </c>
      <c r="G3821" s="5" t="s">
        <v>28</v>
      </c>
      <c r="H3821" s="5"/>
      <c r="I3821" s="5"/>
      <c r="J3821" s="5"/>
      <c r="K3821" s="5"/>
      <c r="L3821" s="5"/>
      <c r="M3821" s="5"/>
      <c r="N3821" s="5"/>
      <c r="O3821" s="17" t="s">
        <v>38</v>
      </c>
      <c r="P3821" s="5" t="str">
        <f t="shared" si="90"/>
        <v>Truncate table HNUB63;</v>
      </c>
      <c r="Q3821" s="5"/>
      <c r="R3821" s="5"/>
    </row>
    <row r="3822" spans="2:18" x14ac:dyDescent="0.25">
      <c r="B3822" s="12" t="s">
        <v>5093</v>
      </c>
      <c r="C3822" s="5"/>
      <c r="D3822" s="5" t="s">
        <v>29</v>
      </c>
      <c r="E3822" s="5" t="s">
        <v>734</v>
      </c>
      <c r="F3822" s="5" t="s">
        <v>4961</v>
      </c>
      <c r="G3822" s="5" t="s">
        <v>28</v>
      </c>
      <c r="H3822" s="5"/>
      <c r="I3822" s="5"/>
      <c r="J3822" s="5"/>
      <c r="K3822" s="5"/>
      <c r="L3822" s="5"/>
      <c r="M3822" s="5"/>
      <c r="N3822" s="5"/>
      <c r="O3822" s="17" t="s">
        <v>38</v>
      </c>
      <c r="P3822" s="5" t="str">
        <f t="shared" si="90"/>
        <v>Truncate table HNUB64;</v>
      </c>
      <c r="Q3822" s="5"/>
      <c r="R3822" s="5"/>
    </row>
    <row r="3823" spans="2:18" x14ac:dyDescent="0.25">
      <c r="B3823" s="12" t="s">
        <v>5094</v>
      </c>
      <c r="C3823" s="5"/>
      <c r="D3823" s="5" t="s">
        <v>29</v>
      </c>
      <c r="E3823" s="5" t="s">
        <v>734</v>
      </c>
      <c r="F3823" s="5" t="s">
        <v>4961</v>
      </c>
      <c r="G3823" s="5" t="s">
        <v>28</v>
      </c>
      <c r="H3823" s="5"/>
      <c r="I3823" s="5"/>
      <c r="J3823" s="5"/>
      <c r="K3823" s="5"/>
      <c r="L3823" s="5"/>
      <c r="M3823" s="5"/>
      <c r="N3823" s="5"/>
      <c r="O3823" s="17" t="s">
        <v>38</v>
      </c>
      <c r="P3823" s="5" t="str">
        <f t="shared" si="90"/>
        <v>Truncate table HNUB65;</v>
      </c>
      <c r="Q3823" s="5"/>
      <c r="R3823" s="5"/>
    </row>
    <row r="3824" spans="2:18" x14ac:dyDescent="0.25">
      <c r="B3824" s="12" t="s">
        <v>5095</v>
      </c>
      <c r="C3824" s="5"/>
      <c r="D3824" s="5" t="s">
        <v>29</v>
      </c>
      <c r="E3824" s="5" t="s">
        <v>734</v>
      </c>
      <c r="F3824" s="5" t="s">
        <v>4961</v>
      </c>
      <c r="G3824" s="5" t="s">
        <v>28</v>
      </c>
      <c r="H3824" s="5"/>
      <c r="I3824" s="5"/>
      <c r="J3824" s="5"/>
      <c r="K3824" s="5"/>
      <c r="L3824" s="5"/>
      <c r="M3824" s="5"/>
      <c r="N3824" s="5"/>
      <c r="O3824" s="17" t="s">
        <v>38</v>
      </c>
      <c r="P3824" s="5" t="str">
        <f t="shared" si="90"/>
        <v>Truncate table HNUB66;</v>
      </c>
      <c r="Q3824" s="5"/>
      <c r="R3824" s="5"/>
    </row>
    <row r="3825" spans="2:18" x14ac:dyDescent="0.25">
      <c r="B3825" s="12" t="s">
        <v>5096</v>
      </c>
      <c r="C3825" s="5"/>
      <c r="D3825" s="5" t="s">
        <v>29</v>
      </c>
      <c r="E3825" s="5" t="s">
        <v>734</v>
      </c>
      <c r="F3825" s="5" t="s">
        <v>4961</v>
      </c>
      <c r="G3825" s="5" t="s">
        <v>28</v>
      </c>
      <c r="H3825" s="5"/>
      <c r="I3825" s="5"/>
      <c r="J3825" s="5"/>
      <c r="K3825" s="5"/>
      <c r="L3825" s="5"/>
      <c r="M3825" s="5"/>
      <c r="N3825" s="5"/>
      <c r="O3825" s="17" t="s">
        <v>38</v>
      </c>
      <c r="P3825" s="5" t="str">
        <f t="shared" si="90"/>
        <v>Truncate table HNUB67;</v>
      </c>
      <c r="Q3825" s="5"/>
      <c r="R3825" s="5"/>
    </row>
    <row r="3826" spans="2:18" x14ac:dyDescent="0.25">
      <c r="B3826" s="12" t="s">
        <v>5097</v>
      </c>
      <c r="C3826" s="5"/>
      <c r="D3826" s="5" t="s">
        <v>29</v>
      </c>
      <c r="E3826" s="5" t="s">
        <v>734</v>
      </c>
      <c r="F3826" s="5" t="s">
        <v>4961</v>
      </c>
      <c r="G3826" s="5" t="s">
        <v>28</v>
      </c>
      <c r="H3826" s="5"/>
      <c r="I3826" s="5"/>
      <c r="J3826" s="5"/>
      <c r="K3826" s="5"/>
      <c r="L3826" s="5"/>
      <c r="M3826" s="5"/>
      <c r="N3826" s="5"/>
      <c r="O3826" s="17" t="s">
        <v>38</v>
      </c>
      <c r="P3826" s="5" t="str">
        <f t="shared" si="90"/>
        <v>Truncate table HNUB68;</v>
      </c>
      <c r="Q3826" s="5"/>
      <c r="R3826" s="5"/>
    </row>
    <row r="3827" spans="2:18" x14ac:dyDescent="0.25">
      <c r="B3827" s="12" t="s">
        <v>5098</v>
      </c>
      <c r="C3827" s="5"/>
      <c r="D3827" s="5" t="s">
        <v>29</v>
      </c>
      <c r="E3827" s="5" t="s">
        <v>734</v>
      </c>
      <c r="F3827" s="5" t="s">
        <v>4961</v>
      </c>
      <c r="G3827" s="5" t="s">
        <v>28</v>
      </c>
      <c r="H3827" s="5"/>
      <c r="I3827" s="5"/>
      <c r="J3827" s="5"/>
      <c r="K3827" s="5"/>
      <c r="L3827" s="5"/>
      <c r="M3827" s="5"/>
      <c r="N3827" s="5"/>
      <c r="O3827" s="17" t="s">
        <v>38</v>
      </c>
      <c r="P3827" s="5" t="str">
        <f t="shared" si="90"/>
        <v>Truncate table HNUB69;</v>
      </c>
      <c r="Q3827" s="5"/>
      <c r="R3827" s="5"/>
    </row>
    <row r="3828" spans="2:18" x14ac:dyDescent="0.25">
      <c r="B3828" s="12" t="s">
        <v>5099</v>
      </c>
      <c r="C3828" s="5"/>
      <c r="D3828" s="5" t="s">
        <v>29</v>
      </c>
      <c r="E3828" s="5" t="s">
        <v>734</v>
      </c>
      <c r="F3828" s="5" t="s">
        <v>4961</v>
      </c>
      <c r="G3828" s="5" t="s">
        <v>28</v>
      </c>
      <c r="H3828" s="5"/>
      <c r="I3828" s="5"/>
      <c r="J3828" s="5"/>
      <c r="K3828" s="5"/>
      <c r="L3828" s="5"/>
      <c r="M3828" s="5"/>
      <c r="N3828" s="5"/>
      <c r="O3828" s="17" t="s">
        <v>38</v>
      </c>
      <c r="P3828" s="5" t="str">
        <f t="shared" si="90"/>
        <v>Truncate table HNUB70;</v>
      </c>
      <c r="Q3828" s="5"/>
      <c r="R3828" s="5"/>
    </row>
    <row r="3829" spans="2:18" x14ac:dyDescent="0.25">
      <c r="B3829" s="12" t="s">
        <v>5100</v>
      </c>
      <c r="C3829" s="5"/>
      <c r="D3829" s="5" t="s">
        <v>29</v>
      </c>
      <c r="E3829" s="5" t="s">
        <v>734</v>
      </c>
      <c r="F3829" s="5" t="s">
        <v>4961</v>
      </c>
      <c r="G3829" s="5" t="s">
        <v>28</v>
      </c>
      <c r="H3829" s="5"/>
      <c r="I3829" s="5"/>
      <c r="J3829" s="5"/>
      <c r="K3829" s="5"/>
      <c r="L3829" s="5"/>
      <c r="M3829" s="5"/>
      <c r="N3829" s="5"/>
      <c r="O3829" s="17" t="s">
        <v>38</v>
      </c>
      <c r="P3829" s="5" t="str">
        <f t="shared" si="90"/>
        <v>Truncate table HNUB71;</v>
      </c>
      <c r="Q3829" s="5"/>
      <c r="R3829" s="5"/>
    </row>
    <row r="3830" spans="2:18" x14ac:dyDescent="0.25">
      <c r="B3830" s="12" t="s">
        <v>5101</v>
      </c>
      <c r="C3830" s="5"/>
      <c r="D3830" s="5" t="s">
        <v>29</v>
      </c>
      <c r="E3830" s="5" t="s">
        <v>734</v>
      </c>
      <c r="F3830" s="5" t="s">
        <v>4961</v>
      </c>
      <c r="G3830" s="5" t="s">
        <v>28</v>
      </c>
      <c r="H3830" s="5"/>
      <c r="I3830" s="5"/>
      <c r="J3830" s="5"/>
      <c r="K3830" s="5"/>
      <c r="L3830" s="5"/>
      <c r="M3830" s="5"/>
      <c r="N3830" s="5"/>
      <c r="O3830" s="17" t="s">
        <v>38</v>
      </c>
      <c r="P3830" s="5" t="str">
        <f t="shared" si="90"/>
        <v>Truncate table HNUB75;</v>
      </c>
      <c r="Q3830" s="5"/>
      <c r="R3830" s="5"/>
    </row>
    <row r="3831" spans="2:18" x14ac:dyDescent="0.25">
      <c r="B3831" s="12" t="s">
        <v>5102</v>
      </c>
      <c r="C3831" s="5"/>
      <c r="D3831" s="5" t="s">
        <v>29</v>
      </c>
      <c r="E3831" s="5" t="s">
        <v>734</v>
      </c>
      <c r="F3831" s="5" t="s">
        <v>4961</v>
      </c>
      <c r="G3831" s="5" t="s">
        <v>28</v>
      </c>
      <c r="H3831" s="5"/>
      <c r="I3831" s="5"/>
      <c r="J3831" s="5"/>
      <c r="K3831" s="5"/>
      <c r="L3831" s="5"/>
      <c r="M3831" s="5"/>
      <c r="N3831" s="5"/>
      <c r="O3831" s="17" t="s">
        <v>38</v>
      </c>
      <c r="P3831" s="5" t="str">
        <f t="shared" si="90"/>
        <v>Truncate table HNUB76;</v>
      </c>
      <c r="Q3831" s="5"/>
      <c r="R3831" s="5"/>
    </row>
    <row r="3832" spans="2:18" x14ac:dyDescent="0.25">
      <c r="B3832" s="12" t="s">
        <v>5103</v>
      </c>
      <c r="C3832" s="5"/>
      <c r="D3832" s="5" t="s">
        <v>29</v>
      </c>
      <c r="E3832" s="5" t="s">
        <v>734</v>
      </c>
      <c r="F3832" s="5" t="s">
        <v>4961</v>
      </c>
      <c r="G3832" s="5" t="s">
        <v>28</v>
      </c>
      <c r="H3832" s="5"/>
      <c r="I3832" s="5"/>
      <c r="J3832" s="5"/>
      <c r="K3832" s="5"/>
      <c r="L3832" s="5"/>
      <c r="M3832" s="5"/>
      <c r="N3832" s="5"/>
      <c r="O3832" s="17" t="s">
        <v>38</v>
      </c>
      <c r="P3832" s="5" t="str">
        <f t="shared" si="90"/>
        <v>Truncate table HNUB77;</v>
      </c>
      <c r="Q3832" s="5"/>
      <c r="R3832" s="5"/>
    </row>
    <row r="3833" spans="2:18" x14ac:dyDescent="0.25">
      <c r="B3833" s="12" t="s">
        <v>5104</v>
      </c>
      <c r="C3833" s="5"/>
      <c r="D3833" s="5" t="s">
        <v>29</v>
      </c>
      <c r="E3833" s="5" t="s">
        <v>734</v>
      </c>
      <c r="F3833" s="5" t="s">
        <v>4961</v>
      </c>
      <c r="G3833" s="5" t="s">
        <v>28</v>
      </c>
      <c r="H3833" s="5"/>
      <c r="I3833" s="5"/>
      <c r="J3833" s="5"/>
      <c r="K3833" s="5"/>
      <c r="L3833" s="5"/>
      <c r="M3833" s="5"/>
      <c r="N3833" s="5"/>
      <c r="O3833" s="17" t="s">
        <v>38</v>
      </c>
      <c r="P3833" s="5" t="str">
        <f t="shared" si="90"/>
        <v>Truncate table HNUB78;</v>
      </c>
      <c r="Q3833" s="5"/>
      <c r="R3833" s="5"/>
    </row>
    <row r="3834" spans="2:18" x14ac:dyDescent="0.25">
      <c r="B3834" s="12" t="s">
        <v>5105</v>
      </c>
      <c r="C3834" s="5"/>
      <c r="D3834" s="5" t="s">
        <v>29</v>
      </c>
      <c r="E3834" s="5" t="s">
        <v>734</v>
      </c>
      <c r="F3834" s="5" t="s">
        <v>4961</v>
      </c>
      <c r="G3834" s="5" t="s">
        <v>28</v>
      </c>
      <c r="H3834" s="5"/>
      <c r="I3834" s="5"/>
      <c r="J3834" s="5"/>
      <c r="K3834" s="5"/>
      <c r="L3834" s="5"/>
      <c r="M3834" s="5"/>
      <c r="N3834" s="5"/>
      <c r="O3834" s="17" t="s">
        <v>38</v>
      </c>
      <c r="P3834" s="5" t="str">
        <f t="shared" si="90"/>
        <v>Truncate table HNUB79;</v>
      </c>
      <c r="Q3834" s="5"/>
      <c r="R3834" s="5"/>
    </row>
    <row r="3835" spans="2:18" x14ac:dyDescent="0.25">
      <c r="B3835" s="12" t="s">
        <v>5106</v>
      </c>
      <c r="C3835" s="5"/>
      <c r="D3835" s="5" t="s">
        <v>29</v>
      </c>
      <c r="E3835" s="5" t="s">
        <v>734</v>
      </c>
      <c r="F3835" s="5" t="s">
        <v>4961</v>
      </c>
      <c r="G3835" s="5" t="s">
        <v>28</v>
      </c>
      <c r="H3835" s="5"/>
      <c r="I3835" s="5"/>
      <c r="J3835" s="5"/>
      <c r="K3835" s="5"/>
      <c r="L3835" s="5"/>
      <c r="M3835" s="5"/>
      <c r="N3835" s="5"/>
      <c r="O3835" s="17" t="s">
        <v>38</v>
      </c>
      <c r="P3835" s="5" t="str">
        <f t="shared" si="90"/>
        <v>Truncate table HNUB80;</v>
      </c>
      <c r="Q3835" s="5"/>
      <c r="R3835" s="5"/>
    </row>
    <row r="3836" spans="2:18" x14ac:dyDescent="0.25">
      <c r="B3836" s="12" t="s">
        <v>5107</v>
      </c>
      <c r="C3836" s="5"/>
      <c r="D3836" s="5" t="s">
        <v>29</v>
      </c>
      <c r="E3836" s="5" t="s">
        <v>734</v>
      </c>
      <c r="F3836" s="5" t="s">
        <v>4961</v>
      </c>
      <c r="G3836" s="5" t="s">
        <v>28</v>
      </c>
      <c r="H3836" s="5"/>
      <c r="I3836" s="5"/>
      <c r="J3836" s="5"/>
      <c r="K3836" s="5"/>
      <c r="L3836" s="5"/>
      <c r="M3836" s="5"/>
      <c r="N3836" s="5"/>
      <c r="O3836" s="17" t="s">
        <v>38</v>
      </c>
      <c r="P3836" s="5" t="str">
        <f t="shared" si="90"/>
        <v>Truncate table HNUB81;</v>
      </c>
      <c r="Q3836" s="5"/>
      <c r="R3836" s="5"/>
    </row>
    <row r="3837" spans="2:18" x14ac:dyDescent="0.25">
      <c r="B3837" s="12" t="s">
        <v>5108</v>
      </c>
      <c r="C3837" s="5"/>
      <c r="D3837" s="5" t="s">
        <v>29</v>
      </c>
      <c r="E3837" s="5" t="s">
        <v>734</v>
      </c>
      <c r="F3837" s="5" t="s">
        <v>4961</v>
      </c>
      <c r="G3837" s="5" t="s">
        <v>28</v>
      </c>
      <c r="H3837" s="5"/>
      <c r="I3837" s="5"/>
      <c r="J3837" s="5"/>
      <c r="K3837" s="5"/>
      <c r="L3837" s="5"/>
      <c r="M3837" s="5"/>
      <c r="N3837" s="5"/>
      <c r="O3837" s="17" t="s">
        <v>38</v>
      </c>
      <c r="P3837" s="5" t="str">
        <f t="shared" si="90"/>
        <v>Truncate table HNUB82;</v>
      </c>
      <c r="Q3837" s="5"/>
      <c r="R3837" s="5"/>
    </row>
    <row r="3838" spans="2:18" x14ac:dyDescent="0.25">
      <c r="B3838" s="12" t="s">
        <v>5109</v>
      </c>
      <c r="C3838" s="5"/>
      <c r="D3838" s="5" t="s">
        <v>29</v>
      </c>
      <c r="E3838" s="5" t="s">
        <v>734</v>
      </c>
      <c r="F3838" s="5" t="s">
        <v>4961</v>
      </c>
      <c r="G3838" s="5" t="s">
        <v>28</v>
      </c>
      <c r="H3838" s="5"/>
      <c r="I3838" s="5"/>
      <c r="J3838" s="5"/>
      <c r="K3838" s="5"/>
      <c r="L3838" s="5"/>
      <c r="M3838" s="5"/>
      <c r="N3838" s="5"/>
      <c r="O3838" s="17" t="s">
        <v>38</v>
      </c>
      <c r="P3838" s="5" t="str">
        <f t="shared" si="90"/>
        <v>Truncate table HNUB83;</v>
      </c>
      <c r="Q3838" s="5"/>
      <c r="R3838" s="5"/>
    </row>
    <row r="3839" spans="2:18" x14ac:dyDescent="0.25">
      <c r="B3839" s="12" t="s">
        <v>5110</v>
      </c>
      <c r="C3839" s="5"/>
      <c r="D3839" s="5" t="s">
        <v>29</v>
      </c>
      <c r="E3839" s="5" t="s">
        <v>734</v>
      </c>
      <c r="F3839" s="5" t="s">
        <v>4961</v>
      </c>
      <c r="G3839" s="5" t="s">
        <v>28</v>
      </c>
      <c r="H3839" s="5"/>
      <c r="I3839" s="5"/>
      <c r="J3839" s="5"/>
      <c r="K3839" s="5"/>
      <c r="L3839" s="5"/>
      <c r="M3839" s="5"/>
      <c r="N3839" s="5"/>
      <c r="O3839" s="17" t="s">
        <v>38</v>
      </c>
      <c r="P3839" s="5" t="str">
        <f t="shared" si="90"/>
        <v>Truncate table HNUB84;</v>
      </c>
      <c r="Q3839" s="5"/>
      <c r="R3839" s="5"/>
    </row>
    <row r="3840" spans="2:18" x14ac:dyDescent="0.25">
      <c r="B3840" s="12" t="s">
        <v>5111</v>
      </c>
      <c r="C3840" s="5"/>
      <c r="D3840" s="5" t="s">
        <v>29</v>
      </c>
      <c r="E3840" s="5" t="s">
        <v>734</v>
      </c>
      <c r="F3840" s="5" t="s">
        <v>4961</v>
      </c>
      <c r="G3840" s="5" t="s">
        <v>28</v>
      </c>
      <c r="H3840" s="5"/>
      <c r="I3840" s="5"/>
      <c r="J3840" s="5"/>
      <c r="K3840" s="5"/>
      <c r="L3840" s="5"/>
      <c r="M3840" s="5"/>
      <c r="N3840" s="5"/>
      <c r="O3840" s="17" t="s">
        <v>38</v>
      </c>
      <c r="P3840" s="5" t="str">
        <f t="shared" si="90"/>
        <v>Truncate table HNUB85;</v>
      </c>
      <c r="Q3840" s="5"/>
      <c r="R3840" s="5"/>
    </row>
    <row r="3841" spans="2:18" x14ac:dyDescent="0.25">
      <c r="B3841" s="12" t="s">
        <v>5112</v>
      </c>
      <c r="C3841" s="5"/>
      <c r="D3841" s="5" t="s">
        <v>29</v>
      </c>
      <c r="E3841" s="5" t="s">
        <v>734</v>
      </c>
      <c r="F3841" s="5" t="s">
        <v>4961</v>
      </c>
      <c r="G3841" s="5" t="s">
        <v>28</v>
      </c>
      <c r="H3841" s="5"/>
      <c r="I3841" s="5"/>
      <c r="J3841" s="5"/>
      <c r="K3841" s="5"/>
      <c r="L3841" s="5"/>
      <c r="M3841" s="5"/>
      <c r="N3841" s="5"/>
      <c r="O3841" s="17" t="s">
        <v>38</v>
      </c>
      <c r="P3841" s="5" t="str">
        <f t="shared" ref="P3841:P3904" si="91">IF(D3841="Datos","Truncate table "&amp; B3841&amp; ";","")</f>
        <v>Truncate table HNUB86;</v>
      </c>
      <c r="Q3841" s="5"/>
      <c r="R3841" s="5"/>
    </row>
    <row r="3842" spans="2:18" x14ac:dyDescent="0.25">
      <c r="B3842" s="12" t="s">
        <v>5113</v>
      </c>
      <c r="C3842" s="5"/>
      <c r="D3842" s="5" t="s">
        <v>29</v>
      </c>
      <c r="E3842" s="5" t="s">
        <v>734</v>
      </c>
      <c r="F3842" s="5" t="s">
        <v>4961</v>
      </c>
      <c r="G3842" s="5" t="s">
        <v>28</v>
      </c>
      <c r="H3842" s="5"/>
      <c r="I3842" s="5"/>
      <c r="J3842" s="5"/>
      <c r="K3842" s="5"/>
      <c r="L3842" s="5"/>
      <c r="M3842" s="5"/>
      <c r="N3842" s="5"/>
      <c r="O3842" s="17" t="s">
        <v>38</v>
      </c>
      <c r="P3842" s="5" t="str">
        <f t="shared" si="91"/>
        <v>Truncate table HNUB87;</v>
      </c>
      <c r="Q3842" s="5"/>
      <c r="R3842" s="5"/>
    </row>
    <row r="3843" spans="2:18" x14ac:dyDescent="0.25">
      <c r="B3843" s="12" t="s">
        <v>5114</v>
      </c>
      <c r="C3843" s="5"/>
      <c r="D3843" s="5" t="s">
        <v>29</v>
      </c>
      <c r="E3843" s="5" t="s">
        <v>734</v>
      </c>
      <c r="F3843" s="5" t="s">
        <v>4961</v>
      </c>
      <c r="G3843" s="5" t="s">
        <v>28</v>
      </c>
      <c r="H3843" s="5"/>
      <c r="I3843" s="5"/>
      <c r="J3843" s="5"/>
      <c r="K3843" s="5"/>
      <c r="L3843" s="5"/>
      <c r="M3843" s="5"/>
      <c r="N3843" s="5"/>
      <c r="O3843" s="17" t="s">
        <v>38</v>
      </c>
      <c r="P3843" s="5" t="str">
        <f t="shared" si="91"/>
        <v>Truncate table HNUB88;</v>
      </c>
      <c r="Q3843" s="5"/>
      <c r="R3843" s="5"/>
    </row>
    <row r="3844" spans="2:18" x14ac:dyDescent="0.25">
      <c r="B3844" s="12" t="s">
        <v>5115</v>
      </c>
      <c r="C3844" s="5"/>
      <c r="D3844" s="5" t="s">
        <v>29</v>
      </c>
      <c r="E3844" s="5" t="s">
        <v>734</v>
      </c>
      <c r="F3844" s="5" t="s">
        <v>4961</v>
      </c>
      <c r="G3844" s="5" t="s">
        <v>28</v>
      </c>
      <c r="H3844" s="5"/>
      <c r="I3844" s="5"/>
      <c r="J3844" s="5"/>
      <c r="K3844" s="5"/>
      <c r="L3844" s="5"/>
      <c r="M3844" s="5"/>
      <c r="N3844" s="5"/>
      <c r="O3844" s="17" t="s">
        <v>38</v>
      </c>
      <c r="P3844" s="5" t="str">
        <f t="shared" si="91"/>
        <v>Truncate table HNUB89;</v>
      </c>
      <c r="Q3844" s="5"/>
      <c r="R3844" s="5"/>
    </row>
    <row r="3845" spans="2:18" x14ac:dyDescent="0.25">
      <c r="B3845" s="12" t="s">
        <v>5116</v>
      </c>
      <c r="C3845" s="5"/>
      <c r="D3845" s="5" t="s">
        <v>29</v>
      </c>
      <c r="E3845" s="5" t="s">
        <v>734</v>
      </c>
      <c r="F3845" s="5" t="s">
        <v>4961</v>
      </c>
      <c r="G3845" s="5" t="s">
        <v>28</v>
      </c>
      <c r="H3845" s="5"/>
      <c r="I3845" s="5"/>
      <c r="J3845" s="5"/>
      <c r="K3845" s="5"/>
      <c r="L3845" s="5"/>
      <c r="M3845" s="5"/>
      <c r="N3845" s="5"/>
      <c r="O3845" s="17" t="s">
        <v>38</v>
      </c>
      <c r="P3845" s="5" t="str">
        <f t="shared" si="91"/>
        <v>Truncate table HNUB90;</v>
      </c>
      <c r="Q3845" s="5"/>
      <c r="R3845" s="5"/>
    </row>
    <row r="3846" spans="2:18" x14ac:dyDescent="0.25">
      <c r="B3846" s="12" t="s">
        <v>5117</v>
      </c>
      <c r="C3846" s="5"/>
      <c r="D3846" s="5" t="s">
        <v>29</v>
      </c>
      <c r="E3846" s="5" t="s">
        <v>734</v>
      </c>
      <c r="F3846" s="5" t="s">
        <v>4961</v>
      </c>
      <c r="G3846" s="5" t="s">
        <v>28</v>
      </c>
      <c r="H3846" s="5"/>
      <c r="I3846" s="5"/>
      <c r="J3846" s="5"/>
      <c r="K3846" s="5"/>
      <c r="L3846" s="5"/>
      <c r="M3846" s="5"/>
      <c r="N3846" s="5"/>
      <c r="O3846" s="17" t="s">
        <v>38</v>
      </c>
      <c r="P3846" s="5" t="str">
        <f t="shared" si="91"/>
        <v>Truncate table HNUB91;</v>
      </c>
      <c r="Q3846" s="5"/>
      <c r="R3846" s="5"/>
    </row>
    <row r="3847" spans="2:18" x14ac:dyDescent="0.25">
      <c r="B3847" s="12" t="s">
        <v>5118</v>
      </c>
      <c r="C3847" s="5"/>
      <c r="D3847" s="5" t="s">
        <v>29</v>
      </c>
      <c r="E3847" s="5" t="s">
        <v>734</v>
      </c>
      <c r="F3847" s="5" t="s">
        <v>4961</v>
      </c>
      <c r="G3847" s="5" t="s">
        <v>28</v>
      </c>
      <c r="H3847" s="5"/>
      <c r="I3847" s="5"/>
      <c r="J3847" s="5"/>
      <c r="K3847" s="5"/>
      <c r="L3847" s="5"/>
      <c r="M3847" s="5"/>
      <c r="N3847" s="5"/>
      <c r="O3847" s="17" t="s">
        <v>38</v>
      </c>
      <c r="P3847" s="5" t="str">
        <f t="shared" si="91"/>
        <v>Truncate table HNUB92;</v>
      </c>
      <c r="Q3847" s="5"/>
      <c r="R3847" s="5"/>
    </row>
    <row r="3848" spans="2:18" x14ac:dyDescent="0.25">
      <c r="B3848" s="12" t="s">
        <v>5119</v>
      </c>
      <c r="C3848" s="5"/>
      <c r="D3848" s="5" t="s">
        <v>29</v>
      </c>
      <c r="E3848" s="5" t="s">
        <v>734</v>
      </c>
      <c r="F3848" s="5" t="s">
        <v>4961</v>
      </c>
      <c r="G3848" s="5" t="s">
        <v>28</v>
      </c>
      <c r="H3848" s="5"/>
      <c r="I3848" s="5"/>
      <c r="J3848" s="5"/>
      <c r="K3848" s="5"/>
      <c r="L3848" s="5"/>
      <c r="M3848" s="5"/>
      <c r="N3848" s="5"/>
      <c r="O3848" s="17" t="s">
        <v>38</v>
      </c>
      <c r="P3848" s="5" t="str">
        <f t="shared" si="91"/>
        <v>Truncate table HNUB93;</v>
      </c>
      <c r="Q3848" s="5"/>
      <c r="R3848" s="5"/>
    </row>
    <row r="3849" spans="2:18" x14ac:dyDescent="0.25">
      <c r="B3849" s="12" t="s">
        <v>5120</v>
      </c>
      <c r="C3849" s="5"/>
      <c r="D3849" s="5" t="s">
        <v>29</v>
      </c>
      <c r="E3849" s="5" t="s">
        <v>734</v>
      </c>
      <c r="F3849" s="5" t="s">
        <v>4961</v>
      </c>
      <c r="G3849" s="5" t="s">
        <v>28</v>
      </c>
      <c r="H3849" s="5"/>
      <c r="I3849" s="5"/>
      <c r="J3849" s="5"/>
      <c r="K3849" s="5"/>
      <c r="L3849" s="5"/>
      <c r="M3849" s="5"/>
      <c r="N3849" s="5"/>
      <c r="O3849" s="17" t="s">
        <v>38</v>
      </c>
      <c r="P3849" s="5" t="str">
        <f t="shared" si="91"/>
        <v>Truncate table HNUB94;</v>
      </c>
      <c r="Q3849" s="5"/>
      <c r="R3849" s="5"/>
    </row>
    <row r="3850" spans="2:18" x14ac:dyDescent="0.25">
      <c r="B3850" s="12" t="s">
        <v>5121</v>
      </c>
      <c r="C3850" s="5"/>
      <c r="D3850" s="5" t="s">
        <v>29</v>
      </c>
      <c r="E3850" s="5" t="s">
        <v>734</v>
      </c>
      <c r="F3850" s="5" t="s">
        <v>4961</v>
      </c>
      <c r="G3850" s="5" t="s">
        <v>28</v>
      </c>
      <c r="H3850" s="5"/>
      <c r="I3850" s="5"/>
      <c r="J3850" s="5"/>
      <c r="K3850" s="5"/>
      <c r="L3850" s="5"/>
      <c r="M3850" s="5"/>
      <c r="N3850" s="5"/>
      <c r="O3850" s="17" t="s">
        <v>38</v>
      </c>
      <c r="P3850" s="5" t="str">
        <f t="shared" si="91"/>
        <v>Truncate table HNUB95;</v>
      </c>
      <c r="Q3850" s="5"/>
      <c r="R3850" s="5"/>
    </row>
    <row r="3851" spans="2:18" x14ac:dyDescent="0.25">
      <c r="B3851" s="12" t="s">
        <v>5122</v>
      </c>
      <c r="C3851" s="5"/>
      <c r="D3851" s="5" t="s">
        <v>29</v>
      </c>
      <c r="E3851" s="5" t="s">
        <v>734</v>
      </c>
      <c r="F3851" s="5" t="s">
        <v>4961</v>
      </c>
      <c r="G3851" s="5" t="s">
        <v>28</v>
      </c>
      <c r="H3851" s="5"/>
      <c r="I3851" s="5"/>
      <c r="J3851" s="5"/>
      <c r="K3851" s="5"/>
      <c r="L3851" s="5"/>
      <c r="M3851" s="5"/>
      <c r="N3851" s="5"/>
      <c r="O3851" s="17" t="s">
        <v>38</v>
      </c>
      <c r="P3851" s="5" t="str">
        <f t="shared" si="91"/>
        <v>Truncate table HNUB96;</v>
      </c>
      <c r="Q3851" s="5"/>
      <c r="R3851" s="5"/>
    </row>
    <row r="3852" spans="2:18" x14ac:dyDescent="0.25">
      <c r="B3852" s="12" t="s">
        <v>5123</v>
      </c>
      <c r="C3852" s="5"/>
      <c r="D3852" s="5" t="s">
        <v>29</v>
      </c>
      <c r="E3852" s="5" t="s">
        <v>734</v>
      </c>
      <c r="F3852" s="5" t="s">
        <v>4961</v>
      </c>
      <c r="G3852" s="5" t="s">
        <v>28</v>
      </c>
      <c r="H3852" s="5"/>
      <c r="I3852" s="5"/>
      <c r="J3852" s="5"/>
      <c r="K3852" s="5"/>
      <c r="L3852" s="5"/>
      <c r="M3852" s="5"/>
      <c r="N3852" s="5"/>
      <c r="O3852" s="17" t="s">
        <v>38</v>
      </c>
      <c r="P3852" s="5" t="str">
        <f t="shared" si="91"/>
        <v>Truncate table HNUB97;</v>
      </c>
      <c r="Q3852" s="5"/>
      <c r="R3852" s="5"/>
    </row>
    <row r="3853" spans="2:18" x14ac:dyDescent="0.25">
      <c r="B3853" s="12" t="s">
        <v>5124</v>
      </c>
      <c r="C3853" s="5"/>
      <c r="D3853" s="5" t="s">
        <v>29</v>
      </c>
      <c r="E3853" s="5" t="s">
        <v>734</v>
      </c>
      <c r="F3853" s="5" t="s">
        <v>4961</v>
      </c>
      <c r="G3853" s="5" t="s">
        <v>28</v>
      </c>
      <c r="H3853" s="5"/>
      <c r="I3853" s="5"/>
      <c r="J3853" s="5"/>
      <c r="K3853" s="5"/>
      <c r="L3853" s="5"/>
      <c r="M3853" s="5"/>
      <c r="N3853" s="5"/>
      <c r="O3853" s="17" t="s">
        <v>38</v>
      </c>
      <c r="P3853" s="5" t="str">
        <f t="shared" si="91"/>
        <v>Truncate table HNUB98;</v>
      </c>
      <c r="Q3853" s="5"/>
      <c r="R3853" s="5"/>
    </row>
    <row r="3854" spans="2:18" x14ac:dyDescent="0.25">
      <c r="B3854" s="12" t="s">
        <v>5125</v>
      </c>
      <c r="C3854" s="5"/>
      <c r="D3854" s="5" t="s">
        <v>29</v>
      </c>
      <c r="E3854" s="5" t="s">
        <v>734</v>
      </c>
      <c r="F3854" s="5" t="s">
        <v>4961</v>
      </c>
      <c r="G3854" s="5" t="s">
        <v>28</v>
      </c>
      <c r="H3854" s="5"/>
      <c r="I3854" s="5"/>
      <c r="J3854" s="5"/>
      <c r="K3854" s="5"/>
      <c r="L3854" s="5"/>
      <c r="M3854" s="5"/>
      <c r="N3854" s="5"/>
      <c r="O3854" s="17" t="s">
        <v>38</v>
      </c>
      <c r="P3854" s="5" t="str">
        <f t="shared" si="91"/>
        <v>Truncate table HNUB99;</v>
      </c>
      <c r="Q3854" s="5"/>
      <c r="R3854" s="5"/>
    </row>
    <row r="3855" spans="2:18" x14ac:dyDescent="0.25">
      <c r="B3855" s="12" t="s">
        <v>5126</v>
      </c>
      <c r="C3855" s="5"/>
      <c r="D3855" s="5" t="s">
        <v>29</v>
      </c>
      <c r="E3855" s="5" t="s">
        <v>734</v>
      </c>
      <c r="F3855" s="5" t="s">
        <v>4961</v>
      </c>
      <c r="G3855" s="5" t="s">
        <v>28</v>
      </c>
      <c r="H3855" s="5"/>
      <c r="I3855" s="5"/>
      <c r="J3855" s="5"/>
      <c r="K3855" s="5"/>
      <c r="L3855" s="5"/>
      <c r="M3855" s="5"/>
      <c r="N3855" s="5"/>
      <c r="O3855" s="7"/>
      <c r="P3855" s="5" t="str">
        <f t="shared" si="91"/>
        <v>Truncate table HNUBA1;</v>
      </c>
      <c r="Q3855" s="5"/>
      <c r="R3855" s="5"/>
    </row>
    <row r="3856" spans="2:18" x14ac:dyDescent="0.25">
      <c r="B3856" s="12" t="s">
        <v>5127</v>
      </c>
      <c r="C3856" s="5"/>
      <c r="D3856" s="5" t="s">
        <v>29</v>
      </c>
      <c r="E3856" s="5" t="s">
        <v>734</v>
      </c>
      <c r="F3856" s="5" t="s">
        <v>4961</v>
      </c>
      <c r="G3856" s="5" t="s">
        <v>28</v>
      </c>
      <c r="H3856" s="5"/>
      <c r="I3856" s="5"/>
      <c r="J3856" s="5"/>
      <c r="K3856" s="5"/>
      <c r="L3856" s="5"/>
      <c r="M3856" s="5"/>
      <c r="N3856" s="5"/>
      <c r="O3856" s="17" t="s">
        <v>38</v>
      </c>
      <c r="P3856" s="5" t="str">
        <f t="shared" si="91"/>
        <v>Truncate table HNUBA2;</v>
      </c>
      <c r="Q3856" s="5"/>
      <c r="R3856" s="5"/>
    </row>
    <row r="3857" spans="2:22" x14ac:dyDescent="0.25">
      <c r="B3857" s="12" t="s">
        <v>5128</v>
      </c>
      <c r="C3857" s="5"/>
      <c r="D3857" s="5" t="s">
        <v>29</v>
      </c>
      <c r="E3857" s="5" t="s">
        <v>734</v>
      </c>
      <c r="F3857" s="5" t="s">
        <v>4961</v>
      </c>
      <c r="G3857" s="5" t="s">
        <v>28</v>
      </c>
      <c r="H3857" s="5"/>
      <c r="I3857" s="5"/>
      <c r="J3857" s="5"/>
      <c r="K3857" s="5"/>
      <c r="L3857" s="5"/>
      <c r="M3857" s="5"/>
      <c r="N3857" s="5"/>
      <c r="O3857" s="7"/>
      <c r="P3857" s="5" t="str">
        <f t="shared" si="91"/>
        <v>Truncate table HNUBC0;</v>
      </c>
      <c r="Q3857" s="5"/>
      <c r="R3857" s="5"/>
    </row>
    <row r="3858" spans="2:22" x14ac:dyDescent="0.25">
      <c r="B3858" s="12" t="s">
        <v>5129</v>
      </c>
      <c r="C3858" s="5"/>
      <c r="D3858" s="5" t="s">
        <v>29</v>
      </c>
      <c r="E3858" s="5" t="s">
        <v>734</v>
      </c>
      <c r="F3858" s="5" t="s">
        <v>4961</v>
      </c>
      <c r="G3858" s="5" t="s">
        <v>28</v>
      </c>
      <c r="H3858" s="5"/>
      <c r="I3858" s="5"/>
      <c r="J3858" s="5"/>
      <c r="K3858" s="5"/>
      <c r="L3858" s="5"/>
      <c r="M3858" s="5"/>
      <c r="N3858" s="5"/>
      <c r="O3858" s="7"/>
      <c r="P3858" s="5" t="str">
        <f t="shared" si="91"/>
        <v>Truncate table HNUBC1;</v>
      </c>
      <c r="Q3858" s="5"/>
      <c r="R3858" s="5"/>
    </row>
    <row r="3859" spans="2:22" x14ac:dyDescent="0.25">
      <c r="B3859" s="12" t="s">
        <v>5130</v>
      </c>
      <c r="C3859" s="5"/>
      <c r="D3859" s="5" t="s">
        <v>29</v>
      </c>
      <c r="E3859" s="5" t="s">
        <v>734</v>
      </c>
      <c r="F3859" s="5" t="s">
        <v>4961</v>
      </c>
      <c r="G3859" s="5" t="s">
        <v>28</v>
      </c>
      <c r="H3859" s="5"/>
      <c r="I3859" s="5"/>
      <c r="J3859" s="5"/>
      <c r="K3859" s="5"/>
      <c r="L3859" s="5"/>
      <c r="M3859" s="5"/>
      <c r="N3859" s="5"/>
      <c r="O3859" s="7"/>
      <c r="P3859" s="5" t="str">
        <f t="shared" si="91"/>
        <v>Truncate table HNUBC2;</v>
      </c>
      <c r="Q3859" s="5"/>
      <c r="R3859" s="5"/>
    </row>
    <row r="3860" spans="2:22" x14ac:dyDescent="0.25">
      <c r="B3860" s="12" t="s">
        <v>5131</v>
      </c>
      <c r="C3860" s="5"/>
      <c r="D3860" s="5" t="s">
        <v>29</v>
      </c>
      <c r="E3860" s="5" t="s">
        <v>734</v>
      </c>
      <c r="F3860" s="5" t="s">
        <v>4961</v>
      </c>
      <c r="G3860" s="5" t="s">
        <v>28</v>
      </c>
      <c r="H3860" s="5"/>
      <c r="I3860" s="5"/>
      <c r="J3860" s="5"/>
      <c r="K3860" s="5"/>
      <c r="L3860" s="5"/>
      <c r="M3860" s="5"/>
      <c r="N3860" s="5"/>
      <c r="O3860" s="7"/>
      <c r="P3860" s="5" t="str">
        <f t="shared" si="91"/>
        <v>Truncate table HNUBC3;</v>
      </c>
      <c r="Q3860" s="5"/>
      <c r="R3860" s="5"/>
    </row>
    <row r="3861" spans="2:22" x14ac:dyDescent="0.25">
      <c r="B3861" s="12" t="s">
        <v>5132</v>
      </c>
      <c r="C3861" s="5"/>
      <c r="D3861" s="5" t="s">
        <v>29</v>
      </c>
      <c r="E3861" s="5" t="s">
        <v>734</v>
      </c>
      <c r="F3861" s="5" t="s">
        <v>4961</v>
      </c>
      <c r="G3861" s="5" t="s">
        <v>28</v>
      </c>
      <c r="H3861" s="5"/>
      <c r="I3861" s="5"/>
      <c r="J3861" s="5"/>
      <c r="K3861" s="5"/>
      <c r="L3861" s="5"/>
      <c r="M3861" s="5"/>
      <c r="N3861" s="5"/>
      <c r="O3861" s="7"/>
      <c r="P3861" s="5" t="str">
        <f t="shared" si="91"/>
        <v>Truncate table HNUBC4;</v>
      </c>
      <c r="Q3861" s="5"/>
      <c r="R3861" s="5"/>
    </row>
    <row r="3862" spans="2:22" x14ac:dyDescent="0.25">
      <c r="B3862" s="12" t="s">
        <v>5133</v>
      </c>
      <c r="C3862" s="5"/>
      <c r="D3862" s="5" t="s">
        <v>29</v>
      </c>
      <c r="E3862" s="5" t="s">
        <v>734</v>
      </c>
      <c r="F3862" s="5" t="s">
        <v>4961</v>
      </c>
      <c r="G3862" s="5" t="s">
        <v>28</v>
      </c>
      <c r="H3862" s="5"/>
      <c r="I3862" s="5"/>
      <c r="J3862" s="5"/>
      <c r="K3862" s="5"/>
      <c r="L3862" s="5"/>
      <c r="M3862" s="5"/>
      <c r="N3862" s="5"/>
      <c r="O3862" s="7"/>
      <c r="P3862" s="5" t="str">
        <f t="shared" si="91"/>
        <v>Truncate table HNUBC5;</v>
      </c>
      <c r="Q3862" s="5"/>
      <c r="R3862" s="5"/>
    </row>
    <row r="3863" spans="2:22" x14ac:dyDescent="0.25">
      <c r="B3863" s="12" t="s">
        <v>5134</v>
      </c>
      <c r="C3863" s="5"/>
      <c r="D3863" s="5" t="s">
        <v>29</v>
      </c>
      <c r="E3863" s="5" t="s">
        <v>734</v>
      </c>
      <c r="F3863" s="5" t="s">
        <v>4961</v>
      </c>
      <c r="G3863" s="5" t="s">
        <v>28</v>
      </c>
      <c r="H3863" s="5"/>
      <c r="I3863" s="5"/>
      <c r="J3863" s="5"/>
      <c r="K3863" s="5"/>
      <c r="L3863" s="5"/>
      <c r="M3863" s="5"/>
      <c r="N3863" s="5"/>
      <c r="O3863" s="7"/>
      <c r="P3863" s="5" t="str">
        <f t="shared" si="91"/>
        <v>Truncate table HNUBC6;</v>
      </c>
      <c r="Q3863" s="5"/>
      <c r="R3863" s="5"/>
    </row>
    <row r="3864" spans="2:22" x14ac:dyDescent="0.25">
      <c r="B3864" s="12" t="s">
        <v>5135</v>
      </c>
      <c r="C3864" s="5"/>
      <c r="D3864" s="5" t="s">
        <v>29</v>
      </c>
      <c r="E3864" s="5" t="s">
        <v>734</v>
      </c>
      <c r="F3864" s="5" t="s">
        <v>4961</v>
      </c>
      <c r="G3864" s="5" t="s">
        <v>28</v>
      </c>
      <c r="H3864" s="5"/>
      <c r="I3864" s="5"/>
      <c r="J3864" s="5"/>
      <c r="K3864" s="5"/>
      <c r="L3864" s="5"/>
      <c r="M3864" s="5"/>
      <c r="N3864" s="5"/>
      <c r="O3864" s="7"/>
      <c r="P3864" s="5" t="str">
        <f t="shared" si="91"/>
        <v>Truncate table HNUBC7;</v>
      </c>
      <c r="Q3864" s="5"/>
      <c r="R3864" s="5"/>
    </row>
    <row r="3865" spans="2:22" x14ac:dyDescent="0.25">
      <c r="B3865" s="12" t="s">
        <v>5136</v>
      </c>
      <c r="C3865" s="5"/>
      <c r="D3865" s="5" t="s">
        <v>29</v>
      </c>
      <c r="E3865" s="5" t="s">
        <v>734</v>
      </c>
      <c r="F3865" s="5" t="s">
        <v>4961</v>
      </c>
      <c r="G3865" s="5" t="s">
        <v>28</v>
      </c>
      <c r="H3865" s="5"/>
      <c r="I3865" s="5"/>
      <c r="J3865" s="5"/>
      <c r="K3865" s="5"/>
      <c r="L3865" s="5"/>
      <c r="M3865" s="5"/>
      <c r="N3865" s="5"/>
      <c r="O3865" s="7"/>
      <c r="P3865" s="5" t="str">
        <f t="shared" si="91"/>
        <v>Truncate table HNUBC8;</v>
      </c>
      <c r="Q3865" s="5"/>
      <c r="R3865" s="5"/>
    </row>
    <row r="3866" spans="2:22" x14ac:dyDescent="0.25">
      <c r="B3866" s="12" t="s">
        <v>5137</v>
      </c>
      <c r="C3866" s="5"/>
      <c r="D3866" s="5" t="s">
        <v>29</v>
      </c>
      <c r="E3866" s="5" t="s">
        <v>734</v>
      </c>
      <c r="F3866" s="5" t="s">
        <v>4961</v>
      </c>
      <c r="G3866" s="5" t="s">
        <v>28</v>
      </c>
      <c r="H3866" s="5"/>
      <c r="I3866" s="5"/>
      <c r="J3866" s="5"/>
      <c r="K3866" s="5"/>
      <c r="L3866" s="5"/>
      <c r="M3866" s="5"/>
      <c r="N3866" s="5"/>
      <c r="O3866" s="7"/>
      <c r="P3866" s="5" t="str">
        <f t="shared" si="91"/>
        <v>Truncate table HNUBC9;</v>
      </c>
      <c r="Q3866" s="5"/>
      <c r="R3866" s="5"/>
    </row>
    <row r="3867" spans="2:22" x14ac:dyDescent="0.25">
      <c r="B3867" s="12" t="s">
        <v>5138</v>
      </c>
      <c r="C3867" s="5"/>
      <c r="D3867" s="5" t="s">
        <v>29</v>
      </c>
      <c r="E3867" s="5" t="s">
        <v>734</v>
      </c>
      <c r="F3867" s="5" t="s">
        <v>4961</v>
      </c>
      <c r="G3867" s="5" t="s">
        <v>28</v>
      </c>
      <c r="H3867" s="5"/>
      <c r="I3867" s="5"/>
      <c r="J3867" s="5"/>
      <c r="K3867" s="5"/>
      <c r="L3867" s="5"/>
      <c r="M3867" s="5"/>
      <c r="N3867" s="5"/>
      <c r="O3867" s="7"/>
      <c r="P3867" s="5" t="str">
        <f t="shared" si="91"/>
        <v>Truncate table HNUBH1;</v>
      </c>
      <c r="Q3867" s="5"/>
      <c r="R3867" s="5"/>
    </row>
    <row r="3868" spans="2:22" x14ac:dyDescent="0.25">
      <c r="B3868" s="12" t="s">
        <v>5139</v>
      </c>
      <c r="C3868" s="5"/>
      <c r="D3868" s="5" t="s">
        <v>29</v>
      </c>
      <c r="E3868" s="5" t="s">
        <v>734</v>
      </c>
      <c r="F3868" s="5" t="s">
        <v>4961</v>
      </c>
      <c r="G3868" s="5" t="s">
        <v>28</v>
      </c>
      <c r="H3868" s="5"/>
      <c r="I3868" s="5"/>
      <c r="J3868" s="5"/>
      <c r="K3868" s="5"/>
      <c r="L3868" s="5"/>
      <c r="M3868" s="5"/>
      <c r="N3868" s="5"/>
      <c r="O3868" s="7"/>
      <c r="P3868" s="5" t="str">
        <f t="shared" si="91"/>
        <v>Truncate table HNUBH2;</v>
      </c>
      <c r="Q3868" s="5"/>
      <c r="R3868" s="5"/>
    </row>
    <row r="3869" spans="2:22" x14ac:dyDescent="0.25">
      <c r="B3869" s="12" t="s">
        <v>5140</v>
      </c>
      <c r="C3869" s="5"/>
      <c r="D3869" s="5" t="s">
        <v>29</v>
      </c>
      <c r="E3869" s="5" t="s">
        <v>734</v>
      </c>
      <c r="F3869" s="5" t="s">
        <v>4961</v>
      </c>
      <c r="G3869" s="5" t="s">
        <v>28</v>
      </c>
      <c r="H3869" s="5"/>
      <c r="I3869" s="5"/>
      <c r="J3869" s="5"/>
      <c r="K3869" s="5"/>
      <c r="L3869" s="5"/>
      <c r="M3869" s="5"/>
      <c r="N3869" s="5"/>
      <c r="O3869" s="7"/>
      <c r="P3869" s="5" t="str">
        <f t="shared" si="91"/>
        <v>Truncate table HNUBJ1;</v>
      </c>
      <c r="Q3869" s="5"/>
      <c r="R3869" s="5"/>
    </row>
    <row r="3870" spans="2:22" x14ac:dyDescent="0.25">
      <c r="B3870" s="12" t="s">
        <v>5141</v>
      </c>
      <c r="C3870" s="5"/>
      <c r="D3870" s="5" t="s">
        <v>29</v>
      </c>
      <c r="E3870" s="5" t="s">
        <v>734</v>
      </c>
      <c r="F3870" s="5" t="s">
        <v>4961</v>
      </c>
      <c r="G3870" s="5" t="s">
        <v>28</v>
      </c>
      <c r="H3870" s="5"/>
      <c r="I3870" s="5"/>
      <c r="J3870" s="5"/>
      <c r="K3870" s="5"/>
      <c r="L3870" s="5"/>
      <c r="M3870" s="5"/>
      <c r="N3870" s="5"/>
      <c r="O3870" s="7"/>
      <c r="P3870" s="5" t="str">
        <f t="shared" si="91"/>
        <v>Truncate table HNUBJ2;</v>
      </c>
      <c r="Q3870" s="5"/>
      <c r="R3870" s="5"/>
    </row>
    <row r="3871" spans="2:22" x14ac:dyDescent="0.25">
      <c r="B3871" s="12" t="s">
        <v>5142</v>
      </c>
      <c r="C3871" s="5"/>
      <c r="D3871" s="5" t="s">
        <v>29</v>
      </c>
      <c r="E3871" s="5" t="s">
        <v>734</v>
      </c>
      <c r="F3871" s="5" t="s">
        <v>4961</v>
      </c>
      <c r="G3871" s="5" t="s">
        <v>28</v>
      </c>
      <c r="H3871" s="5"/>
      <c r="I3871" s="5"/>
      <c r="J3871" s="5"/>
      <c r="K3871" s="5"/>
      <c r="L3871" s="5"/>
      <c r="M3871" s="5"/>
      <c r="N3871" s="5"/>
      <c r="O3871" s="7"/>
      <c r="P3871" s="5" t="str">
        <f t="shared" si="91"/>
        <v>Truncate table HNUBJ7;</v>
      </c>
      <c r="Q3871" s="5"/>
      <c r="R3871" s="5"/>
    </row>
    <row r="3872" spans="2:22" x14ac:dyDescent="0.25">
      <c r="B3872" s="19" t="s">
        <v>5143</v>
      </c>
      <c r="C3872" s="16"/>
      <c r="D3872" s="16" t="s">
        <v>29</v>
      </c>
      <c r="E3872" s="16"/>
      <c r="F3872" s="16" t="s">
        <v>5144</v>
      </c>
      <c r="G3872" s="16" t="s">
        <v>35</v>
      </c>
      <c r="H3872" s="16"/>
      <c r="I3872" s="16"/>
      <c r="J3872" s="16"/>
      <c r="K3872" s="16"/>
      <c r="L3872" s="16"/>
      <c r="M3872" s="16"/>
      <c r="N3872" s="16"/>
      <c r="O3872" s="17"/>
      <c r="P3872" s="16" t="str">
        <f t="shared" si="91"/>
        <v>Truncate table HNUD11C;</v>
      </c>
      <c r="Q3872" s="16"/>
      <c r="R3872" s="16"/>
      <c r="S3872"/>
      <c r="T3872"/>
      <c r="U3872"/>
      <c r="V3872"/>
    </row>
    <row r="3873" spans="2:22" x14ac:dyDescent="0.25">
      <c r="B3873" s="19" t="s">
        <v>5145</v>
      </c>
      <c r="C3873" s="16"/>
      <c r="D3873" s="16" t="s">
        <v>29</v>
      </c>
      <c r="E3873" s="16"/>
      <c r="F3873" s="16" t="s">
        <v>5144</v>
      </c>
      <c r="G3873" s="16" t="s">
        <v>35</v>
      </c>
      <c r="H3873" s="16"/>
      <c r="I3873" s="16"/>
      <c r="J3873" s="16"/>
      <c r="K3873" s="16"/>
      <c r="L3873" s="16"/>
      <c r="M3873" s="16"/>
      <c r="N3873" s="16"/>
      <c r="O3873" s="17"/>
      <c r="P3873" s="16" t="str">
        <f t="shared" si="91"/>
        <v>Truncate table HNUD5E;</v>
      </c>
      <c r="Q3873" s="16"/>
      <c r="R3873" s="16"/>
      <c r="S3873"/>
      <c r="T3873"/>
      <c r="U3873"/>
      <c r="V3873"/>
    </row>
    <row r="3874" spans="2:22" x14ac:dyDescent="0.25">
      <c r="B3874" s="19" t="s">
        <v>5146</v>
      </c>
      <c r="C3874" s="249"/>
      <c r="D3874" s="16" t="s">
        <v>29</v>
      </c>
      <c r="E3874" s="16" t="s">
        <v>734</v>
      </c>
      <c r="F3874" s="16" t="s">
        <v>4961</v>
      </c>
      <c r="G3874" s="16" t="s">
        <v>28</v>
      </c>
      <c r="H3874" s="16"/>
      <c r="I3874" s="16"/>
      <c r="J3874" s="16"/>
      <c r="K3874" s="16"/>
      <c r="L3874" s="16"/>
      <c r="M3874" s="16"/>
      <c r="N3874" s="16"/>
      <c r="O3874" s="17" t="s">
        <v>38</v>
      </c>
      <c r="P3874" s="16" t="str">
        <f t="shared" si="91"/>
        <v>Truncate table HNUD78;</v>
      </c>
      <c r="Q3874" s="16"/>
      <c r="R3874" s="16"/>
      <c r="S3874"/>
      <c r="T3874"/>
      <c r="U3874"/>
      <c r="V3874"/>
    </row>
    <row r="3875" spans="2:22" x14ac:dyDescent="0.25">
      <c r="B3875" s="19" t="s">
        <v>5147</v>
      </c>
      <c r="C3875" s="16"/>
      <c r="D3875" s="16" t="s">
        <v>29</v>
      </c>
      <c r="E3875" s="16"/>
      <c r="F3875" s="16" t="s">
        <v>5144</v>
      </c>
      <c r="G3875" s="16" t="s">
        <v>35</v>
      </c>
      <c r="H3875" s="16"/>
      <c r="I3875" s="16"/>
      <c r="J3875" s="16"/>
      <c r="K3875" s="16"/>
      <c r="L3875" s="16"/>
      <c r="M3875" s="16"/>
      <c r="N3875" s="16"/>
      <c r="O3875" s="17"/>
      <c r="P3875" s="16" t="str">
        <f t="shared" si="91"/>
        <v>Truncate table HNUDA7;</v>
      </c>
      <c r="Q3875" s="16"/>
      <c r="R3875" s="16"/>
      <c r="S3875"/>
      <c r="T3875"/>
      <c r="U3875"/>
      <c r="V3875"/>
    </row>
    <row r="3876" spans="2:22" x14ac:dyDescent="0.25">
      <c r="B3876" s="19" t="s">
        <v>5148</v>
      </c>
      <c r="C3876" s="16"/>
      <c r="D3876" s="16" t="s">
        <v>29</v>
      </c>
      <c r="E3876" s="16"/>
      <c r="F3876" s="16" t="s">
        <v>5144</v>
      </c>
      <c r="G3876" s="16" t="s">
        <v>35</v>
      </c>
      <c r="H3876" s="16"/>
      <c r="I3876" s="16"/>
      <c r="J3876" s="16"/>
      <c r="K3876" s="16"/>
      <c r="L3876" s="16"/>
      <c r="M3876" s="16"/>
      <c r="N3876" s="16"/>
      <c r="O3876" s="17"/>
      <c r="P3876" s="16" t="str">
        <f t="shared" si="91"/>
        <v>Truncate table HNUDF1;</v>
      </c>
      <c r="Q3876" s="16"/>
      <c r="R3876" s="16"/>
      <c r="S3876"/>
      <c r="T3876"/>
      <c r="U3876"/>
      <c r="V3876"/>
    </row>
    <row r="3877" spans="2:22" x14ac:dyDescent="0.25">
      <c r="B3877" s="19" t="s">
        <v>5149</v>
      </c>
      <c r="C3877" s="16"/>
      <c r="D3877" s="16" t="s">
        <v>29</v>
      </c>
      <c r="E3877" s="16"/>
      <c r="F3877" s="16" t="s">
        <v>5144</v>
      </c>
      <c r="G3877" s="16" t="s">
        <v>35</v>
      </c>
      <c r="H3877" s="16"/>
      <c r="I3877" s="16"/>
      <c r="J3877" s="16"/>
      <c r="K3877" s="16"/>
      <c r="L3877" s="16"/>
      <c r="M3877" s="16"/>
      <c r="N3877" s="16"/>
      <c r="O3877" s="17"/>
      <c r="P3877" s="16" t="str">
        <f t="shared" si="91"/>
        <v>Truncate table HNUDF2;</v>
      </c>
      <c r="Q3877" s="16"/>
      <c r="R3877" s="16"/>
      <c r="S3877"/>
      <c r="T3877"/>
      <c r="U3877"/>
      <c r="V3877"/>
    </row>
    <row r="3878" spans="2:22" x14ac:dyDescent="0.25">
      <c r="B3878" s="19" t="s">
        <v>5150</v>
      </c>
      <c r="C3878" s="16"/>
      <c r="D3878" s="16" t="s">
        <v>29</v>
      </c>
      <c r="E3878" s="16"/>
      <c r="F3878" s="16" t="s">
        <v>5144</v>
      </c>
      <c r="G3878" s="16" t="s">
        <v>35</v>
      </c>
      <c r="H3878" s="16"/>
      <c r="I3878" s="16"/>
      <c r="J3878" s="16"/>
      <c r="K3878" s="16"/>
      <c r="L3878" s="16"/>
      <c r="M3878" s="16"/>
      <c r="N3878" s="16"/>
      <c r="O3878" s="17"/>
      <c r="P3878" s="16" t="str">
        <f t="shared" si="91"/>
        <v>Truncate table HNUDF3;</v>
      </c>
      <c r="Q3878" s="16"/>
      <c r="R3878" s="16"/>
      <c r="S3878"/>
      <c r="T3878"/>
      <c r="U3878"/>
      <c r="V3878"/>
    </row>
    <row r="3879" spans="2:22" x14ac:dyDescent="0.25">
      <c r="B3879" s="19" t="s">
        <v>5151</v>
      </c>
      <c r="C3879" s="16"/>
      <c r="D3879" s="16" t="s">
        <v>29</v>
      </c>
      <c r="E3879" s="16"/>
      <c r="F3879" s="16" t="s">
        <v>5144</v>
      </c>
      <c r="G3879" s="16" t="s">
        <v>35</v>
      </c>
      <c r="H3879" s="16"/>
      <c r="I3879" s="16"/>
      <c r="J3879" s="16"/>
      <c r="K3879" s="16"/>
      <c r="L3879" s="16"/>
      <c r="M3879" s="16"/>
      <c r="N3879" s="16"/>
      <c r="O3879" s="17"/>
      <c r="P3879" s="16" t="str">
        <f t="shared" si="91"/>
        <v>Truncate table HNUDR1;</v>
      </c>
      <c r="Q3879" s="16"/>
      <c r="R3879" s="16"/>
      <c r="S3879"/>
      <c r="T3879"/>
      <c r="U3879"/>
      <c r="V3879"/>
    </row>
    <row r="3880" spans="2:22" x14ac:dyDescent="0.25">
      <c r="B3880" s="19" t="s">
        <v>5152</v>
      </c>
      <c r="C3880" s="16"/>
      <c r="D3880" s="16" t="s">
        <v>29</v>
      </c>
      <c r="E3880" s="16"/>
      <c r="F3880" s="16" t="s">
        <v>5144</v>
      </c>
      <c r="G3880" s="16" t="s">
        <v>35</v>
      </c>
      <c r="H3880" s="16"/>
      <c r="I3880" s="16"/>
      <c r="J3880" s="16"/>
      <c r="K3880" s="16"/>
      <c r="L3880" s="16"/>
      <c r="M3880" s="16"/>
      <c r="N3880" s="16"/>
      <c r="O3880" s="17"/>
      <c r="P3880" s="16" t="str">
        <f t="shared" si="91"/>
        <v>Truncate table HNUDR2;</v>
      </c>
      <c r="Q3880" s="16"/>
      <c r="R3880" s="16"/>
      <c r="S3880"/>
      <c r="T3880"/>
      <c r="U3880"/>
      <c r="V3880"/>
    </row>
    <row r="3881" spans="2:22" x14ac:dyDescent="0.25">
      <c r="B3881" s="19" t="s">
        <v>5153</v>
      </c>
      <c r="C3881" s="16"/>
      <c r="D3881" s="16" t="s">
        <v>29</v>
      </c>
      <c r="E3881" s="16"/>
      <c r="F3881" s="16" t="s">
        <v>5144</v>
      </c>
      <c r="G3881" s="16" t="s">
        <v>35</v>
      </c>
      <c r="H3881" s="16"/>
      <c r="I3881" s="16"/>
      <c r="J3881" s="16"/>
      <c r="K3881" s="16"/>
      <c r="L3881" s="16"/>
      <c r="M3881" s="16"/>
      <c r="N3881" s="16"/>
      <c r="O3881" s="17"/>
      <c r="P3881" s="16" t="str">
        <f t="shared" si="91"/>
        <v>Truncate table HNUDR3;</v>
      </c>
      <c r="Q3881" s="16"/>
      <c r="R3881" s="16"/>
      <c r="S3881"/>
      <c r="T3881"/>
      <c r="U3881"/>
      <c r="V3881"/>
    </row>
    <row r="3882" spans="2:22" x14ac:dyDescent="0.25">
      <c r="B3882" s="19" t="s">
        <v>5154</v>
      </c>
      <c r="C3882" s="16"/>
      <c r="D3882" s="16" t="s">
        <v>29</v>
      </c>
      <c r="E3882" s="16"/>
      <c r="F3882" s="16" t="s">
        <v>5144</v>
      </c>
      <c r="G3882" s="16" t="s">
        <v>35</v>
      </c>
      <c r="H3882" s="16"/>
      <c r="I3882" s="16"/>
      <c r="J3882" s="16"/>
      <c r="K3882" s="16"/>
      <c r="L3882" s="16"/>
      <c r="M3882" s="16"/>
      <c r="N3882" s="16"/>
      <c r="O3882" s="17"/>
      <c r="P3882" s="16" t="str">
        <f t="shared" si="91"/>
        <v>Truncate table HNUDR4;</v>
      </c>
      <c r="Q3882" s="16"/>
      <c r="R3882" s="16"/>
      <c r="S3882"/>
      <c r="T3882"/>
      <c r="U3882"/>
      <c r="V3882"/>
    </row>
    <row r="3883" spans="2:22" x14ac:dyDescent="0.25">
      <c r="B3883" s="19" t="s">
        <v>5155</v>
      </c>
      <c r="C3883" s="16"/>
      <c r="D3883" s="16" t="s">
        <v>29</v>
      </c>
      <c r="E3883" s="16"/>
      <c r="F3883" s="16" t="s">
        <v>5144</v>
      </c>
      <c r="G3883" s="16" t="s">
        <v>35</v>
      </c>
      <c r="H3883" s="16"/>
      <c r="I3883" s="16"/>
      <c r="J3883" s="16"/>
      <c r="K3883" s="16"/>
      <c r="L3883" s="16"/>
      <c r="M3883" s="16"/>
      <c r="N3883" s="16"/>
      <c r="O3883" s="17"/>
      <c r="P3883" s="16" t="str">
        <f t="shared" si="91"/>
        <v>Truncate table HNUDR5;</v>
      </c>
      <c r="Q3883" s="16"/>
      <c r="R3883" s="16"/>
      <c r="S3883"/>
      <c r="T3883"/>
      <c r="U3883"/>
      <c r="V3883"/>
    </row>
    <row r="3884" spans="2:22" x14ac:dyDescent="0.25">
      <c r="B3884" s="19" t="s">
        <v>5156</v>
      </c>
      <c r="C3884" s="16"/>
      <c r="D3884" s="16" t="s">
        <v>29</v>
      </c>
      <c r="E3884" s="16"/>
      <c r="F3884" s="16" t="s">
        <v>5144</v>
      </c>
      <c r="G3884" s="16" t="s">
        <v>35</v>
      </c>
      <c r="H3884" s="16"/>
      <c r="I3884" s="16"/>
      <c r="J3884" s="16"/>
      <c r="K3884" s="16"/>
      <c r="L3884" s="16"/>
      <c r="M3884" s="16"/>
      <c r="N3884" s="16"/>
      <c r="O3884" s="17"/>
      <c r="P3884" s="16" t="str">
        <f t="shared" si="91"/>
        <v>Truncate table HNUDR6;</v>
      </c>
      <c r="Q3884" s="16"/>
      <c r="R3884" s="16"/>
      <c r="S3884"/>
      <c r="T3884"/>
      <c r="U3884"/>
      <c r="V3884"/>
    </row>
    <row r="3885" spans="2:22" x14ac:dyDescent="0.25">
      <c r="B3885" s="19" t="s">
        <v>5157</v>
      </c>
      <c r="C3885" s="16"/>
      <c r="D3885" s="16" t="s">
        <v>29</v>
      </c>
      <c r="E3885" s="16"/>
      <c r="F3885" s="16" t="s">
        <v>5144</v>
      </c>
      <c r="G3885" s="16" t="s">
        <v>35</v>
      </c>
      <c r="H3885" s="16"/>
      <c r="I3885" s="16"/>
      <c r="J3885" s="16"/>
      <c r="K3885" s="16"/>
      <c r="L3885" s="16"/>
      <c r="M3885" s="16"/>
      <c r="N3885" s="16"/>
      <c r="O3885" s="17"/>
      <c r="P3885" s="16" t="str">
        <f t="shared" si="91"/>
        <v>Truncate table HNUDR7;</v>
      </c>
      <c r="Q3885" s="16"/>
      <c r="R3885" s="16"/>
      <c r="S3885"/>
      <c r="T3885"/>
      <c r="U3885"/>
      <c r="V3885"/>
    </row>
    <row r="3886" spans="2:22" x14ac:dyDescent="0.25">
      <c r="B3886" s="19" t="s">
        <v>5158</v>
      </c>
      <c r="C3886" s="16"/>
      <c r="D3886" s="16" t="s">
        <v>29</v>
      </c>
      <c r="E3886" s="16"/>
      <c r="F3886" s="16" t="s">
        <v>5144</v>
      </c>
      <c r="G3886" s="16" t="s">
        <v>35</v>
      </c>
      <c r="H3886" s="16"/>
      <c r="I3886" s="16"/>
      <c r="J3886" s="16"/>
      <c r="K3886" s="16"/>
      <c r="L3886" s="16"/>
      <c r="M3886" s="16"/>
      <c r="N3886" s="16"/>
      <c r="O3886" s="17"/>
      <c r="P3886" s="16" t="str">
        <f t="shared" si="91"/>
        <v>Truncate table HNUDR8;</v>
      </c>
      <c r="Q3886" s="16"/>
      <c r="R3886" s="16"/>
      <c r="S3886"/>
      <c r="T3886"/>
      <c r="U3886"/>
      <c r="V3886"/>
    </row>
    <row r="3887" spans="2:22" x14ac:dyDescent="0.25">
      <c r="B3887" s="12" t="s">
        <v>5159</v>
      </c>
      <c r="C3887" s="5"/>
      <c r="D3887" s="5" t="s">
        <v>29</v>
      </c>
      <c r="E3887" s="5" t="s">
        <v>734</v>
      </c>
      <c r="F3887" s="5" t="s">
        <v>4961</v>
      </c>
      <c r="G3887" s="5" t="s">
        <v>28</v>
      </c>
      <c r="H3887" s="5"/>
      <c r="I3887" s="5"/>
      <c r="J3887" s="5"/>
      <c r="K3887" s="5"/>
      <c r="L3887" s="5"/>
      <c r="M3887" s="5"/>
      <c r="N3887" s="5"/>
      <c r="O3887" s="7"/>
      <c r="P3887" s="5" t="str">
        <f t="shared" si="91"/>
        <v>Truncate table HNUE01;</v>
      </c>
      <c r="Q3887" s="5"/>
      <c r="R3887" s="5"/>
    </row>
    <row r="3888" spans="2:22" x14ac:dyDescent="0.25">
      <c r="B3888" s="12" t="s">
        <v>5160</v>
      </c>
      <c r="C3888" s="5"/>
      <c r="D3888" s="5" t="s">
        <v>29</v>
      </c>
      <c r="E3888" s="5" t="s">
        <v>734</v>
      </c>
      <c r="F3888" s="5" t="s">
        <v>4961</v>
      </c>
      <c r="G3888" s="5" t="s">
        <v>28</v>
      </c>
      <c r="H3888" s="5"/>
      <c r="I3888" s="5"/>
      <c r="J3888" s="5"/>
      <c r="K3888" s="5"/>
      <c r="L3888" s="5"/>
      <c r="M3888" s="5"/>
      <c r="N3888" s="5"/>
      <c r="O3888" s="7"/>
      <c r="P3888" s="5" t="str">
        <f t="shared" si="91"/>
        <v>Truncate table HNUE02;</v>
      </c>
      <c r="Q3888" s="5"/>
      <c r="R3888" s="5"/>
    </row>
    <row r="3889" spans="2:18" x14ac:dyDescent="0.25">
      <c r="B3889" s="12" t="s">
        <v>5161</v>
      </c>
      <c r="C3889" s="5"/>
      <c r="D3889" s="5" t="s">
        <v>29</v>
      </c>
      <c r="E3889" s="5" t="s">
        <v>734</v>
      </c>
      <c r="F3889" s="5" t="s">
        <v>4961</v>
      </c>
      <c r="G3889" s="5" t="s">
        <v>28</v>
      </c>
      <c r="H3889" s="5"/>
      <c r="I3889" s="5"/>
      <c r="J3889" s="5"/>
      <c r="K3889" s="5"/>
      <c r="L3889" s="5"/>
      <c r="M3889" s="5"/>
      <c r="N3889" s="5"/>
      <c r="O3889" s="7"/>
      <c r="P3889" s="5" t="str">
        <f t="shared" si="91"/>
        <v>Truncate table HNUE03;</v>
      </c>
      <c r="Q3889" s="5"/>
      <c r="R3889" s="5"/>
    </row>
    <row r="3890" spans="2:18" x14ac:dyDescent="0.25">
      <c r="B3890" s="12" t="s">
        <v>5162</v>
      </c>
      <c r="C3890" s="5"/>
      <c r="D3890" s="5" t="s">
        <v>29</v>
      </c>
      <c r="E3890" s="5" t="s">
        <v>734</v>
      </c>
      <c r="F3890" s="5" t="s">
        <v>4961</v>
      </c>
      <c r="G3890" s="5" t="s">
        <v>28</v>
      </c>
      <c r="H3890" s="5"/>
      <c r="I3890" s="5"/>
      <c r="J3890" s="5"/>
      <c r="K3890" s="5"/>
      <c r="L3890" s="5"/>
      <c r="M3890" s="5"/>
      <c r="N3890" s="5"/>
      <c r="O3890" s="7"/>
      <c r="P3890" s="5" t="str">
        <f t="shared" si="91"/>
        <v>Truncate table HNUE04;</v>
      </c>
      <c r="Q3890" s="5"/>
      <c r="R3890" s="5"/>
    </row>
    <row r="3891" spans="2:18" x14ac:dyDescent="0.25">
      <c r="B3891" s="12" t="s">
        <v>5163</v>
      </c>
      <c r="C3891" s="5"/>
      <c r="D3891" s="5" t="s">
        <v>29</v>
      </c>
      <c r="E3891" s="5" t="s">
        <v>734</v>
      </c>
      <c r="F3891" s="5" t="s">
        <v>4961</v>
      </c>
      <c r="G3891" s="5" t="s">
        <v>28</v>
      </c>
      <c r="H3891" s="5"/>
      <c r="I3891" s="5"/>
      <c r="J3891" s="5"/>
      <c r="K3891" s="5"/>
      <c r="L3891" s="5"/>
      <c r="M3891" s="5"/>
      <c r="N3891" s="5"/>
      <c r="O3891" s="7"/>
      <c r="P3891" s="5" t="str">
        <f t="shared" si="91"/>
        <v>Truncate table HNUE05;</v>
      </c>
      <c r="Q3891" s="5"/>
      <c r="R3891" s="5"/>
    </row>
    <row r="3892" spans="2:18" x14ac:dyDescent="0.25">
      <c r="B3892" s="12" t="s">
        <v>5164</v>
      </c>
      <c r="C3892" s="5"/>
      <c r="D3892" s="5" t="s">
        <v>29</v>
      </c>
      <c r="E3892" s="5" t="s">
        <v>734</v>
      </c>
      <c r="F3892" s="5" t="s">
        <v>4961</v>
      </c>
      <c r="G3892" s="5" t="s">
        <v>28</v>
      </c>
      <c r="H3892" s="5"/>
      <c r="I3892" s="5"/>
      <c r="J3892" s="5"/>
      <c r="K3892" s="5"/>
      <c r="L3892" s="5"/>
      <c r="M3892" s="5"/>
      <c r="N3892" s="5"/>
      <c r="O3892" s="7"/>
      <c r="P3892" s="5" t="str">
        <f t="shared" si="91"/>
        <v>Truncate table HNUE06;</v>
      </c>
      <c r="Q3892" s="5"/>
      <c r="R3892" s="5"/>
    </row>
    <row r="3893" spans="2:18" x14ac:dyDescent="0.25">
      <c r="B3893" s="12" t="s">
        <v>5165</v>
      </c>
      <c r="C3893" s="5"/>
      <c r="D3893" s="5" t="s">
        <v>29</v>
      </c>
      <c r="E3893" s="5" t="s">
        <v>734</v>
      </c>
      <c r="F3893" s="5" t="s">
        <v>4961</v>
      </c>
      <c r="G3893" s="5" t="s">
        <v>28</v>
      </c>
      <c r="H3893" s="5"/>
      <c r="I3893" s="5"/>
      <c r="J3893" s="5"/>
      <c r="K3893" s="5"/>
      <c r="L3893" s="5"/>
      <c r="M3893" s="5"/>
      <c r="N3893" s="5"/>
      <c r="O3893" s="7"/>
      <c r="P3893" s="5" t="str">
        <f t="shared" si="91"/>
        <v>Truncate table HNUE07;</v>
      </c>
      <c r="Q3893" s="5"/>
      <c r="R3893" s="5"/>
    </row>
    <row r="3894" spans="2:18" x14ac:dyDescent="0.25">
      <c r="B3894" s="12" t="s">
        <v>5166</v>
      </c>
      <c r="C3894" s="5"/>
      <c r="D3894" s="5" t="s">
        <v>29</v>
      </c>
      <c r="E3894" s="5" t="s">
        <v>734</v>
      </c>
      <c r="F3894" s="5" t="s">
        <v>4961</v>
      </c>
      <c r="G3894" s="5" t="s">
        <v>28</v>
      </c>
      <c r="H3894" s="5"/>
      <c r="I3894" s="5"/>
      <c r="J3894" s="5"/>
      <c r="K3894" s="5"/>
      <c r="L3894" s="5"/>
      <c r="M3894" s="5"/>
      <c r="N3894" s="5"/>
      <c r="O3894" s="7"/>
      <c r="P3894" s="5" t="str">
        <f t="shared" si="91"/>
        <v>Truncate table HNUE08;</v>
      </c>
      <c r="Q3894" s="5"/>
      <c r="R3894" s="5"/>
    </row>
    <row r="3895" spans="2:18" x14ac:dyDescent="0.25">
      <c r="B3895" s="12" t="s">
        <v>5167</v>
      </c>
      <c r="C3895" s="5"/>
      <c r="D3895" s="5" t="s">
        <v>29</v>
      </c>
      <c r="E3895" s="5" t="s">
        <v>734</v>
      </c>
      <c r="F3895" s="5" t="s">
        <v>4961</v>
      </c>
      <c r="G3895" s="5" t="s">
        <v>28</v>
      </c>
      <c r="H3895" s="5"/>
      <c r="I3895" s="5"/>
      <c r="J3895" s="5"/>
      <c r="K3895" s="5"/>
      <c r="L3895" s="5"/>
      <c r="M3895" s="5"/>
      <c r="N3895" s="5"/>
      <c r="O3895" s="7"/>
      <c r="P3895" s="5" t="str">
        <f t="shared" si="91"/>
        <v>Truncate table HNUE09;</v>
      </c>
      <c r="Q3895" s="5"/>
      <c r="R3895" s="5"/>
    </row>
    <row r="3896" spans="2:18" x14ac:dyDescent="0.25">
      <c r="B3896" s="12" t="s">
        <v>5168</v>
      </c>
      <c r="C3896" s="5"/>
      <c r="D3896" s="5" t="s">
        <v>29</v>
      </c>
      <c r="E3896" s="5" t="s">
        <v>734</v>
      </c>
      <c r="F3896" s="5" t="s">
        <v>4961</v>
      </c>
      <c r="G3896" s="5" t="s">
        <v>28</v>
      </c>
      <c r="H3896" s="5"/>
      <c r="I3896" s="5"/>
      <c r="J3896" s="5"/>
      <c r="K3896" s="5"/>
      <c r="L3896" s="5"/>
      <c r="M3896" s="5"/>
      <c r="N3896" s="5"/>
      <c r="O3896" s="7"/>
      <c r="P3896" s="5" t="str">
        <f t="shared" si="91"/>
        <v>Truncate table HNUE10;</v>
      </c>
      <c r="Q3896" s="5"/>
      <c r="R3896" s="5"/>
    </row>
    <row r="3897" spans="2:18" x14ac:dyDescent="0.25">
      <c r="B3897" s="12" t="s">
        <v>5169</v>
      </c>
      <c r="C3897" s="5"/>
      <c r="D3897" s="5" t="s">
        <v>29</v>
      </c>
      <c r="E3897" s="5" t="s">
        <v>734</v>
      </c>
      <c r="F3897" s="5" t="s">
        <v>4961</v>
      </c>
      <c r="G3897" s="5" t="s">
        <v>28</v>
      </c>
      <c r="H3897" s="5"/>
      <c r="I3897" s="5"/>
      <c r="J3897" s="5"/>
      <c r="K3897" s="5"/>
      <c r="L3897" s="5"/>
      <c r="M3897" s="5"/>
      <c r="N3897" s="5"/>
      <c r="O3897" s="7"/>
      <c r="P3897" s="5" t="str">
        <f t="shared" si="91"/>
        <v>Truncate table HNUE11;</v>
      </c>
      <c r="Q3897" s="5"/>
      <c r="R3897" s="5"/>
    </row>
    <row r="3898" spans="2:18" x14ac:dyDescent="0.25">
      <c r="B3898" s="12" t="s">
        <v>5170</v>
      </c>
      <c r="C3898" s="5"/>
      <c r="D3898" s="5" t="s">
        <v>29</v>
      </c>
      <c r="E3898" s="5" t="s">
        <v>734</v>
      </c>
      <c r="F3898" s="5" t="s">
        <v>4961</v>
      </c>
      <c r="G3898" s="5" t="s">
        <v>28</v>
      </c>
      <c r="H3898" s="5"/>
      <c r="I3898" s="5"/>
      <c r="J3898" s="5"/>
      <c r="K3898" s="5"/>
      <c r="L3898" s="5"/>
      <c r="M3898" s="5"/>
      <c r="N3898" s="5"/>
      <c r="O3898" s="7"/>
      <c r="P3898" s="5" t="str">
        <f t="shared" si="91"/>
        <v>Truncate table HNUE12;</v>
      </c>
      <c r="Q3898" s="5"/>
      <c r="R3898" s="5"/>
    </row>
    <row r="3899" spans="2:18" x14ac:dyDescent="0.25">
      <c r="B3899" s="12" t="s">
        <v>5171</v>
      </c>
      <c r="C3899" s="5"/>
      <c r="D3899" s="5" t="s">
        <v>29</v>
      </c>
      <c r="E3899" s="5" t="s">
        <v>734</v>
      </c>
      <c r="F3899" s="5" t="s">
        <v>4961</v>
      </c>
      <c r="G3899" s="5" t="s">
        <v>28</v>
      </c>
      <c r="H3899" s="5"/>
      <c r="I3899" s="5"/>
      <c r="J3899" s="5"/>
      <c r="K3899" s="5"/>
      <c r="L3899" s="5"/>
      <c r="M3899" s="5"/>
      <c r="N3899" s="5"/>
      <c r="O3899" s="7"/>
      <c r="P3899" s="5" t="str">
        <f t="shared" si="91"/>
        <v>Truncate table HNUE13;</v>
      </c>
      <c r="Q3899" s="5"/>
      <c r="R3899" s="5"/>
    </row>
    <row r="3900" spans="2:18" x14ac:dyDescent="0.25">
      <c r="B3900" s="12" t="s">
        <v>5172</v>
      </c>
      <c r="C3900" s="5"/>
      <c r="D3900" s="5" t="s">
        <v>29</v>
      </c>
      <c r="E3900" s="5" t="s">
        <v>734</v>
      </c>
      <c r="F3900" s="5" t="s">
        <v>4961</v>
      </c>
      <c r="G3900" s="5" t="s">
        <v>28</v>
      </c>
      <c r="H3900" s="5"/>
      <c r="I3900" s="5"/>
      <c r="J3900" s="5"/>
      <c r="K3900" s="5"/>
      <c r="L3900" s="5"/>
      <c r="M3900" s="5"/>
      <c r="N3900" s="5"/>
      <c r="O3900" s="7"/>
      <c r="P3900" s="5" t="str">
        <f t="shared" si="91"/>
        <v>Truncate table HNUE14;</v>
      </c>
      <c r="Q3900" s="5"/>
      <c r="R3900" s="5"/>
    </row>
    <row r="3901" spans="2:18" x14ac:dyDescent="0.25">
      <c r="B3901" s="12" t="s">
        <v>5173</v>
      </c>
      <c r="C3901" s="5"/>
      <c r="D3901" s="5" t="s">
        <v>29</v>
      </c>
      <c r="E3901" s="5" t="s">
        <v>734</v>
      </c>
      <c r="F3901" s="5" t="s">
        <v>4961</v>
      </c>
      <c r="G3901" s="5" t="s">
        <v>28</v>
      </c>
      <c r="H3901" s="5"/>
      <c r="I3901" s="5"/>
      <c r="J3901" s="5"/>
      <c r="K3901" s="5"/>
      <c r="L3901" s="5"/>
      <c r="M3901" s="5"/>
      <c r="N3901" s="5"/>
      <c r="O3901" s="7"/>
      <c r="P3901" s="5" t="str">
        <f t="shared" si="91"/>
        <v>Truncate table HNUE15;</v>
      </c>
      <c r="Q3901" s="5"/>
      <c r="R3901" s="5"/>
    </row>
    <row r="3902" spans="2:18" x14ac:dyDescent="0.25">
      <c r="B3902" s="12" t="s">
        <v>5174</v>
      </c>
      <c r="C3902" s="5"/>
      <c r="D3902" s="5" t="s">
        <v>29</v>
      </c>
      <c r="E3902" s="5" t="s">
        <v>734</v>
      </c>
      <c r="F3902" s="5" t="s">
        <v>4961</v>
      </c>
      <c r="G3902" s="5" t="s">
        <v>28</v>
      </c>
      <c r="H3902" s="5"/>
      <c r="I3902" s="5"/>
      <c r="J3902" s="5"/>
      <c r="K3902" s="5"/>
      <c r="L3902" s="5"/>
      <c r="M3902" s="5"/>
      <c r="N3902" s="5"/>
      <c r="O3902" s="7"/>
      <c r="P3902" s="5" t="str">
        <f t="shared" si="91"/>
        <v>Truncate table HNUE16;</v>
      </c>
      <c r="Q3902" s="5"/>
      <c r="R3902" s="5"/>
    </row>
    <row r="3903" spans="2:18" x14ac:dyDescent="0.25">
      <c r="B3903" s="12" t="s">
        <v>5175</v>
      </c>
      <c r="C3903" s="5"/>
      <c r="D3903" s="5" t="s">
        <v>29</v>
      </c>
      <c r="E3903" s="5" t="s">
        <v>734</v>
      </c>
      <c r="F3903" s="5" t="s">
        <v>4961</v>
      </c>
      <c r="G3903" s="5" t="s">
        <v>28</v>
      </c>
      <c r="H3903" s="5"/>
      <c r="I3903" s="5"/>
      <c r="J3903" s="5"/>
      <c r="K3903" s="5"/>
      <c r="L3903" s="5"/>
      <c r="M3903" s="5"/>
      <c r="N3903" s="5"/>
      <c r="O3903" s="7"/>
      <c r="P3903" s="5" t="str">
        <f t="shared" si="91"/>
        <v>Truncate table HNUE17;</v>
      </c>
      <c r="Q3903" s="5"/>
      <c r="R3903" s="5"/>
    </row>
    <row r="3904" spans="2:18" x14ac:dyDescent="0.25">
      <c r="B3904" s="12" t="s">
        <v>5176</v>
      </c>
      <c r="C3904" s="5"/>
      <c r="D3904" s="5" t="s">
        <v>29</v>
      </c>
      <c r="E3904" s="5" t="s">
        <v>734</v>
      </c>
      <c r="F3904" s="5" t="s">
        <v>4961</v>
      </c>
      <c r="G3904" s="5" t="s">
        <v>28</v>
      </c>
      <c r="H3904" s="5"/>
      <c r="I3904" s="5"/>
      <c r="J3904" s="5"/>
      <c r="K3904" s="5"/>
      <c r="L3904" s="5"/>
      <c r="M3904" s="5"/>
      <c r="N3904" s="5"/>
      <c r="O3904" s="7"/>
      <c r="P3904" s="5" t="str">
        <f t="shared" si="91"/>
        <v>Truncate table HNUE18;</v>
      </c>
      <c r="Q3904" s="5"/>
      <c r="R3904" s="5"/>
    </row>
    <row r="3905" spans="2:18" x14ac:dyDescent="0.25">
      <c r="B3905" s="12" t="s">
        <v>5177</v>
      </c>
      <c r="C3905" s="5"/>
      <c r="D3905" s="5" t="s">
        <v>29</v>
      </c>
      <c r="E3905" s="5" t="s">
        <v>734</v>
      </c>
      <c r="F3905" s="5" t="s">
        <v>4961</v>
      </c>
      <c r="G3905" s="5" t="s">
        <v>28</v>
      </c>
      <c r="H3905" s="5"/>
      <c r="I3905" s="5"/>
      <c r="J3905" s="5"/>
      <c r="K3905" s="5"/>
      <c r="L3905" s="5"/>
      <c r="M3905" s="5"/>
      <c r="N3905" s="5"/>
      <c r="O3905" s="7"/>
      <c r="P3905" s="5" t="str">
        <f t="shared" ref="P3905:P3968" si="92">IF(D3905="Datos","Truncate table "&amp; B3905&amp; ";","")</f>
        <v>Truncate table HNUE19;</v>
      </c>
      <c r="Q3905" s="5"/>
      <c r="R3905" s="5"/>
    </row>
    <row r="3906" spans="2:18" x14ac:dyDescent="0.25">
      <c r="B3906" s="12" t="s">
        <v>5178</v>
      </c>
      <c r="C3906" s="5"/>
      <c r="D3906" s="5" t="s">
        <v>29</v>
      </c>
      <c r="E3906" s="5" t="s">
        <v>734</v>
      </c>
      <c r="F3906" s="5" t="s">
        <v>4961</v>
      </c>
      <c r="G3906" s="5" t="s">
        <v>28</v>
      </c>
      <c r="H3906" s="5"/>
      <c r="I3906" s="5"/>
      <c r="J3906" s="5"/>
      <c r="K3906" s="5"/>
      <c r="L3906" s="5"/>
      <c r="M3906" s="5"/>
      <c r="N3906" s="5"/>
      <c r="O3906" s="7"/>
      <c r="P3906" s="5" t="str">
        <f t="shared" si="92"/>
        <v>Truncate table HNUE20;</v>
      </c>
      <c r="Q3906" s="5"/>
      <c r="R3906" s="5"/>
    </row>
    <row r="3907" spans="2:18" x14ac:dyDescent="0.25">
      <c r="B3907" s="12" t="s">
        <v>5179</v>
      </c>
      <c r="C3907" s="5"/>
      <c r="D3907" s="5" t="s">
        <v>29</v>
      </c>
      <c r="E3907" s="5" t="s">
        <v>734</v>
      </c>
      <c r="F3907" s="5" t="s">
        <v>4961</v>
      </c>
      <c r="G3907" s="5" t="s">
        <v>28</v>
      </c>
      <c r="H3907" s="5"/>
      <c r="I3907" s="5"/>
      <c r="J3907" s="5"/>
      <c r="K3907" s="5"/>
      <c r="L3907" s="5"/>
      <c r="M3907" s="5"/>
      <c r="N3907" s="5"/>
      <c r="O3907" s="7"/>
      <c r="P3907" s="5" t="str">
        <f t="shared" si="92"/>
        <v>Truncate table HNUE21;</v>
      </c>
      <c r="Q3907" s="5"/>
      <c r="R3907" s="5"/>
    </row>
    <row r="3908" spans="2:18" x14ac:dyDescent="0.25">
      <c r="B3908" s="12" t="s">
        <v>5180</v>
      </c>
      <c r="C3908" s="5"/>
      <c r="D3908" s="5" t="s">
        <v>29</v>
      </c>
      <c r="E3908" s="5" t="s">
        <v>734</v>
      </c>
      <c r="F3908" s="5" t="s">
        <v>4961</v>
      </c>
      <c r="G3908" s="5" t="s">
        <v>28</v>
      </c>
      <c r="H3908" s="5"/>
      <c r="I3908" s="5"/>
      <c r="J3908" s="5"/>
      <c r="K3908" s="5"/>
      <c r="L3908" s="5"/>
      <c r="M3908" s="5"/>
      <c r="N3908" s="5"/>
      <c r="O3908" s="7"/>
      <c r="P3908" s="5" t="str">
        <f t="shared" si="92"/>
        <v>Truncate table HNUE22;</v>
      </c>
      <c r="Q3908" s="5"/>
      <c r="R3908" s="5"/>
    </row>
    <row r="3909" spans="2:18" x14ac:dyDescent="0.25">
      <c r="B3909" s="12" t="s">
        <v>5181</v>
      </c>
      <c r="C3909" s="5"/>
      <c r="D3909" s="5" t="s">
        <v>29</v>
      </c>
      <c r="E3909" s="5" t="s">
        <v>734</v>
      </c>
      <c r="F3909" s="5" t="s">
        <v>4961</v>
      </c>
      <c r="G3909" s="5" t="s">
        <v>28</v>
      </c>
      <c r="H3909" s="5"/>
      <c r="I3909" s="5"/>
      <c r="J3909" s="5"/>
      <c r="K3909" s="5"/>
      <c r="L3909" s="5"/>
      <c r="M3909" s="5"/>
      <c r="N3909" s="5"/>
      <c r="O3909" s="7"/>
      <c r="P3909" s="5" t="str">
        <f t="shared" si="92"/>
        <v>Truncate table HNUE23;</v>
      </c>
      <c r="Q3909" s="5"/>
      <c r="R3909" s="5"/>
    </row>
    <row r="3910" spans="2:18" x14ac:dyDescent="0.25">
      <c r="B3910" s="12" t="s">
        <v>5182</v>
      </c>
      <c r="C3910" s="5"/>
      <c r="D3910" s="5" t="s">
        <v>29</v>
      </c>
      <c r="E3910" s="5" t="s">
        <v>734</v>
      </c>
      <c r="F3910" s="5" t="s">
        <v>4961</v>
      </c>
      <c r="G3910" s="5" t="s">
        <v>28</v>
      </c>
      <c r="H3910" s="5"/>
      <c r="I3910" s="5"/>
      <c r="J3910" s="5"/>
      <c r="K3910" s="5"/>
      <c r="L3910" s="5"/>
      <c r="M3910" s="5"/>
      <c r="N3910" s="5"/>
      <c r="O3910" s="7"/>
      <c r="P3910" s="5" t="str">
        <f t="shared" si="92"/>
        <v>Truncate table HNUE24;</v>
      </c>
      <c r="Q3910" s="5"/>
      <c r="R3910" s="5"/>
    </row>
    <row r="3911" spans="2:18" x14ac:dyDescent="0.25">
      <c r="B3911" s="12" t="s">
        <v>5183</v>
      </c>
      <c r="C3911" s="5"/>
      <c r="D3911" s="5" t="s">
        <v>29</v>
      </c>
      <c r="E3911" s="5" t="s">
        <v>734</v>
      </c>
      <c r="F3911" s="5" t="s">
        <v>4961</v>
      </c>
      <c r="G3911" s="5" t="s">
        <v>28</v>
      </c>
      <c r="H3911" s="5"/>
      <c r="I3911" s="5"/>
      <c r="J3911" s="5"/>
      <c r="K3911" s="5"/>
      <c r="L3911" s="5"/>
      <c r="M3911" s="5"/>
      <c r="N3911" s="5"/>
      <c r="O3911" s="7"/>
      <c r="P3911" s="5" t="str">
        <f t="shared" si="92"/>
        <v>Truncate table HNUE25;</v>
      </c>
      <c r="Q3911" s="5"/>
      <c r="R3911" s="5"/>
    </row>
    <row r="3912" spans="2:18" x14ac:dyDescent="0.25">
      <c r="B3912" s="12" t="s">
        <v>5184</v>
      </c>
      <c r="C3912" s="5"/>
      <c r="D3912" s="5" t="s">
        <v>29</v>
      </c>
      <c r="E3912" s="5" t="s">
        <v>734</v>
      </c>
      <c r="F3912" s="5" t="s">
        <v>4961</v>
      </c>
      <c r="G3912" s="5" t="s">
        <v>28</v>
      </c>
      <c r="H3912" s="5"/>
      <c r="I3912" s="5"/>
      <c r="J3912" s="5"/>
      <c r="K3912" s="5"/>
      <c r="L3912" s="5"/>
      <c r="M3912" s="5"/>
      <c r="N3912" s="5"/>
      <c r="O3912" s="7"/>
      <c r="P3912" s="5" t="str">
        <f t="shared" si="92"/>
        <v>Truncate table HNUE28;</v>
      </c>
      <c r="Q3912" s="5"/>
      <c r="R3912" s="5"/>
    </row>
    <row r="3913" spans="2:18" x14ac:dyDescent="0.25">
      <c r="B3913" s="12" t="s">
        <v>5185</v>
      </c>
      <c r="C3913" s="5"/>
      <c r="D3913" s="5" t="s">
        <v>29</v>
      </c>
      <c r="E3913" s="5" t="s">
        <v>734</v>
      </c>
      <c r="F3913" s="5" t="s">
        <v>4961</v>
      </c>
      <c r="G3913" s="5" t="s">
        <v>28</v>
      </c>
      <c r="H3913" s="5"/>
      <c r="I3913" s="5"/>
      <c r="J3913" s="5"/>
      <c r="K3913" s="5"/>
      <c r="L3913" s="5"/>
      <c r="M3913" s="5"/>
      <c r="N3913" s="5"/>
      <c r="O3913" s="7"/>
      <c r="P3913" s="5" t="str">
        <f t="shared" si="92"/>
        <v>Truncate table HNUE29;</v>
      </c>
      <c r="Q3913" s="5"/>
      <c r="R3913" s="5"/>
    </row>
    <row r="3914" spans="2:18" x14ac:dyDescent="0.25">
      <c r="B3914" s="12" t="s">
        <v>5186</v>
      </c>
      <c r="C3914" s="5"/>
      <c r="D3914" s="5" t="s">
        <v>29</v>
      </c>
      <c r="E3914" s="5" t="s">
        <v>734</v>
      </c>
      <c r="F3914" s="5" t="s">
        <v>4961</v>
      </c>
      <c r="G3914" s="5" t="s">
        <v>28</v>
      </c>
      <c r="H3914" s="5"/>
      <c r="I3914" s="5"/>
      <c r="J3914" s="5"/>
      <c r="K3914" s="5"/>
      <c r="L3914" s="5"/>
      <c r="M3914" s="5"/>
      <c r="N3914" s="5"/>
      <c r="O3914" s="7"/>
      <c r="P3914" s="5" t="str">
        <f t="shared" si="92"/>
        <v>Truncate table HNUE30;</v>
      </c>
      <c r="Q3914" s="5"/>
      <c r="R3914" s="5"/>
    </row>
    <row r="3915" spans="2:18" x14ac:dyDescent="0.25">
      <c r="B3915" s="12" t="s">
        <v>5187</v>
      </c>
      <c r="C3915" s="5"/>
      <c r="D3915" s="5" t="s">
        <v>29</v>
      </c>
      <c r="E3915" s="5" t="s">
        <v>734</v>
      </c>
      <c r="F3915" s="5" t="s">
        <v>4961</v>
      </c>
      <c r="G3915" s="5" t="s">
        <v>28</v>
      </c>
      <c r="H3915" s="5"/>
      <c r="I3915" s="5"/>
      <c r="J3915" s="5"/>
      <c r="K3915" s="5"/>
      <c r="L3915" s="5"/>
      <c r="M3915" s="5"/>
      <c r="N3915" s="5"/>
      <c r="O3915" s="7"/>
      <c r="P3915" s="5" t="str">
        <f t="shared" si="92"/>
        <v>Truncate table HNUE31;</v>
      </c>
      <c r="Q3915" s="5"/>
      <c r="R3915" s="5"/>
    </row>
    <row r="3916" spans="2:18" x14ac:dyDescent="0.25">
      <c r="B3916" s="12" t="s">
        <v>5188</v>
      </c>
      <c r="C3916" s="5"/>
      <c r="D3916" s="5" t="s">
        <v>29</v>
      </c>
      <c r="E3916" s="5" t="s">
        <v>734</v>
      </c>
      <c r="F3916" s="5" t="s">
        <v>4961</v>
      </c>
      <c r="G3916" s="5" t="s">
        <v>28</v>
      </c>
      <c r="H3916" s="5"/>
      <c r="I3916" s="5"/>
      <c r="J3916" s="5"/>
      <c r="K3916" s="5"/>
      <c r="L3916" s="5"/>
      <c r="M3916" s="5"/>
      <c r="N3916" s="5"/>
      <c r="O3916" s="7"/>
      <c r="P3916" s="5" t="str">
        <f t="shared" si="92"/>
        <v>Truncate table HNUE40;</v>
      </c>
      <c r="Q3916" s="5"/>
      <c r="R3916" s="5"/>
    </row>
    <row r="3917" spans="2:18" x14ac:dyDescent="0.25">
      <c r="B3917" s="12" t="s">
        <v>5189</v>
      </c>
      <c r="C3917" s="5"/>
      <c r="D3917" s="5" t="s">
        <v>29</v>
      </c>
      <c r="E3917" s="5" t="s">
        <v>734</v>
      </c>
      <c r="F3917" s="5" t="s">
        <v>4961</v>
      </c>
      <c r="G3917" s="5" t="s">
        <v>28</v>
      </c>
      <c r="H3917" s="5"/>
      <c r="I3917" s="5"/>
      <c r="J3917" s="5"/>
      <c r="K3917" s="5"/>
      <c r="L3917" s="5"/>
      <c r="M3917" s="5"/>
      <c r="N3917" s="5"/>
      <c r="O3917" s="7"/>
      <c r="P3917" s="5" t="str">
        <f t="shared" si="92"/>
        <v>Truncate table HNUE41;</v>
      </c>
      <c r="Q3917" s="5"/>
      <c r="R3917" s="5"/>
    </row>
    <row r="3918" spans="2:18" x14ac:dyDescent="0.25">
      <c r="B3918" s="12" t="s">
        <v>5190</v>
      </c>
      <c r="C3918" s="5"/>
      <c r="D3918" s="5" t="s">
        <v>29</v>
      </c>
      <c r="E3918" s="5" t="s">
        <v>734</v>
      </c>
      <c r="F3918" s="5" t="s">
        <v>4961</v>
      </c>
      <c r="G3918" s="5" t="s">
        <v>28</v>
      </c>
      <c r="H3918" s="5"/>
      <c r="I3918" s="5"/>
      <c r="J3918" s="5"/>
      <c r="K3918" s="5"/>
      <c r="L3918" s="5"/>
      <c r="M3918" s="5"/>
      <c r="N3918" s="5"/>
      <c r="O3918" s="7"/>
      <c r="P3918" s="5" t="str">
        <f t="shared" si="92"/>
        <v>Truncate table HNUE60;</v>
      </c>
      <c r="Q3918" s="5"/>
      <c r="R3918" s="5"/>
    </row>
    <row r="3919" spans="2:18" x14ac:dyDescent="0.25">
      <c r="B3919" s="12" t="s">
        <v>5191</v>
      </c>
      <c r="C3919" s="5"/>
      <c r="D3919" s="5" t="s">
        <v>29</v>
      </c>
      <c r="E3919" s="5" t="s">
        <v>734</v>
      </c>
      <c r="F3919" s="5" t="s">
        <v>4961</v>
      </c>
      <c r="G3919" s="5" t="s">
        <v>28</v>
      </c>
      <c r="H3919" s="5"/>
      <c r="I3919" s="5"/>
      <c r="J3919" s="5"/>
      <c r="K3919" s="5"/>
      <c r="L3919" s="5"/>
      <c r="M3919" s="5"/>
      <c r="N3919" s="5"/>
      <c r="O3919" s="7"/>
      <c r="P3919" s="5" t="str">
        <f t="shared" si="92"/>
        <v>Truncate table HNUE61;</v>
      </c>
      <c r="Q3919" s="5"/>
      <c r="R3919" s="5"/>
    </row>
    <row r="3920" spans="2:18" x14ac:dyDescent="0.25">
      <c r="B3920" s="12" t="s">
        <v>5192</v>
      </c>
      <c r="C3920" s="5"/>
      <c r="D3920" s="5" t="s">
        <v>29</v>
      </c>
      <c r="E3920" s="5" t="s">
        <v>734</v>
      </c>
      <c r="F3920" s="5" t="s">
        <v>4961</v>
      </c>
      <c r="G3920" s="5" t="s">
        <v>28</v>
      </c>
      <c r="H3920" s="5"/>
      <c r="I3920" s="5"/>
      <c r="J3920" s="5"/>
      <c r="K3920" s="5"/>
      <c r="L3920" s="5"/>
      <c r="M3920" s="5"/>
      <c r="N3920" s="5"/>
      <c r="O3920" s="7"/>
      <c r="P3920" s="5" t="str">
        <f t="shared" si="92"/>
        <v>Truncate table HNUE70;</v>
      </c>
      <c r="Q3920" s="5"/>
      <c r="R3920" s="5"/>
    </row>
    <row r="3921" spans="2:18" x14ac:dyDescent="0.25">
      <c r="B3921" s="12" t="s">
        <v>5193</v>
      </c>
      <c r="C3921" s="5"/>
      <c r="D3921" s="5" t="s">
        <v>29</v>
      </c>
      <c r="E3921" s="5" t="s">
        <v>734</v>
      </c>
      <c r="F3921" s="5" t="s">
        <v>4961</v>
      </c>
      <c r="G3921" s="5" t="s">
        <v>28</v>
      </c>
      <c r="H3921" s="5"/>
      <c r="I3921" s="5"/>
      <c r="J3921" s="5"/>
      <c r="K3921" s="5"/>
      <c r="L3921" s="5"/>
      <c r="M3921" s="5"/>
      <c r="N3921" s="5"/>
      <c r="O3921" s="7"/>
      <c r="P3921" s="5" t="str">
        <f t="shared" si="92"/>
        <v>Truncate table HNUE71;</v>
      </c>
      <c r="Q3921" s="5"/>
      <c r="R3921" s="5"/>
    </row>
    <row r="3922" spans="2:18" x14ac:dyDescent="0.25">
      <c r="B3922" s="12" t="s">
        <v>5194</v>
      </c>
      <c r="C3922" s="5"/>
      <c r="D3922" s="5" t="s">
        <v>29</v>
      </c>
      <c r="E3922" s="5" t="s">
        <v>734</v>
      </c>
      <c r="F3922" s="5" t="s">
        <v>4961</v>
      </c>
      <c r="G3922" s="5" t="s">
        <v>28</v>
      </c>
      <c r="H3922" s="5"/>
      <c r="I3922" s="5"/>
      <c r="J3922" s="5"/>
      <c r="K3922" s="5"/>
      <c r="L3922" s="5"/>
      <c r="M3922" s="5"/>
      <c r="N3922" s="5"/>
      <c r="O3922" s="7"/>
      <c r="P3922" s="5" t="str">
        <f t="shared" si="92"/>
        <v>Truncate table HNUE72;</v>
      </c>
      <c r="Q3922" s="5"/>
      <c r="R3922" s="5"/>
    </row>
    <row r="3923" spans="2:18" x14ac:dyDescent="0.25">
      <c r="B3923" s="12" t="s">
        <v>5195</v>
      </c>
      <c r="C3923" s="5"/>
      <c r="D3923" s="5" t="s">
        <v>29</v>
      </c>
      <c r="E3923" s="5" t="s">
        <v>734</v>
      </c>
      <c r="F3923" s="5" t="s">
        <v>4961</v>
      </c>
      <c r="G3923" s="5" t="s">
        <v>28</v>
      </c>
      <c r="H3923" s="5"/>
      <c r="I3923" s="5"/>
      <c r="J3923" s="5"/>
      <c r="K3923" s="5"/>
      <c r="L3923" s="5"/>
      <c r="M3923" s="5"/>
      <c r="N3923" s="5"/>
      <c r="O3923" s="7"/>
      <c r="P3923" s="5" t="str">
        <f t="shared" si="92"/>
        <v>Truncate table HNUE73;</v>
      </c>
      <c r="Q3923" s="5"/>
      <c r="R3923" s="5"/>
    </row>
    <row r="3924" spans="2:18" x14ac:dyDescent="0.25">
      <c r="B3924" s="12" t="s">
        <v>5196</v>
      </c>
      <c r="C3924" s="5"/>
      <c r="D3924" s="5" t="s">
        <v>29</v>
      </c>
      <c r="E3924" s="5" t="s">
        <v>734</v>
      </c>
      <c r="F3924" s="5" t="s">
        <v>4961</v>
      </c>
      <c r="G3924" s="5" t="s">
        <v>28</v>
      </c>
      <c r="H3924" s="5"/>
      <c r="I3924" s="5"/>
      <c r="J3924" s="5"/>
      <c r="K3924" s="5"/>
      <c r="L3924" s="5"/>
      <c r="M3924" s="5"/>
      <c r="N3924" s="5"/>
      <c r="O3924" s="7"/>
      <c r="P3924" s="5" t="str">
        <f t="shared" si="92"/>
        <v>Truncate table HNUE74;</v>
      </c>
      <c r="Q3924" s="5"/>
      <c r="R3924" s="5"/>
    </row>
    <row r="3925" spans="2:18" x14ac:dyDescent="0.25">
      <c r="B3925" s="12" t="s">
        <v>5197</v>
      </c>
      <c r="C3925" s="5"/>
      <c r="D3925" s="5" t="s">
        <v>29</v>
      </c>
      <c r="E3925" s="5" t="s">
        <v>734</v>
      </c>
      <c r="F3925" s="5" t="s">
        <v>4961</v>
      </c>
      <c r="G3925" s="5" t="s">
        <v>28</v>
      </c>
      <c r="H3925" s="5"/>
      <c r="I3925" s="5"/>
      <c r="J3925" s="5"/>
      <c r="K3925" s="5"/>
      <c r="L3925" s="5"/>
      <c r="M3925" s="5"/>
      <c r="N3925" s="5"/>
      <c r="O3925" s="7"/>
      <c r="P3925" s="5" t="str">
        <f t="shared" si="92"/>
        <v>Truncate table HNUE75;</v>
      </c>
      <c r="Q3925" s="5"/>
      <c r="R3925" s="5"/>
    </row>
    <row r="3926" spans="2:18" x14ac:dyDescent="0.25">
      <c r="B3926" s="12" t="s">
        <v>5198</v>
      </c>
      <c r="C3926" s="5"/>
      <c r="D3926" s="5" t="s">
        <v>29</v>
      </c>
      <c r="E3926" s="5" t="s">
        <v>734</v>
      </c>
      <c r="F3926" s="5" t="s">
        <v>4961</v>
      </c>
      <c r="G3926" s="5" t="s">
        <v>28</v>
      </c>
      <c r="H3926" s="5"/>
      <c r="I3926" s="5"/>
      <c r="J3926" s="5"/>
      <c r="K3926" s="5"/>
      <c r="L3926" s="5"/>
      <c r="M3926" s="5"/>
      <c r="N3926" s="5"/>
      <c r="O3926" s="7"/>
      <c r="P3926" s="5" t="str">
        <f t="shared" si="92"/>
        <v>Truncate table HNUE76;</v>
      </c>
      <c r="Q3926" s="5"/>
      <c r="R3926" s="5"/>
    </row>
    <row r="3927" spans="2:18" x14ac:dyDescent="0.25">
      <c r="B3927" s="12" t="s">
        <v>5199</v>
      </c>
      <c r="C3927" s="5"/>
      <c r="D3927" s="5" t="s">
        <v>29</v>
      </c>
      <c r="E3927" s="5" t="s">
        <v>734</v>
      </c>
      <c r="F3927" s="5" t="s">
        <v>4961</v>
      </c>
      <c r="G3927" s="5" t="s">
        <v>28</v>
      </c>
      <c r="H3927" s="5"/>
      <c r="I3927" s="5"/>
      <c r="J3927" s="5"/>
      <c r="K3927" s="5"/>
      <c r="L3927" s="5"/>
      <c r="M3927" s="5"/>
      <c r="N3927" s="5"/>
      <c r="O3927" s="7"/>
      <c r="P3927" s="5" t="str">
        <f t="shared" si="92"/>
        <v>Truncate table HNUE77;</v>
      </c>
      <c r="Q3927" s="5"/>
      <c r="R3927" s="5"/>
    </row>
    <row r="3928" spans="2:18" x14ac:dyDescent="0.25">
      <c r="B3928" s="12" t="s">
        <v>5200</v>
      </c>
      <c r="C3928" s="5"/>
      <c r="D3928" s="5" t="s">
        <v>29</v>
      </c>
      <c r="E3928" s="5" t="s">
        <v>734</v>
      </c>
      <c r="F3928" s="5" t="s">
        <v>4961</v>
      </c>
      <c r="G3928" s="5" t="s">
        <v>28</v>
      </c>
      <c r="H3928" s="5"/>
      <c r="I3928" s="5"/>
      <c r="J3928" s="5"/>
      <c r="K3928" s="5"/>
      <c r="L3928" s="5"/>
      <c r="M3928" s="5"/>
      <c r="N3928" s="5"/>
      <c r="O3928" s="7"/>
      <c r="P3928" s="5" t="str">
        <f t="shared" si="92"/>
        <v>Truncate table HNUE78;</v>
      </c>
      <c r="Q3928" s="5"/>
      <c r="R3928" s="5"/>
    </row>
    <row r="3929" spans="2:18" x14ac:dyDescent="0.25">
      <c r="B3929" s="12" t="s">
        <v>5201</v>
      </c>
      <c r="C3929" s="5"/>
      <c r="D3929" s="5" t="s">
        <v>29</v>
      </c>
      <c r="E3929" s="5" t="s">
        <v>734</v>
      </c>
      <c r="F3929" s="5" t="s">
        <v>4961</v>
      </c>
      <c r="G3929" s="5" t="s">
        <v>28</v>
      </c>
      <c r="H3929" s="5"/>
      <c r="I3929" s="5"/>
      <c r="J3929" s="5"/>
      <c r="K3929" s="5"/>
      <c r="L3929" s="5"/>
      <c r="M3929" s="5"/>
      <c r="N3929" s="5"/>
      <c r="O3929" s="7"/>
      <c r="P3929" s="5" t="str">
        <f t="shared" si="92"/>
        <v>Truncate table HNUE79;</v>
      </c>
      <c r="Q3929" s="5"/>
      <c r="R3929" s="5"/>
    </row>
    <row r="3930" spans="2:18" x14ac:dyDescent="0.25">
      <c r="B3930" s="12" t="s">
        <v>5202</v>
      </c>
      <c r="C3930" s="5"/>
      <c r="D3930" s="5" t="s">
        <v>29</v>
      </c>
      <c r="E3930" s="5" t="s">
        <v>734</v>
      </c>
      <c r="F3930" s="5" t="s">
        <v>4961</v>
      </c>
      <c r="G3930" s="5" t="s">
        <v>28</v>
      </c>
      <c r="H3930" s="5"/>
      <c r="I3930" s="5"/>
      <c r="J3930" s="5"/>
      <c r="K3930" s="5"/>
      <c r="L3930" s="5"/>
      <c r="M3930" s="5"/>
      <c r="N3930" s="5"/>
      <c r="O3930" s="7"/>
      <c r="P3930" s="5" t="str">
        <f t="shared" si="92"/>
        <v>Truncate table HNUE80;</v>
      </c>
      <c r="Q3930" s="5"/>
      <c r="R3930" s="5"/>
    </row>
    <row r="3931" spans="2:18" x14ac:dyDescent="0.25">
      <c r="B3931" s="12" t="s">
        <v>5203</v>
      </c>
      <c r="C3931" s="5"/>
      <c r="D3931" s="5" t="s">
        <v>29</v>
      </c>
      <c r="E3931" s="5" t="s">
        <v>734</v>
      </c>
      <c r="F3931" s="5" t="s">
        <v>4961</v>
      </c>
      <c r="G3931" s="5" t="s">
        <v>28</v>
      </c>
      <c r="H3931" s="5"/>
      <c r="I3931" s="5"/>
      <c r="J3931" s="5"/>
      <c r="K3931" s="5"/>
      <c r="L3931" s="5"/>
      <c r="M3931" s="5"/>
      <c r="N3931" s="5"/>
      <c r="O3931" s="7"/>
      <c r="P3931" s="5" t="str">
        <f t="shared" si="92"/>
        <v>Truncate table HNUE81;</v>
      </c>
      <c r="Q3931" s="5"/>
      <c r="R3931" s="5"/>
    </row>
    <row r="3932" spans="2:18" x14ac:dyDescent="0.25">
      <c r="B3932" s="12" t="s">
        <v>5204</v>
      </c>
      <c r="C3932" s="5"/>
      <c r="D3932" s="5" t="s">
        <v>29</v>
      </c>
      <c r="E3932" s="5" t="s">
        <v>734</v>
      </c>
      <c r="F3932" s="5" t="s">
        <v>4961</v>
      </c>
      <c r="G3932" s="5" t="s">
        <v>28</v>
      </c>
      <c r="H3932" s="5"/>
      <c r="I3932" s="5"/>
      <c r="J3932" s="5"/>
      <c r="K3932" s="5"/>
      <c r="L3932" s="5"/>
      <c r="M3932" s="5"/>
      <c r="N3932" s="5"/>
      <c r="O3932" s="17" t="s">
        <v>38</v>
      </c>
      <c r="P3932" s="5" t="str">
        <f t="shared" si="92"/>
        <v>Truncate table HNUF09;</v>
      </c>
      <c r="Q3932" s="5"/>
      <c r="R3932" s="5"/>
    </row>
    <row r="3933" spans="2:18" x14ac:dyDescent="0.25">
      <c r="B3933" s="12" t="s">
        <v>5205</v>
      </c>
      <c r="C3933" s="5"/>
      <c r="D3933" s="5" t="s">
        <v>29</v>
      </c>
      <c r="E3933" s="5" t="s">
        <v>734</v>
      </c>
      <c r="F3933" s="5" t="s">
        <v>4961</v>
      </c>
      <c r="G3933" s="5" t="s">
        <v>28</v>
      </c>
      <c r="H3933" s="5"/>
      <c r="I3933" s="5"/>
      <c r="J3933" s="5"/>
      <c r="K3933" s="5"/>
      <c r="L3933" s="5"/>
      <c r="M3933" s="5"/>
      <c r="N3933" s="5"/>
      <c r="O3933" s="7"/>
      <c r="P3933" s="5" t="str">
        <f t="shared" si="92"/>
        <v>Truncate table HNUFA12;</v>
      </c>
      <c r="Q3933" s="5"/>
      <c r="R3933" s="5"/>
    </row>
    <row r="3934" spans="2:18" x14ac:dyDescent="0.25">
      <c r="B3934" s="12" t="s">
        <v>5206</v>
      </c>
      <c r="C3934" s="5"/>
      <c r="D3934" s="5" t="s">
        <v>29</v>
      </c>
      <c r="E3934" s="5" t="s">
        <v>734</v>
      </c>
      <c r="F3934" s="5" t="s">
        <v>4961</v>
      </c>
      <c r="G3934" s="5" t="s">
        <v>28</v>
      </c>
      <c r="H3934" s="5"/>
      <c r="I3934" s="5"/>
      <c r="J3934" s="5"/>
      <c r="K3934" s="5"/>
      <c r="L3934" s="5"/>
      <c r="M3934" s="5"/>
      <c r="N3934" s="5"/>
      <c r="O3934" s="7"/>
      <c r="P3934" s="5" t="str">
        <f t="shared" si="92"/>
        <v>Truncate table HNUFA9;</v>
      </c>
      <c r="Q3934" s="5"/>
      <c r="R3934" s="5"/>
    </row>
    <row r="3935" spans="2:18" x14ac:dyDescent="0.25">
      <c r="B3935" s="12" t="s">
        <v>5207</v>
      </c>
      <c r="C3935" s="5"/>
      <c r="D3935" s="5" t="s">
        <v>29</v>
      </c>
      <c r="E3935" s="5" t="s">
        <v>734</v>
      </c>
      <c r="F3935" s="5" t="s">
        <v>4961</v>
      </c>
      <c r="G3935" s="5" t="s">
        <v>28</v>
      </c>
      <c r="H3935" s="5"/>
      <c r="I3935" s="5"/>
      <c r="J3935" s="5"/>
      <c r="K3935" s="5"/>
      <c r="L3935" s="5"/>
      <c r="M3935" s="5"/>
      <c r="N3935" s="5"/>
      <c r="O3935" s="7"/>
      <c r="P3935" s="5" t="str">
        <f t="shared" si="92"/>
        <v>Truncate table HNUFE2;</v>
      </c>
      <c r="Q3935" s="5"/>
      <c r="R3935" s="5"/>
    </row>
    <row r="3936" spans="2:18" x14ac:dyDescent="0.25">
      <c r="B3936" s="12" t="s">
        <v>5208</v>
      </c>
      <c r="C3936" s="5"/>
      <c r="D3936" s="5" t="s">
        <v>29</v>
      </c>
      <c r="E3936" s="5" t="s">
        <v>734</v>
      </c>
      <c r="F3936" s="5" t="s">
        <v>4961</v>
      </c>
      <c r="G3936" s="5" t="s">
        <v>28</v>
      </c>
      <c r="H3936" s="5"/>
      <c r="I3936" s="5"/>
      <c r="J3936" s="5"/>
      <c r="K3936" s="5"/>
      <c r="L3936" s="5"/>
      <c r="M3936" s="5"/>
      <c r="N3936" s="5"/>
      <c r="O3936" s="17" t="s">
        <v>38</v>
      </c>
      <c r="P3936" s="5" t="str">
        <f t="shared" si="92"/>
        <v>Truncate table HNUH01;</v>
      </c>
      <c r="Q3936" s="5"/>
      <c r="R3936" s="5"/>
    </row>
    <row r="3937" spans="2:18" x14ac:dyDescent="0.25">
      <c r="B3937" s="12" t="s">
        <v>5209</v>
      </c>
      <c r="C3937" s="5"/>
      <c r="D3937" s="5" t="s">
        <v>29</v>
      </c>
      <c r="E3937" s="5" t="s">
        <v>734</v>
      </c>
      <c r="F3937" s="5" t="s">
        <v>4961</v>
      </c>
      <c r="G3937" s="5" t="s">
        <v>28</v>
      </c>
      <c r="H3937" s="5"/>
      <c r="I3937" s="5"/>
      <c r="J3937" s="5"/>
      <c r="K3937" s="5"/>
      <c r="L3937" s="5"/>
      <c r="M3937" s="5"/>
      <c r="N3937" s="5"/>
      <c r="O3937" s="7"/>
      <c r="P3937" s="5" t="str">
        <f t="shared" si="92"/>
        <v>Truncate table HNUH02;</v>
      </c>
      <c r="Q3937" s="5"/>
      <c r="R3937" s="5"/>
    </row>
    <row r="3938" spans="2:18" x14ac:dyDescent="0.25">
      <c r="B3938" s="12" t="s">
        <v>5210</v>
      </c>
      <c r="C3938" s="5"/>
      <c r="D3938" s="5" t="s">
        <v>29</v>
      </c>
      <c r="E3938" s="5" t="s">
        <v>734</v>
      </c>
      <c r="F3938" s="5" t="s">
        <v>4961</v>
      </c>
      <c r="G3938" s="5" t="s">
        <v>28</v>
      </c>
      <c r="H3938" s="5"/>
      <c r="I3938" s="5"/>
      <c r="J3938" s="5"/>
      <c r="K3938" s="5"/>
      <c r="L3938" s="5"/>
      <c r="M3938" s="5"/>
      <c r="N3938" s="5"/>
      <c r="O3938" s="7"/>
      <c r="P3938" s="5" t="str">
        <f t="shared" si="92"/>
        <v>Truncate table HNUH03;</v>
      </c>
      <c r="Q3938" s="5"/>
      <c r="R3938" s="5"/>
    </row>
    <row r="3939" spans="2:18" x14ac:dyDescent="0.25">
      <c r="B3939" s="12" t="s">
        <v>5211</v>
      </c>
      <c r="C3939" s="5"/>
      <c r="D3939" s="5" t="s">
        <v>29</v>
      </c>
      <c r="E3939" s="5" t="s">
        <v>734</v>
      </c>
      <c r="F3939" s="5" t="s">
        <v>4961</v>
      </c>
      <c r="G3939" s="5" t="s">
        <v>28</v>
      </c>
      <c r="H3939" s="5"/>
      <c r="I3939" s="5"/>
      <c r="J3939" s="5"/>
      <c r="K3939" s="5"/>
      <c r="L3939" s="5"/>
      <c r="M3939" s="5"/>
      <c r="N3939" s="5"/>
      <c r="O3939" s="7"/>
      <c r="P3939" s="5" t="str">
        <f t="shared" si="92"/>
        <v>Truncate table HNUH04;</v>
      </c>
      <c r="Q3939" s="5"/>
      <c r="R3939" s="5"/>
    </row>
    <row r="3940" spans="2:18" x14ac:dyDescent="0.25">
      <c r="B3940" s="12" t="s">
        <v>5212</v>
      </c>
      <c r="C3940" s="5"/>
      <c r="D3940" s="5" t="s">
        <v>29</v>
      </c>
      <c r="E3940" s="5" t="s">
        <v>734</v>
      </c>
      <c r="F3940" s="5" t="s">
        <v>4961</v>
      </c>
      <c r="G3940" s="5" t="s">
        <v>28</v>
      </c>
      <c r="H3940" s="5"/>
      <c r="I3940" s="5"/>
      <c r="J3940" s="5"/>
      <c r="K3940" s="5"/>
      <c r="L3940" s="5"/>
      <c r="M3940" s="5"/>
      <c r="N3940" s="5"/>
      <c r="O3940" s="7"/>
      <c r="P3940" s="5" t="str">
        <f t="shared" si="92"/>
        <v>Truncate table HNUH05;</v>
      </c>
      <c r="Q3940" s="5"/>
      <c r="R3940" s="5"/>
    </row>
    <row r="3941" spans="2:18" x14ac:dyDescent="0.25">
      <c r="B3941" s="12" t="s">
        <v>5213</v>
      </c>
      <c r="C3941" s="5"/>
      <c r="D3941" s="5" t="s">
        <v>29</v>
      </c>
      <c r="E3941" s="5" t="s">
        <v>734</v>
      </c>
      <c r="F3941" s="5" t="s">
        <v>4961</v>
      </c>
      <c r="G3941" s="5" t="s">
        <v>28</v>
      </c>
      <c r="H3941" s="5"/>
      <c r="I3941" s="5"/>
      <c r="J3941" s="5"/>
      <c r="K3941" s="5"/>
      <c r="L3941" s="5"/>
      <c r="M3941" s="5"/>
      <c r="N3941" s="5"/>
      <c r="O3941" s="7"/>
      <c r="P3941" s="5" t="str">
        <f t="shared" si="92"/>
        <v>Truncate table HNUH06;</v>
      </c>
      <c r="Q3941" s="5"/>
      <c r="R3941" s="5"/>
    </row>
    <row r="3942" spans="2:18" x14ac:dyDescent="0.25">
      <c r="B3942" s="12" t="s">
        <v>5214</v>
      </c>
      <c r="C3942" s="5"/>
      <c r="D3942" s="5" t="s">
        <v>29</v>
      </c>
      <c r="E3942" s="5" t="s">
        <v>734</v>
      </c>
      <c r="F3942" s="5" t="s">
        <v>4961</v>
      </c>
      <c r="G3942" s="5" t="s">
        <v>28</v>
      </c>
      <c r="H3942" s="5"/>
      <c r="I3942" s="5"/>
      <c r="J3942" s="5"/>
      <c r="K3942" s="5"/>
      <c r="L3942" s="5"/>
      <c r="M3942" s="5"/>
      <c r="N3942" s="5"/>
      <c r="O3942" s="7"/>
      <c r="P3942" s="5" t="str">
        <f t="shared" si="92"/>
        <v>Truncate table HNUH07;</v>
      </c>
      <c r="Q3942" s="5"/>
      <c r="R3942" s="5"/>
    </row>
    <row r="3943" spans="2:18" x14ac:dyDescent="0.25">
      <c r="B3943" s="12" t="s">
        <v>5215</v>
      </c>
      <c r="C3943" s="5"/>
      <c r="D3943" s="5" t="s">
        <v>29</v>
      </c>
      <c r="E3943" s="5" t="s">
        <v>734</v>
      </c>
      <c r="F3943" s="5" t="s">
        <v>4961</v>
      </c>
      <c r="G3943" s="5" t="s">
        <v>28</v>
      </c>
      <c r="H3943" s="5"/>
      <c r="I3943" s="5"/>
      <c r="J3943" s="5"/>
      <c r="K3943" s="5"/>
      <c r="L3943" s="5"/>
      <c r="M3943" s="5"/>
      <c r="N3943" s="5"/>
      <c r="O3943" s="7"/>
      <c r="P3943" s="5" t="str">
        <f t="shared" si="92"/>
        <v>Truncate table HNUH08;</v>
      </c>
      <c r="Q3943" s="5"/>
      <c r="R3943" s="5"/>
    </row>
    <row r="3944" spans="2:18" x14ac:dyDescent="0.25">
      <c r="B3944" s="12" t="s">
        <v>5216</v>
      </c>
      <c r="C3944" s="5"/>
      <c r="D3944" s="5" t="s">
        <v>29</v>
      </c>
      <c r="E3944" s="5" t="s">
        <v>734</v>
      </c>
      <c r="F3944" s="5" t="s">
        <v>4961</v>
      </c>
      <c r="G3944" s="5" t="s">
        <v>28</v>
      </c>
      <c r="H3944" s="5"/>
      <c r="I3944" s="5"/>
      <c r="J3944" s="5"/>
      <c r="K3944" s="5"/>
      <c r="L3944" s="5"/>
      <c r="M3944" s="5"/>
      <c r="N3944" s="5"/>
      <c r="O3944" s="7"/>
      <c r="P3944" s="5" t="str">
        <f t="shared" si="92"/>
        <v>Truncate table HNUH09;</v>
      </c>
      <c r="Q3944" s="5"/>
      <c r="R3944" s="5"/>
    </row>
    <row r="3945" spans="2:18" x14ac:dyDescent="0.25">
      <c r="B3945" s="12" t="s">
        <v>5217</v>
      </c>
      <c r="C3945" s="5"/>
      <c r="D3945" s="5" t="s">
        <v>29</v>
      </c>
      <c r="E3945" s="5" t="s">
        <v>734</v>
      </c>
      <c r="F3945" s="5" t="s">
        <v>4961</v>
      </c>
      <c r="G3945" s="5" t="s">
        <v>28</v>
      </c>
      <c r="H3945" s="5"/>
      <c r="I3945" s="5"/>
      <c r="J3945" s="5"/>
      <c r="K3945" s="5"/>
      <c r="L3945" s="5"/>
      <c r="M3945" s="5"/>
      <c r="N3945" s="5"/>
      <c r="O3945" s="17" t="s">
        <v>38</v>
      </c>
      <c r="P3945" s="5" t="str">
        <f t="shared" si="92"/>
        <v>Truncate table HNUH10;</v>
      </c>
      <c r="Q3945" s="5"/>
      <c r="R3945" s="5"/>
    </row>
    <row r="3946" spans="2:18" x14ac:dyDescent="0.25">
      <c r="B3946" s="12" t="s">
        <v>5218</v>
      </c>
      <c r="C3946" s="5"/>
      <c r="D3946" s="5" t="s">
        <v>29</v>
      </c>
      <c r="E3946" s="5" t="s">
        <v>734</v>
      </c>
      <c r="F3946" s="5" t="s">
        <v>4961</v>
      </c>
      <c r="G3946" s="5" t="s">
        <v>28</v>
      </c>
      <c r="H3946" s="5"/>
      <c r="I3946" s="5"/>
      <c r="J3946" s="5"/>
      <c r="K3946" s="5"/>
      <c r="L3946" s="5"/>
      <c r="M3946" s="5"/>
      <c r="N3946" s="5"/>
      <c r="O3946" s="7"/>
      <c r="P3946" s="5" t="str">
        <f t="shared" si="92"/>
        <v>Truncate table HNUH11;</v>
      </c>
      <c r="Q3946" s="5"/>
      <c r="R3946" s="5"/>
    </row>
    <row r="3947" spans="2:18" x14ac:dyDescent="0.25">
      <c r="B3947" s="12" t="s">
        <v>5219</v>
      </c>
      <c r="C3947" s="5"/>
      <c r="D3947" s="5" t="s">
        <v>29</v>
      </c>
      <c r="E3947" s="5" t="s">
        <v>734</v>
      </c>
      <c r="F3947" s="5" t="s">
        <v>4961</v>
      </c>
      <c r="G3947" s="5" t="s">
        <v>28</v>
      </c>
      <c r="H3947" s="5"/>
      <c r="I3947" s="5"/>
      <c r="J3947" s="5"/>
      <c r="K3947" s="5"/>
      <c r="L3947" s="5"/>
      <c r="M3947" s="5"/>
      <c r="N3947" s="5"/>
      <c r="O3947" s="7"/>
      <c r="P3947" s="5" t="str">
        <f t="shared" si="92"/>
        <v>Truncate table HNUH12;</v>
      </c>
      <c r="Q3947" s="5"/>
      <c r="R3947" s="5"/>
    </row>
    <row r="3948" spans="2:18" x14ac:dyDescent="0.25">
      <c r="B3948" s="12" t="s">
        <v>5220</v>
      </c>
      <c r="C3948" s="5"/>
      <c r="D3948" s="5" t="s">
        <v>29</v>
      </c>
      <c r="E3948" s="5" t="s">
        <v>734</v>
      </c>
      <c r="F3948" s="5" t="s">
        <v>4961</v>
      </c>
      <c r="G3948" s="5" t="s">
        <v>28</v>
      </c>
      <c r="H3948" s="5"/>
      <c r="I3948" s="5"/>
      <c r="J3948" s="5"/>
      <c r="K3948" s="5"/>
      <c r="L3948" s="5"/>
      <c r="M3948" s="5"/>
      <c r="N3948" s="5"/>
      <c r="O3948" s="7"/>
      <c r="P3948" s="5" t="str">
        <f t="shared" si="92"/>
        <v>Truncate table HNUH13;</v>
      </c>
      <c r="Q3948" s="5"/>
      <c r="R3948" s="5"/>
    </row>
    <row r="3949" spans="2:18" x14ac:dyDescent="0.25">
      <c r="B3949" s="12" t="s">
        <v>5221</v>
      </c>
      <c r="C3949" s="5"/>
      <c r="D3949" s="5" t="s">
        <v>29</v>
      </c>
      <c r="E3949" s="5" t="s">
        <v>734</v>
      </c>
      <c r="F3949" s="5" t="s">
        <v>4961</v>
      </c>
      <c r="G3949" s="5" t="s">
        <v>28</v>
      </c>
      <c r="H3949" s="5"/>
      <c r="I3949" s="5"/>
      <c r="J3949" s="5"/>
      <c r="K3949" s="5"/>
      <c r="L3949" s="5"/>
      <c r="M3949" s="5"/>
      <c r="N3949" s="5"/>
      <c r="O3949" s="7"/>
      <c r="P3949" s="5" t="str">
        <f t="shared" si="92"/>
        <v>Truncate table HNUH14;</v>
      </c>
      <c r="Q3949" s="5"/>
      <c r="R3949" s="5"/>
    </row>
    <row r="3950" spans="2:18" x14ac:dyDescent="0.25">
      <c r="B3950" s="12" t="s">
        <v>5222</v>
      </c>
      <c r="C3950" s="5"/>
      <c r="D3950" s="5" t="s">
        <v>29</v>
      </c>
      <c r="E3950" s="5" t="s">
        <v>734</v>
      </c>
      <c r="F3950" s="5" t="s">
        <v>4961</v>
      </c>
      <c r="G3950" s="5" t="s">
        <v>28</v>
      </c>
      <c r="H3950" s="5"/>
      <c r="I3950" s="5"/>
      <c r="J3950" s="5"/>
      <c r="K3950" s="5"/>
      <c r="L3950" s="5"/>
      <c r="M3950" s="5"/>
      <c r="N3950" s="5"/>
      <c r="O3950" s="7"/>
      <c r="P3950" s="5" t="str">
        <f t="shared" si="92"/>
        <v>Truncate table HNUH15;</v>
      </c>
      <c r="Q3950" s="5"/>
      <c r="R3950" s="5"/>
    </row>
    <row r="3951" spans="2:18" x14ac:dyDescent="0.25">
      <c r="B3951" s="12" t="s">
        <v>5223</v>
      </c>
      <c r="C3951" s="5"/>
      <c r="D3951" s="5" t="s">
        <v>29</v>
      </c>
      <c r="E3951" s="5" t="s">
        <v>734</v>
      </c>
      <c r="F3951" s="5" t="s">
        <v>4961</v>
      </c>
      <c r="G3951" s="5" t="s">
        <v>28</v>
      </c>
      <c r="H3951" s="5"/>
      <c r="I3951" s="5"/>
      <c r="J3951" s="5"/>
      <c r="K3951" s="5"/>
      <c r="L3951" s="5"/>
      <c r="M3951" s="5"/>
      <c r="N3951" s="5"/>
      <c r="O3951" s="7"/>
      <c r="P3951" s="5" t="str">
        <f t="shared" si="92"/>
        <v>Truncate table HNUH16;</v>
      </c>
      <c r="Q3951" s="5"/>
      <c r="R3951" s="5"/>
    </row>
    <row r="3952" spans="2:18" x14ac:dyDescent="0.25">
      <c r="B3952" s="12" t="s">
        <v>5224</v>
      </c>
      <c r="C3952" s="5"/>
      <c r="D3952" s="5" t="s">
        <v>29</v>
      </c>
      <c r="E3952" s="5" t="s">
        <v>734</v>
      </c>
      <c r="F3952" s="5" t="s">
        <v>4961</v>
      </c>
      <c r="G3952" s="5" t="s">
        <v>28</v>
      </c>
      <c r="H3952" s="5"/>
      <c r="I3952" s="5"/>
      <c r="J3952" s="5"/>
      <c r="K3952" s="5"/>
      <c r="L3952" s="5"/>
      <c r="M3952" s="5"/>
      <c r="N3952" s="5"/>
      <c r="O3952" s="7"/>
      <c r="P3952" s="5" t="str">
        <f t="shared" si="92"/>
        <v>Truncate table HNUH17;</v>
      </c>
      <c r="Q3952" s="5"/>
      <c r="R3952" s="5"/>
    </row>
    <row r="3953" spans="2:18" x14ac:dyDescent="0.25">
      <c r="B3953" s="12" t="s">
        <v>5225</v>
      </c>
      <c r="C3953" s="5"/>
      <c r="D3953" s="5" t="s">
        <v>29</v>
      </c>
      <c r="E3953" s="5" t="s">
        <v>734</v>
      </c>
      <c r="F3953" s="5" t="s">
        <v>4961</v>
      </c>
      <c r="G3953" s="5" t="s">
        <v>28</v>
      </c>
      <c r="H3953" s="5"/>
      <c r="I3953" s="5"/>
      <c r="J3953" s="5"/>
      <c r="K3953" s="5"/>
      <c r="L3953" s="5"/>
      <c r="M3953" s="5"/>
      <c r="N3953" s="5"/>
      <c r="O3953" s="7"/>
      <c r="P3953" s="5" t="str">
        <f t="shared" si="92"/>
        <v>Truncate table HNUH18;</v>
      </c>
      <c r="Q3953" s="5"/>
      <c r="R3953" s="5"/>
    </row>
    <row r="3954" spans="2:18" x14ac:dyDescent="0.25">
      <c r="B3954" s="12" t="s">
        <v>5226</v>
      </c>
      <c r="C3954" s="5"/>
      <c r="D3954" s="5" t="s">
        <v>29</v>
      </c>
      <c r="E3954" s="5" t="s">
        <v>734</v>
      </c>
      <c r="F3954" s="5" t="s">
        <v>4961</v>
      </c>
      <c r="G3954" s="5" t="s">
        <v>28</v>
      </c>
      <c r="H3954" s="5"/>
      <c r="I3954" s="5"/>
      <c r="J3954" s="5"/>
      <c r="K3954" s="5"/>
      <c r="L3954" s="5"/>
      <c r="M3954" s="5"/>
      <c r="N3954" s="5"/>
      <c r="O3954" s="7"/>
      <c r="P3954" s="5" t="str">
        <f t="shared" si="92"/>
        <v>Truncate table HNUH25;</v>
      </c>
      <c r="Q3954" s="5"/>
      <c r="R3954" s="5"/>
    </row>
    <row r="3955" spans="2:18" x14ac:dyDescent="0.25">
      <c r="B3955" s="12" t="s">
        <v>5227</v>
      </c>
      <c r="C3955" s="5"/>
      <c r="D3955" s="5" t="s">
        <v>29</v>
      </c>
      <c r="E3955" s="5" t="s">
        <v>734</v>
      </c>
      <c r="F3955" s="5" t="s">
        <v>4961</v>
      </c>
      <c r="G3955" s="5" t="s">
        <v>28</v>
      </c>
      <c r="H3955" s="5"/>
      <c r="I3955" s="5"/>
      <c r="J3955" s="5"/>
      <c r="K3955" s="5"/>
      <c r="L3955" s="5"/>
      <c r="M3955" s="5"/>
      <c r="N3955" s="5"/>
      <c r="O3955" s="17" t="s">
        <v>38</v>
      </c>
      <c r="P3955" s="5" t="str">
        <f t="shared" si="92"/>
        <v>Truncate table HNUH50;</v>
      </c>
      <c r="Q3955" s="5"/>
      <c r="R3955" s="5"/>
    </row>
    <row r="3956" spans="2:18" x14ac:dyDescent="0.25">
      <c r="B3956" s="12" t="s">
        <v>5228</v>
      </c>
      <c r="C3956" s="5"/>
      <c r="D3956" s="5" t="s">
        <v>29</v>
      </c>
      <c r="E3956" s="5" t="s">
        <v>734</v>
      </c>
      <c r="F3956" s="5" t="s">
        <v>4961</v>
      </c>
      <c r="G3956" s="5" t="s">
        <v>28</v>
      </c>
      <c r="H3956" s="5"/>
      <c r="I3956" s="5"/>
      <c r="J3956" s="5"/>
      <c r="K3956" s="5"/>
      <c r="L3956" s="5"/>
      <c r="M3956" s="5"/>
      <c r="N3956" s="5"/>
      <c r="O3956" s="7"/>
      <c r="P3956" s="5" t="str">
        <f t="shared" si="92"/>
        <v>Truncate table HNUH75;</v>
      </c>
      <c r="Q3956" s="5"/>
      <c r="R3956" s="5"/>
    </row>
    <row r="3957" spans="2:18" x14ac:dyDescent="0.25">
      <c r="B3957" s="12" t="s">
        <v>5229</v>
      </c>
      <c r="C3957" s="5"/>
      <c r="D3957" s="5" t="s">
        <v>29</v>
      </c>
      <c r="E3957" s="5" t="s">
        <v>734</v>
      </c>
      <c r="F3957" s="5" t="s">
        <v>4961</v>
      </c>
      <c r="G3957" s="5" t="s">
        <v>28</v>
      </c>
      <c r="H3957" s="5"/>
      <c r="I3957" s="5"/>
      <c r="J3957" s="5"/>
      <c r="K3957" s="5"/>
      <c r="L3957" s="5"/>
      <c r="M3957" s="5"/>
      <c r="N3957" s="5"/>
      <c r="O3957" s="7"/>
      <c r="P3957" s="5" t="str">
        <f t="shared" si="92"/>
        <v>Truncate table HNUH82;</v>
      </c>
      <c r="Q3957" s="5"/>
      <c r="R3957" s="5"/>
    </row>
    <row r="3958" spans="2:18" x14ac:dyDescent="0.25">
      <c r="B3958" s="12" t="s">
        <v>5230</v>
      </c>
      <c r="C3958" s="5"/>
      <c r="D3958" s="5" t="s">
        <v>29</v>
      </c>
      <c r="E3958" s="5" t="s">
        <v>734</v>
      </c>
      <c r="F3958" s="5" t="s">
        <v>4961</v>
      </c>
      <c r="G3958" s="5" t="s">
        <v>28</v>
      </c>
      <c r="H3958" s="5"/>
      <c r="I3958" s="5"/>
      <c r="J3958" s="5"/>
      <c r="K3958" s="5"/>
      <c r="L3958" s="5"/>
      <c r="M3958" s="5"/>
      <c r="N3958" s="5"/>
      <c r="O3958" s="7"/>
      <c r="P3958" s="5" t="str">
        <f t="shared" si="92"/>
        <v>Truncate table HNUH83;</v>
      </c>
      <c r="Q3958" s="5"/>
      <c r="R3958" s="5"/>
    </row>
    <row r="3959" spans="2:18" x14ac:dyDescent="0.25">
      <c r="B3959" s="12" t="s">
        <v>5231</v>
      </c>
      <c r="C3959" s="5"/>
      <c r="D3959" s="5" t="s">
        <v>29</v>
      </c>
      <c r="E3959" s="5" t="s">
        <v>734</v>
      </c>
      <c r="F3959" s="5" t="s">
        <v>4961</v>
      </c>
      <c r="G3959" s="5" t="s">
        <v>28</v>
      </c>
      <c r="H3959" s="5"/>
      <c r="I3959" s="5"/>
      <c r="J3959" s="5"/>
      <c r="K3959" s="5"/>
      <c r="L3959" s="5"/>
      <c r="M3959" s="5"/>
      <c r="N3959" s="5"/>
      <c r="O3959" s="7"/>
      <c r="P3959" s="5" t="str">
        <f t="shared" si="92"/>
        <v>Truncate table HNUM07;</v>
      </c>
      <c r="Q3959" s="5"/>
      <c r="R3959" s="5"/>
    </row>
    <row r="3960" spans="2:18" x14ac:dyDescent="0.25">
      <c r="B3960" s="12" t="s">
        <v>5232</v>
      </c>
      <c r="C3960" s="5"/>
      <c r="D3960" s="5" t="s">
        <v>29</v>
      </c>
      <c r="E3960" s="5" t="s">
        <v>734</v>
      </c>
      <c r="F3960" s="5" t="s">
        <v>4961</v>
      </c>
      <c r="G3960" s="5" t="s">
        <v>28</v>
      </c>
      <c r="H3960" s="5"/>
      <c r="I3960" s="5"/>
      <c r="J3960" s="5"/>
      <c r="K3960" s="5"/>
      <c r="L3960" s="5"/>
      <c r="M3960" s="5"/>
      <c r="N3960" s="5"/>
      <c r="O3960" s="7"/>
      <c r="P3960" s="5" t="str">
        <f t="shared" si="92"/>
        <v>Truncate table HNUM10;</v>
      </c>
      <c r="Q3960" s="5"/>
      <c r="R3960" s="5"/>
    </row>
    <row r="3961" spans="2:18" x14ac:dyDescent="0.25">
      <c r="B3961" s="12" t="s">
        <v>5233</v>
      </c>
      <c r="C3961" s="5"/>
      <c r="D3961" s="5" t="s">
        <v>29</v>
      </c>
      <c r="E3961" s="5" t="s">
        <v>734</v>
      </c>
      <c r="F3961" s="5" t="s">
        <v>4961</v>
      </c>
      <c r="G3961" s="5" t="s">
        <v>28</v>
      </c>
      <c r="H3961" s="5"/>
      <c r="I3961" s="5"/>
      <c r="J3961" s="5"/>
      <c r="K3961" s="5"/>
      <c r="L3961" s="5"/>
      <c r="M3961" s="5"/>
      <c r="N3961" s="5"/>
      <c r="O3961" s="7"/>
      <c r="P3961" s="5" t="str">
        <f t="shared" si="92"/>
        <v>Truncate table HNUM24;</v>
      </c>
      <c r="Q3961" s="5"/>
      <c r="R3961" s="5"/>
    </row>
    <row r="3962" spans="2:18" x14ac:dyDescent="0.25">
      <c r="B3962" s="12" t="s">
        <v>5234</v>
      </c>
      <c r="C3962" s="5"/>
      <c r="D3962" s="5" t="s">
        <v>29</v>
      </c>
      <c r="E3962" s="5" t="s">
        <v>734</v>
      </c>
      <c r="F3962" s="5" t="s">
        <v>4961</v>
      </c>
      <c r="G3962" s="5" t="s">
        <v>28</v>
      </c>
      <c r="H3962" s="5"/>
      <c r="I3962" s="5"/>
      <c r="J3962" s="5"/>
      <c r="K3962" s="5"/>
      <c r="L3962" s="5"/>
      <c r="M3962" s="5"/>
      <c r="N3962" s="5"/>
      <c r="O3962" s="7"/>
      <c r="P3962" s="5" t="str">
        <f t="shared" si="92"/>
        <v>Truncate table HNUM30;</v>
      </c>
      <c r="Q3962" s="5"/>
      <c r="R3962" s="5"/>
    </row>
    <row r="3963" spans="2:18" x14ac:dyDescent="0.25">
      <c r="B3963" s="12" t="s">
        <v>5235</v>
      </c>
      <c r="C3963" s="5"/>
      <c r="D3963" s="5" t="s">
        <v>29</v>
      </c>
      <c r="E3963" s="5" t="s">
        <v>734</v>
      </c>
      <c r="F3963" s="5" t="s">
        <v>4961</v>
      </c>
      <c r="G3963" s="5" t="s">
        <v>28</v>
      </c>
      <c r="H3963" s="5"/>
      <c r="I3963" s="5"/>
      <c r="J3963" s="5"/>
      <c r="K3963" s="5"/>
      <c r="L3963" s="5"/>
      <c r="M3963" s="5"/>
      <c r="N3963" s="5"/>
      <c r="O3963" s="7"/>
      <c r="P3963" s="5" t="str">
        <f t="shared" si="92"/>
        <v>Truncate table HNUM31;</v>
      </c>
      <c r="Q3963" s="5"/>
      <c r="R3963" s="5"/>
    </row>
    <row r="3964" spans="2:18" x14ac:dyDescent="0.25">
      <c r="B3964" s="12" t="s">
        <v>5236</v>
      </c>
      <c r="C3964" s="5"/>
      <c r="D3964" s="5" t="s">
        <v>29</v>
      </c>
      <c r="E3964" s="5" t="s">
        <v>734</v>
      </c>
      <c r="F3964" s="5" t="s">
        <v>4961</v>
      </c>
      <c r="G3964" s="5" t="s">
        <v>28</v>
      </c>
      <c r="H3964" s="5"/>
      <c r="I3964" s="5"/>
      <c r="J3964" s="5"/>
      <c r="K3964" s="5"/>
      <c r="L3964" s="5"/>
      <c r="M3964" s="5"/>
      <c r="N3964" s="5"/>
      <c r="O3964" s="7"/>
      <c r="P3964" s="5" t="str">
        <f t="shared" si="92"/>
        <v>Truncate table HNUM32;</v>
      </c>
      <c r="Q3964" s="5"/>
      <c r="R3964" s="5"/>
    </row>
    <row r="3965" spans="2:18" x14ac:dyDescent="0.25">
      <c r="B3965" s="12" t="s">
        <v>5237</v>
      </c>
      <c r="C3965" s="5"/>
      <c r="D3965" s="5" t="s">
        <v>29</v>
      </c>
      <c r="E3965" s="5" t="s">
        <v>734</v>
      </c>
      <c r="F3965" s="5" t="s">
        <v>4961</v>
      </c>
      <c r="G3965" s="5" t="s">
        <v>28</v>
      </c>
      <c r="H3965" s="5"/>
      <c r="I3965" s="5"/>
      <c r="J3965" s="5"/>
      <c r="K3965" s="5"/>
      <c r="L3965" s="5"/>
      <c r="M3965" s="5"/>
      <c r="N3965" s="5"/>
      <c r="O3965" s="7"/>
      <c r="P3965" s="5" t="str">
        <f t="shared" si="92"/>
        <v>Truncate table HNUM50;</v>
      </c>
      <c r="Q3965" s="5"/>
      <c r="R3965" s="5"/>
    </row>
    <row r="3966" spans="2:18" x14ac:dyDescent="0.25">
      <c r="B3966" s="12" t="s">
        <v>5238</v>
      </c>
      <c r="C3966" s="5"/>
      <c r="D3966" s="5" t="s">
        <v>29</v>
      </c>
      <c r="E3966" s="5" t="s">
        <v>734</v>
      </c>
      <c r="F3966" s="5" t="s">
        <v>4961</v>
      </c>
      <c r="G3966" s="5" t="s">
        <v>28</v>
      </c>
      <c r="H3966" s="5"/>
      <c r="I3966" s="5"/>
      <c r="J3966" s="5"/>
      <c r="K3966" s="5"/>
      <c r="L3966" s="5"/>
      <c r="M3966" s="5"/>
      <c r="N3966" s="5"/>
      <c r="O3966" s="7"/>
      <c r="P3966" s="5" t="str">
        <f t="shared" si="92"/>
        <v>Truncate table HNUM51;</v>
      </c>
      <c r="Q3966" s="5"/>
      <c r="R3966" s="5"/>
    </row>
    <row r="3967" spans="2:18" x14ac:dyDescent="0.25">
      <c r="B3967" s="12" t="s">
        <v>5239</v>
      </c>
      <c r="C3967" s="5"/>
      <c r="D3967" s="5" t="s">
        <v>29</v>
      </c>
      <c r="E3967" s="5" t="s">
        <v>734</v>
      </c>
      <c r="F3967" s="5" t="s">
        <v>4961</v>
      </c>
      <c r="G3967" s="5" t="s">
        <v>28</v>
      </c>
      <c r="H3967" s="5"/>
      <c r="I3967" s="5"/>
      <c r="J3967" s="5"/>
      <c r="K3967" s="5"/>
      <c r="L3967" s="5"/>
      <c r="M3967" s="5"/>
      <c r="N3967" s="5"/>
      <c r="O3967" s="7"/>
      <c r="P3967" s="5" t="str">
        <f t="shared" si="92"/>
        <v>Truncate table HNUM52;</v>
      </c>
      <c r="Q3967" s="5"/>
      <c r="R3967" s="5"/>
    </row>
    <row r="3968" spans="2:18" x14ac:dyDescent="0.25">
      <c r="B3968" s="12" t="s">
        <v>5240</v>
      </c>
      <c r="C3968" s="5"/>
      <c r="D3968" s="5" t="s">
        <v>29</v>
      </c>
      <c r="E3968" s="5" t="s">
        <v>734</v>
      </c>
      <c r="F3968" s="5" t="s">
        <v>4961</v>
      </c>
      <c r="G3968" s="5" t="s">
        <v>28</v>
      </c>
      <c r="H3968" s="5"/>
      <c r="I3968" s="5"/>
      <c r="J3968" s="5"/>
      <c r="K3968" s="5"/>
      <c r="L3968" s="5"/>
      <c r="M3968" s="5"/>
      <c r="N3968" s="5"/>
      <c r="O3968" s="7"/>
      <c r="P3968" s="5" t="str">
        <f t="shared" si="92"/>
        <v>Truncate table HNUMB0;</v>
      </c>
      <c r="Q3968" s="5"/>
      <c r="R3968" s="5"/>
    </row>
    <row r="3969" spans="2:18" x14ac:dyDescent="0.25">
      <c r="B3969" s="12" t="s">
        <v>5241</v>
      </c>
      <c r="C3969" s="5"/>
      <c r="D3969" s="5" t="s">
        <v>29</v>
      </c>
      <c r="E3969" s="5" t="s">
        <v>734</v>
      </c>
      <c r="F3969" s="5" t="s">
        <v>4961</v>
      </c>
      <c r="G3969" s="5" t="s">
        <v>28</v>
      </c>
      <c r="H3969" s="5"/>
      <c r="I3969" s="5"/>
      <c r="J3969" s="5"/>
      <c r="K3969" s="5"/>
      <c r="L3969" s="5"/>
      <c r="M3969" s="5"/>
      <c r="N3969" s="5"/>
      <c r="O3969" s="7"/>
      <c r="P3969" s="5" t="str">
        <f t="shared" ref="P3969:P4032" si="93">IF(D3969="Datos","Truncate table "&amp; B3969&amp; ";","")</f>
        <v>Truncate table HNUMB1;</v>
      </c>
      <c r="Q3969" s="5"/>
      <c r="R3969" s="5"/>
    </row>
    <row r="3970" spans="2:18" x14ac:dyDescent="0.25">
      <c r="B3970" s="12" t="s">
        <v>5242</v>
      </c>
      <c r="C3970" s="5"/>
      <c r="D3970" s="5" t="s">
        <v>29</v>
      </c>
      <c r="E3970" s="5" t="s">
        <v>734</v>
      </c>
      <c r="F3970" s="5" t="s">
        <v>4961</v>
      </c>
      <c r="G3970" s="5" t="s">
        <v>28</v>
      </c>
      <c r="H3970" s="5"/>
      <c r="I3970" s="5"/>
      <c r="J3970" s="5"/>
      <c r="K3970" s="5"/>
      <c r="L3970" s="5"/>
      <c r="M3970" s="5"/>
      <c r="N3970" s="5"/>
      <c r="O3970" s="7"/>
      <c r="P3970" s="5" t="str">
        <f t="shared" si="93"/>
        <v>Truncate table HNUMB2;</v>
      </c>
      <c r="Q3970" s="5"/>
      <c r="R3970" s="5"/>
    </row>
    <row r="3971" spans="2:18" x14ac:dyDescent="0.25">
      <c r="B3971" s="12" t="s">
        <v>5243</v>
      </c>
      <c r="C3971" s="5"/>
      <c r="D3971" s="5" t="s">
        <v>29</v>
      </c>
      <c r="E3971" s="5" t="s">
        <v>734</v>
      </c>
      <c r="F3971" s="5" t="s">
        <v>4961</v>
      </c>
      <c r="G3971" s="5" t="s">
        <v>28</v>
      </c>
      <c r="H3971" s="5"/>
      <c r="I3971" s="5"/>
      <c r="J3971" s="5"/>
      <c r="K3971" s="5"/>
      <c r="L3971" s="5"/>
      <c r="M3971" s="5"/>
      <c r="N3971" s="5"/>
      <c r="O3971" s="7"/>
      <c r="P3971" s="5" t="str">
        <f t="shared" si="93"/>
        <v>Truncate table HNUMB3;</v>
      </c>
      <c r="Q3971" s="5"/>
      <c r="R3971" s="5"/>
    </row>
    <row r="3972" spans="2:18" x14ac:dyDescent="0.25">
      <c r="B3972" s="12" t="s">
        <v>5244</v>
      </c>
      <c r="C3972" s="5"/>
      <c r="D3972" s="5" t="s">
        <v>29</v>
      </c>
      <c r="E3972" s="5" t="s">
        <v>734</v>
      </c>
      <c r="F3972" s="5" t="s">
        <v>4961</v>
      </c>
      <c r="G3972" s="5" t="s">
        <v>28</v>
      </c>
      <c r="H3972" s="5"/>
      <c r="I3972" s="5"/>
      <c r="J3972" s="5"/>
      <c r="K3972" s="5"/>
      <c r="L3972" s="5"/>
      <c r="M3972" s="5"/>
      <c r="N3972" s="5"/>
      <c r="O3972" s="7"/>
      <c r="P3972" s="5" t="str">
        <f t="shared" si="93"/>
        <v>Truncate table HNUMB4;</v>
      </c>
      <c r="Q3972" s="5"/>
      <c r="R3972" s="5"/>
    </row>
    <row r="3973" spans="2:18" x14ac:dyDescent="0.25">
      <c r="B3973" s="12" t="s">
        <v>5245</v>
      </c>
      <c r="C3973" s="5"/>
      <c r="D3973" s="5" t="s">
        <v>29</v>
      </c>
      <c r="E3973" s="5" t="s">
        <v>734</v>
      </c>
      <c r="F3973" s="5" t="s">
        <v>4961</v>
      </c>
      <c r="G3973" s="5" t="s">
        <v>28</v>
      </c>
      <c r="H3973" s="5"/>
      <c r="I3973" s="5"/>
      <c r="J3973" s="5"/>
      <c r="K3973" s="5"/>
      <c r="L3973" s="5"/>
      <c r="M3973" s="5"/>
      <c r="N3973" s="5"/>
      <c r="O3973" s="7"/>
      <c r="P3973" s="5" t="str">
        <f t="shared" si="93"/>
        <v>Truncate table HNUMB5;</v>
      </c>
      <c r="Q3973" s="5"/>
      <c r="R3973" s="5"/>
    </row>
    <row r="3974" spans="2:18" x14ac:dyDescent="0.25">
      <c r="B3974" s="12" t="s">
        <v>5246</v>
      </c>
      <c r="C3974" s="5"/>
      <c r="D3974" s="5" t="s">
        <v>29</v>
      </c>
      <c r="E3974" s="5" t="s">
        <v>734</v>
      </c>
      <c r="F3974" s="5" t="s">
        <v>4961</v>
      </c>
      <c r="G3974" s="5" t="s">
        <v>28</v>
      </c>
      <c r="H3974" s="5"/>
      <c r="I3974" s="5"/>
      <c r="J3974" s="5"/>
      <c r="K3974" s="5"/>
      <c r="L3974" s="5"/>
      <c r="M3974" s="5"/>
      <c r="N3974" s="5"/>
      <c r="O3974" s="7"/>
      <c r="P3974" s="5" t="str">
        <f t="shared" si="93"/>
        <v>Truncate table HNUMB6;</v>
      </c>
      <c r="Q3974" s="5"/>
      <c r="R3974" s="5"/>
    </row>
    <row r="3975" spans="2:18" x14ac:dyDescent="0.25">
      <c r="B3975" s="12" t="s">
        <v>5247</v>
      </c>
      <c r="C3975" s="5"/>
      <c r="D3975" s="5" t="s">
        <v>29</v>
      </c>
      <c r="E3975" s="5" t="s">
        <v>734</v>
      </c>
      <c r="F3975" s="5" t="s">
        <v>4961</v>
      </c>
      <c r="G3975" s="5" t="s">
        <v>28</v>
      </c>
      <c r="H3975" s="5"/>
      <c r="I3975" s="5"/>
      <c r="J3975" s="5"/>
      <c r="K3975" s="5"/>
      <c r="L3975" s="5"/>
      <c r="M3975" s="5"/>
      <c r="N3975" s="5"/>
      <c r="O3975" s="7"/>
      <c r="P3975" s="5" t="str">
        <f t="shared" si="93"/>
        <v>Truncate table HNUMB7;</v>
      </c>
      <c r="Q3975" s="5"/>
      <c r="R3975" s="5"/>
    </row>
    <row r="3976" spans="2:18" x14ac:dyDescent="0.25">
      <c r="B3976" s="12" t="s">
        <v>5248</v>
      </c>
      <c r="C3976" s="5"/>
      <c r="D3976" s="5" t="s">
        <v>29</v>
      </c>
      <c r="E3976" s="5" t="s">
        <v>734</v>
      </c>
      <c r="F3976" s="5" t="s">
        <v>4961</v>
      </c>
      <c r="G3976" s="5" t="s">
        <v>28</v>
      </c>
      <c r="H3976" s="5"/>
      <c r="I3976" s="5"/>
      <c r="J3976" s="5"/>
      <c r="K3976" s="5"/>
      <c r="L3976" s="5"/>
      <c r="M3976" s="5"/>
      <c r="N3976" s="5"/>
      <c r="O3976" s="7"/>
      <c r="P3976" s="5" t="str">
        <f t="shared" si="93"/>
        <v>Truncate table HNUMB8;</v>
      </c>
      <c r="Q3976" s="5"/>
      <c r="R3976" s="5"/>
    </row>
    <row r="3977" spans="2:18" x14ac:dyDescent="0.25">
      <c r="B3977" s="12" t="s">
        <v>5249</v>
      </c>
      <c r="C3977" s="5"/>
      <c r="D3977" s="5" t="s">
        <v>29</v>
      </c>
      <c r="E3977" s="5" t="s">
        <v>734</v>
      </c>
      <c r="F3977" s="5" t="s">
        <v>4961</v>
      </c>
      <c r="G3977" s="5" t="s">
        <v>28</v>
      </c>
      <c r="H3977" s="5"/>
      <c r="I3977" s="5"/>
      <c r="J3977" s="5"/>
      <c r="K3977" s="5"/>
      <c r="L3977" s="5"/>
      <c r="M3977" s="5"/>
      <c r="N3977" s="5"/>
      <c r="O3977" s="7"/>
      <c r="P3977" s="5" t="str">
        <f t="shared" si="93"/>
        <v>Truncate table HNUMB9;</v>
      </c>
      <c r="Q3977" s="5"/>
      <c r="R3977" s="5"/>
    </row>
    <row r="3978" spans="2:18" x14ac:dyDescent="0.25">
      <c r="B3978" s="12" t="s">
        <v>5250</v>
      </c>
      <c r="C3978" s="5"/>
      <c r="D3978" s="5" t="s">
        <v>29</v>
      </c>
      <c r="E3978" s="5" t="s">
        <v>734</v>
      </c>
      <c r="F3978" s="5" t="s">
        <v>4961</v>
      </c>
      <c r="G3978" s="5" t="s">
        <v>28</v>
      </c>
      <c r="H3978" s="5"/>
      <c r="I3978" s="5"/>
      <c r="J3978" s="5"/>
      <c r="K3978" s="5"/>
      <c r="L3978" s="5"/>
      <c r="M3978" s="5"/>
      <c r="N3978" s="5"/>
      <c r="O3978" s="7"/>
      <c r="P3978" s="5" t="str">
        <f t="shared" si="93"/>
        <v>Truncate table HNUMBB;</v>
      </c>
      <c r="Q3978" s="5"/>
      <c r="R3978" s="5"/>
    </row>
    <row r="3979" spans="2:18" x14ac:dyDescent="0.25">
      <c r="B3979" s="12" t="s">
        <v>5251</v>
      </c>
      <c r="C3979" s="5"/>
      <c r="D3979" s="5" t="s">
        <v>29</v>
      </c>
      <c r="E3979" s="5" t="s">
        <v>734</v>
      </c>
      <c r="F3979" s="5" t="s">
        <v>4961</v>
      </c>
      <c r="G3979" s="5" t="s">
        <v>28</v>
      </c>
      <c r="H3979" s="5"/>
      <c r="I3979" s="5"/>
      <c r="J3979" s="5"/>
      <c r="K3979" s="5"/>
      <c r="L3979" s="5"/>
      <c r="M3979" s="5"/>
      <c r="N3979" s="5"/>
      <c r="O3979" s="7"/>
      <c r="P3979" s="5" t="str">
        <f t="shared" si="93"/>
        <v>Truncate table HNUMBM;</v>
      </c>
      <c r="Q3979" s="5"/>
      <c r="R3979" s="5"/>
    </row>
    <row r="3980" spans="2:18" x14ac:dyDescent="0.25">
      <c r="B3980" s="12" t="s">
        <v>5252</v>
      </c>
      <c r="C3980" s="5"/>
      <c r="D3980" s="5" t="s">
        <v>29</v>
      </c>
      <c r="E3980" s="5" t="s">
        <v>734</v>
      </c>
      <c r="F3980" s="5" t="s">
        <v>4961</v>
      </c>
      <c r="G3980" s="5" t="s">
        <v>28</v>
      </c>
      <c r="H3980" s="5"/>
      <c r="I3980" s="5"/>
      <c r="J3980" s="5"/>
      <c r="K3980" s="5"/>
      <c r="L3980" s="5"/>
      <c r="M3980" s="5"/>
      <c r="N3980" s="5"/>
      <c r="O3980" s="7"/>
      <c r="P3980" s="5" t="str">
        <f t="shared" si="93"/>
        <v>Truncate table HNUMBN;</v>
      </c>
      <c r="Q3980" s="5"/>
      <c r="R3980" s="5"/>
    </row>
    <row r="3981" spans="2:18" x14ac:dyDescent="0.25">
      <c r="B3981" s="19" t="s">
        <v>5253</v>
      </c>
      <c r="C3981" s="16"/>
      <c r="D3981" s="16" t="s">
        <v>29</v>
      </c>
      <c r="E3981" s="5" t="s">
        <v>734</v>
      </c>
      <c r="F3981" s="5" t="s">
        <v>4961</v>
      </c>
      <c r="G3981" s="5" t="s">
        <v>28</v>
      </c>
      <c r="H3981" s="16"/>
      <c r="I3981" s="16"/>
      <c r="J3981" s="16"/>
      <c r="K3981" s="16"/>
      <c r="L3981" s="16"/>
      <c r="M3981" s="16"/>
      <c r="N3981" s="16"/>
      <c r="O3981" s="17" t="s">
        <v>38</v>
      </c>
      <c r="P3981" s="5" t="str">
        <f t="shared" si="93"/>
        <v>Truncate table HNUMC1;</v>
      </c>
      <c r="Q3981" s="5"/>
      <c r="R3981" s="5"/>
    </row>
    <row r="3982" spans="2:18" x14ac:dyDescent="0.25">
      <c r="B3982" s="19" t="s">
        <v>5254</v>
      </c>
      <c r="C3982" s="16"/>
      <c r="D3982" s="16" t="s">
        <v>29</v>
      </c>
      <c r="E3982" s="5" t="s">
        <v>734</v>
      </c>
      <c r="F3982" s="5" t="s">
        <v>4961</v>
      </c>
      <c r="G3982" s="5" t="s">
        <v>28</v>
      </c>
      <c r="H3982" s="16"/>
      <c r="I3982" s="16"/>
      <c r="J3982" s="16"/>
      <c r="K3982" s="16"/>
      <c r="L3982" s="16"/>
      <c r="M3982" s="16"/>
      <c r="N3982" s="16"/>
      <c r="O3982" s="17" t="s">
        <v>38</v>
      </c>
      <c r="P3982" s="5" t="str">
        <f t="shared" si="93"/>
        <v>Truncate table HNUMC2;</v>
      </c>
      <c r="Q3982" s="5"/>
      <c r="R3982" s="5"/>
    </row>
    <row r="3983" spans="2:18" x14ac:dyDescent="0.25">
      <c r="B3983" s="12" t="s">
        <v>5255</v>
      </c>
      <c r="C3983" s="5"/>
      <c r="D3983" s="5" t="s">
        <v>29</v>
      </c>
      <c r="E3983" s="5" t="s">
        <v>734</v>
      </c>
      <c r="F3983" s="5" t="s">
        <v>4961</v>
      </c>
      <c r="G3983" s="5" t="s">
        <v>28</v>
      </c>
      <c r="H3983" s="5"/>
      <c r="I3983" s="5"/>
      <c r="J3983" s="5"/>
      <c r="K3983" s="5"/>
      <c r="L3983" s="5"/>
      <c r="M3983" s="5"/>
      <c r="N3983" s="5"/>
      <c r="O3983" s="7"/>
      <c r="P3983" s="5" t="str">
        <f t="shared" si="93"/>
        <v>Truncate table HNUMC3;</v>
      </c>
      <c r="Q3983" s="5"/>
      <c r="R3983" s="5"/>
    </row>
    <row r="3984" spans="2:18" x14ac:dyDescent="0.25">
      <c r="B3984" s="19" t="s">
        <v>5256</v>
      </c>
      <c r="C3984" s="16"/>
      <c r="D3984" s="16" t="s">
        <v>29</v>
      </c>
      <c r="E3984" s="5" t="s">
        <v>734</v>
      </c>
      <c r="F3984" s="5" t="s">
        <v>4961</v>
      </c>
      <c r="G3984" s="5" t="s">
        <v>28</v>
      </c>
      <c r="H3984" s="16"/>
      <c r="I3984" s="16"/>
      <c r="J3984" s="16"/>
      <c r="K3984" s="16"/>
      <c r="L3984" s="16"/>
      <c r="M3984" s="16"/>
      <c r="N3984" s="16"/>
      <c r="O3984" s="17" t="s">
        <v>38</v>
      </c>
      <c r="P3984" s="5" t="str">
        <f t="shared" si="93"/>
        <v>Truncate table HNUMC4;</v>
      </c>
      <c r="Q3984" s="5"/>
      <c r="R3984" s="5"/>
    </row>
    <row r="3985" spans="2:18" x14ac:dyDescent="0.25">
      <c r="B3985" s="19" t="s">
        <v>5257</v>
      </c>
      <c r="C3985" s="16"/>
      <c r="D3985" s="16" t="s">
        <v>29</v>
      </c>
      <c r="E3985" s="5" t="s">
        <v>734</v>
      </c>
      <c r="F3985" s="5" t="s">
        <v>4961</v>
      </c>
      <c r="G3985" s="5" t="s">
        <v>28</v>
      </c>
      <c r="H3985" s="16"/>
      <c r="I3985" s="16"/>
      <c r="J3985" s="16"/>
      <c r="K3985" s="16"/>
      <c r="L3985" s="16"/>
      <c r="M3985" s="16"/>
      <c r="N3985" s="16"/>
      <c r="O3985" s="17" t="s">
        <v>38</v>
      </c>
      <c r="P3985" s="5" t="str">
        <f t="shared" si="93"/>
        <v>Truncate table HNUMC5;</v>
      </c>
      <c r="Q3985" s="5"/>
      <c r="R3985" s="5"/>
    </row>
    <row r="3986" spans="2:18" x14ac:dyDescent="0.25">
      <c r="B3986" s="12" t="s">
        <v>5258</v>
      </c>
      <c r="C3986" s="5"/>
      <c r="D3986" s="5" t="s">
        <v>29</v>
      </c>
      <c r="E3986" s="5" t="s">
        <v>734</v>
      </c>
      <c r="F3986" s="5" t="s">
        <v>4961</v>
      </c>
      <c r="G3986" s="5" t="s">
        <v>28</v>
      </c>
      <c r="H3986" s="5"/>
      <c r="I3986" s="5"/>
      <c r="J3986" s="5"/>
      <c r="K3986" s="5"/>
      <c r="L3986" s="5"/>
      <c r="M3986" s="5"/>
      <c r="N3986" s="5"/>
      <c r="O3986" s="7"/>
      <c r="P3986" s="5" t="str">
        <f t="shared" si="93"/>
        <v>Truncate table HNUMC6;</v>
      </c>
      <c r="Q3986" s="5"/>
      <c r="R3986" s="5"/>
    </row>
    <row r="3987" spans="2:18" x14ac:dyDescent="0.25">
      <c r="B3987" s="12" t="s">
        <v>5259</v>
      </c>
      <c r="C3987" s="5"/>
      <c r="D3987" s="5" t="s">
        <v>29</v>
      </c>
      <c r="E3987" s="5" t="s">
        <v>734</v>
      </c>
      <c r="F3987" s="5" t="s">
        <v>4961</v>
      </c>
      <c r="G3987" s="5" t="s">
        <v>28</v>
      </c>
      <c r="H3987" s="5"/>
      <c r="I3987" s="5"/>
      <c r="J3987" s="5"/>
      <c r="K3987" s="5"/>
      <c r="L3987" s="5"/>
      <c r="M3987" s="5"/>
      <c r="N3987" s="5"/>
      <c r="O3987" s="7"/>
      <c r="P3987" s="5" t="str">
        <f t="shared" si="93"/>
        <v>Truncate table HNUMC7;</v>
      </c>
      <c r="Q3987" s="5"/>
      <c r="R3987" s="5"/>
    </row>
    <row r="3988" spans="2:18" x14ac:dyDescent="0.25">
      <c r="B3988" s="19" t="s">
        <v>5260</v>
      </c>
      <c r="C3988" s="16"/>
      <c r="D3988" s="16" t="s">
        <v>29</v>
      </c>
      <c r="E3988" s="5" t="s">
        <v>734</v>
      </c>
      <c r="F3988" s="5" t="s">
        <v>4961</v>
      </c>
      <c r="G3988" s="5" t="s">
        <v>28</v>
      </c>
      <c r="H3988" s="16"/>
      <c r="I3988" s="16"/>
      <c r="J3988" s="16"/>
      <c r="K3988" s="16"/>
      <c r="L3988" s="16"/>
      <c r="M3988" s="16"/>
      <c r="N3988" s="16"/>
      <c r="O3988" s="17" t="s">
        <v>38</v>
      </c>
      <c r="P3988" s="5" t="str">
        <f t="shared" si="93"/>
        <v>Truncate table HNUMC9;</v>
      </c>
      <c r="Q3988" s="5"/>
      <c r="R3988" s="5"/>
    </row>
    <row r="3989" spans="2:18" x14ac:dyDescent="0.25">
      <c r="B3989" s="12" t="s">
        <v>5261</v>
      </c>
      <c r="C3989" s="5"/>
      <c r="D3989" s="5" t="s">
        <v>29</v>
      </c>
      <c r="E3989" s="5" t="s">
        <v>734</v>
      </c>
      <c r="F3989" s="5" t="s">
        <v>4961</v>
      </c>
      <c r="G3989" s="5" t="s">
        <v>28</v>
      </c>
      <c r="H3989" s="5"/>
      <c r="I3989" s="5"/>
      <c r="J3989" s="5"/>
      <c r="K3989" s="5"/>
      <c r="L3989" s="5"/>
      <c r="M3989" s="5"/>
      <c r="N3989" s="5"/>
      <c r="O3989" s="7"/>
      <c r="P3989" s="5" t="str">
        <f t="shared" si="93"/>
        <v>Truncate table HNUMCA;</v>
      </c>
      <c r="Q3989" s="5"/>
      <c r="R3989" s="5"/>
    </row>
    <row r="3990" spans="2:18" x14ac:dyDescent="0.25">
      <c r="B3990" s="19" t="s">
        <v>5262</v>
      </c>
      <c r="C3990" s="16"/>
      <c r="D3990" s="16" t="s">
        <v>29</v>
      </c>
      <c r="E3990" s="5" t="s">
        <v>734</v>
      </c>
      <c r="F3990" s="5" t="s">
        <v>4961</v>
      </c>
      <c r="G3990" s="5" t="s">
        <v>28</v>
      </c>
      <c r="H3990" s="16"/>
      <c r="I3990" s="16"/>
      <c r="J3990" s="16"/>
      <c r="K3990" s="16"/>
      <c r="L3990" s="16"/>
      <c r="M3990" s="16"/>
      <c r="N3990" s="16"/>
      <c r="O3990" s="17" t="s">
        <v>38</v>
      </c>
      <c r="P3990" s="5" t="str">
        <f t="shared" si="93"/>
        <v>Truncate table HNUMCC;</v>
      </c>
      <c r="Q3990" s="5"/>
      <c r="R3990" s="5"/>
    </row>
    <row r="3991" spans="2:18" x14ac:dyDescent="0.25">
      <c r="B3991" s="19" t="s">
        <v>5263</v>
      </c>
      <c r="C3991" s="16"/>
      <c r="D3991" s="16" t="s">
        <v>29</v>
      </c>
      <c r="E3991" s="5" t="s">
        <v>734</v>
      </c>
      <c r="F3991" s="5" t="s">
        <v>4961</v>
      </c>
      <c r="G3991" s="5" t="s">
        <v>28</v>
      </c>
      <c r="H3991" s="16"/>
      <c r="I3991" s="16"/>
      <c r="J3991" s="16"/>
      <c r="K3991" s="16"/>
      <c r="L3991" s="16"/>
      <c r="M3991" s="16"/>
      <c r="N3991" s="16"/>
      <c r="O3991" s="17" t="s">
        <v>38</v>
      </c>
      <c r="P3991" s="5" t="str">
        <f t="shared" si="93"/>
        <v>Truncate table HNUMCM;</v>
      </c>
      <c r="Q3991" s="5"/>
      <c r="R3991" s="5"/>
    </row>
    <row r="3992" spans="2:18" x14ac:dyDescent="0.25">
      <c r="B3992" s="12" t="s">
        <v>5264</v>
      </c>
      <c r="C3992" s="5"/>
      <c r="D3992" s="5" t="s">
        <v>29</v>
      </c>
      <c r="E3992" s="5" t="s">
        <v>734</v>
      </c>
      <c r="F3992" s="5" t="s">
        <v>4961</v>
      </c>
      <c r="G3992" s="5" t="s">
        <v>28</v>
      </c>
      <c r="H3992" s="5"/>
      <c r="I3992" s="5"/>
      <c r="J3992" s="5"/>
      <c r="K3992" s="5"/>
      <c r="L3992" s="5"/>
      <c r="M3992" s="5"/>
      <c r="N3992" s="5"/>
      <c r="O3992" s="7"/>
      <c r="P3992" s="5" t="str">
        <f t="shared" si="93"/>
        <v>Truncate table HNUMCR;</v>
      </c>
      <c r="Q3992" s="5"/>
      <c r="R3992" s="5"/>
    </row>
    <row r="3993" spans="2:18" x14ac:dyDescent="0.25">
      <c r="B3993" s="19" t="s">
        <v>5265</v>
      </c>
      <c r="C3993" s="16"/>
      <c r="D3993" s="16" t="s">
        <v>29</v>
      </c>
      <c r="E3993" s="5" t="s">
        <v>734</v>
      </c>
      <c r="F3993" s="5" t="s">
        <v>4961</v>
      </c>
      <c r="G3993" s="5" t="s">
        <v>28</v>
      </c>
      <c r="H3993" s="16"/>
      <c r="I3993" s="16"/>
      <c r="J3993" s="16"/>
      <c r="K3993" s="16"/>
      <c r="L3993" s="16"/>
      <c r="M3993" s="16"/>
      <c r="N3993" s="16"/>
      <c r="O3993" s="17" t="s">
        <v>38</v>
      </c>
      <c r="P3993" s="5" t="str">
        <f t="shared" si="93"/>
        <v>Truncate table HNUMCV;</v>
      </c>
      <c r="Q3993" s="5"/>
      <c r="R3993" s="5"/>
    </row>
    <row r="3994" spans="2:18" x14ac:dyDescent="0.25">
      <c r="B3994" s="12" t="s">
        <v>5266</v>
      </c>
      <c r="C3994" s="5"/>
      <c r="D3994" s="5" t="s">
        <v>29</v>
      </c>
      <c r="E3994" s="5" t="s">
        <v>734</v>
      </c>
      <c r="F3994" s="5" t="s">
        <v>4961</v>
      </c>
      <c r="G3994" s="5" t="s">
        <v>28</v>
      </c>
      <c r="H3994" s="5"/>
      <c r="I3994" s="5"/>
      <c r="J3994" s="5"/>
      <c r="K3994" s="5"/>
      <c r="L3994" s="5"/>
      <c r="M3994" s="5"/>
      <c r="N3994" s="5"/>
      <c r="O3994" s="7"/>
      <c r="P3994" s="5" t="str">
        <f t="shared" si="93"/>
        <v>Truncate table HNUMCW;</v>
      </c>
      <c r="Q3994" s="5"/>
      <c r="R3994" s="5"/>
    </row>
    <row r="3995" spans="2:18" x14ac:dyDescent="0.25">
      <c r="B3995" s="19" t="s">
        <v>5267</v>
      </c>
      <c r="C3995" s="16"/>
      <c r="D3995" s="16" t="s">
        <v>29</v>
      </c>
      <c r="E3995" s="5" t="s">
        <v>734</v>
      </c>
      <c r="F3995" s="5" t="s">
        <v>4961</v>
      </c>
      <c r="G3995" s="5" t="s">
        <v>28</v>
      </c>
      <c r="H3995" s="16"/>
      <c r="I3995" s="16"/>
      <c r="J3995" s="16"/>
      <c r="K3995" s="16"/>
      <c r="L3995" s="16"/>
      <c r="M3995" s="16"/>
      <c r="N3995" s="16"/>
      <c r="O3995" s="17" t="s">
        <v>38</v>
      </c>
      <c r="P3995" s="5" t="str">
        <f t="shared" si="93"/>
        <v>Truncate table HNUMD1;</v>
      </c>
      <c r="Q3995" s="5"/>
      <c r="R3995" s="5"/>
    </row>
    <row r="3996" spans="2:18" x14ac:dyDescent="0.25">
      <c r="B3996" s="19" t="s">
        <v>5268</v>
      </c>
      <c r="C3996" s="16"/>
      <c r="D3996" s="16" t="s">
        <v>29</v>
      </c>
      <c r="E3996" s="5" t="s">
        <v>734</v>
      </c>
      <c r="F3996" s="5" t="s">
        <v>4961</v>
      </c>
      <c r="G3996" s="5" t="s">
        <v>28</v>
      </c>
      <c r="H3996" s="16"/>
      <c r="I3996" s="16"/>
      <c r="J3996" s="16"/>
      <c r="K3996" s="16"/>
      <c r="L3996" s="16"/>
      <c r="M3996" s="16"/>
      <c r="N3996" s="16"/>
      <c r="O3996" s="17" t="s">
        <v>38</v>
      </c>
      <c r="P3996" s="5" t="str">
        <f t="shared" si="93"/>
        <v>Truncate table HNUMD3;</v>
      </c>
      <c r="Q3996" s="5"/>
      <c r="R3996" s="5"/>
    </row>
    <row r="3997" spans="2:18" x14ac:dyDescent="0.25">
      <c r="B3997" s="12" t="s">
        <v>5269</v>
      </c>
      <c r="C3997" s="5"/>
      <c r="D3997" s="5" t="s">
        <v>29</v>
      </c>
      <c r="E3997" s="5" t="s">
        <v>734</v>
      </c>
      <c r="F3997" s="5" t="s">
        <v>4961</v>
      </c>
      <c r="G3997" s="5" t="s">
        <v>28</v>
      </c>
      <c r="H3997" s="5"/>
      <c r="I3997" s="5"/>
      <c r="J3997" s="5"/>
      <c r="K3997" s="5"/>
      <c r="L3997" s="5"/>
      <c r="M3997" s="5"/>
      <c r="N3997" s="5"/>
      <c r="O3997" s="7"/>
      <c r="P3997" s="5" t="str">
        <f t="shared" si="93"/>
        <v>Truncate table HNUMD4;</v>
      </c>
      <c r="Q3997" s="5"/>
      <c r="R3997" s="5"/>
    </row>
    <row r="3998" spans="2:18" x14ac:dyDescent="0.25">
      <c r="B3998" s="19" t="s">
        <v>5270</v>
      </c>
      <c r="C3998" s="16"/>
      <c r="D3998" s="16" t="s">
        <v>29</v>
      </c>
      <c r="E3998" s="5" t="s">
        <v>734</v>
      </c>
      <c r="F3998" s="5" t="s">
        <v>4961</v>
      </c>
      <c r="G3998" s="5" t="s">
        <v>28</v>
      </c>
      <c r="H3998" s="16"/>
      <c r="I3998" s="16"/>
      <c r="J3998" s="16"/>
      <c r="K3998" s="16"/>
      <c r="L3998" s="16"/>
      <c r="M3998" s="16"/>
      <c r="N3998" s="16"/>
      <c r="O3998" s="17" t="s">
        <v>38</v>
      </c>
      <c r="P3998" s="5" t="str">
        <f t="shared" si="93"/>
        <v>Truncate table HNUMD5;</v>
      </c>
      <c r="Q3998" s="5"/>
      <c r="R3998" s="5"/>
    </row>
    <row r="3999" spans="2:18" x14ac:dyDescent="0.25">
      <c r="B3999" s="12" t="s">
        <v>5271</v>
      </c>
      <c r="C3999" s="5"/>
      <c r="D3999" s="5" t="s">
        <v>29</v>
      </c>
      <c r="E3999" s="5" t="s">
        <v>734</v>
      </c>
      <c r="F3999" s="5" t="s">
        <v>4961</v>
      </c>
      <c r="G3999" s="5" t="s">
        <v>28</v>
      </c>
      <c r="H3999" s="5"/>
      <c r="I3999" s="5"/>
      <c r="J3999" s="5"/>
      <c r="K3999" s="5"/>
      <c r="L3999" s="5"/>
      <c r="M3999" s="5"/>
      <c r="N3999" s="5"/>
      <c r="O3999" s="7"/>
      <c r="P3999" s="5" t="str">
        <f t="shared" si="93"/>
        <v>Truncate table HNUMD6;</v>
      </c>
      <c r="Q3999" s="5"/>
      <c r="R3999" s="5"/>
    </row>
    <row r="4000" spans="2:18" x14ac:dyDescent="0.25">
      <c r="B4000" s="12" t="s">
        <v>5272</v>
      </c>
      <c r="C4000" s="5"/>
      <c r="D4000" s="5" t="s">
        <v>29</v>
      </c>
      <c r="E4000" s="5" t="s">
        <v>734</v>
      </c>
      <c r="F4000" s="5" t="s">
        <v>4961</v>
      </c>
      <c r="G4000" s="5" t="s">
        <v>28</v>
      </c>
      <c r="H4000" s="5"/>
      <c r="I4000" s="5"/>
      <c r="J4000" s="5"/>
      <c r="K4000" s="5"/>
      <c r="L4000" s="5"/>
      <c r="M4000" s="5"/>
      <c r="N4000" s="5"/>
      <c r="O4000" s="7"/>
      <c r="P4000" s="5" t="str">
        <f t="shared" si="93"/>
        <v>Truncate table HNUMD8;</v>
      </c>
      <c r="Q4000" s="5"/>
      <c r="R4000" s="5"/>
    </row>
    <row r="4001" spans="2:18" x14ac:dyDescent="0.25">
      <c r="B4001" s="12" t="s">
        <v>5273</v>
      </c>
      <c r="C4001" s="5"/>
      <c r="D4001" s="5" t="s">
        <v>29</v>
      </c>
      <c r="E4001" s="5" t="s">
        <v>734</v>
      </c>
      <c r="F4001" s="5" t="s">
        <v>4961</v>
      </c>
      <c r="G4001" s="5" t="s">
        <v>28</v>
      </c>
      <c r="H4001" s="5"/>
      <c r="I4001" s="5"/>
      <c r="J4001" s="5"/>
      <c r="K4001" s="5"/>
      <c r="L4001" s="5"/>
      <c r="M4001" s="5"/>
      <c r="N4001" s="5"/>
      <c r="O4001" s="7"/>
      <c r="P4001" s="5" t="str">
        <f t="shared" si="93"/>
        <v>Truncate table HNUMD9;</v>
      </c>
      <c r="Q4001" s="5"/>
      <c r="R4001" s="5"/>
    </row>
    <row r="4002" spans="2:18" x14ac:dyDescent="0.25">
      <c r="B4002" s="12" t="s">
        <v>5274</v>
      </c>
      <c r="C4002" s="5"/>
      <c r="D4002" s="5" t="s">
        <v>29</v>
      </c>
      <c r="E4002" s="5" t="s">
        <v>734</v>
      </c>
      <c r="F4002" s="5" t="s">
        <v>4961</v>
      </c>
      <c r="G4002" s="5" t="s">
        <v>28</v>
      </c>
      <c r="H4002" s="5"/>
      <c r="I4002" s="5"/>
      <c r="J4002" s="5"/>
      <c r="K4002" s="5"/>
      <c r="L4002" s="5"/>
      <c r="M4002" s="5"/>
      <c r="N4002" s="5"/>
      <c r="O4002" s="7"/>
      <c r="P4002" s="5" t="str">
        <f t="shared" si="93"/>
        <v>Truncate table HNUMDM;</v>
      </c>
      <c r="Q4002" s="5"/>
      <c r="R4002" s="5"/>
    </row>
    <row r="4003" spans="2:18" x14ac:dyDescent="0.25">
      <c r="B4003" s="19" t="s">
        <v>5275</v>
      </c>
      <c r="C4003" s="16"/>
      <c r="D4003" s="16" t="s">
        <v>29</v>
      </c>
      <c r="E4003" s="5" t="s">
        <v>734</v>
      </c>
      <c r="F4003" s="5" t="s">
        <v>4961</v>
      </c>
      <c r="G4003" s="5" t="s">
        <v>28</v>
      </c>
      <c r="H4003" s="16"/>
      <c r="I4003" s="16"/>
      <c r="J4003" s="16"/>
      <c r="K4003" s="16"/>
      <c r="L4003" s="16"/>
      <c r="M4003" s="16"/>
      <c r="N4003" s="16"/>
      <c r="O4003" s="17" t="s">
        <v>38</v>
      </c>
      <c r="P4003" s="5" t="str">
        <f t="shared" si="93"/>
        <v>Truncate table HNUMG3;</v>
      </c>
      <c r="Q4003" s="5"/>
      <c r="R4003" s="5"/>
    </row>
    <row r="4004" spans="2:18" x14ac:dyDescent="0.25">
      <c r="B4004" s="19" t="s">
        <v>5276</v>
      </c>
      <c r="C4004" s="16"/>
      <c r="D4004" s="16" t="s">
        <v>29</v>
      </c>
      <c r="E4004" s="5" t="s">
        <v>734</v>
      </c>
      <c r="F4004" s="5" t="s">
        <v>4961</v>
      </c>
      <c r="G4004" s="5" t="s">
        <v>28</v>
      </c>
      <c r="H4004" s="16"/>
      <c r="I4004" s="16"/>
      <c r="J4004" s="16"/>
      <c r="K4004" s="16"/>
      <c r="L4004" s="16"/>
      <c r="M4004" s="16"/>
      <c r="N4004" s="16"/>
      <c r="O4004" s="17" t="s">
        <v>38</v>
      </c>
      <c r="P4004" s="5" t="str">
        <f t="shared" si="93"/>
        <v>Truncate table HNUMG5;</v>
      </c>
      <c r="Q4004" s="5"/>
      <c r="R4004" s="5"/>
    </row>
    <row r="4005" spans="2:18" x14ac:dyDescent="0.25">
      <c r="B4005" s="19" t="s">
        <v>5277</v>
      </c>
      <c r="C4005" s="16"/>
      <c r="D4005" s="16" t="s">
        <v>29</v>
      </c>
      <c r="E4005" s="5" t="s">
        <v>734</v>
      </c>
      <c r="F4005" s="5" t="s">
        <v>4961</v>
      </c>
      <c r="G4005" s="5" t="s">
        <v>28</v>
      </c>
      <c r="H4005" s="16"/>
      <c r="I4005" s="16"/>
      <c r="J4005" s="16"/>
      <c r="K4005" s="16"/>
      <c r="L4005" s="16"/>
      <c r="M4005" s="16"/>
      <c r="N4005" s="16"/>
      <c r="O4005" s="17" t="s">
        <v>38</v>
      </c>
      <c r="P4005" s="5" t="str">
        <f t="shared" si="93"/>
        <v>Truncate table HNUMG7;</v>
      </c>
      <c r="Q4005" s="5"/>
      <c r="R4005" s="5"/>
    </row>
    <row r="4006" spans="2:18" x14ac:dyDescent="0.25">
      <c r="B4006" s="12" t="s">
        <v>5278</v>
      </c>
      <c r="C4006" s="5"/>
      <c r="D4006" s="5" t="s">
        <v>29</v>
      </c>
      <c r="E4006" s="5" t="s">
        <v>734</v>
      </c>
      <c r="F4006" s="5" t="s">
        <v>4961</v>
      </c>
      <c r="G4006" s="5" t="s">
        <v>28</v>
      </c>
      <c r="H4006" s="5"/>
      <c r="I4006" s="5"/>
      <c r="J4006" s="5"/>
      <c r="K4006" s="5"/>
      <c r="L4006" s="5"/>
      <c r="M4006" s="5"/>
      <c r="N4006" s="5"/>
      <c r="O4006" s="7"/>
      <c r="P4006" s="5" t="str">
        <f t="shared" si="93"/>
        <v>Truncate table HNUMG8;</v>
      </c>
      <c r="Q4006" s="5"/>
      <c r="R4006" s="5"/>
    </row>
    <row r="4007" spans="2:18" x14ac:dyDescent="0.25">
      <c r="B4007" s="12" t="s">
        <v>5279</v>
      </c>
      <c r="C4007" s="5"/>
      <c r="D4007" s="5" t="s">
        <v>29</v>
      </c>
      <c r="E4007" s="5" t="s">
        <v>734</v>
      </c>
      <c r="F4007" s="5" t="s">
        <v>4961</v>
      </c>
      <c r="G4007" s="5" t="s">
        <v>28</v>
      </c>
      <c r="H4007" s="5"/>
      <c r="I4007" s="5"/>
      <c r="J4007" s="5"/>
      <c r="K4007" s="5"/>
      <c r="L4007" s="5"/>
      <c r="M4007" s="5"/>
      <c r="N4007" s="5"/>
      <c r="O4007" s="7"/>
      <c r="P4007" s="5" t="str">
        <f t="shared" si="93"/>
        <v>Truncate table HNUMGC;</v>
      </c>
      <c r="Q4007" s="5"/>
      <c r="R4007" s="5"/>
    </row>
    <row r="4008" spans="2:18" x14ac:dyDescent="0.25">
      <c r="B4008" s="12" t="s">
        <v>5280</v>
      </c>
      <c r="C4008" s="5"/>
      <c r="D4008" s="5" t="s">
        <v>29</v>
      </c>
      <c r="E4008" s="5" t="s">
        <v>734</v>
      </c>
      <c r="F4008" s="5" t="s">
        <v>4961</v>
      </c>
      <c r="G4008" s="5" t="s">
        <v>28</v>
      </c>
      <c r="H4008" s="5"/>
      <c r="I4008" s="5"/>
      <c r="J4008" s="5"/>
      <c r="K4008" s="5"/>
      <c r="L4008" s="5"/>
      <c r="M4008" s="5"/>
      <c r="N4008" s="5"/>
      <c r="O4008" s="7"/>
      <c r="P4008" s="5" t="str">
        <f t="shared" si="93"/>
        <v>Truncate table HNUMGE;</v>
      </c>
      <c r="Q4008" s="5"/>
      <c r="R4008" s="5"/>
    </row>
    <row r="4009" spans="2:18" x14ac:dyDescent="0.25">
      <c r="B4009" s="12" t="s">
        <v>5281</v>
      </c>
      <c r="C4009" s="5"/>
      <c r="D4009" s="5" t="s">
        <v>29</v>
      </c>
      <c r="E4009" s="5" t="s">
        <v>734</v>
      </c>
      <c r="F4009" s="5" t="s">
        <v>4961</v>
      </c>
      <c r="G4009" s="5" t="s">
        <v>28</v>
      </c>
      <c r="H4009" s="5"/>
      <c r="I4009" s="5"/>
      <c r="J4009" s="5"/>
      <c r="K4009" s="5"/>
      <c r="L4009" s="5"/>
      <c r="M4009" s="5"/>
      <c r="N4009" s="5"/>
      <c r="O4009" s="7"/>
      <c r="P4009" s="5" t="str">
        <f t="shared" si="93"/>
        <v>Truncate table HNUMGG;</v>
      </c>
      <c r="Q4009" s="5"/>
      <c r="R4009" s="5"/>
    </row>
    <row r="4010" spans="2:18" x14ac:dyDescent="0.25">
      <c r="B4010" s="12" t="s">
        <v>5282</v>
      </c>
      <c r="C4010" s="5"/>
      <c r="D4010" s="5" t="s">
        <v>29</v>
      </c>
      <c r="E4010" s="5" t="s">
        <v>734</v>
      </c>
      <c r="F4010" s="5" t="s">
        <v>4961</v>
      </c>
      <c r="G4010" s="5" t="s">
        <v>28</v>
      </c>
      <c r="H4010" s="5"/>
      <c r="I4010" s="5"/>
      <c r="J4010" s="5"/>
      <c r="K4010" s="5"/>
      <c r="L4010" s="5"/>
      <c r="M4010" s="5"/>
      <c r="N4010" s="5"/>
      <c r="O4010" s="7"/>
      <c r="P4010" s="5" t="str">
        <f t="shared" si="93"/>
        <v>Truncate table HNUMJ1;</v>
      </c>
      <c r="Q4010" s="5"/>
      <c r="R4010" s="5"/>
    </row>
    <row r="4011" spans="2:18" x14ac:dyDescent="0.25">
      <c r="B4011" s="12" t="s">
        <v>5283</v>
      </c>
      <c r="C4011" s="5"/>
      <c r="D4011" s="5" t="s">
        <v>29</v>
      </c>
      <c r="E4011" s="5" t="s">
        <v>734</v>
      </c>
      <c r="F4011" s="5" t="s">
        <v>4961</v>
      </c>
      <c r="G4011" s="5" t="s">
        <v>28</v>
      </c>
      <c r="H4011" s="5"/>
      <c r="I4011" s="5"/>
      <c r="J4011" s="5"/>
      <c r="K4011" s="5"/>
      <c r="L4011" s="5"/>
      <c r="M4011" s="5"/>
      <c r="N4011" s="5"/>
      <c r="O4011" s="7"/>
      <c r="P4011" s="5" t="str">
        <f t="shared" si="93"/>
        <v>Truncate table HNUMJ2;</v>
      </c>
      <c r="Q4011" s="5"/>
      <c r="R4011" s="5"/>
    </row>
    <row r="4012" spans="2:18" x14ac:dyDescent="0.25">
      <c r="B4012" s="12" t="s">
        <v>5284</v>
      </c>
      <c r="C4012" s="5"/>
      <c r="D4012" s="5" t="s">
        <v>29</v>
      </c>
      <c r="E4012" s="5" t="s">
        <v>734</v>
      </c>
      <c r="F4012" s="5" t="s">
        <v>4961</v>
      </c>
      <c r="G4012" s="5" t="s">
        <v>28</v>
      </c>
      <c r="H4012" s="5"/>
      <c r="I4012" s="5"/>
      <c r="J4012" s="5"/>
      <c r="K4012" s="5"/>
      <c r="L4012" s="5"/>
      <c r="M4012" s="5"/>
      <c r="N4012" s="5"/>
      <c r="O4012" s="7"/>
      <c r="P4012" s="5" t="str">
        <f t="shared" si="93"/>
        <v>Truncate table HNUMJ3;</v>
      </c>
      <c r="Q4012" s="5"/>
      <c r="R4012" s="5"/>
    </row>
    <row r="4013" spans="2:18" x14ac:dyDescent="0.25">
      <c r="B4013" s="12" t="s">
        <v>5285</v>
      </c>
      <c r="C4013" s="5"/>
      <c r="D4013" s="5" t="s">
        <v>29</v>
      </c>
      <c r="E4013" s="5" t="s">
        <v>734</v>
      </c>
      <c r="F4013" s="5" t="s">
        <v>4961</v>
      </c>
      <c r="G4013" s="5" t="s">
        <v>28</v>
      </c>
      <c r="H4013" s="5"/>
      <c r="I4013" s="5"/>
      <c r="J4013" s="5"/>
      <c r="K4013" s="5"/>
      <c r="L4013" s="5"/>
      <c r="M4013" s="5"/>
      <c r="N4013" s="5"/>
      <c r="O4013" s="7"/>
      <c r="P4013" s="5" t="str">
        <f t="shared" si="93"/>
        <v>Truncate table HNUMJ4;</v>
      </c>
      <c r="Q4013" s="5"/>
      <c r="R4013" s="5"/>
    </row>
    <row r="4014" spans="2:18" x14ac:dyDescent="0.25">
      <c r="B4014" s="12" t="s">
        <v>5286</v>
      </c>
      <c r="C4014" s="5"/>
      <c r="D4014" s="5" t="s">
        <v>29</v>
      </c>
      <c r="E4014" s="5" t="s">
        <v>734</v>
      </c>
      <c r="F4014" s="5" t="s">
        <v>4961</v>
      </c>
      <c r="G4014" s="5" t="s">
        <v>28</v>
      </c>
      <c r="H4014" s="5"/>
      <c r="I4014" s="5"/>
      <c r="J4014" s="5"/>
      <c r="K4014" s="5"/>
      <c r="L4014" s="5"/>
      <c r="M4014" s="5"/>
      <c r="N4014" s="5"/>
      <c r="O4014" s="7"/>
      <c r="P4014" s="5" t="str">
        <f t="shared" si="93"/>
        <v>Truncate table HNUMJ7;</v>
      </c>
      <c r="Q4014" s="5"/>
      <c r="R4014" s="5"/>
    </row>
    <row r="4015" spans="2:18" x14ac:dyDescent="0.25">
      <c r="B4015" s="12" t="s">
        <v>5287</v>
      </c>
      <c r="C4015" s="5"/>
      <c r="D4015" s="5" t="s">
        <v>29</v>
      </c>
      <c r="E4015" s="5" t="s">
        <v>734</v>
      </c>
      <c r="F4015" s="5" t="s">
        <v>4961</v>
      </c>
      <c r="G4015" s="5" t="s">
        <v>28</v>
      </c>
      <c r="H4015" s="5"/>
      <c r="I4015" s="5"/>
      <c r="J4015" s="5"/>
      <c r="K4015" s="5"/>
      <c r="L4015" s="5"/>
      <c r="M4015" s="5"/>
      <c r="N4015" s="5"/>
      <c r="O4015" s="7"/>
      <c r="P4015" s="5" t="str">
        <f t="shared" si="93"/>
        <v>Truncate table HNUMJH;</v>
      </c>
      <c r="Q4015" s="5"/>
      <c r="R4015" s="5"/>
    </row>
    <row r="4016" spans="2:18" x14ac:dyDescent="0.25">
      <c r="B4016" s="12" t="s">
        <v>5288</v>
      </c>
      <c r="C4016" s="5"/>
      <c r="D4016" s="5" t="s">
        <v>29</v>
      </c>
      <c r="E4016" s="5" t="s">
        <v>734</v>
      </c>
      <c r="F4016" s="5" t="s">
        <v>4961</v>
      </c>
      <c r="G4016" s="5" t="s">
        <v>28</v>
      </c>
      <c r="H4016" s="5"/>
      <c r="I4016" s="5"/>
      <c r="J4016" s="5"/>
      <c r="K4016" s="5"/>
      <c r="L4016" s="5"/>
      <c r="M4016" s="5"/>
      <c r="N4016" s="5"/>
      <c r="O4016" s="7"/>
      <c r="P4016" s="5" t="str">
        <f t="shared" si="93"/>
        <v>Truncate table HNUMP1;</v>
      </c>
      <c r="Q4016" s="5"/>
      <c r="R4016" s="5"/>
    </row>
    <row r="4017" spans="2:18" x14ac:dyDescent="0.25">
      <c r="B4017" s="12" t="s">
        <v>5289</v>
      </c>
      <c r="C4017" s="5"/>
      <c r="D4017" s="5" t="s">
        <v>29</v>
      </c>
      <c r="E4017" s="5" t="s">
        <v>734</v>
      </c>
      <c r="F4017" s="5" t="s">
        <v>4961</v>
      </c>
      <c r="G4017" s="5" t="s">
        <v>28</v>
      </c>
      <c r="H4017" s="5"/>
      <c r="I4017" s="5"/>
      <c r="J4017" s="5"/>
      <c r="K4017" s="5"/>
      <c r="L4017" s="5"/>
      <c r="M4017" s="5"/>
      <c r="N4017" s="5"/>
      <c r="O4017" s="7"/>
      <c r="P4017" s="5" t="str">
        <f t="shared" si="93"/>
        <v>Truncate table HNUMP4;</v>
      </c>
      <c r="Q4017" s="5"/>
      <c r="R4017" s="5"/>
    </row>
    <row r="4018" spans="2:18" x14ac:dyDescent="0.25">
      <c r="B4018" s="12" t="s">
        <v>5290</v>
      </c>
      <c r="C4018" s="5"/>
      <c r="D4018" s="5" t="s">
        <v>29</v>
      </c>
      <c r="E4018" s="5" t="s">
        <v>734</v>
      </c>
      <c r="F4018" s="5" t="s">
        <v>4961</v>
      </c>
      <c r="G4018" s="5" t="s">
        <v>28</v>
      </c>
      <c r="H4018" s="5"/>
      <c r="I4018" s="5"/>
      <c r="J4018" s="5"/>
      <c r="K4018" s="5"/>
      <c r="L4018" s="5"/>
      <c r="M4018" s="5"/>
      <c r="N4018" s="5"/>
      <c r="O4018" s="7"/>
      <c r="P4018" s="5" t="str">
        <f t="shared" si="93"/>
        <v>Truncate table HNUMP9;</v>
      </c>
      <c r="Q4018" s="5"/>
      <c r="R4018" s="5"/>
    </row>
    <row r="4019" spans="2:18" x14ac:dyDescent="0.25">
      <c r="B4019" s="12" t="s">
        <v>5291</v>
      </c>
      <c r="C4019" s="5"/>
      <c r="D4019" s="5" t="s">
        <v>29</v>
      </c>
      <c r="E4019" s="5" t="s">
        <v>734</v>
      </c>
      <c r="F4019" s="5" t="s">
        <v>4961</v>
      </c>
      <c r="G4019" s="5" t="s">
        <v>28</v>
      </c>
      <c r="H4019" s="5"/>
      <c r="I4019" s="5"/>
      <c r="J4019" s="5"/>
      <c r="K4019" s="5"/>
      <c r="L4019" s="5"/>
      <c r="M4019" s="5"/>
      <c r="N4019" s="5"/>
      <c r="O4019" s="7"/>
      <c r="P4019" s="5" t="str">
        <f t="shared" si="93"/>
        <v>Truncate table HNUMPC;</v>
      </c>
      <c r="Q4019" s="5"/>
      <c r="R4019" s="5"/>
    </row>
    <row r="4020" spans="2:18" x14ac:dyDescent="0.25">
      <c r="B4020" s="12" t="s">
        <v>5292</v>
      </c>
      <c r="C4020" s="5"/>
      <c r="D4020" s="5" t="s">
        <v>29</v>
      </c>
      <c r="E4020" s="5" t="s">
        <v>734</v>
      </c>
      <c r="F4020" s="5" t="s">
        <v>4961</v>
      </c>
      <c r="G4020" s="5" t="s">
        <v>28</v>
      </c>
      <c r="H4020" s="5"/>
      <c r="I4020" s="5"/>
      <c r="J4020" s="5"/>
      <c r="K4020" s="5"/>
      <c r="L4020" s="5"/>
      <c r="M4020" s="5"/>
      <c r="N4020" s="5"/>
      <c r="O4020" s="7"/>
      <c r="P4020" s="5" t="str">
        <f t="shared" si="93"/>
        <v>Truncate table HNUMQ0;</v>
      </c>
      <c r="Q4020" s="5"/>
      <c r="R4020" s="5"/>
    </row>
    <row r="4021" spans="2:18" x14ac:dyDescent="0.25">
      <c r="B4021" s="12" t="s">
        <v>5293</v>
      </c>
      <c r="C4021" s="5"/>
      <c r="D4021" s="5" t="s">
        <v>29</v>
      </c>
      <c r="E4021" s="5" t="s">
        <v>734</v>
      </c>
      <c r="F4021" s="5" t="s">
        <v>4961</v>
      </c>
      <c r="G4021" s="5" t="s">
        <v>28</v>
      </c>
      <c r="H4021" s="5"/>
      <c r="I4021" s="5"/>
      <c r="J4021" s="5"/>
      <c r="K4021" s="5"/>
      <c r="L4021" s="5"/>
      <c r="M4021" s="5"/>
      <c r="N4021" s="5"/>
      <c r="O4021" s="7"/>
      <c r="P4021" s="5" t="str">
        <f t="shared" si="93"/>
        <v>Truncate table HNUMQ1;</v>
      </c>
      <c r="Q4021" s="5"/>
      <c r="R4021" s="5"/>
    </row>
    <row r="4022" spans="2:18" x14ac:dyDescent="0.25">
      <c r="B4022" s="12" t="s">
        <v>5294</v>
      </c>
      <c r="C4022" s="5"/>
      <c r="D4022" s="5" t="s">
        <v>29</v>
      </c>
      <c r="E4022" s="5" t="s">
        <v>734</v>
      </c>
      <c r="F4022" s="5" t="s">
        <v>4961</v>
      </c>
      <c r="G4022" s="5" t="s">
        <v>28</v>
      </c>
      <c r="H4022" s="5"/>
      <c r="I4022" s="5"/>
      <c r="J4022" s="5"/>
      <c r="K4022" s="5"/>
      <c r="L4022" s="5"/>
      <c r="M4022" s="5"/>
      <c r="N4022" s="5"/>
      <c r="O4022" s="7"/>
      <c r="P4022" s="5" t="str">
        <f t="shared" si="93"/>
        <v>Truncate table HNUMQ2;</v>
      </c>
      <c r="Q4022" s="5"/>
      <c r="R4022" s="5"/>
    </row>
    <row r="4023" spans="2:18" x14ac:dyDescent="0.25">
      <c r="B4023" s="12" t="s">
        <v>5295</v>
      </c>
      <c r="C4023" s="5"/>
      <c r="D4023" s="5" t="s">
        <v>29</v>
      </c>
      <c r="E4023" s="5" t="s">
        <v>734</v>
      </c>
      <c r="F4023" s="5" t="s">
        <v>4961</v>
      </c>
      <c r="G4023" s="5" t="s">
        <v>28</v>
      </c>
      <c r="H4023" s="5"/>
      <c r="I4023" s="5"/>
      <c r="J4023" s="5"/>
      <c r="K4023" s="5"/>
      <c r="L4023" s="5"/>
      <c r="M4023" s="5"/>
      <c r="N4023" s="5"/>
      <c r="O4023" s="7"/>
      <c r="P4023" s="5" t="str">
        <f t="shared" si="93"/>
        <v>Truncate table HNUMQ3;</v>
      </c>
      <c r="Q4023" s="5"/>
      <c r="R4023" s="5"/>
    </row>
    <row r="4024" spans="2:18" x14ac:dyDescent="0.25">
      <c r="B4024" s="12" t="s">
        <v>5296</v>
      </c>
      <c r="C4024" s="5"/>
      <c r="D4024" s="5" t="s">
        <v>29</v>
      </c>
      <c r="E4024" s="5" t="s">
        <v>734</v>
      </c>
      <c r="F4024" s="5" t="s">
        <v>4961</v>
      </c>
      <c r="G4024" s="5" t="s">
        <v>28</v>
      </c>
      <c r="H4024" s="5"/>
      <c r="I4024" s="5"/>
      <c r="J4024" s="5"/>
      <c r="K4024" s="5"/>
      <c r="L4024" s="5"/>
      <c r="M4024" s="5"/>
      <c r="N4024" s="5"/>
      <c r="O4024" s="7"/>
      <c r="P4024" s="5" t="str">
        <f t="shared" si="93"/>
        <v>Truncate table HNUMQ5;</v>
      </c>
      <c r="Q4024" s="5"/>
      <c r="R4024" s="5"/>
    </row>
    <row r="4025" spans="2:18" x14ac:dyDescent="0.25">
      <c r="B4025" s="12" t="s">
        <v>5297</v>
      </c>
      <c r="C4025" s="5"/>
      <c r="D4025" s="5" t="s">
        <v>29</v>
      </c>
      <c r="E4025" s="5" t="s">
        <v>734</v>
      </c>
      <c r="F4025" s="5" t="s">
        <v>4961</v>
      </c>
      <c r="G4025" s="5" t="s">
        <v>28</v>
      </c>
      <c r="H4025" s="5"/>
      <c r="I4025" s="5"/>
      <c r="J4025" s="5"/>
      <c r="K4025" s="5"/>
      <c r="L4025" s="5"/>
      <c r="M4025" s="5"/>
      <c r="N4025" s="5"/>
      <c r="O4025" s="7"/>
      <c r="P4025" s="5" t="str">
        <f t="shared" si="93"/>
        <v>Truncate table HNUMQ7;</v>
      </c>
      <c r="Q4025" s="5"/>
      <c r="R4025" s="5"/>
    </row>
    <row r="4026" spans="2:18" x14ac:dyDescent="0.25">
      <c r="B4026" s="12" t="s">
        <v>5298</v>
      </c>
      <c r="C4026" s="5"/>
      <c r="D4026" s="5" t="s">
        <v>29</v>
      </c>
      <c r="E4026" s="5" t="s">
        <v>734</v>
      </c>
      <c r="F4026" s="5" t="s">
        <v>4961</v>
      </c>
      <c r="G4026" s="5" t="s">
        <v>28</v>
      </c>
      <c r="H4026" s="5"/>
      <c r="I4026" s="5"/>
      <c r="J4026" s="5"/>
      <c r="K4026" s="5"/>
      <c r="L4026" s="5"/>
      <c r="M4026" s="5"/>
      <c r="N4026" s="5"/>
      <c r="O4026" s="7"/>
      <c r="P4026" s="5" t="str">
        <f t="shared" si="93"/>
        <v>Truncate table HNUMQ9;</v>
      </c>
      <c r="Q4026" s="5"/>
      <c r="R4026" s="5"/>
    </row>
    <row r="4027" spans="2:18" x14ac:dyDescent="0.25">
      <c r="B4027" s="12" t="s">
        <v>5299</v>
      </c>
      <c r="C4027" s="5"/>
      <c r="D4027" s="5" t="s">
        <v>29</v>
      </c>
      <c r="E4027" s="5" t="s">
        <v>734</v>
      </c>
      <c r="F4027" s="5" t="s">
        <v>4961</v>
      </c>
      <c r="G4027" s="5" t="s">
        <v>28</v>
      </c>
      <c r="H4027" s="5"/>
      <c r="I4027" s="5"/>
      <c r="J4027" s="5"/>
      <c r="K4027" s="5"/>
      <c r="L4027" s="5"/>
      <c r="M4027" s="5"/>
      <c r="N4027" s="5"/>
      <c r="O4027" s="7"/>
      <c r="P4027" s="5" t="str">
        <f t="shared" si="93"/>
        <v>Truncate table HNUMTC;</v>
      </c>
      <c r="Q4027" s="5"/>
      <c r="R4027" s="5"/>
    </row>
    <row r="4028" spans="2:18" x14ac:dyDescent="0.25">
      <c r="B4028" s="12" t="s">
        <v>5300</v>
      </c>
      <c r="C4028" s="5"/>
      <c r="D4028" s="5" t="s">
        <v>29</v>
      </c>
      <c r="E4028" s="5" t="s">
        <v>734</v>
      </c>
      <c r="F4028" s="5" t="s">
        <v>4961</v>
      </c>
      <c r="G4028" s="5" t="s">
        <v>28</v>
      </c>
      <c r="H4028" s="5"/>
      <c r="I4028" s="5"/>
      <c r="J4028" s="5"/>
      <c r="K4028" s="5"/>
      <c r="L4028" s="5"/>
      <c r="M4028" s="5"/>
      <c r="N4028" s="5"/>
      <c r="O4028" s="7"/>
      <c r="P4028" s="5" t="str">
        <f t="shared" si="93"/>
        <v>Truncate table HNUP01;</v>
      </c>
      <c r="Q4028" s="5"/>
      <c r="R4028" s="5"/>
    </row>
    <row r="4029" spans="2:18" x14ac:dyDescent="0.25">
      <c r="B4029" s="12" t="s">
        <v>5301</v>
      </c>
      <c r="C4029" s="5"/>
      <c r="D4029" s="5" t="s">
        <v>29</v>
      </c>
      <c r="E4029" s="5" t="s">
        <v>734</v>
      </c>
      <c r="F4029" s="5" t="s">
        <v>4961</v>
      </c>
      <c r="G4029" s="5" t="s">
        <v>28</v>
      </c>
      <c r="H4029" s="5"/>
      <c r="I4029" s="5"/>
      <c r="J4029" s="5"/>
      <c r="K4029" s="5"/>
      <c r="L4029" s="5"/>
      <c r="M4029" s="5"/>
      <c r="N4029" s="5"/>
      <c r="O4029" s="7"/>
      <c r="P4029" s="5" t="str">
        <f t="shared" si="93"/>
        <v>Truncate table HNUP02;</v>
      </c>
      <c r="Q4029" s="5"/>
      <c r="R4029" s="5"/>
    </row>
    <row r="4030" spans="2:18" x14ac:dyDescent="0.25">
      <c r="B4030" s="12" t="s">
        <v>5302</v>
      </c>
      <c r="C4030" s="5"/>
      <c r="D4030" s="5" t="s">
        <v>29</v>
      </c>
      <c r="E4030" s="5" t="s">
        <v>734</v>
      </c>
      <c r="F4030" s="5" t="s">
        <v>4961</v>
      </c>
      <c r="G4030" s="5" t="s">
        <v>28</v>
      </c>
      <c r="H4030" s="5"/>
      <c r="I4030" s="5"/>
      <c r="J4030" s="5"/>
      <c r="K4030" s="5"/>
      <c r="L4030" s="5"/>
      <c r="M4030" s="5"/>
      <c r="N4030" s="5"/>
      <c r="O4030" s="7"/>
      <c r="P4030" s="5" t="str">
        <f t="shared" si="93"/>
        <v>Truncate table HNUP03;</v>
      </c>
      <c r="Q4030" s="5"/>
      <c r="R4030" s="5"/>
    </row>
    <row r="4031" spans="2:18" x14ac:dyDescent="0.25">
      <c r="B4031" s="12" t="s">
        <v>5303</v>
      </c>
      <c r="C4031" s="5"/>
      <c r="D4031" s="5" t="s">
        <v>29</v>
      </c>
      <c r="E4031" s="5" t="s">
        <v>734</v>
      </c>
      <c r="F4031" s="5" t="s">
        <v>4961</v>
      </c>
      <c r="G4031" s="5" t="s">
        <v>28</v>
      </c>
      <c r="H4031" s="5"/>
      <c r="I4031" s="5"/>
      <c r="J4031" s="5"/>
      <c r="K4031" s="5"/>
      <c r="L4031" s="5"/>
      <c r="M4031" s="5"/>
      <c r="N4031" s="5"/>
      <c r="O4031" s="7"/>
      <c r="P4031" s="5" t="str">
        <f t="shared" si="93"/>
        <v>Truncate table HNUP04;</v>
      </c>
      <c r="Q4031" s="5"/>
      <c r="R4031" s="5"/>
    </row>
    <row r="4032" spans="2:18" x14ac:dyDescent="0.25">
      <c r="B4032" s="12" t="s">
        <v>5304</v>
      </c>
      <c r="C4032" s="5"/>
      <c r="D4032" s="5" t="s">
        <v>29</v>
      </c>
      <c r="E4032" s="5" t="s">
        <v>734</v>
      </c>
      <c r="F4032" s="5" t="s">
        <v>4961</v>
      </c>
      <c r="G4032" s="5" t="s">
        <v>28</v>
      </c>
      <c r="H4032" s="5"/>
      <c r="I4032" s="5"/>
      <c r="J4032" s="5"/>
      <c r="K4032" s="5"/>
      <c r="L4032" s="5"/>
      <c r="M4032" s="5"/>
      <c r="N4032" s="5"/>
      <c r="O4032" s="7"/>
      <c r="P4032" s="5" t="str">
        <f t="shared" si="93"/>
        <v>Truncate table HNUP05;</v>
      </c>
      <c r="Q4032" s="5"/>
      <c r="R4032" s="5"/>
    </row>
    <row r="4033" spans="2:22" x14ac:dyDescent="0.25">
      <c r="B4033" s="12" t="s">
        <v>5305</v>
      </c>
      <c r="C4033" s="5"/>
      <c r="D4033" s="5" t="s">
        <v>29</v>
      </c>
      <c r="E4033" s="5" t="s">
        <v>734</v>
      </c>
      <c r="F4033" s="5" t="s">
        <v>4961</v>
      </c>
      <c r="G4033" s="5" t="s">
        <v>28</v>
      </c>
      <c r="H4033" s="5"/>
      <c r="I4033" s="5"/>
      <c r="J4033" s="5"/>
      <c r="K4033" s="5"/>
      <c r="L4033" s="5"/>
      <c r="M4033" s="5"/>
      <c r="N4033" s="5"/>
      <c r="O4033" s="7"/>
      <c r="P4033" s="5" t="str">
        <f t="shared" ref="P4033:P4096" si="94">IF(D4033="Datos","Truncate table "&amp; B4033&amp; ";","")</f>
        <v>Truncate table HNUP06;</v>
      </c>
      <c r="Q4033" s="5"/>
      <c r="R4033" s="5"/>
    </row>
    <row r="4034" spans="2:22" x14ac:dyDescent="0.25">
      <c r="B4034" s="12" t="s">
        <v>5306</v>
      </c>
      <c r="C4034" s="5"/>
      <c r="D4034" s="5" t="s">
        <v>29</v>
      </c>
      <c r="E4034" s="5" t="s">
        <v>734</v>
      </c>
      <c r="F4034" s="5" t="s">
        <v>4961</v>
      </c>
      <c r="G4034" s="5" t="s">
        <v>28</v>
      </c>
      <c r="H4034" s="5"/>
      <c r="I4034" s="5"/>
      <c r="J4034" s="5"/>
      <c r="K4034" s="5"/>
      <c r="L4034" s="5"/>
      <c r="M4034" s="5"/>
      <c r="N4034" s="5"/>
      <c r="O4034" s="7"/>
      <c r="P4034" s="5" t="str">
        <f t="shared" si="94"/>
        <v>Truncate table HNUP07;</v>
      </c>
      <c r="Q4034" s="5"/>
      <c r="R4034" s="5"/>
    </row>
    <row r="4035" spans="2:22" x14ac:dyDescent="0.25">
      <c r="B4035" s="12" t="s">
        <v>5307</v>
      </c>
      <c r="C4035" s="5"/>
      <c r="D4035" s="5" t="s">
        <v>29</v>
      </c>
      <c r="E4035" s="5" t="s">
        <v>734</v>
      </c>
      <c r="F4035" s="5" t="s">
        <v>4961</v>
      </c>
      <c r="G4035" s="5" t="s">
        <v>28</v>
      </c>
      <c r="H4035" s="5"/>
      <c r="I4035" s="5"/>
      <c r="J4035" s="5"/>
      <c r="K4035" s="5"/>
      <c r="L4035" s="5"/>
      <c r="M4035" s="5"/>
      <c r="N4035" s="5"/>
      <c r="O4035" s="7"/>
      <c r="P4035" s="5" t="str">
        <f t="shared" si="94"/>
        <v>Truncate table HNUP08;</v>
      </c>
      <c r="Q4035" s="5"/>
      <c r="R4035" s="5"/>
    </row>
    <row r="4036" spans="2:22" x14ac:dyDescent="0.25">
      <c r="B4036" s="12" t="s">
        <v>5308</v>
      </c>
      <c r="C4036" s="5"/>
      <c r="D4036" s="5" t="s">
        <v>29</v>
      </c>
      <c r="E4036" s="5" t="s">
        <v>734</v>
      </c>
      <c r="F4036" s="5" t="s">
        <v>4961</v>
      </c>
      <c r="G4036" s="5" t="s">
        <v>28</v>
      </c>
      <c r="H4036" s="5"/>
      <c r="I4036" s="5"/>
      <c r="J4036" s="5"/>
      <c r="K4036" s="5"/>
      <c r="L4036" s="5"/>
      <c r="M4036" s="5"/>
      <c r="N4036" s="5"/>
      <c r="O4036" s="7"/>
      <c r="P4036" s="5" t="str">
        <f t="shared" si="94"/>
        <v>Truncate table HNUP09;</v>
      </c>
      <c r="Q4036" s="5"/>
      <c r="R4036" s="5"/>
    </row>
    <row r="4037" spans="2:22" x14ac:dyDescent="0.25">
      <c r="B4037" s="19" t="s">
        <v>5309</v>
      </c>
      <c r="C4037" s="379" t="s">
        <v>9833</v>
      </c>
      <c r="D4037" s="16" t="s">
        <v>29</v>
      </c>
      <c r="E4037" s="16" t="s">
        <v>5310</v>
      </c>
      <c r="F4037" s="16" t="s">
        <v>166</v>
      </c>
      <c r="G4037" s="16" t="s">
        <v>35</v>
      </c>
      <c r="H4037" s="16"/>
      <c r="I4037" s="16"/>
      <c r="J4037" s="16"/>
      <c r="K4037" s="16"/>
      <c r="L4037" s="16"/>
      <c r="M4037" s="16"/>
      <c r="N4037" s="16"/>
      <c r="O4037" s="17" t="s">
        <v>38</v>
      </c>
      <c r="P4037" s="16" t="str">
        <f t="shared" si="94"/>
        <v>Truncate table HUB001;</v>
      </c>
      <c r="Q4037" s="16"/>
      <c r="R4037" s="16"/>
      <c r="S4037"/>
      <c r="T4037"/>
      <c r="U4037"/>
      <c r="V4037"/>
    </row>
    <row r="4038" spans="2:22" x14ac:dyDescent="0.25">
      <c r="B4038" s="19" t="s">
        <v>5311</v>
      </c>
      <c r="C4038" s="16" t="str">
        <f>[4]Hoja1!C71</f>
        <v xml:space="preserve">Elementos/Perfiles                                                                                                               </v>
      </c>
      <c r="D4038" s="16" t="s">
        <v>29</v>
      </c>
      <c r="E4038" s="16" t="s">
        <v>5310</v>
      </c>
      <c r="F4038" s="16" t="s">
        <v>166</v>
      </c>
      <c r="G4038" s="16" t="s">
        <v>35</v>
      </c>
      <c r="H4038" s="16"/>
      <c r="I4038" s="16"/>
      <c r="J4038" s="16"/>
      <c r="K4038" s="16"/>
      <c r="L4038" s="16"/>
      <c r="M4038" s="16"/>
      <c r="N4038" s="16"/>
      <c r="O4038" s="17" t="s">
        <v>38</v>
      </c>
      <c r="P4038" s="16" t="str">
        <f t="shared" si="94"/>
        <v>Truncate table HUB002;</v>
      </c>
      <c r="Q4038" s="16"/>
      <c r="R4038" s="16"/>
      <c r="S4038"/>
      <c r="T4038"/>
      <c r="U4038"/>
      <c r="V4038"/>
    </row>
    <row r="4039" spans="2:22" x14ac:dyDescent="0.25">
      <c r="B4039" s="19" t="s">
        <v>5312</v>
      </c>
      <c r="C4039" s="379" t="s">
        <v>9834</v>
      </c>
      <c r="D4039" s="16" t="s">
        <v>29</v>
      </c>
      <c r="E4039" s="16" t="s">
        <v>5310</v>
      </c>
      <c r="F4039" s="16" t="s">
        <v>166</v>
      </c>
      <c r="G4039" s="16" t="s">
        <v>35</v>
      </c>
      <c r="H4039" s="16"/>
      <c r="I4039" s="16"/>
      <c r="J4039" s="16"/>
      <c r="K4039" s="16"/>
      <c r="L4039" s="16"/>
      <c r="M4039" s="16"/>
      <c r="N4039" s="16"/>
      <c r="O4039" s="17" t="s">
        <v>38</v>
      </c>
      <c r="P4039" s="16" t="str">
        <f t="shared" si="94"/>
        <v>Truncate table HUB003;</v>
      </c>
      <c r="Q4039" s="16"/>
      <c r="R4039" s="16"/>
      <c r="S4039"/>
      <c r="T4039"/>
      <c r="U4039"/>
      <c r="V4039"/>
    </row>
    <row r="4040" spans="2:22" x14ac:dyDescent="0.25">
      <c r="B4040" s="19" t="s">
        <v>5313</v>
      </c>
      <c r="C4040" s="16" t="str">
        <f>[4]Hoja1!C73</f>
        <v xml:space="preserve">Rel.Componentes/Elementos                                                                                                        </v>
      </c>
      <c r="D4040" s="16" t="s">
        <v>29</v>
      </c>
      <c r="E4040" s="16" t="s">
        <v>5310</v>
      </c>
      <c r="F4040" s="16" t="s">
        <v>166</v>
      </c>
      <c r="G4040" s="16" t="s">
        <v>35</v>
      </c>
      <c r="H4040" s="16"/>
      <c r="I4040" s="16"/>
      <c r="J4040" s="16"/>
      <c r="K4040" s="16"/>
      <c r="L4040" s="16"/>
      <c r="M4040" s="16"/>
      <c r="N4040" s="16"/>
      <c r="O4040" s="17" t="s">
        <v>38</v>
      </c>
      <c r="P4040" s="16" t="str">
        <f t="shared" si="94"/>
        <v>Truncate table HUB004;</v>
      </c>
      <c r="Q4040" s="16"/>
      <c r="R4040" s="16"/>
      <c r="S4040"/>
      <c r="T4040"/>
      <c r="U4040"/>
      <c r="V4040"/>
    </row>
    <row r="4041" spans="2:22" x14ac:dyDescent="0.25">
      <c r="B4041" s="19" t="s">
        <v>5314</v>
      </c>
      <c r="C4041" s="16" t="str">
        <f>[4]Hoja1!C74</f>
        <v xml:space="preserve">Hubs                                                                                                                             </v>
      </c>
      <c r="D4041" s="16" t="s">
        <v>29</v>
      </c>
      <c r="E4041" s="16" t="s">
        <v>5310</v>
      </c>
      <c r="F4041" s="16" t="s">
        <v>166</v>
      </c>
      <c r="G4041" s="16" t="s">
        <v>35</v>
      </c>
      <c r="H4041" s="16"/>
      <c r="I4041" s="16"/>
      <c r="J4041" s="16"/>
      <c r="K4041" s="16"/>
      <c r="L4041" s="16"/>
      <c r="M4041" s="16"/>
      <c r="N4041" s="16"/>
      <c r="O4041" s="17" t="s">
        <v>38</v>
      </c>
      <c r="P4041" s="16" t="str">
        <f t="shared" si="94"/>
        <v>Truncate table HUB005;</v>
      </c>
      <c r="Q4041" s="16"/>
      <c r="R4041" s="16"/>
      <c r="S4041"/>
      <c r="T4041"/>
      <c r="U4041"/>
      <c r="V4041"/>
    </row>
    <row r="4042" spans="2:22" x14ac:dyDescent="0.25">
      <c r="B4042" s="19" t="s">
        <v>5315</v>
      </c>
      <c r="C4042" s="16" t="str">
        <f>[4]Hoja1!C75</f>
        <v xml:space="preserve">Rel. HUB/Perfiles                                                                                                                </v>
      </c>
      <c r="D4042" s="16" t="s">
        <v>29</v>
      </c>
      <c r="E4042" s="16" t="s">
        <v>5310</v>
      </c>
      <c r="F4042" s="16" t="s">
        <v>166</v>
      </c>
      <c r="G4042" s="16" t="s">
        <v>35</v>
      </c>
      <c r="H4042" s="16"/>
      <c r="I4042" s="16"/>
      <c r="J4042" s="16"/>
      <c r="K4042" s="16"/>
      <c r="L4042" s="16"/>
      <c r="M4042" s="16"/>
      <c r="N4042" s="16"/>
      <c r="O4042" s="17" t="s">
        <v>38</v>
      </c>
      <c r="P4042" s="16" t="str">
        <f t="shared" si="94"/>
        <v>Truncate table HUB006;</v>
      </c>
      <c r="Q4042" s="16"/>
      <c r="R4042" s="16"/>
      <c r="S4042"/>
      <c r="T4042"/>
      <c r="U4042"/>
      <c r="V4042"/>
    </row>
    <row r="4043" spans="2:22" x14ac:dyDescent="0.25">
      <c r="B4043" s="19" t="s">
        <v>5316</v>
      </c>
      <c r="C4043" s="16" t="str">
        <f>[4]Hoja1!C76</f>
        <v xml:space="preserve">Rel. HUB/Usuarios                                                                                                                </v>
      </c>
      <c r="D4043" s="16" t="s">
        <v>29</v>
      </c>
      <c r="E4043" s="16" t="s">
        <v>5310</v>
      </c>
      <c r="F4043" s="16" t="s">
        <v>166</v>
      </c>
      <c r="G4043" s="16" t="s">
        <v>35</v>
      </c>
      <c r="H4043" s="16"/>
      <c r="I4043" s="16"/>
      <c r="J4043" s="16"/>
      <c r="K4043" s="16"/>
      <c r="L4043" s="16"/>
      <c r="M4043" s="16"/>
      <c r="N4043" s="16"/>
      <c r="O4043" s="17" t="s">
        <v>38</v>
      </c>
      <c r="P4043" s="16" t="str">
        <f t="shared" si="94"/>
        <v>Truncate table HUB007;</v>
      </c>
      <c r="Q4043" s="16"/>
      <c r="R4043" s="16"/>
      <c r="S4043"/>
      <c r="T4043"/>
      <c r="U4043"/>
      <c r="V4043"/>
    </row>
    <row r="4044" spans="2:22" x14ac:dyDescent="0.25">
      <c r="B4044" s="19" t="s">
        <v>5317</v>
      </c>
      <c r="C4044" s="16" t="str">
        <f>[4]Hoja1!C77</f>
        <v xml:space="preserve">Rel.HUB/Componente                                                                                                               </v>
      </c>
      <c r="D4044" s="16" t="s">
        <v>29</v>
      </c>
      <c r="E4044" s="16" t="s">
        <v>5310</v>
      </c>
      <c r="F4044" s="16" t="s">
        <v>166</v>
      </c>
      <c r="G4044" s="16" t="s">
        <v>35</v>
      </c>
      <c r="H4044" s="16"/>
      <c r="I4044" s="16"/>
      <c r="J4044" s="16"/>
      <c r="K4044" s="16"/>
      <c r="L4044" s="16"/>
      <c r="M4044" s="16"/>
      <c r="N4044" s="16"/>
      <c r="O4044" s="17" t="s">
        <v>38</v>
      </c>
      <c r="P4044" s="16" t="str">
        <f t="shared" si="94"/>
        <v>Truncate table HUB008;</v>
      </c>
      <c r="Q4044" s="16"/>
      <c r="R4044" s="16"/>
      <c r="S4044"/>
      <c r="T4044"/>
      <c r="U4044"/>
      <c r="V4044"/>
    </row>
    <row r="4045" spans="2:22" x14ac:dyDescent="0.25">
      <c r="B4045" s="19" t="s">
        <v>5318</v>
      </c>
      <c r="C4045" s="16" t="s">
        <v>5319</v>
      </c>
      <c r="D4045" s="16" t="s">
        <v>29</v>
      </c>
      <c r="E4045" s="16" t="s">
        <v>54</v>
      </c>
      <c r="F4045" s="5" t="s">
        <v>1198</v>
      </c>
      <c r="G4045" s="16" t="s">
        <v>35</v>
      </c>
      <c r="H4045" s="16"/>
      <c r="I4045" s="16"/>
      <c r="J4045" s="16"/>
      <c r="K4045" s="16"/>
      <c r="L4045" s="16"/>
      <c r="M4045" s="16"/>
      <c r="N4045" s="16"/>
      <c r="O4045" s="17" t="s">
        <v>38</v>
      </c>
      <c r="P4045" s="5" t="str">
        <f t="shared" si="94"/>
        <v>Truncate table IAR000;</v>
      </c>
      <c r="Q4045" s="5"/>
      <c r="R4045" s="5"/>
    </row>
    <row r="4046" spans="2:22" x14ac:dyDescent="0.25">
      <c r="B4046" s="19" t="s">
        <v>5320</v>
      </c>
      <c r="C4046" s="16"/>
      <c r="D4046" s="16" t="s">
        <v>29</v>
      </c>
      <c r="E4046" s="16" t="s">
        <v>54</v>
      </c>
      <c r="F4046" s="5" t="s">
        <v>1198</v>
      </c>
      <c r="G4046" s="16" t="s">
        <v>35</v>
      </c>
      <c r="H4046" s="16"/>
      <c r="I4046" s="16"/>
      <c r="J4046" s="16"/>
      <c r="K4046" s="16"/>
      <c r="L4046" s="16"/>
      <c r="M4046" s="16"/>
      <c r="N4046" s="16"/>
      <c r="O4046" s="17" t="s">
        <v>38</v>
      </c>
      <c r="P4046" s="5" t="str">
        <f t="shared" si="94"/>
        <v>Truncate table IAR001;</v>
      </c>
      <c r="Q4046" s="5"/>
      <c r="R4046" s="5"/>
    </row>
    <row r="4047" spans="2:22" x14ac:dyDescent="0.25">
      <c r="B4047" s="19" t="s">
        <v>5321</v>
      </c>
      <c r="C4047" s="16"/>
      <c r="D4047" s="16" t="s">
        <v>29</v>
      </c>
      <c r="E4047" s="16" t="s">
        <v>54</v>
      </c>
      <c r="F4047" s="5" t="s">
        <v>1198</v>
      </c>
      <c r="G4047" s="16" t="s">
        <v>35</v>
      </c>
      <c r="H4047" s="16"/>
      <c r="I4047" s="16"/>
      <c r="J4047" s="16"/>
      <c r="K4047" s="16"/>
      <c r="L4047" s="16"/>
      <c r="M4047" s="16"/>
      <c r="N4047" s="16"/>
      <c r="O4047" s="17" t="s">
        <v>38</v>
      </c>
      <c r="P4047" s="5" t="str">
        <f t="shared" si="94"/>
        <v>Truncate table IAR002;</v>
      </c>
      <c r="Q4047" s="5"/>
      <c r="R4047" s="5"/>
    </row>
    <row r="4048" spans="2:22" x14ac:dyDescent="0.25">
      <c r="B4048" s="19" t="s">
        <v>5322</v>
      </c>
      <c r="C4048" s="16"/>
      <c r="D4048" s="16" t="s">
        <v>29</v>
      </c>
      <c r="E4048" s="16" t="s">
        <v>54</v>
      </c>
      <c r="F4048" s="5" t="s">
        <v>1198</v>
      </c>
      <c r="G4048" s="16" t="s">
        <v>35</v>
      </c>
      <c r="H4048" s="16"/>
      <c r="I4048" s="16"/>
      <c r="J4048" s="16"/>
      <c r="K4048" s="16"/>
      <c r="L4048" s="16"/>
      <c r="M4048" s="16"/>
      <c r="N4048" s="16"/>
      <c r="O4048" s="17" t="s">
        <v>38</v>
      </c>
      <c r="P4048" s="5" t="str">
        <f t="shared" si="94"/>
        <v>Truncate table IAR003;</v>
      </c>
      <c r="Q4048" s="5"/>
      <c r="R4048" s="5"/>
    </row>
    <row r="4049" spans="2:18" x14ac:dyDescent="0.25">
      <c r="B4049" s="19" t="s">
        <v>5323</v>
      </c>
      <c r="C4049" s="16"/>
      <c r="D4049" s="16" t="s">
        <v>29</v>
      </c>
      <c r="E4049" s="16" t="s">
        <v>54</v>
      </c>
      <c r="F4049" s="5" t="s">
        <v>1198</v>
      </c>
      <c r="G4049" s="16" t="s">
        <v>35</v>
      </c>
      <c r="H4049" s="16"/>
      <c r="I4049" s="16"/>
      <c r="J4049" s="16"/>
      <c r="K4049" s="16"/>
      <c r="L4049" s="16"/>
      <c r="M4049" s="16"/>
      <c r="N4049" s="16"/>
      <c r="O4049" s="17" t="s">
        <v>38</v>
      </c>
      <c r="P4049" s="5" t="str">
        <f t="shared" si="94"/>
        <v>Truncate table IAR005;</v>
      </c>
      <c r="Q4049" s="5"/>
      <c r="R4049" s="5"/>
    </row>
    <row r="4050" spans="2:18" x14ac:dyDescent="0.25">
      <c r="B4050" s="19" t="s">
        <v>5324</v>
      </c>
      <c r="C4050" s="16"/>
      <c r="D4050" s="16" t="s">
        <v>29</v>
      </c>
      <c r="E4050" s="16" t="s">
        <v>54</v>
      </c>
      <c r="F4050" s="5" t="s">
        <v>1198</v>
      </c>
      <c r="G4050" s="16" t="s">
        <v>35</v>
      </c>
      <c r="H4050" s="16"/>
      <c r="I4050" s="16"/>
      <c r="J4050" s="16"/>
      <c r="K4050" s="16"/>
      <c r="L4050" s="16"/>
      <c r="M4050" s="16"/>
      <c r="N4050" s="16"/>
      <c r="O4050" s="17" t="s">
        <v>38</v>
      </c>
      <c r="P4050" s="5" t="str">
        <f t="shared" si="94"/>
        <v>Truncate table IAR006;</v>
      </c>
      <c r="Q4050" s="5"/>
      <c r="R4050" s="5"/>
    </row>
    <row r="4051" spans="2:18" x14ac:dyDescent="0.25">
      <c r="B4051" s="19" t="s">
        <v>5325</v>
      </c>
      <c r="C4051" s="16"/>
      <c r="D4051" s="16" t="s">
        <v>29</v>
      </c>
      <c r="E4051" s="16" t="s">
        <v>54</v>
      </c>
      <c r="F4051" s="5" t="s">
        <v>1198</v>
      </c>
      <c r="G4051" s="16" t="s">
        <v>35</v>
      </c>
      <c r="H4051" s="16"/>
      <c r="I4051" s="16"/>
      <c r="J4051" s="16"/>
      <c r="K4051" s="16"/>
      <c r="L4051" s="16"/>
      <c r="M4051" s="16"/>
      <c r="N4051" s="16"/>
      <c r="O4051" s="17" t="s">
        <v>38</v>
      </c>
      <c r="P4051" s="5" t="str">
        <f t="shared" si="94"/>
        <v>Truncate table IAR007;</v>
      </c>
      <c r="Q4051" s="5"/>
      <c r="R4051" s="5"/>
    </row>
    <row r="4052" spans="2:18" x14ac:dyDescent="0.25">
      <c r="B4052" s="19" t="s">
        <v>5326</v>
      </c>
      <c r="C4052" s="16"/>
      <c r="D4052" s="16" t="s">
        <v>29</v>
      </c>
      <c r="E4052" s="16" t="s">
        <v>54</v>
      </c>
      <c r="F4052" s="5" t="s">
        <v>1198</v>
      </c>
      <c r="G4052" s="16" t="s">
        <v>35</v>
      </c>
      <c r="H4052" s="16"/>
      <c r="I4052" s="16"/>
      <c r="J4052" s="16"/>
      <c r="K4052" s="16"/>
      <c r="L4052" s="16"/>
      <c r="M4052" s="16"/>
      <c r="N4052" s="16"/>
      <c r="O4052" s="17" t="s">
        <v>38</v>
      </c>
      <c r="P4052" s="5" t="str">
        <f t="shared" si="94"/>
        <v>Truncate table IAR008;</v>
      </c>
      <c r="Q4052" s="5"/>
      <c r="R4052" s="5"/>
    </row>
    <row r="4053" spans="2:18" x14ac:dyDescent="0.25">
      <c r="B4053" s="19" t="s">
        <v>5327</v>
      </c>
      <c r="C4053" s="16"/>
      <c r="D4053" s="16" t="s">
        <v>29</v>
      </c>
      <c r="E4053" s="16" t="s">
        <v>54</v>
      </c>
      <c r="F4053" s="5" t="s">
        <v>1198</v>
      </c>
      <c r="G4053" s="16" t="s">
        <v>35</v>
      </c>
      <c r="H4053" s="16"/>
      <c r="I4053" s="16"/>
      <c r="J4053" s="16"/>
      <c r="K4053" s="16"/>
      <c r="L4053" s="16"/>
      <c r="M4053" s="16"/>
      <c r="N4053" s="16"/>
      <c r="O4053" s="17" t="s">
        <v>38</v>
      </c>
      <c r="P4053" s="5" t="str">
        <f t="shared" si="94"/>
        <v>Truncate table IAR009;</v>
      </c>
      <c r="Q4053" s="5"/>
      <c r="R4053" s="5"/>
    </row>
    <row r="4054" spans="2:18" x14ac:dyDescent="0.25">
      <c r="B4054" s="19" t="s">
        <v>5328</v>
      </c>
      <c r="C4054" s="16"/>
      <c r="D4054" s="16" t="s">
        <v>29</v>
      </c>
      <c r="E4054" s="16" t="s">
        <v>54</v>
      </c>
      <c r="F4054" s="5" t="s">
        <v>1198</v>
      </c>
      <c r="G4054" s="16" t="s">
        <v>35</v>
      </c>
      <c r="H4054" s="16"/>
      <c r="I4054" s="16"/>
      <c r="J4054" s="16"/>
      <c r="K4054" s="16"/>
      <c r="L4054" s="16"/>
      <c r="M4054" s="16"/>
      <c r="N4054" s="16"/>
      <c r="O4054" s="17" t="s">
        <v>38</v>
      </c>
      <c r="P4054" s="5" t="str">
        <f t="shared" si="94"/>
        <v>Truncate table IAR010;</v>
      </c>
      <c r="Q4054" s="5"/>
      <c r="R4054" s="5"/>
    </row>
    <row r="4055" spans="2:18" x14ac:dyDescent="0.25">
      <c r="B4055" s="19" t="s">
        <v>5329</v>
      </c>
      <c r="C4055" s="16"/>
      <c r="D4055" s="16" t="s">
        <v>29</v>
      </c>
      <c r="E4055" s="16" t="s">
        <v>54</v>
      </c>
      <c r="F4055" s="5" t="s">
        <v>1198</v>
      </c>
      <c r="G4055" s="16" t="s">
        <v>35</v>
      </c>
      <c r="H4055" s="16"/>
      <c r="I4055" s="16"/>
      <c r="J4055" s="16"/>
      <c r="K4055" s="16"/>
      <c r="L4055" s="16"/>
      <c r="M4055" s="16"/>
      <c r="N4055" s="16"/>
      <c r="O4055" s="17" t="s">
        <v>38</v>
      </c>
      <c r="P4055" s="5" t="str">
        <f t="shared" si="94"/>
        <v>Truncate table IAR310;</v>
      </c>
      <c r="Q4055" s="5"/>
      <c r="R4055" s="5"/>
    </row>
    <row r="4056" spans="2:18" x14ac:dyDescent="0.25">
      <c r="B4056" s="19" t="s">
        <v>5330</v>
      </c>
      <c r="C4056" s="16"/>
      <c r="D4056" s="16" t="s">
        <v>29</v>
      </c>
      <c r="E4056" s="16" t="s">
        <v>54</v>
      </c>
      <c r="F4056" s="5" t="s">
        <v>1198</v>
      </c>
      <c r="G4056" s="16" t="s">
        <v>35</v>
      </c>
      <c r="H4056" s="16"/>
      <c r="I4056" s="16"/>
      <c r="J4056" s="16"/>
      <c r="K4056" s="16"/>
      <c r="L4056" s="16"/>
      <c r="M4056" s="16"/>
      <c r="N4056" s="16"/>
      <c r="O4056" s="17" t="s">
        <v>38</v>
      </c>
      <c r="P4056" s="5" t="str">
        <f t="shared" si="94"/>
        <v>Truncate table IAR311;</v>
      </c>
      <c r="Q4056" s="5"/>
      <c r="R4056" s="5"/>
    </row>
    <row r="4057" spans="2:18" x14ac:dyDescent="0.25">
      <c r="B4057" s="19" t="s">
        <v>5331</v>
      </c>
      <c r="C4057" s="16"/>
      <c r="D4057" s="16" t="s">
        <v>29</v>
      </c>
      <c r="E4057" s="16" t="s">
        <v>54</v>
      </c>
      <c r="F4057" s="5" t="s">
        <v>1198</v>
      </c>
      <c r="G4057" s="16" t="s">
        <v>35</v>
      </c>
      <c r="H4057" s="16"/>
      <c r="I4057" s="16"/>
      <c r="J4057" s="16"/>
      <c r="K4057" s="16"/>
      <c r="L4057" s="16"/>
      <c r="M4057" s="16"/>
      <c r="N4057" s="16"/>
      <c r="O4057" s="17" t="s">
        <v>38</v>
      </c>
      <c r="P4057" s="5" t="str">
        <f t="shared" si="94"/>
        <v>Truncate table IAR313;</v>
      </c>
      <c r="Q4057" s="5"/>
      <c r="R4057" s="5"/>
    </row>
    <row r="4058" spans="2:18" x14ac:dyDescent="0.25">
      <c r="B4058" s="19" t="s">
        <v>5332</v>
      </c>
      <c r="C4058" s="16"/>
      <c r="D4058" s="16" t="s">
        <v>29</v>
      </c>
      <c r="E4058" s="16" t="s">
        <v>54</v>
      </c>
      <c r="F4058" s="5" t="s">
        <v>1198</v>
      </c>
      <c r="G4058" s="16" t="s">
        <v>35</v>
      </c>
      <c r="H4058" s="16"/>
      <c r="I4058" s="16"/>
      <c r="J4058" s="16"/>
      <c r="K4058" s="16"/>
      <c r="L4058" s="16"/>
      <c r="M4058" s="16"/>
      <c r="N4058" s="16"/>
      <c r="O4058" s="17" t="s">
        <v>38</v>
      </c>
      <c r="P4058" s="5" t="str">
        <f t="shared" si="94"/>
        <v>Truncate table IAR314;</v>
      </c>
      <c r="Q4058" s="5"/>
      <c r="R4058" s="5"/>
    </row>
    <row r="4059" spans="2:18" x14ac:dyDescent="0.25">
      <c r="B4059" s="19" t="s">
        <v>5333</v>
      </c>
      <c r="C4059" s="16"/>
      <c r="D4059" s="16" t="s">
        <v>29</v>
      </c>
      <c r="E4059" s="16" t="s">
        <v>54</v>
      </c>
      <c r="F4059" s="5" t="s">
        <v>1198</v>
      </c>
      <c r="G4059" s="16" t="s">
        <v>35</v>
      </c>
      <c r="H4059" s="16"/>
      <c r="I4059" s="16"/>
      <c r="J4059" s="16"/>
      <c r="K4059" s="16"/>
      <c r="L4059" s="16"/>
      <c r="M4059" s="16"/>
      <c r="N4059" s="16"/>
      <c r="O4059" s="17" t="s">
        <v>38</v>
      </c>
      <c r="P4059" s="5" t="str">
        <f t="shared" si="94"/>
        <v>Truncate table IAR315;</v>
      </c>
      <c r="Q4059" s="5"/>
      <c r="R4059" s="5"/>
    </row>
    <row r="4060" spans="2:18" x14ac:dyDescent="0.25">
      <c r="B4060" s="19" t="s">
        <v>5334</v>
      </c>
      <c r="C4060" s="16"/>
      <c r="D4060" s="16" t="s">
        <v>29</v>
      </c>
      <c r="E4060" s="16" t="s">
        <v>54</v>
      </c>
      <c r="F4060" s="5" t="s">
        <v>1198</v>
      </c>
      <c r="G4060" s="16" t="s">
        <v>35</v>
      </c>
      <c r="H4060" s="16"/>
      <c r="I4060" s="16"/>
      <c r="J4060" s="16"/>
      <c r="K4060" s="16"/>
      <c r="L4060" s="16"/>
      <c r="M4060" s="16"/>
      <c r="N4060" s="16"/>
      <c r="O4060" s="17" t="s">
        <v>38</v>
      </c>
      <c r="P4060" s="5" t="str">
        <f t="shared" si="94"/>
        <v>Truncate table IAR317;</v>
      </c>
      <c r="Q4060" s="5"/>
      <c r="R4060" s="5"/>
    </row>
    <row r="4061" spans="2:18" x14ac:dyDescent="0.25">
      <c r="B4061" s="19" t="s">
        <v>5335</v>
      </c>
      <c r="C4061" s="16"/>
      <c r="D4061" s="16" t="s">
        <v>29</v>
      </c>
      <c r="E4061" s="16" t="s">
        <v>54</v>
      </c>
      <c r="F4061" s="5" t="s">
        <v>1198</v>
      </c>
      <c r="G4061" s="16" t="s">
        <v>35</v>
      </c>
      <c r="H4061" s="16"/>
      <c r="I4061" s="16"/>
      <c r="J4061" s="16"/>
      <c r="K4061" s="16"/>
      <c r="L4061" s="16"/>
      <c r="M4061" s="16"/>
      <c r="N4061" s="16"/>
      <c r="O4061" s="17" t="s">
        <v>38</v>
      </c>
      <c r="P4061" s="5" t="str">
        <f t="shared" si="94"/>
        <v>Truncate table IAR318;</v>
      </c>
      <c r="Q4061" s="5"/>
      <c r="R4061" s="5"/>
    </row>
    <row r="4062" spans="2:18" x14ac:dyDescent="0.25">
      <c r="B4062" s="19" t="s">
        <v>5336</v>
      </c>
      <c r="C4062" s="16"/>
      <c r="D4062" s="16" t="s">
        <v>29</v>
      </c>
      <c r="E4062" s="16" t="s">
        <v>54</v>
      </c>
      <c r="F4062" s="5" t="s">
        <v>1198</v>
      </c>
      <c r="G4062" s="16" t="s">
        <v>35</v>
      </c>
      <c r="H4062" s="16"/>
      <c r="I4062" s="16"/>
      <c r="J4062" s="16"/>
      <c r="K4062" s="16"/>
      <c r="L4062" s="16"/>
      <c r="M4062" s="16"/>
      <c r="N4062" s="16"/>
      <c r="O4062" s="17" t="s">
        <v>38</v>
      </c>
      <c r="P4062" s="5" t="str">
        <f t="shared" si="94"/>
        <v>Truncate table IAR319;</v>
      </c>
      <c r="Q4062" s="5"/>
      <c r="R4062" s="5"/>
    </row>
    <row r="4063" spans="2:18" x14ac:dyDescent="0.25">
      <c r="B4063" s="19" t="s">
        <v>5337</v>
      </c>
      <c r="C4063" s="16"/>
      <c r="D4063" s="16" t="s">
        <v>29</v>
      </c>
      <c r="E4063" s="16" t="s">
        <v>54</v>
      </c>
      <c r="F4063" s="5" t="s">
        <v>1198</v>
      </c>
      <c r="G4063" s="16" t="s">
        <v>35</v>
      </c>
      <c r="H4063" s="16"/>
      <c r="I4063" s="16"/>
      <c r="J4063" s="16"/>
      <c r="K4063" s="16"/>
      <c r="L4063" s="16"/>
      <c r="M4063" s="16"/>
      <c r="N4063" s="16"/>
      <c r="O4063" s="17" t="s">
        <v>38</v>
      </c>
      <c r="P4063" s="5" t="str">
        <f t="shared" si="94"/>
        <v>Truncate table IAR320;</v>
      </c>
      <c r="Q4063" s="5"/>
      <c r="R4063" s="5"/>
    </row>
    <row r="4064" spans="2:18" x14ac:dyDescent="0.25">
      <c r="B4064" s="19" t="s">
        <v>5338</v>
      </c>
      <c r="C4064" s="16"/>
      <c r="D4064" s="16" t="s">
        <v>29</v>
      </c>
      <c r="E4064" s="16" t="s">
        <v>54</v>
      </c>
      <c r="F4064" s="5" t="s">
        <v>1198</v>
      </c>
      <c r="G4064" s="16" t="s">
        <v>35</v>
      </c>
      <c r="H4064" s="16"/>
      <c r="I4064" s="16"/>
      <c r="J4064" s="16"/>
      <c r="K4064" s="16"/>
      <c r="L4064" s="16"/>
      <c r="M4064" s="16"/>
      <c r="N4064" s="16"/>
      <c r="O4064" s="17" t="s">
        <v>38</v>
      </c>
      <c r="P4064" s="5" t="str">
        <f t="shared" si="94"/>
        <v>Truncate table IAR400;</v>
      </c>
      <c r="Q4064" s="5"/>
      <c r="R4064" s="5"/>
    </row>
    <row r="4065" spans="2:18" x14ac:dyDescent="0.25">
      <c r="B4065" s="19" t="s">
        <v>5339</v>
      </c>
      <c r="C4065" s="16"/>
      <c r="D4065" s="16" t="s">
        <v>29</v>
      </c>
      <c r="E4065" s="16" t="s">
        <v>54</v>
      </c>
      <c r="F4065" s="5" t="s">
        <v>1198</v>
      </c>
      <c r="G4065" s="16" t="s">
        <v>35</v>
      </c>
      <c r="H4065" s="16"/>
      <c r="I4065" s="16"/>
      <c r="J4065" s="16"/>
      <c r="K4065" s="16"/>
      <c r="L4065" s="16"/>
      <c r="M4065" s="16"/>
      <c r="N4065" s="16"/>
      <c r="O4065" s="17" t="s">
        <v>38</v>
      </c>
      <c r="P4065" s="5" t="str">
        <f t="shared" si="94"/>
        <v>Truncate table IAR401;</v>
      </c>
      <c r="Q4065" s="5"/>
      <c r="R4065" s="5"/>
    </row>
    <row r="4066" spans="2:18" x14ac:dyDescent="0.25">
      <c r="B4066" s="19" t="s">
        <v>5340</v>
      </c>
      <c r="C4066" s="16"/>
      <c r="D4066" s="16" t="s">
        <v>29</v>
      </c>
      <c r="E4066" s="16" t="s">
        <v>54</v>
      </c>
      <c r="F4066" s="5" t="s">
        <v>1198</v>
      </c>
      <c r="G4066" s="16" t="s">
        <v>35</v>
      </c>
      <c r="H4066" s="16"/>
      <c r="I4066" s="16"/>
      <c r="J4066" s="16"/>
      <c r="K4066" s="16"/>
      <c r="L4066" s="16"/>
      <c r="M4066" s="16"/>
      <c r="N4066" s="16"/>
      <c r="O4066" s="17" t="s">
        <v>38</v>
      </c>
      <c r="P4066" s="5" t="str">
        <f t="shared" si="94"/>
        <v>Truncate table IARAUX;</v>
      </c>
      <c r="Q4066" s="5"/>
      <c r="R4066" s="5"/>
    </row>
    <row r="4067" spans="2:18" x14ac:dyDescent="0.25">
      <c r="B4067" s="19" t="s">
        <v>5341</v>
      </c>
      <c r="C4067" s="16"/>
      <c r="D4067" s="16" t="s">
        <v>29</v>
      </c>
      <c r="E4067" s="16" t="s">
        <v>54</v>
      </c>
      <c r="F4067" s="5" t="s">
        <v>1198</v>
      </c>
      <c r="G4067" s="16" t="s">
        <v>35</v>
      </c>
      <c r="H4067" s="16"/>
      <c r="I4067" s="16"/>
      <c r="J4067" s="16"/>
      <c r="K4067" s="16"/>
      <c r="L4067" s="16"/>
      <c r="M4067" s="16"/>
      <c r="N4067" s="16"/>
      <c r="O4067" s="17" t="s">
        <v>38</v>
      </c>
      <c r="P4067" s="5" t="str">
        <f t="shared" si="94"/>
        <v>Truncate table IARBAS;</v>
      </c>
      <c r="Q4067" s="5"/>
      <c r="R4067" s="5"/>
    </row>
    <row r="4068" spans="2:18" x14ac:dyDescent="0.25">
      <c r="B4068" s="19" t="s">
        <v>5342</v>
      </c>
      <c r="C4068" s="16"/>
      <c r="D4068" s="16" t="s">
        <v>29</v>
      </c>
      <c r="E4068" s="16" t="s">
        <v>54</v>
      </c>
      <c r="F4068" s="5" t="s">
        <v>1198</v>
      </c>
      <c r="G4068" s="16" t="s">
        <v>35</v>
      </c>
      <c r="H4068" s="16"/>
      <c r="I4068" s="16"/>
      <c r="J4068" s="16"/>
      <c r="K4068" s="16"/>
      <c r="L4068" s="16"/>
      <c r="M4068" s="16"/>
      <c r="N4068" s="16"/>
      <c r="O4068" s="17" t="s">
        <v>38</v>
      </c>
      <c r="P4068" s="5" t="str">
        <f t="shared" si="94"/>
        <v>Truncate table IARIMP;</v>
      </c>
      <c r="Q4068" s="5"/>
      <c r="R4068" s="5"/>
    </row>
    <row r="4069" spans="2:18" x14ac:dyDescent="0.25">
      <c r="B4069" s="19" t="s">
        <v>5343</v>
      </c>
      <c r="C4069" s="16"/>
      <c r="D4069" s="16" t="s">
        <v>29</v>
      </c>
      <c r="E4069" s="16" t="s">
        <v>54</v>
      </c>
      <c r="F4069" s="5" t="s">
        <v>1198</v>
      </c>
      <c r="G4069" s="16" t="s">
        <v>35</v>
      </c>
      <c r="H4069" s="16"/>
      <c r="I4069" s="16"/>
      <c r="J4069" s="16"/>
      <c r="K4069" s="16"/>
      <c r="L4069" s="16"/>
      <c r="M4069" s="16"/>
      <c r="N4069" s="16"/>
      <c r="O4069" s="17" t="s">
        <v>38</v>
      </c>
      <c r="P4069" s="5" t="str">
        <f t="shared" si="94"/>
        <v>Truncate table IARM01;</v>
      </c>
      <c r="Q4069" s="5"/>
      <c r="R4069" s="5"/>
    </row>
    <row r="4070" spans="2:18" x14ac:dyDescent="0.25">
      <c r="B4070" s="19" t="s">
        <v>5344</v>
      </c>
      <c r="C4070" s="16"/>
      <c r="D4070" s="16" t="s">
        <v>29</v>
      </c>
      <c r="E4070" s="16" t="s">
        <v>54</v>
      </c>
      <c r="F4070" s="5" t="s">
        <v>1198</v>
      </c>
      <c r="G4070" s="16" t="s">
        <v>35</v>
      </c>
      <c r="H4070" s="16"/>
      <c r="I4070" s="16"/>
      <c r="J4070" s="16"/>
      <c r="K4070" s="16"/>
      <c r="L4070" s="16"/>
      <c r="M4070" s="16"/>
      <c r="N4070" s="16"/>
      <c r="O4070" s="17" t="s">
        <v>38</v>
      </c>
      <c r="P4070" s="5" t="str">
        <f t="shared" si="94"/>
        <v>Truncate table IARM02;</v>
      </c>
      <c r="Q4070" s="5"/>
      <c r="R4070" s="5"/>
    </row>
    <row r="4071" spans="2:18" x14ac:dyDescent="0.25">
      <c r="B4071" s="19" t="s">
        <v>5345</v>
      </c>
      <c r="C4071" s="16"/>
      <c r="D4071" s="16" t="s">
        <v>29</v>
      </c>
      <c r="E4071" s="16" t="s">
        <v>54</v>
      </c>
      <c r="F4071" s="5" t="s">
        <v>1198</v>
      </c>
      <c r="G4071" s="16" t="s">
        <v>35</v>
      </c>
      <c r="H4071" s="16"/>
      <c r="I4071" s="16"/>
      <c r="J4071" s="16"/>
      <c r="K4071" s="16"/>
      <c r="L4071" s="16"/>
      <c r="M4071" s="16"/>
      <c r="N4071" s="16"/>
      <c r="O4071" s="17" t="s">
        <v>38</v>
      </c>
      <c r="P4071" s="5" t="str">
        <f t="shared" si="94"/>
        <v>Truncate table IARTCD;</v>
      </c>
      <c r="Q4071" s="5"/>
      <c r="R4071" s="5"/>
    </row>
    <row r="4072" spans="2:18" x14ac:dyDescent="0.25">
      <c r="B4072" s="19" t="s">
        <v>5346</v>
      </c>
      <c r="C4072" s="16"/>
      <c r="D4072" s="16" t="s">
        <v>29</v>
      </c>
      <c r="E4072" s="16" t="s">
        <v>54</v>
      </c>
      <c r="F4072" s="5" t="s">
        <v>1198</v>
      </c>
      <c r="G4072" s="16" t="s">
        <v>35</v>
      </c>
      <c r="H4072" s="16"/>
      <c r="I4072" s="16"/>
      <c r="J4072" s="16"/>
      <c r="K4072" s="16"/>
      <c r="L4072" s="16"/>
      <c r="M4072" s="16"/>
      <c r="N4072" s="16"/>
      <c r="O4072" s="17" t="s">
        <v>38</v>
      </c>
      <c r="P4072" s="5" t="str">
        <f t="shared" si="94"/>
        <v>Truncate table IARTUC;</v>
      </c>
      <c r="Q4072" s="5"/>
      <c r="R4072" s="5"/>
    </row>
    <row r="4073" spans="2:18" x14ac:dyDescent="0.25">
      <c r="B4073" s="19" t="s">
        <v>5347</v>
      </c>
      <c r="C4073" s="16"/>
      <c r="D4073" s="16" t="s">
        <v>29</v>
      </c>
      <c r="E4073" s="16" t="s">
        <v>54</v>
      </c>
      <c r="F4073" s="5" t="s">
        <v>1198</v>
      </c>
      <c r="G4073" s="16" t="s">
        <v>35</v>
      </c>
      <c r="H4073" s="16"/>
      <c r="I4073" s="16"/>
      <c r="J4073" s="16"/>
      <c r="K4073" s="16"/>
      <c r="L4073" s="16"/>
      <c r="M4073" s="16"/>
      <c r="N4073" s="16"/>
      <c r="O4073" s="17" t="s">
        <v>38</v>
      </c>
      <c r="P4073" s="5" t="str">
        <f t="shared" si="94"/>
        <v>Truncate table IARTUCS;</v>
      </c>
      <c r="Q4073" s="5"/>
      <c r="R4073" s="5"/>
    </row>
    <row r="4074" spans="2:18" x14ac:dyDescent="0.25">
      <c r="B4074" s="21" t="s">
        <v>5348</v>
      </c>
      <c r="C4074" s="16"/>
      <c r="D4074" s="16" t="s">
        <v>8152</v>
      </c>
      <c r="E4074" s="16"/>
      <c r="F4074" s="5"/>
      <c r="G4074" s="16" t="s">
        <v>35</v>
      </c>
      <c r="H4074" s="16"/>
      <c r="I4074" s="16"/>
      <c r="J4074" s="16"/>
      <c r="K4074" s="16"/>
      <c r="L4074" s="16"/>
      <c r="M4074" s="16"/>
      <c r="N4074" s="16"/>
      <c r="O4074" s="17"/>
      <c r="P4074" s="5" t="str">
        <f t="shared" si="94"/>
        <v/>
      </c>
      <c r="Q4074" s="5"/>
      <c r="R4074" s="5"/>
    </row>
    <row r="4075" spans="2:18" x14ac:dyDescent="0.25">
      <c r="B4075" s="19" t="s">
        <v>5349</v>
      </c>
      <c r="C4075" s="16" t="s">
        <v>745</v>
      </c>
      <c r="D4075" s="16" t="s">
        <v>29</v>
      </c>
      <c r="E4075" s="16"/>
      <c r="F4075" s="5"/>
      <c r="G4075" s="16" t="s">
        <v>35</v>
      </c>
      <c r="H4075" s="16"/>
      <c r="I4075" s="16"/>
      <c r="J4075" s="16"/>
      <c r="K4075" s="16"/>
      <c r="L4075" s="16"/>
      <c r="M4075" s="16"/>
      <c r="N4075" s="16"/>
      <c r="O4075" s="17"/>
      <c r="P4075" s="5" t="str">
        <f t="shared" si="94"/>
        <v>Truncate table IBACCDESC;</v>
      </c>
      <c r="Q4075" s="5"/>
      <c r="R4075" s="5"/>
    </row>
    <row r="4076" spans="2:18" x14ac:dyDescent="0.25">
      <c r="B4076" s="19" t="s">
        <v>5350</v>
      </c>
      <c r="C4076" s="16" t="s">
        <v>745</v>
      </c>
      <c r="D4076" s="16" t="s">
        <v>29</v>
      </c>
      <c r="E4076" s="16"/>
      <c r="F4076" s="5"/>
      <c r="G4076" s="16" t="s">
        <v>35</v>
      </c>
      <c r="H4076" s="16"/>
      <c r="I4076" s="16"/>
      <c r="J4076" s="16"/>
      <c r="K4076" s="16"/>
      <c r="L4076" s="16"/>
      <c r="M4076" s="16"/>
      <c r="N4076" s="16"/>
      <c r="O4076" s="17"/>
      <c r="P4076" s="5" t="str">
        <f t="shared" si="94"/>
        <v>Truncate table IBACCEXT;</v>
      </c>
      <c r="Q4076" s="5"/>
      <c r="R4076" s="5"/>
    </row>
    <row r="4077" spans="2:18" x14ac:dyDescent="0.25">
      <c r="B4077" s="19" t="s">
        <v>5351</v>
      </c>
      <c r="C4077" s="16" t="s">
        <v>745</v>
      </c>
      <c r="D4077" s="16" t="s">
        <v>29</v>
      </c>
      <c r="E4077" s="16"/>
      <c r="F4077" s="5"/>
      <c r="G4077" s="16" t="s">
        <v>35</v>
      </c>
      <c r="H4077" s="16"/>
      <c r="I4077" s="16"/>
      <c r="J4077" s="16"/>
      <c r="K4077" s="16"/>
      <c r="L4077" s="16"/>
      <c r="M4077" s="16"/>
      <c r="N4077" s="16"/>
      <c r="O4077" s="17"/>
      <c r="P4077" s="5" t="str">
        <f t="shared" si="94"/>
        <v>Truncate table IBBUTTONS;</v>
      </c>
      <c r="Q4077" s="5"/>
      <c r="R4077" s="5"/>
    </row>
    <row r="4078" spans="2:18" x14ac:dyDescent="0.25">
      <c r="B4078" s="19" t="s">
        <v>5352</v>
      </c>
      <c r="C4078" s="16" t="s">
        <v>745</v>
      </c>
      <c r="D4078" s="16" t="s">
        <v>29</v>
      </c>
      <c r="E4078" s="16"/>
      <c r="F4078" s="5"/>
      <c r="G4078" s="16" t="s">
        <v>35</v>
      </c>
      <c r="H4078" s="16"/>
      <c r="I4078" s="16"/>
      <c r="J4078" s="16"/>
      <c r="K4078" s="16"/>
      <c r="L4078" s="16"/>
      <c r="M4078" s="16"/>
      <c r="N4078" s="16"/>
      <c r="O4078" s="17"/>
      <c r="P4078" s="5" t="str">
        <f t="shared" si="94"/>
        <v>Truncate table IBCPNHLD;</v>
      </c>
      <c r="Q4078" s="5"/>
      <c r="R4078" s="5"/>
    </row>
    <row r="4079" spans="2:18" x14ac:dyDescent="0.25">
      <c r="B4079" s="19" t="s">
        <v>5353</v>
      </c>
      <c r="C4079" s="16" t="s">
        <v>745</v>
      </c>
      <c r="D4079" s="16" t="s">
        <v>29</v>
      </c>
      <c r="E4079" s="16"/>
      <c r="F4079" s="5"/>
      <c r="G4079" s="16" t="s">
        <v>35</v>
      </c>
      <c r="H4079" s="16"/>
      <c r="I4079" s="16"/>
      <c r="J4079" s="16"/>
      <c r="K4079" s="16"/>
      <c r="L4079" s="16"/>
      <c r="M4079" s="16"/>
      <c r="N4079" s="16"/>
      <c r="O4079" s="17"/>
      <c r="P4079" s="5" t="str">
        <f t="shared" si="94"/>
        <v>Truncate table IBDEBUGS;</v>
      </c>
      <c r="Q4079" s="5"/>
      <c r="R4079" s="5"/>
    </row>
    <row r="4080" spans="2:18" x14ac:dyDescent="0.25">
      <c r="B4080" s="19" t="s">
        <v>5354</v>
      </c>
      <c r="C4080" s="16" t="s">
        <v>745</v>
      </c>
      <c r="D4080" s="16" t="s">
        <v>29</v>
      </c>
      <c r="E4080" s="16"/>
      <c r="F4080" s="5"/>
      <c r="G4080" s="16" t="s">
        <v>35</v>
      </c>
      <c r="H4080" s="16"/>
      <c r="I4080" s="16"/>
      <c r="J4080" s="16"/>
      <c r="K4080" s="16"/>
      <c r="L4080" s="16"/>
      <c r="M4080" s="16"/>
      <c r="N4080" s="16"/>
      <c r="O4080" s="17"/>
      <c r="P4080" s="5" t="str">
        <f t="shared" si="94"/>
        <v>Truncate table IBFIELDS;</v>
      </c>
      <c r="Q4080" s="5"/>
      <c r="R4080" s="5"/>
    </row>
    <row r="4081" spans="2:18" x14ac:dyDescent="0.25">
      <c r="B4081" s="19" t="s">
        <v>5355</v>
      </c>
      <c r="C4081" s="16" t="s">
        <v>745</v>
      </c>
      <c r="D4081" s="16" t="s">
        <v>29</v>
      </c>
      <c r="E4081" s="16"/>
      <c r="F4081" s="5"/>
      <c r="G4081" s="16" t="s">
        <v>35</v>
      </c>
      <c r="H4081" s="16"/>
      <c r="I4081" s="16"/>
      <c r="J4081" s="16"/>
      <c r="K4081" s="16"/>
      <c r="L4081" s="16"/>
      <c r="M4081" s="16"/>
      <c r="N4081" s="16"/>
      <c r="O4081" s="17"/>
      <c r="P4081" s="5" t="str">
        <f t="shared" si="94"/>
        <v>Truncate table IBIMAGES;</v>
      </c>
      <c r="Q4081" s="5"/>
      <c r="R4081" s="5"/>
    </row>
    <row r="4082" spans="2:18" x14ac:dyDescent="0.25">
      <c r="B4082" s="19" t="s">
        <v>5356</v>
      </c>
      <c r="C4082" s="16" t="s">
        <v>745</v>
      </c>
      <c r="D4082" s="16" t="s">
        <v>29</v>
      </c>
      <c r="E4082" s="16"/>
      <c r="F4082" s="5"/>
      <c r="G4082" s="16" t="s">
        <v>35</v>
      </c>
      <c r="H4082" s="16"/>
      <c r="I4082" s="16"/>
      <c r="J4082" s="16"/>
      <c r="K4082" s="16"/>
      <c r="L4082" s="16"/>
      <c r="M4082" s="16"/>
      <c r="N4082" s="16"/>
      <c r="O4082" s="17"/>
      <c r="P4082" s="5" t="str">
        <f t="shared" si="94"/>
        <v>Truncate table IBLABELS;</v>
      </c>
      <c r="Q4082" s="5"/>
      <c r="R4082" s="5"/>
    </row>
    <row r="4083" spans="2:18" x14ac:dyDescent="0.25">
      <c r="B4083" s="19" t="s">
        <v>5357</v>
      </c>
      <c r="C4083" s="16" t="s">
        <v>745</v>
      </c>
      <c r="D4083" s="16" t="s">
        <v>29</v>
      </c>
      <c r="E4083" s="16"/>
      <c r="F4083" s="5"/>
      <c r="G4083" s="16" t="s">
        <v>35</v>
      </c>
      <c r="H4083" s="16"/>
      <c r="I4083" s="16"/>
      <c r="J4083" s="16"/>
      <c r="K4083" s="16"/>
      <c r="L4083" s="16"/>
      <c r="M4083" s="16"/>
      <c r="N4083" s="16"/>
      <c r="O4083" s="17"/>
      <c r="P4083" s="5" t="str">
        <f t="shared" si="94"/>
        <v>Truncate table IBLINKS;</v>
      </c>
      <c r="Q4083" s="5"/>
      <c r="R4083" s="5"/>
    </row>
    <row r="4084" spans="2:18" x14ac:dyDescent="0.25">
      <c r="B4084" s="19" t="s">
        <v>5358</v>
      </c>
      <c r="C4084" s="16" t="s">
        <v>745</v>
      </c>
      <c r="D4084" s="16" t="s">
        <v>29</v>
      </c>
      <c r="E4084" s="16"/>
      <c r="F4084" s="5"/>
      <c r="G4084" s="16" t="s">
        <v>35</v>
      </c>
      <c r="H4084" s="16"/>
      <c r="I4084" s="16"/>
      <c r="J4084" s="16"/>
      <c r="K4084" s="16"/>
      <c r="L4084" s="16"/>
      <c r="M4084" s="16"/>
      <c r="N4084" s="16"/>
      <c r="O4084" s="17"/>
      <c r="P4084" s="5" t="str">
        <f t="shared" si="94"/>
        <v>Truncate table IBLOGS;</v>
      </c>
      <c r="Q4084" s="5"/>
      <c r="R4084" s="5"/>
    </row>
    <row r="4085" spans="2:18" x14ac:dyDescent="0.25">
      <c r="B4085" s="19" t="s">
        <v>5359</v>
      </c>
      <c r="C4085" s="16" t="s">
        <v>745</v>
      </c>
      <c r="D4085" s="16" t="s">
        <v>29</v>
      </c>
      <c r="E4085" s="16"/>
      <c r="F4085" s="5"/>
      <c r="G4085" s="16" t="s">
        <v>35</v>
      </c>
      <c r="H4085" s="16"/>
      <c r="I4085" s="16"/>
      <c r="J4085" s="16"/>
      <c r="K4085" s="16"/>
      <c r="L4085" s="16"/>
      <c r="M4085" s="16"/>
      <c r="N4085" s="16"/>
      <c r="O4085" s="17"/>
      <c r="P4085" s="5" t="str">
        <f t="shared" si="94"/>
        <v>Truncate table IBMENU;</v>
      </c>
      <c r="Q4085" s="5"/>
      <c r="R4085" s="5"/>
    </row>
    <row r="4086" spans="2:18" x14ac:dyDescent="0.25">
      <c r="B4086" s="19" t="s">
        <v>5360</v>
      </c>
      <c r="C4086" s="16" t="s">
        <v>745</v>
      </c>
      <c r="D4086" s="16" t="s">
        <v>29</v>
      </c>
      <c r="E4086" s="16"/>
      <c r="F4086" s="5"/>
      <c r="G4086" s="16" t="s">
        <v>35</v>
      </c>
      <c r="H4086" s="16"/>
      <c r="I4086" s="16"/>
      <c r="J4086" s="16"/>
      <c r="K4086" s="16"/>
      <c r="L4086" s="16"/>
      <c r="M4086" s="16"/>
      <c r="N4086" s="16"/>
      <c r="O4086" s="17"/>
      <c r="P4086" s="5" t="str">
        <f t="shared" si="94"/>
        <v>Truncate table IBNAVS;</v>
      </c>
      <c r="Q4086" s="5"/>
      <c r="R4086" s="5"/>
    </row>
    <row r="4087" spans="2:18" x14ac:dyDescent="0.25">
      <c r="B4087" s="19" t="s">
        <v>5361</v>
      </c>
      <c r="C4087" s="16" t="s">
        <v>745</v>
      </c>
      <c r="D4087" s="16" t="s">
        <v>29</v>
      </c>
      <c r="E4087" s="16"/>
      <c r="F4087" s="5"/>
      <c r="G4087" s="16" t="s">
        <v>35</v>
      </c>
      <c r="H4087" s="16"/>
      <c r="I4087" s="16"/>
      <c r="J4087" s="16"/>
      <c r="K4087" s="16"/>
      <c r="L4087" s="16"/>
      <c r="M4087" s="16"/>
      <c r="N4087" s="16"/>
      <c r="O4087" s="17"/>
      <c r="P4087" s="5" t="str">
        <f t="shared" si="94"/>
        <v>Truncate table IBPREFS;</v>
      </c>
      <c r="Q4087" s="5"/>
      <c r="R4087" s="5"/>
    </row>
    <row r="4088" spans="2:18" x14ac:dyDescent="0.25">
      <c r="B4088" s="19" t="s">
        <v>5362</v>
      </c>
      <c r="C4088" s="16" t="s">
        <v>745</v>
      </c>
      <c r="D4088" s="16" t="s">
        <v>29</v>
      </c>
      <c r="E4088" s="16"/>
      <c r="F4088" s="5"/>
      <c r="G4088" s="16" t="s">
        <v>35</v>
      </c>
      <c r="H4088" s="16"/>
      <c r="I4088" s="16"/>
      <c r="J4088" s="16"/>
      <c r="K4088" s="16"/>
      <c r="L4088" s="16"/>
      <c r="M4088" s="16"/>
      <c r="N4088" s="16"/>
      <c r="O4088" s="17"/>
      <c r="P4088" s="5" t="str">
        <f t="shared" si="94"/>
        <v>Truncate table IBPREFSDOM;</v>
      </c>
      <c r="Q4088" s="5"/>
      <c r="R4088" s="5"/>
    </row>
    <row r="4089" spans="2:18" x14ac:dyDescent="0.25">
      <c r="B4089" s="19" t="s">
        <v>5363</v>
      </c>
      <c r="C4089" s="16" t="s">
        <v>5364</v>
      </c>
      <c r="D4089" s="16" t="s">
        <v>29</v>
      </c>
      <c r="E4089" s="16"/>
      <c r="F4089" s="5"/>
      <c r="G4089" s="16" t="s">
        <v>35</v>
      </c>
      <c r="H4089" s="16"/>
      <c r="I4089" s="16"/>
      <c r="J4089" s="16"/>
      <c r="K4089" s="16"/>
      <c r="L4089" s="16"/>
      <c r="M4089" s="16"/>
      <c r="N4089" s="16"/>
      <c r="O4089" s="17"/>
      <c r="P4089" s="5" t="str">
        <f t="shared" si="94"/>
        <v>Truncate table IBPRJMNU;</v>
      </c>
      <c r="Q4089" s="5"/>
      <c r="R4089" s="5"/>
    </row>
    <row r="4090" spans="2:18" x14ac:dyDescent="0.25">
      <c r="B4090" s="19" t="s">
        <v>5365</v>
      </c>
      <c r="C4090" s="16" t="s">
        <v>5364</v>
      </c>
      <c r="D4090" s="16" t="s">
        <v>29</v>
      </c>
      <c r="E4090" s="16"/>
      <c r="F4090" s="5"/>
      <c r="G4090" s="16" t="s">
        <v>35</v>
      </c>
      <c r="H4090" s="16"/>
      <c r="I4090" s="16"/>
      <c r="J4090" s="16"/>
      <c r="K4090" s="16"/>
      <c r="L4090" s="16"/>
      <c r="M4090" s="16"/>
      <c r="N4090" s="16"/>
      <c r="O4090" s="17"/>
      <c r="P4090" s="5" t="str">
        <f t="shared" si="94"/>
        <v>Truncate table IBPROCESS;</v>
      </c>
      <c r="Q4090" s="5"/>
      <c r="R4090" s="5"/>
    </row>
    <row r="4091" spans="2:18" x14ac:dyDescent="0.25">
      <c r="B4091" s="19" t="s">
        <v>5366</v>
      </c>
      <c r="C4091" s="16" t="s">
        <v>5364</v>
      </c>
      <c r="D4091" s="16" t="s">
        <v>29</v>
      </c>
      <c r="E4091" s="16"/>
      <c r="F4091" s="5"/>
      <c r="G4091" s="16" t="s">
        <v>35</v>
      </c>
      <c r="H4091" s="16"/>
      <c r="I4091" s="16"/>
      <c r="J4091" s="16"/>
      <c r="K4091" s="16"/>
      <c r="L4091" s="16"/>
      <c r="M4091" s="16"/>
      <c r="N4091" s="16"/>
      <c r="O4091" s="17"/>
      <c r="P4091" s="5" t="str">
        <f t="shared" si="94"/>
        <v>Truncate table IBPROJECT;</v>
      </c>
      <c r="Q4091" s="5"/>
      <c r="R4091" s="5"/>
    </row>
    <row r="4092" spans="2:18" x14ac:dyDescent="0.25">
      <c r="B4092" s="19" t="s">
        <v>5367</v>
      </c>
      <c r="C4092" s="16" t="s">
        <v>5364</v>
      </c>
      <c r="D4092" s="16" t="s">
        <v>29</v>
      </c>
      <c r="E4092" s="16"/>
      <c r="F4092" s="5"/>
      <c r="G4092" s="16" t="s">
        <v>35</v>
      </c>
      <c r="H4092" s="16"/>
      <c r="I4092" s="16"/>
      <c r="J4092" s="16"/>
      <c r="K4092" s="16"/>
      <c r="L4092" s="16"/>
      <c r="M4092" s="16"/>
      <c r="N4092" s="16"/>
      <c r="O4092" s="17"/>
      <c r="P4092" s="5" t="str">
        <f t="shared" si="94"/>
        <v>Truncate table IBSAVED;</v>
      </c>
      <c r="Q4092" s="5"/>
      <c r="R4092" s="5"/>
    </row>
    <row r="4093" spans="2:18" x14ac:dyDescent="0.25">
      <c r="B4093" s="19" t="s">
        <v>5368</v>
      </c>
      <c r="C4093" s="16" t="s">
        <v>5364</v>
      </c>
      <c r="D4093" s="16" t="s">
        <v>29</v>
      </c>
      <c r="E4093" s="16"/>
      <c r="F4093" s="5"/>
      <c r="G4093" s="16" t="s">
        <v>35</v>
      </c>
      <c r="H4093" s="16"/>
      <c r="I4093" s="16"/>
      <c r="J4093" s="16"/>
      <c r="K4093" s="16"/>
      <c r="L4093" s="16"/>
      <c r="M4093" s="16"/>
      <c r="N4093" s="16"/>
      <c r="O4093" s="17"/>
      <c r="P4093" s="5" t="str">
        <f t="shared" si="94"/>
        <v>Truncate table IBSERVICES;</v>
      </c>
      <c r="Q4093" s="5"/>
      <c r="R4093" s="5"/>
    </row>
    <row r="4094" spans="2:18" x14ac:dyDescent="0.25">
      <c r="B4094" s="19" t="s">
        <v>5369</v>
      </c>
      <c r="C4094" s="16" t="s">
        <v>745</v>
      </c>
      <c r="D4094" s="16" t="s">
        <v>29</v>
      </c>
      <c r="E4094" s="16"/>
      <c r="F4094" s="5"/>
      <c r="G4094" s="16" t="s">
        <v>35</v>
      </c>
      <c r="H4094" s="16"/>
      <c r="I4094" s="16"/>
      <c r="J4094" s="16"/>
      <c r="K4094" s="16"/>
      <c r="L4094" s="16"/>
      <c r="M4094" s="16"/>
      <c r="N4094" s="16"/>
      <c r="O4094" s="17"/>
      <c r="P4094" s="5" t="str">
        <f t="shared" si="94"/>
        <v>Truncate table IBSTACK;</v>
      </c>
      <c r="Q4094" s="5"/>
      <c r="R4094" s="5"/>
    </row>
    <row r="4095" spans="2:18" x14ac:dyDescent="0.25">
      <c r="B4095" s="19" t="s">
        <v>5370</v>
      </c>
      <c r="C4095" s="16" t="s">
        <v>745</v>
      </c>
      <c r="D4095" s="16" t="s">
        <v>29</v>
      </c>
      <c r="E4095" s="16"/>
      <c r="F4095" s="5"/>
      <c r="G4095" s="16" t="s">
        <v>35</v>
      </c>
      <c r="H4095" s="16"/>
      <c r="I4095" s="16"/>
      <c r="J4095" s="16"/>
      <c r="K4095" s="16"/>
      <c r="L4095" s="16"/>
      <c r="M4095" s="16"/>
      <c r="N4095" s="16"/>
      <c r="O4095" s="17"/>
      <c r="P4095" s="5" t="str">
        <f t="shared" si="94"/>
        <v>Truncate table IBTABLES;</v>
      </c>
      <c r="Q4095" s="5"/>
      <c r="R4095" s="5"/>
    </row>
    <row r="4096" spans="2:18" x14ac:dyDescent="0.25">
      <c r="B4096" s="19" t="s">
        <v>5371</v>
      </c>
      <c r="C4096" s="16" t="s">
        <v>745</v>
      </c>
      <c r="D4096" s="16" t="s">
        <v>29</v>
      </c>
      <c r="E4096" s="16"/>
      <c r="F4096" s="5"/>
      <c r="G4096" s="16" t="s">
        <v>35</v>
      </c>
      <c r="H4096" s="16"/>
      <c r="I4096" s="16"/>
      <c r="J4096" s="16"/>
      <c r="K4096" s="16"/>
      <c r="L4096" s="16"/>
      <c r="M4096" s="16"/>
      <c r="N4096" s="16"/>
      <c r="O4096" s="17"/>
      <c r="P4096" s="5" t="str">
        <f t="shared" si="94"/>
        <v>Truncate table IBTASK;</v>
      </c>
      <c r="Q4096" s="5"/>
      <c r="R4096" s="5"/>
    </row>
    <row r="4097" spans="2:18" x14ac:dyDescent="0.25">
      <c r="B4097" s="19" t="s">
        <v>5372</v>
      </c>
      <c r="C4097" s="16" t="s">
        <v>745</v>
      </c>
      <c r="D4097" s="16" t="s">
        <v>29</v>
      </c>
      <c r="E4097" s="16"/>
      <c r="F4097" s="5"/>
      <c r="G4097" s="16" t="s">
        <v>35</v>
      </c>
      <c r="H4097" s="16"/>
      <c r="I4097" s="16"/>
      <c r="J4097" s="16"/>
      <c r="K4097" s="16"/>
      <c r="L4097" s="16"/>
      <c r="M4097" s="16"/>
      <c r="N4097" s="16"/>
      <c r="O4097" s="17"/>
      <c r="P4097" s="5" t="str">
        <f t="shared" ref="P4097:P4156" si="95">IF(D4097="Datos","Truncate table "&amp; B4097&amp; ";","")</f>
        <v>Truncate table IBTEXTS;</v>
      </c>
      <c r="Q4097" s="5"/>
      <c r="R4097" s="5"/>
    </row>
    <row r="4098" spans="2:18" x14ac:dyDescent="0.25">
      <c r="B4098" s="19" t="s">
        <v>5373</v>
      </c>
      <c r="C4098" s="16" t="s">
        <v>745</v>
      </c>
      <c r="D4098" s="16" t="s">
        <v>29</v>
      </c>
      <c r="E4098" s="16"/>
      <c r="F4098" s="5"/>
      <c r="G4098" s="16" t="s">
        <v>35</v>
      </c>
      <c r="H4098" s="16"/>
      <c r="I4098" s="16"/>
      <c r="J4098" s="16"/>
      <c r="K4098" s="16"/>
      <c r="L4098" s="16"/>
      <c r="M4098" s="16"/>
      <c r="N4098" s="16"/>
      <c r="O4098" s="17"/>
      <c r="P4098" s="5" t="str">
        <f t="shared" si="95"/>
        <v>Truncate table IBTICKET;</v>
      </c>
      <c r="Q4098" s="5"/>
      <c r="R4098" s="5"/>
    </row>
    <row r="4099" spans="2:18" x14ac:dyDescent="0.25">
      <c r="B4099" s="21" t="s">
        <v>5374</v>
      </c>
      <c r="C4099" s="16"/>
      <c r="D4099" s="16" t="s">
        <v>8152</v>
      </c>
      <c r="E4099" s="16"/>
      <c r="F4099" s="5"/>
      <c r="G4099" s="16" t="s">
        <v>35</v>
      </c>
      <c r="H4099" s="16"/>
      <c r="I4099" s="16"/>
      <c r="J4099" s="16"/>
      <c r="K4099" s="16"/>
      <c r="L4099" s="16"/>
      <c r="M4099" s="16"/>
      <c r="N4099" s="16"/>
      <c r="O4099" s="17"/>
      <c r="P4099" s="5" t="str">
        <f t="shared" si="95"/>
        <v/>
      </c>
      <c r="Q4099" s="5"/>
      <c r="R4099" s="5"/>
    </row>
    <row r="4100" spans="2:18" x14ac:dyDescent="0.25">
      <c r="B4100" s="21" t="s">
        <v>5375</v>
      </c>
      <c r="C4100" s="16"/>
      <c r="D4100" s="16" t="s">
        <v>8152</v>
      </c>
      <c r="E4100" s="16"/>
      <c r="F4100" s="5"/>
      <c r="G4100" s="16" t="s">
        <v>35</v>
      </c>
      <c r="H4100" s="16"/>
      <c r="I4100" s="16"/>
      <c r="J4100" s="16"/>
      <c r="K4100" s="16"/>
      <c r="L4100" s="16"/>
      <c r="M4100" s="16"/>
      <c r="N4100" s="16"/>
      <c r="O4100" s="17"/>
      <c r="P4100" s="5" t="str">
        <f t="shared" si="95"/>
        <v/>
      </c>
      <c r="Q4100" s="5"/>
      <c r="R4100" s="5"/>
    </row>
    <row r="4101" spans="2:18" x14ac:dyDescent="0.25">
      <c r="B4101" s="19" t="s">
        <v>5376</v>
      </c>
      <c r="C4101" s="16" t="s">
        <v>745</v>
      </c>
      <c r="D4101" s="16" t="s">
        <v>29</v>
      </c>
      <c r="E4101" s="16"/>
      <c r="F4101" s="5"/>
      <c r="G4101" s="16" t="s">
        <v>35</v>
      </c>
      <c r="H4101" s="16"/>
      <c r="I4101" s="16"/>
      <c r="J4101" s="16"/>
      <c r="K4101" s="16"/>
      <c r="L4101" s="16"/>
      <c r="M4101" s="16"/>
      <c r="N4101" s="16"/>
      <c r="O4101" s="17"/>
      <c r="P4101" s="5" t="str">
        <f t="shared" si="95"/>
        <v>Truncate table IBUSERNAV;</v>
      </c>
      <c r="Q4101" s="5"/>
      <c r="R4101" s="5"/>
    </row>
    <row r="4102" spans="2:18" x14ac:dyDescent="0.25">
      <c r="B4102" s="19" t="s">
        <v>5377</v>
      </c>
      <c r="C4102" s="16" t="s">
        <v>745</v>
      </c>
      <c r="D4102" s="16" t="s">
        <v>29</v>
      </c>
      <c r="E4102" s="16"/>
      <c r="F4102" s="5"/>
      <c r="G4102" s="16" t="s">
        <v>35</v>
      </c>
      <c r="H4102" s="16"/>
      <c r="I4102" s="16"/>
      <c r="J4102" s="16"/>
      <c r="K4102" s="16"/>
      <c r="L4102" s="16"/>
      <c r="M4102" s="16"/>
      <c r="N4102" s="16"/>
      <c r="O4102" s="17"/>
      <c r="P4102" s="5" t="str">
        <f t="shared" si="95"/>
        <v>Truncate table IBUSRTMP;</v>
      </c>
      <c r="Q4102" s="5"/>
      <c r="R4102" s="5"/>
    </row>
    <row r="4103" spans="2:18" x14ac:dyDescent="0.25">
      <c r="B4103" s="19" t="s">
        <v>5378</v>
      </c>
      <c r="C4103" s="16" t="s">
        <v>745</v>
      </c>
      <c r="D4103" s="16" t="s">
        <v>29</v>
      </c>
      <c r="E4103" s="16"/>
      <c r="F4103" s="5"/>
      <c r="G4103" s="16" t="s">
        <v>35</v>
      </c>
      <c r="H4103" s="16"/>
      <c r="I4103" s="16"/>
      <c r="J4103" s="16"/>
      <c r="K4103" s="16"/>
      <c r="L4103" s="16"/>
      <c r="M4103" s="16"/>
      <c r="N4103" s="16"/>
      <c r="O4103" s="17"/>
      <c r="P4103" s="5" t="str">
        <f t="shared" si="95"/>
        <v>Truncate table IBUSRTSK;</v>
      </c>
      <c r="Q4103" s="5"/>
      <c r="R4103" s="5"/>
    </row>
    <row r="4104" spans="2:18" x14ac:dyDescent="0.25">
      <c r="B4104" s="19" t="s">
        <v>5379</v>
      </c>
      <c r="C4104" s="16" t="s">
        <v>745</v>
      </c>
      <c r="D4104" s="16" t="s">
        <v>29</v>
      </c>
      <c r="E4104" s="16"/>
      <c r="F4104" s="5"/>
      <c r="G4104" s="16" t="s">
        <v>35</v>
      </c>
      <c r="H4104" s="16"/>
      <c r="I4104" s="16"/>
      <c r="J4104" s="16"/>
      <c r="K4104" s="16"/>
      <c r="L4104" s="16"/>
      <c r="M4104" s="16"/>
      <c r="N4104" s="16"/>
      <c r="O4104" s="17"/>
      <c r="P4104" s="5" t="str">
        <f t="shared" si="95"/>
        <v>Truncate table IBUSRTYP;</v>
      </c>
      <c r="Q4104" s="5"/>
      <c r="R4104" s="5"/>
    </row>
    <row r="4105" spans="2:18" x14ac:dyDescent="0.25">
      <c r="B4105" s="19" t="s">
        <v>5380</v>
      </c>
      <c r="C4105" s="16" t="s">
        <v>745</v>
      </c>
      <c r="D4105" s="16" t="s">
        <v>29</v>
      </c>
      <c r="E4105" s="16" t="s">
        <v>1712</v>
      </c>
      <c r="F4105" s="5" t="s">
        <v>1711</v>
      </c>
      <c r="G4105" s="16" t="s">
        <v>35</v>
      </c>
      <c r="H4105" s="16"/>
      <c r="I4105" s="16"/>
      <c r="J4105" s="16"/>
      <c r="K4105" s="16"/>
      <c r="L4105" s="16"/>
      <c r="M4105" s="16"/>
      <c r="N4105" s="16"/>
      <c r="O4105" s="17"/>
      <c r="P4105" s="5" t="str">
        <f t="shared" si="95"/>
        <v>Truncate table IBUSRWGT;</v>
      </c>
      <c r="Q4105" s="5"/>
      <c r="R4105" s="5"/>
    </row>
    <row r="4106" spans="2:18" x14ac:dyDescent="0.25">
      <c r="B4106" s="21" t="s">
        <v>5381</v>
      </c>
      <c r="C4106" s="16"/>
      <c r="D4106" s="16" t="s">
        <v>8152</v>
      </c>
      <c r="E4106" s="16"/>
      <c r="F4106" s="5"/>
      <c r="G4106" s="16" t="s">
        <v>35</v>
      </c>
      <c r="H4106" s="16"/>
      <c r="I4106" s="16"/>
      <c r="J4106" s="16"/>
      <c r="K4106" s="16"/>
      <c r="L4106" s="16"/>
      <c r="M4106" s="16"/>
      <c r="N4106" s="16"/>
      <c r="O4106" s="17"/>
      <c r="P4106" s="5" t="str">
        <f t="shared" si="95"/>
        <v/>
      </c>
      <c r="Q4106" s="5"/>
      <c r="R4106" s="5"/>
    </row>
    <row r="4107" spans="2:18" x14ac:dyDescent="0.25">
      <c r="B4107" s="19" t="s">
        <v>5382</v>
      </c>
      <c r="C4107" s="16"/>
      <c r="D4107" s="16" t="s">
        <v>29</v>
      </c>
      <c r="E4107" s="16"/>
      <c r="F4107" s="5"/>
      <c r="G4107" s="16" t="s">
        <v>35</v>
      </c>
      <c r="H4107" s="16"/>
      <c r="I4107" s="16"/>
      <c r="J4107" s="16"/>
      <c r="K4107" s="16"/>
      <c r="L4107" s="16"/>
      <c r="M4107" s="16"/>
      <c r="N4107" s="16"/>
      <c r="O4107" s="17"/>
      <c r="P4107" s="5" t="str">
        <f t="shared" si="95"/>
        <v>Truncate table ICD001;</v>
      </c>
      <c r="Q4107" s="5"/>
      <c r="R4107" s="5"/>
    </row>
    <row r="4108" spans="2:18" x14ac:dyDescent="0.25">
      <c r="B4108" s="19" t="s">
        <v>5383</v>
      </c>
      <c r="C4108" s="16" t="s">
        <v>4832</v>
      </c>
      <c r="D4108" s="16" t="s">
        <v>8152</v>
      </c>
      <c r="E4108" s="16" t="s">
        <v>1712</v>
      </c>
      <c r="F4108" s="16" t="s">
        <v>1941</v>
      </c>
      <c r="G4108" s="16" t="s">
        <v>35</v>
      </c>
      <c r="H4108" s="16"/>
      <c r="I4108" s="16"/>
      <c r="J4108" s="16"/>
      <c r="K4108" s="16"/>
      <c r="L4108" s="16"/>
      <c r="M4108" s="16"/>
      <c r="N4108" s="16"/>
      <c r="O4108" s="17" t="s">
        <v>38</v>
      </c>
      <c r="P4108" s="5" t="str">
        <f t="shared" si="95"/>
        <v/>
      </c>
      <c r="Q4108" s="5"/>
      <c r="R4108" s="5"/>
    </row>
    <row r="4109" spans="2:18" x14ac:dyDescent="0.25">
      <c r="B4109" s="19" t="s">
        <v>5384</v>
      </c>
      <c r="C4109" s="16" t="s">
        <v>4832</v>
      </c>
      <c r="D4109" s="16" t="s">
        <v>8152</v>
      </c>
      <c r="E4109" s="16" t="s">
        <v>1712</v>
      </c>
      <c r="F4109" s="16" t="s">
        <v>1941</v>
      </c>
      <c r="G4109" s="16" t="s">
        <v>35</v>
      </c>
      <c r="H4109" s="16"/>
      <c r="I4109" s="16"/>
      <c r="J4109" s="16"/>
      <c r="K4109" s="16"/>
      <c r="L4109" s="16"/>
      <c r="M4109" s="16"/>
      <c r="N4109" s="16"/>
      <c r="O4109" s="17" t="s">
        <v>38</v>
      </c>
      <c r="P4109" s="5" t="str">
        <f t="shared" si="95"/>
        <v/>
      </c>
      <c r="Q4109" s="5"/>
      <c r="R4109" s="5"/>
    </row>
    <row r="4110" spans="2:18" x14ac:dyDescent="0.25">
      <c r="B4110" s="19" t="s">
        <v>5385</v>
      </c>
      <c r="C4110" s="16" t="s">
        <v>4832</v>
      </c>
      <c r="D4110" s="16" t="s">
        <v>8152</v>
      </c>
      <c r="E4110" s="16" t="s">
        <v>1712</v>
      </c>
      <c r="F4110" s="16" t="s">
        <v>1941</v>
      </c>
      <c r="G4110" s="16" t="s">
        <v>35</v>
      </c>
      <c r="H4110" s="16"/>
      <c r="I4110" s="16"/>
      <c r="J4110" s="16"/>
      <c r="K4110" s="16"/>
      <c r="L4110" s="16"/>
      <c r="M4110" s="16"/>
      <c r="N4110" s="16"/>
      <c r="O4110" s="17" t="s">
        <v>38</v>
      </c>
      <c r="P4110" s="5" t="str">
        <f t="shared" si="95"/>
        <v/>
      </c>
      <c r="Q4110" s="5"/>
      <c r="R4110" s="5"/>
    </row>
    <row r="4111" spans="2:18" x14ac:dyDescent="0.25">
      <c r="B4111" s="19" t="s">
        <v>5386</v>
      </c>
      <c r="C4111" s="16" t="s">
        <v>4832</v>
      </c>
      <c r="D4111" s="16" t="s">
        <v>8152</v>
      </c>
      <c r="E4111" s="16" t="s">
        <v>1712</v>
      </c>
      <c r="F4111" s="16" t="s">
        <v>1941</v>
      </c>
      <c r="G4111" s="16" t="s">
        <v>35</v>
      </c>
      <c r="H4111" s="16"/>
      <c r="I4111" s="16"/>
      <c r="J4111" s="16"/>
      <c r="K4111" s="16"/>
      <c r="L4111" s="16"/>
      <c r="M4111" s="16"/>
      <c r="N4111" s="16"/>
      <c r="O4111" s="17" t="s">
        <v>38</v>
      </c>
      <c r="P4111" s="5" t="str">
        <f t="shared" si="95"/>
        <v/>
      </c>
      <c r="Q4111" s="5"/>
      <c r="R4111" s="5"/>
    </row>
    <row r="4112" spans="2:18" x14ac:dyDescent="0.25">
      <c r="B4112" s="19" t="s">
        <v>5387</v>
      </c>
      <c r="C4112" s="16" t="s">
        <v>4832</v>
      </c>
      <c r="D4112" s="16" t="s">
        <v>8152</v>
      </c>
      <c r="E4112" s="16" t="s">
        <v>1712</v>
      </c>
      <c r="F4112" s="16" t="s">
        <v>1941</v>
      </c>
      <c r="G4112" s="16" t="s">
        <v>35</v>
      </c>
      <c r="H4112" s="16"/>
      <c r="I4112" s="16"/>
      <c r="J4112" s="16"/>
      <c r="K4112" s="16"/>
      <c r="L4112" s="16"/>
      <c r="M4112" s="16"/>
      <c r="N4112" s="16"/>
      <c r="O4112" s="17" t="s">
        <v>38</v>
      </c>
      <c r="P4112" s="5" t="str">
        <f t="shared" si="95"/>
        <v/>
      </c>
      <c r="Q4112" s="5"/>
      <c r="R4112" s="5"/>
    </row>
    <row r="4113" spans="2:18" x14ac:dyDescent="0.25">
      <c r="B4113" s="19" t="s">
        <v>5388</v>
      </c>
      <c r="C4113" s="16" t="s">
        <v>4832</v>
      </c>
      <c r="D4113" s="16" t="s">
        <v>8152</v>
      </c>
      <c r="E4113" s="16" t="s">
        <v>1712</v>
      </c>
      <c r="F4113" s="16" t="s">
        <v>1941</v>
      </c>
      <c r="G4113" s="16" t="s">
        <v>35</v>
      </c>
      <c r="H4113" s="16"/>
      <c r="I4113" s="16"/>
      <c r="J4113" s="16"/>
      <c r="K4113" s="16"/>
      <c r="L4113" s="16"/>
      <c r="M4113" s="16"/>
      <c r="N4113" s="16"/>
      <c r="O4113" s="17" t="s">
        <v>38</v>
      </c>
      <c r="P4113" s="5" t="str">
        <f t="shared" si="95"/>
        <v/>
      </c>
      <c r="Q4113" s="5"/>
      <c r="R4113" s="5"/>
    </row>
    <row r="4114" spans="2:18" x14ac:dyDescent="0.25">
      <c r="B4114" s="19" t="s">
        <v>5389</v>
      </c>
      <c r="C4114" s="16"/>
      <c r="D4114" s="16" t="s">
        <v>29</v>
      </c>
      <c r="E4114" s="16"/>
      <c r="F4114" s="5"/>
      <c r="G4114" s="16" t="s">
        <v>35</v>
      </c>
      <c r="H4114" s="16"/>
      <c r="I4114" s="16"/>
      <c r="J4114" s="16"/>
      <c r="K4114" s="16"/>
      <c r="L4114" s="16"/>
      <c r="M4114" s="16"/>
      <c r="N4114" s="16"/>
      <c r="O4114" s="17"/>
      <c r="P4114" s="5" t="str">
        <f t="shared" si="95"/>
        <v>Truncate table IFS001;</v>
      </c>
      <c r="Q4114" s="5"/>
      <c r="R4114" s="5"/>
    </row>
    <row r="4115" spans="2:18" x14ac:dyDescent="0.25">
      <c r="B4115" s="19" t="s">
        <v>5390</v>
      </c>
      <c r="C4115" s="16"/>
      <c r="D4115" s="16" t="s">
        <v>29</v>
      </c>
      <c r="E4115" s="16"/>
      <c r="F4115" s="5"/>
      <c r="G4115" s="16" t="s">
        <v>35</v>
      </c>
      <c r="H4115" s="16"/>
      <c r="I4115" s="16"/>
      <c r="J4115" s="16"/>
      <c r="K4115" s="16"/>
      <c r="L4115" s="16"/>
      <c r="M4115" s="16"/>
      <c r="N4115" s="16"/>
      <c r="O4115" s="17"/>
      <c r="P4115" s="5" t="str">
        <f t="shared" si="95"/>
        <v>Truncate table IFSAP0;</v>
      </c>
      <c r="Q4115" s="5"/>
      <c r="R4115" s="5"/>
    </row>
    <row r="4116" spans="2:18" x14ac:dyDescent="0.25">
      <c r="B4116" s="19" t="s">
        <v>5391</v>
      </c>
      <c r="C4116" s="16"/>
      <c r="D4116" s="16" t="s">
        <v>29</v>
      </c>
      <c r="E4116" s="16"/>
      <c r="F4116" s="5"/>
      <c r="G4116" s="16" t="s">
        <v>35</v>
      </c>
      <c r="H4116" s="16"/>
      <c r="I4116" s="16"/>
      <c r="J4116" s="16"/>
      <c r="K4116" s="16"/>
      <c r="L4116" s="16"/>
      <c r="M4116" s="16"/>
      <c r="N4116" s="16"/>
      <c r="O4116" s="17"/>
      <c r="P4116" s="5" t="str">
        <f t="shared" si="95"/>
        <v>Truncate table IFSAP1;</v>
      </c>
      <c r="Q4116" s="5"/>
      <c r="R4116" s="5"/>
    </row>
    <row r="4117" spans="2:18" x14ac:dyDescent="0.25">
      <c r="B4117" s="19" t="s">
        <v>5392</v>
      </c>
      <c r="C4117" s="16"/>
      <c r="D4117" s="16" t="s">
        <v>29</v>
      </c>
      <c r="E4117" s="16"/>
      <c r="F4117" s="5"/>
      <c r="G4117" s="16" t="s">
        <v>35</v>
      </c>
      <c r="H4117" s="16"/>
      <c r="I4117" s="16"/>
      <c r="J4117" s="16"/>
      <c r="K4117" s="16"/>
      <c r="L4117" s="16"/>
      <c r="M4117" s="16"/>
      <c r="N4117" s="16"/>
      <c r="O4117" s="17"/>
      <c r="P4117" s="5" t="str">
        <f t="shared" si="95"/>
        <v>Truncate table IFSAP2;</v>
      </c>
      <c r="Q4117" s="5"/>
      <c r="R4117" s="5"/>
    </row>
    <row r="4118" spans="2:18" x14ac:dyDescent="0.25">
      <c r="B4118" s="19" t="s">
        <v>5393</v>
      </c>
      <c r="C4118" s="16"/>
      <c r="D4118" s="16" t="s">
        <v>29</v>
      </c>
      <c r="E4118" s="16"/>
      <c r="F4118" s="5"/>
      <c r="G4118" s="16" t="s">
        <v>35</v>
      </c>
      <c r="H4118" s="16"/>
      <c r="I4118" s="16"/>
      <c r="J4118" s="16"/>
      <c r="K4118" s="16"/>
      <c r="L4118" s="16"/>
      <c r="M4118" s="16"/>
      <c r="N4118" s="16"/>
      <c r="O4118" s="17"/>
      <c r="P4118" s="5" t="str">
        <f t="shared" si="95"/>
        <v>Truncate table IFSPS1;</v>
      </c>
      <c r="Q4118" s="5"/>
      <c r="R4118" s="5"/>
    </row>
    <row r="4119" spans="2:18" x14ac:dyDescent="0.25">
      <c r="B4119" s="19" t="s">
        <v>5394</v>
      </c>
      <c r="C4119" s="16"/>
      <c r="D4119" s="16" t="s">
        <v>29</v>
      </c>
      <c r="E4119" s="16"/>
      <c r="F4119" s="5"/>
      <c r="G4119" s="16" t="s">
        <v>35</v>
      </c>
      <c r="H4119" s="16"/>
      <c r="I4119" s="16"/>
      <c r="J4119" s="16"/>
      <c r="K4119" s="16"/>
      <c r="L4119" s="16"/>
      <c r="M4119" s="16"/>
      <c r="N4119" s="16"/>
      <c r="O4119" s="17"/>
      <c r="P4119" s="5" t="str">
        <f t="shared" si="95"/>
        <v>Truncate table IFSPS2;</v>
      </c>
      <c r="Q4119" s="5"/>
      <c r="R4119" s="5"/>
    </row>
    <row r="4120" spans="2:18" x14ac:dyDescent="0.25">
      <c r="B4120" s="19" t="s">
        <v>5395</v>
      </c>
      <c r="C4120" s="16"/>
      <c r="D4120" s="16" t="s">
        <v>29</v>
      </c>
      <c r="E4120" s="16"/>
      <c r="F4120" s="5"/>
      <c r="G4120" s="16" t="s">
        <v>35</v>
      </c>
      <c r="H4120" s="16"/>
      <c r="I4120" s="16"/>
      <c r="J4120" s="16"/>
      <c r="K4120" s="16"/>
      <c r="L4120" s="16"/>
      <c r="M4120" s="16"/>
      <c r="N4120" s="16"/>
      <c r="O4120" s="17"/>
      <c r="P4120" s="5" t="str">
        <f t="shared" si="95"/>
        <v>Truncate table IIBBPBA;</v>
      </c>
      <c r="Q4120" s="5"/>
      <c r="R4120" s="5"/>
    </row>
    <row r="4121" spans="2:18" x14ac:dyDescent="0.25">
      <c r="B4121" s="19" t="s">
        <v>5396</v>
      </c>
      <c r="C4121" s="16"/>
      <c r="D4121" s="16" t="s">
        <v>29</v>
      </c>
      <c r="E4121" s="16"/>
      <c r="F4121" s="5"/>
      <c r="G4121" s="16" t="s">
        <v>35</v>
      </c>
      <c r="H4121" s="16"/>
      <c r="I4121" s="16"/>
      <c r="J4121" s="16"/>
      <c r="K4121" s="16"/>
      <c r="L4121" s="16"/>
      <c r="M4121" s="16"/>
      <c r="N4121" s="16"/>
      <c r="O4121" s="17"/>
      <c r="P4121" s="5" t="str">
        <f t="shared" si="95"/>
        <v>Truncate table IMPDBG;</v>
      </c>
      <c r="Q4121" s="5"/>
      <c r="R4121" s="5"/>
    </row>
    <row r="4122" spans="2:18" x14ac:dyDescent="0.25">
      <c r="B4122" s="19" t="s">
        <v>5397</v>
      </c>
      <c r="C4122" s="16"/>
      <c r="D4122" s="16" t="s">
        <v>29</v>
      </c>
      <c r="E4122" s="16"/>
      <c r="F4122" s="5"/>
      <c r="G4122" s="16" t="s">
        <v>35</v>
      </c>
      <c r="H4122" s="16"/>
      <c r="I4122" s="16"/>
      <c r="J4122" s="16"/>
      <c r="K4122" s="16"/>
      <c r="L4122" s="16"/>
      <c r="M4122" s="16"/>
      <c r="N4122" s="16"/>
      <c r="O4122" s="17"/>
      <c r="P4122" s="5" t="str">
        <f t="shared" si="95"/>
        <v>Truncate table INTCC1;</v>
      </c>
      <c r="Q4122" s="5"/>
      <c r="R4122" s="5"/>
    </row>
    <row r="4123" spans="2:18" x14ac:dyDescent="0.25">
      <c r="B4123" s="19" t="s">
        <v>5398</v>
      </c>
      <c r="C4123" s="16"/>
      <c r="D4123" s="16" t="s">
        <v>29</v>
      </c>
      <c r="E4123" s="16"/>
      <c r="F4123" s="5"/>
      <c r="G4123" s="16" t="s">
        <v>35</v>
      </c>
      <c r="H4123" s="16"/>
      <c r="I4123" s="16"/>
      <c r="J4123" s="16"/>
      <c r="K4123" s="16"/>
      <c r="L4123" s="16"/>
      <c r="M4123" s="16"/>
      <c r="N4123" s="16"/>
      <c r="O4123" s="17"/>
      <c r="P4123" s="5" t="str">
        <f t="shared" si="95"/>
        <v>Truncate table LBP010;</v>
      </c>
      <c r="Q4123" s="5"/>
      <c r="R4123" s="5"/>
    </row>
    <row r="4124" spans="2:18" x14ac:dyDescent="0.25">
      <c r="B4124" s="19" t="s">
        <v>5399</v>
      </c>
      <c r="C4124" s="16"/>
      <c r="D4124" s="16" t="s">
        <v>29</v>
      </c>
      <c r="E4124" s="16"/>
      <c r="F4124" s="5"/>
      <c r="G4124" s="16" t="s">
        <v>35</v>
      </c>
      <c r="H4124" s="16"/>
      <c r="I4124" s="16"/>
      <c r="J4124" s="16"/>
      <c r="K4124" s="16"/>
      <c r="L4124" s="16"/>
      <c r="M4124" s="16"/>
      <c r="N4124" s="16"/>
      <c r="O4124" s="17"/>
      <c r="P4124" s="5" t="str">
        <f t="shared" si="95"/>
        <v>Truncate table LBP012;</v>
      </c>
      <c r="Q4124" s="5"/>
      <c r="R4124" s="5"/>
    </row>
    <row r="4125" spans="2:18" x14ac:dyDescent="0.25">
      <c r="B4125" s="19" t="s">
        <v>5400</v>
      </c>
      <c r="C4125" s="16"/>
      <c r="D4125" s="16" t="s">
        <v>29</v>
      </c>
      <c r="E4125" s="16"/>
      <c r="F4125" s="5"/>
      <c r="G4125" s="16" t="s">
        <v>35</v>
      </c>
      <c r="H4125" s="16"/>
      <c r="I4125" s="16"/>
      <c r="J4125" s="16"/>
      <c r="K4125" s="16"/>
      <c r="L4125" s="16"/>
      <c r="M4125" s="16"/>
      <c r="N4125" s="16"/>
      <c r="O4125" s="17"/>
      <c r="P4125" s="5" t="str">
        <f t="shared" si="95"/>
        <v>Truncate table LBP013;</v>
      </c>
      <c r="Q4125" s="5"/>
      <c r="R4125" s="5"/>
    </row>
    <row r="4126" spans="2:18" x14ac:dyDescent="0.25">
      <c r="B4126" s="19" t="s">
        <v>5401</v>
      </c>
      <c r="C4126" s="16"/>
      <c r="D4126" s="16" t="s">
        <v>29</v>
      </c>
      <c r="E4126" s="16"/>
      <c r="F4126" s="5"/>
      <c r="G4126" s="16" t="s">
        <v>35</v>
      </c>
      <c r="H4126" s="16"/>
      <c r="I4126" s="16"/>
      <c r="J4126" s="16"/>
      <c r="K4126" s="16"/>
      <c r="L4126" s="16"/>
      <c r="M4126" s="16"/>
      <c r="N4126" s="16"/>
      <c r="O4126" s="17"/>
      <c r="P4126" s="5" t="str">
        <f t="shared" si="95"/>
        <v>Truncate table LBPE12;</v>
      </c>
      <c r="Q4126" s="5"/>
      <c r="R4126" s="5"/>
    </row>
    <row r="4127" spans="2:18" x14ac:dyDescent="0.25">
      <c r="B4127" s="19" t="s">
        <v>5402</v>
      </c>
      <c r="C4127" s="16"/>
      <c r="D4127" s="16" t="s">
        <v>29</v>
      </c>
      <c r="E4127" s="16"/>
      <c r="F4127" s="5"/>
      <c r="G4127" s="16" t="s">
        <v>35</v>
      </c>
      <c r="H4127" s="16"/>
      <c r="I4127" s="16"/>
      <c r="J4127" s="16"/>
      <c r="K4127" s="16"/>
      <c r="L4127" s="16"/>
      <c r="M4127" s="16"/>
      <c r="N4127" s="16"/>
      <c r="O4127" s="17"/>
      <c r="P4127" s="5" t="str">
        <f t="shared" si="95"/>
        <v>Truncate table LBPE121;</v>
      </c>
      <c r="Q4127" s="5"/>
      <c r="R4127" s="5"/>
    </row>
    <row r="4128" spans="2:18" x14ac:dyDescent="0.25">
      <c r="B4128" s="19" t="s">
        <v>5403</v>
      </c>
      <c r="C4128" s="16"/>
      <c r="D4128" s="16" t="s">
        <v>29</v>
      </c>
      <c r="E4128" s="16"/>
      <c r="F4128" s="5"/>
      <c r="G4128" s="16" t="s">
        <v>35</v>
      </c>
      <c r="H4128" s="16"/>
      <c r="I4128" s="16"/>
      <c r="J4128" s="16"/>
      <c r="K4128" s="16"/>
      <c r="L4128" s="16"/>
      <c r="M4128" s="16"/>
      <c r="N4128" s="16"/>
      <c r="O4128" s="17"/>
      <c r="P4128" s="5" t="str">
        <f t="shared" si="95"/>
        <v>Truncate table LD2402;</v>
      </c>
      <c r="Q4128" s="5"/>
      <c r="R4128" s="5"/>
    </row>
    <row r="4129" spans="2:18" x14ac:dyDescent="0.25">
      <c r="B4129" s="19" t="s">
        <v>5404</v>
      </c>
      <c r="C4129" s="16"/>
      <c r="D4129" s="16" t="s">
        <v>29</v>
      </c>
      <c r="E4129" s="16"/>
      <c r="F4129" s="5"/>
      <c r="G4129" s="16" t="s">
        <v>35</v>
      </c>
      <c r="H4129" s="16"/>
      <c r="I4129" s="16"/>
      <c r="J4129" s="16"/>
      <c r="K4129" s="16"/>
      <c r="L4129" s="16"/>
      <c r="M4129" s="16"/>
      <c r="N4129" s="16"/>
      <c r="O4129" s="17"/>
      <c r="P4129" s="5" t="str">
        <f t="shared" si="95"/>
        <v>Truncate table LEA001;</v>
      </c>
      <c r="Q4129" s="5"/>
      <c r="R4129" s="5"/>
    </row>
    <row r="4130" spans="2:18" x14ac:dyDescent="0.25">
      <c r="B4130" s="19" t="s">
        <v>5405</v>
      </c>
      <c r="C4130" s="16"/>
      <c r="D4130" s="16" t="s">
        <v>29</v>
      </c>
      <c r="E4130" s="16"/>
      <c r="F4130" s="5"/>
      <c r="G4130" s="16" t="s">
        <v>35</v>
      </c>
      <c r="H4130" s="16"/>
      <c r="I4130" s="16"/>
      <c r="J4130" s="16"/>
      <c r="K4130" s="16"/>
      <c r="L4130" s="16"/>
      <c r="M4130" s="16"/>
      <c r="N4130" s="16"/>
      <c r="O4130" s="17"/>
      <c r="P4130" s="5" t="str">
        <f t="shared" si="95"/>
        <v>Truncate table LIBDIA;</v>
      </c>
      <c r="Q4130" s="5"/>
      <c r="R4130" s="5"/>
    </row>
    <row r="4131" spans="2:18" x14ac:dyDescent="0.25">
      <c r="B4131" s="19" t="s">
        <v>5406</v>
      </c>
      <c r="C4131" s="16"/>
      <c r="D4131" s="16" t="s">
        <v>29</v>
      </c>
      <c r="E4131" s="16"/>
      <c r="F4131" s="5"/>
      <c r="G4131" s="16" t="s">
        <v>35</v>
      </c>
      <c r="H4131" s="16"/>
      <c r="I4131" s="16"/>
      <c r="J4131" s="16"/>
      <c r="K4131" s="16"/>
      <c r="L4131" s="16"/>
      <c r="M4131" s="16"/>
      <c r="N4131" s="16"/>
      <c r="O4131" s="17"/>
      <c r="P4131" s="5" t="str">
        <f t="shared" si="95"/>
        <v>Truncate table LST001;</v>
      </c>
      <c r="Q4131" s="5"/>
      <c r="R4131" s="5"/>
    </row>
    <row r="4132" spans="2:18" x14ac:dyDescent="0.25">
      <c r="B4132" s="19" t="s">
        <v>5407</v>
      </c>
      <c r="C4132" s="16"/>
      <c r="D4132" s="16" t="s">
        <v>29</v>
      </c>
      <c r="E4132" s="16"/>
      <c r="F4132" s="5"/>
      <c r="G4132" s="16" t="s">
        <v>35</v>
      </c>
      <c r="H4132" s="16"/>
      <c r="I4132" s="16"/>
      <c r="J4132" s="16"/>
      <c r="K4132" s="16"/>
      <c r="L4132" s="16"/>
      <c r="M4132" s="16"/>
      <c r="N4132" s="16"/>
      <c r="O4132" s="17"/>
      <c r="P4132" s="5" t="str">
        <f t="shared" si="95"/>
        <v>Truncate table LTND01;</v>
      </c>
      <c r="Q4132" s="5"/>
      <c r="R4132" s="5"/>
    </row>
    <row r="4133" spans="2:18" x14ac:dyDescent="0.25">
      <c r="B4133" s="19" t="s">
        <v>5408</v>
      </c>
      <c r="C4133" s="16"/>
      <c r="D4133" s="16" t="s">
        <v>29</v>
      </c>
      <c r="E4133" s="16"/>
      <c r="F4133" s="5"/>
      <c r="G4133" s="16" t="s">
        <v>35</v>
      </c>
      <c r="H4133" s="16"/>
      <c r="I4133" s="16"/>
      <c r="J4133" s="16"/>
      <c r="K4133" s="16"/>
      <c r="L4133" s="16"/>
      <c r="M4133" s="16"/>
      <c r="N4133" s="16"/>
      <c r="O4133" s="17"/>
      <c r="P4133" s="5" t="str">
        <f t="shared" si="95"/>
        <v>Truncate table LTND02;</v>
      </c>
      <c r="Q4133" s="5"/>
      <c r="R4133" s="5"/>
    </row>
    <row r="4134" spans="2:18" x14ac:dyDescent="0.25">
      <c r="B4134" s="19" t="s">
        <v>5409</v>
      </c>
      <c r="C4134" s="16"/>
      <c r="D4134" s="16" t="s">
        <v>29</v>
      </c>
      <c r="E4134" s="16"/>
      <c r="F4134" s="5"/>
      <c r="G4134" s="16" t="s">
        <v>35</v>
      </c>
      <c r="H4134" s="16"/>
      <c r="I4134" s="16"/>
      <c r="J4134" s="16"/>
      <c r="K4134" s="16"/>
      <c r="L4134" s="16"/>
      <c r="M4134" s="16"/>
      <c r="N4134" s="16"/>
      <c r="O4134" s="17"/>
      <c r="P4134" s="5" t="str">
        <f t="shared" si="95"/>
        <v>Truncate table LTND03;</v>
      </c>
      <c r="Q4134" s="5"/>
      <c r="R4134" s="5"/>
    </row>
    <row r="4135" spans="2:18" x14ac:dyDescent="0.25">
      <c r="B4135" s="19" t="s">
        <v>5410</v>
      </c>
      <c r="C4135" s="16"/>
      <c r="D4135" s="16" t="s">
        <v>29</v>
      </c>
      <c r="E4135" s="16"/>
      <c r="F4135" s="5"/>
      <c r="G4135" s="16" t="s">
        <v>35</v>
      </c>
      <c r="H4135" s="16"/>
      <c r="I4135" s="16"/>
      <c r="J4135" s="16"/>
      <c r="K4135" s="16"/>
      <c r="L4135" s="16"/>
      <c r="M4135" s="16"/>
      <c r="N4135" s="16"/>
      <c r="O4135" s="17"/>
      <c r="P4135" s="5" t="str">
        <f t="shared" si="95"/>
        <v>Truncate table LTND04;</v>
      </c>
      <c r="Q4135" s="5"/>
      <c r="R4135" s="5"/>
    </row>
    <row r="4136" spans="2:18" x14ac:dyDescent="0.25">
      <c r="B4136" s="19" t="s">
        <v>5411</v>
      </c>
      <c r="C4136" s="16"/>
      <c r="D4136" s="16" t="s">
        <v>29</v>
      </c>
      <c r="E4136" s="16"/>
      <c r="F4136" s="5"/>
      <c r="G4136" s="16" t="s">
        <v>35</v>
      </c>
      <c r="H4136" s="16"/>
      <c r="I4136" s="16"/>
      <c r="J4136" s="16"/>
      <c r="K4136" s="16"/>
      <c r="L4136" s="16"/>
      <c r="M4136" s="16"/>
      <c r="N4136" s="16"/>
      <c r="O4136" s="17"/>
      <c r="P4136" s="5" t="str">
        <f t="shared" si="95"/>
        <v>Truncate table LTND05;</v>
      </c>
      <c r="Q4136" s="5"/>
      <c r="R4136" s="5"/>
    </row>
    <row r="4137" spans="2:18" x14ac:dyDescent="0.25">
      <c r="B4137" s="19" t="s">
        <v>5412</v>
      </c>
      <c r="C4137" s="16"/>
      <c r="D4137" s="16" t="s">
        <v>29</v>
      </c>
      <c r="E4137" s="16"/>
      <c r="F4137" s="5"/>
      <c r="G4137" s="16" t="s">
        <v>35</v>
      </c>
      <c r="H4137" s="16"/>
      <c r="I4137" s="16"/>
      <c r="J4137" s="16"/>
      <c r="K4137" s="16"/>
      <c r="L4137" s="16"/>
      <c r="M4137" s="16"/>
      <c r="N4137" s="16"/>
      <c r="O4137" s="17"/>
      <c r="P4137" s="5" t="str">
        <f t="shared" si="95"/>
        <v>Truncate table LTND06;</v>
      </c>
      <c r="Q4137" s="5"/>
      <c r="R4137" s="5"/>
    </row>
    <row r="4138" spans="2:18" x14ac:dyDescent="0.25">
      <c r="B4138" s="19" t="s">
        <v>5413</v>
      </c>
      <c r="C4138" s="16"/>
      <c r="D4138" s="16" t="s">
        <v>29</v>
      </c>
      <c r="E4138" s="16"/>
      <c r="F4138" s="5"/>
      <c r="G4138" s="16" t="s">
        <v>35</v>
      </c>
      <c r="H4138" s="16"/>
      <c r="I4138" s="16"/>
      <c r="J4138" s="16"/>
      <c r="K4138" s="16"/>
      <c r="L4138" s="16"/>
      <c r="M4138" s="16"/>
      <c r="N4138" s="16"/>
      <c r="O4138" s="17"/>
      <c r="P4138" s="5" t="str">
        <f t="shared" si="95"/>
        <v>Truncate table LTND07;</v>
      </c>
      <c r="Q4138" s="5"/>
      <c r="R4138" s="5"/>
    </row>
    <row r="4139" spans="2:18" x14ac:dyDescent="0.25">
      <c r="B4139" s="19" t="s">
        <v>5414</v>
      </c>
      <c r="C4139" s="16"/>
      <c r="D4139" s="16" t="s">
        <v>29</v>
      </c>
      <c r="E4139" s="16"/>
      <c r="F4139" s="5"/>
      <c r="G4139" s="16" t="s">
        <v>35</v>
      </c>
      <c r="H4139" s="16"/>
      <c r="I4139" s="16"/>
      <c r="J4139" s="16"/>
      <c r="K4139" s="16"/>
      <c r="L4139" s="16"/>
      <c r="M4139" s="16"/>
      <c r="N4139" s="16"/>
      <c r="O4139" s="17"/>
      <c r="P4139" s="5" t="str">
        <f t="shared" si="95"/>
        <v>Truncate table LTND08;</v>
      </c>
      <c r="Q4139" s="5"/>
      <c r="R4139" s="5"/>
    </row>
    <row r="4140" spans="2:18" x14ac:dyDescent="0.25">
      <c r="B4140" s="19" t="s">
        <v>5415</v>
      </c>
      <c r="C4140" s="16"/>
      <c r="D4140" s="16" t="s">
        <v>29</v>
      </c>
      <c r="E4140" s="16"/>
      <c r="F4140" s="5"/>
      <c r="G4140" s="16" t="s">
        <v>35</v>
      </c>
      <c r="H4140" s="16"/>
      <c r="I4140" s="16"/>
      <c r="J4140" s="16"/>
      <c r="K4140" s="16"/>
      <c r="L4140" s="16"/>
      <c r="M4140" s="16"/>
      <c r="N4140" s="16"/>
      <c r="O4140" s="17"/>
      <c r="P4140" s="5" t="str">
        <f t="shared" si="95"/>
        <v>Truncate table LTND09;</v>
      </c>
      <c r="Q4140" s="5"/>
      <c r="R4140" s="5"/>
    </row>
    <row r="4141" spans="2:18" x14ac:dyDescent="0.25">
      <c r="B4141" s="19" t="s">
        <v>5416</v>
      </c>
      <c r="C4141" s="16"/>
      <c r="D4141" s="16" t="s">
        <v>29</v>
      </c>
      <c r="E4141" s="16"/>
      <c r="F4141" s="5"/>
      <c r="G4141" s="16" t="s">
        <v>35</v>
      </c>
      <c r="H4141" s="16"/>
      <c r="I4141" s="16"/>
      <c r="J4141" s="16"/>
      <c r="K4141" s="16"/>
      <c r="L4141" s="16"/>
      <c r="M4141" s="16"/>
      <c r="N4141" s="16"/>
      <c r="O4141" s="17"/>
      <c r="P4141" s="5" t="str">
        <f t="shared" si="95"/>
        <v>Truncate table LTNL01;</v>
      </c>
      <c r="Q4141" s="5"/>
      <c r="R4141" s="5"/>
    </row>
    <row r="4142" spans="2:18" x14ac:dyDescent="0.25">
      <c r="B4142" s="19" t="s">
        <v>5417</v>
      </c>
      <c r="C4142" s="16"/>
      <c r="D4142" s="16" t="s">
        <v>29</v>
      </c>
      <c r="E4142" s="16"/>
      <c r="F4142" s="5"/>
      <c r="G4142" s="16" t="s">
        <v>35</v>
      </c>
      <c r="H4142" s="16"/>
      <c r="I4142" s="16"/>
      <c r="J4142" s="16"/>
      <c r="K4142" s="16"/>
      <c r="L4142" s="16"/>
      <c r="M4142" s="16"/>
      <c r="N4142" s="16"/>
      <c r="O4142" s="17"/>
      <c r="P4142" s="5" t="str">
        <f t="shared" si="95"/>
        <v>Truncate table LTNL02;</v>
      </c>
      <c r="Q4142" s="5"/>
      <c r="R4142" s="5"/>
    </row>
    <row r="4143" spans="2:18" x14ac:dyDescent="0.25">
      <c r="B4143" s="19" t="s">
        <v>5418</v>
      </c>
      <c r="C4143" s="16"/>
      <c r="D4143" s="16" t="s">
        <v>29</v>
      </c>
      <c r="E4143" s="16"/>
      <c r="F4143" s="5"/>
      <c r="G4143" s="16" t="s">
        <v>35</v>
      </c>
      <c r="H4143" s="16"/>
      <c r="I4143" s="16"/>
      <c r="J4143" s="16"/>
      <c r="K4143" s="16"/>
      <c r="L4143" s="16"/>
      <c r="M4143" s="16"/>
      <c r="N4143" s="16"/>
      <c r="O4143" s="17"/>
      <c r="P4143" s="5" t="str">
        <f t="shared" si="95"/>
        <v>Truncate table LTNL03;</v>
      </c>
      <c r="Q4143" s="5"/>
      <c r="R4143" s="5"/>
    </row>
    <row r="4144" spans="2:18" x14ac:dyDescent="0.25">
      <c r="B4144" s="19" t="s">
        <v>5419</v>
      </c>
      <c r="C4144" s="16"/>
      <c r="D4144" s="16" t="s">
        <v>29</v>
      </c>
      <c r="E4144" s="16"/>
      <c r="F4144" s="5"/>
      <c r="G4144" s="16" t="s">
        <v>35</v>
      </c>
      <c r="H4144" s="16"/>
      <c r="I4144" s="16"/>
      <c r="J4144" s="16"/>
      <c r="K4144" s="16"/>
      <c r="L4144" s="16"/>
      <c r="M4144" s="16"/>
      <c r="N4144" s="16"/>
      <c r="O4144" s="17"/>
      <c r="P4144" s="5" t="str">
        <f t="shared" si="95"/>
        <v>Truncate table LTNL04;</v>
      </c>
      <c r="Q4144" s="5"/>
      <c r="R4144" s="5"/>
    </row>
    <row r="4145" spans="2:18" x14ac:dyDescent="0.25">
      <c r="B4145" s="19" t="s">
        <v>5420</v>
      </c>
      <c r="C4145" s="16"/>
      <c r="D4145" s="16" t="s">
        <v>29</v>
      </c>
      <c r="E4145" s="16"/>
      <c r="F4145" s="5"/>
      <c r="G4145" s="16" t="s">
        <v>35</v>
      </c>
      <c r="H4145" s="16"/>
      <c r="I4145" s="16"/>
      <c r="J4145" s="16"/>
      <c r="K4145" s="16"/>
      <c r="L4145" s="16"/>
      <c r="M4145" s="16"/>
      <c r="N4145" s="16"/>
      <c r="O4145" s="17"/>
      <c r="P4145" s="5" t="str">
        <f t="shared" si="95"/>
        <v>Truncate table LTNL05;</v>
      </c>
      <c r="Q4145" s="5"/>
      <c r="R4145" s="5"/>
    </row>
    <row r="4146" spans="2:18" x14ac:dyDescent="0.25">
      <c r="B4146" s="19" t="s">
        <v>5421</v>
      </c>
      <c r="C4146" s="16"/>
      <c r="D4146" s="16" t="s">
        <v>29</v>
      </c>
      <c r="E4146" s="16"/>
      <c r="F4146" s="5"/>
      <c r="G4146" s="16" t="s">
        <v>35</v>
      </c>
      <c r="H4146" s="16"/>
      <c r="I4146" s="16"/>
      <c r="J4146" s="16"/>
      <c r="K4146" s="16"/>
      <c r="L4146" s="16"/>
      <c r="M4146" s="16"/>
      <c r="N4146" s="16"/>
      <c r="O4146" s="17"/>
      <c r="P4146" s="5" t="str">
        <f t="shared" si="95"/>
        <v>Truncate table LTNM01;</v>
      </c>
      <c r="Q4146" s="5"/>
      <c r="R4146" s="5"/>
    </row>
    <row r="4147" spans="2:18" x14ac:dyDescent="0.25">
      <c r="B4147" s="19" t="s">
        <v>5422</v>
      </c>
      <c r="C4147" s="16"/>
      <c r="D4147" s="16" t="s">
        <v>29</v>
      </c>
      <c r="E4147" s="16"/>
      <c r="F4147" s="5"/>
      <c r="G4147" s="16" t="s">
        <v>35</v>
      </c>
      <c r="H4147" s="16"/>
      <c r="I4147" s="16"/>
      <c r="J4147" s="16"/>
      <c r="K4147" s="16"/>
      <c r="L4147" s="16"/>
      <c r="M4147" s="16"/>
      <c r="N4147" s="16"/>
      <c r="O4147" s="17"/>
      <c r="P4147" s="5" t="str">
        <f t="shared" si="95"/>
        <v>Truncate table LTNM02;</v>
      </c>
      <c r="Q4147" s="5"/>
      <c r="R4147" s="5"/>
    </row>
    <row r="4148" spans="2:18" x14ac:dyDescent="0.25">
      <c r="B4148" s="19" t="s">
        <v>5423</v>
      </c>
      <c r="C4148" s="16"/>
      <c r="D4148" s="16" t="s">
        <v>29</v>
      </c>
      <c r="E4148" s="16"/>
      <c r="F4148" s="5"/>
      <c r="G4148" s="16" t="s">
        <v>35</v>
      </c>
      <c r="H4148" s="16"/>
      <c r="I4148" s="16"/>
      <c r="J4148" s="16"/>
      <c r="K4148" s="16"/>
      <c r="L4148" s="16"/>
      <c r="M4148" s="16"/>
      <c r="N4148" s="16"/>
      <c r="O4148" s="17"/>
      <c r="P4148" s="5" t="str">
        <f t="shared" si="95"/>
        <v>Truncate table LTNM03;</v>
      </c>
      <c r="Q4148" s="5"/>
      <c r="R4148" s="5"/>
    </row>
    <row r="4149" spans="2:18" x14ac:dyDescent="0.25">
      <c r="B4149" s="19" t="s">
        <v>5424</v>
      </c>
      <c r="C4149" s="16" t="s">
        <v>5434</v>
      </c>
      <c r="D4149" s="16" t="s">
        <v>8152</v>
      </c>
      <c r="E4149" s="16" t="s">
        <v>151</v>
      </c>
      <c r="F4149" s="5"/>
      <c r="G4149" s="16" t="s">
        <v>35</v>
      </c>
      <c r="H4149" s="16" t="s">
        <v>36</v>
      </c>
      <c r="I4149" s="16"/>
      <c r="J4149" s="16"/>
      <c r="K4149" s="16"/>
      <c r="L4149" s="16"/>
      <c r="M4149" s="238" t="s">
        <v>8588</v>
      </c>
      <c r="N4149" s="16"/>
      <c r="O4149" s="17" t="s">
        <v>38</v>
      </c>
      <c r="P4149" s="5" t="str">
        <f t="shared" si="95"/>
        <v/>
      </c>
      <c r="Q4149" s="5"/>
      <c r="R4149" s="5"/>
    </row>
    <row r="4150" spans="2:18" x14ac:dyDescent="0.25">
      <c r="B4150" s="19" t="s">
        <v>5425</v>
      </c>
      <c r="C4150" s="16" t="s">
        <v>8610</v>
      </c>
      <c r="D4150" s="16" t="s">
        <v>8152</v>
      </c>
      <c r="E4150" s="16" t="s">
        <v>151</v>
      </c>
      <c r="F4150" s="5"/>
      <c r="G4150" s="16" t="s">
        <v>35</v>
      </c>
      <c r="H4150" s="16" t="s">
        <v>36</v>
      </c>
      <c r="I4150" s="16"/>
      <c r="J4150" s="16"/>
      <c r="K4150" s="16"/>
      <c r="L4150" s="16"/>
      <c r="M4150" s="238" t="s">
        <v>8611</v>
      </c>
      <c r="N4150" s="16"/>
      <c r="O4150" s="17" t="s">
        <v>38</v>
      </c>
      <c r="P4150" s="5" t="str">
        <f t="shared" si="95"/>
        <v/>
      </c>
      <c r="Q4150" s="5"/>
      <c r="R4150" s="5"/>
    </row>
    <row r="4151" spans="2:18" x14ac:dyDescent="0.25">
      <c r="B4151" s="19" t="s">
        <v>5426</v>
      </c>
      <c r="C4151" s="16"/>
      <c r="D4151" s="16" t="s">
        <v>29</v>
      </c>
      <c r="E4151" s="16" t="s">
        <v>151</v>
      </c>
      <c r="F4151" s="5"/>
      <c r="G4151" s="16" t="s">
        <v>35</v>
      </c>
      <c r="H4151" s="16"/>
      <c r="I4151" s="16"/>
      <c r="J4151" s="16"/>
      <c r="K4151" s="16"/>
      <c r="L4151" s="16"/>
      <c r="M4151" s="16"/>
      <c r="N4151" s="16"/>
      <c r="O4151" s="17" t="s">
        <v>38</v>
      </c>
      <c r="P4151" s="5" t="str">
        <f t="shared" si="95"/>
        <v>Truncate table MBC003;</v>
      </c>
      <c r="Q4151" s="5"/>
      <c r="R4151" s="5"/>
    </row>
    <row r="4152" spans="2:18" x14ac:dyDescent="0.25">
      <c r="B4152" s="19" t="s">
        <v>5427</v>
      </c>
      <c r="C4152" s="16" t="s">
        <v>8612</v>
      </c>
      <c r="D4152" s="16" t="s">
        <v>29</v>
      </c>
      <c r="E4152" s="16" t="s">
        <v>151</v>
      </c>
      <c r="F4152" s="5"/>
      <c r="G4152" s="16" t="s">
        <v>35</v>
      </c>
      <c r="H4152" s="16" t="s">
        <v>36</v>
      </c>
      <c r="I4152" s="16"/>
      <c r="J4152" s="16"/>
      <c r="K4152" s="16"/>
      <c r="L4152" s="16"/>
      <c r="M4152" s="238"/>
      <c r="N4152" s="16"/>
      <c r="O4152" s="17" t="s">
        <v>38</v>
      </c>
      <c r="P4152" s="5" t="str">
        <f t="shared" si="95"/>
        <v>Truncate table MBC004;</v>
      </c>
      <c r="Q4152" s="5"/>
      <c r="R4152" s="5"/>
    </row>
    <row r="4153" spans="2:18" x14ac:dyDescent="0.25">
      <c r="B4153" s="19" t="s">
        <v>5428</v>
      </c>
      <c r="C4153" s="16"/>
      <c r="D4153" s="16" t="s">
        <v>29</v>
      </c>
      <c r="E4153" s="16" t="s">
        <v>151</v>
      </c>
      <c r="F4153" s="5"/>
      <c r="G4153" s="16" t="s">
        <v>35</v>
      </c>
      <c r="H4153" s="16"/>
      <c r="I4153" s="16"/>
      <c r="J4153" s="16"/>
      <c r="K4153" s="16"/>
      <c r="L4153" s="16"/>
      <c r="M4153" s="16"/>
      <c r="N4153" s="16"/>
      <c r="O4153" s="17" t="s">
        <v>38</v>
      </c>
      <c r="P4153" s="5" t="str">
        <f t="shared" si="95"/>
        <v>Truncate table MBC005;</v>
      </c>
      <c r="Q4153" s="5"/>
      <c r="R4153" s="5"/>
    </row>
    <row r="4154" spans="2:18" x14ac:dyDescent="0.25">
      <c r="B4154" s="19" t="s">
        <v>5429</v>
      </c>
      <c r="C4154" t="s">
        <v>11599</v>
      </c>
      <c r="D4154" s="16" t="s">
        <v>29</v>
      </c>
      <c r="E4154" s="16" t="s">
        <v>151</v>
      </c>
      <c r="F4154" s="5"/>
      <c r="G4154" s="16" t="s">
        <v>35</v>
      </c>
      <c r="H4154" s="16" t="s">
        <v>36</v>
      </c>
      <c r="I4154" s="16"/>
      <c r="J4154" s="16"/>
      <c r="K4154" s="16" t="s">
        <v>10211</v>
      </c>
      <c r="L4154" s="16"/>
      <c r="M4154" s="16"/>
      <c r="N4154" s="16"/>
      <c r="O4154" s="17" t="s">
        <v>38</v>
      </c>
      <c r="P4154" s="5" t="str">
        <f t="shared" si="95"/>
        <v>Truncate table MBC006;</v>
      </c>
      <c r="Q4154" s="5"/>
      <c r="R4154" s="5"/>
    </row>
    <row r="4155" spans="2:18" x14ac:dyDescent="0.25">
      <c r="B4155" s="19" t="s">
        <v>5430</v>
      </c>
      <c r="C4155" s="16"/>
      <c r="D4155" s="16" t="s">
        <v>29</v>
      </c>
      <c r="E4155" s="16" t="s">
        <v>151</v>
      </c>
      <c r="F4155" s="5"/>
      <c r="G4155" s="16" t="s">
        <v>35</v>
      </c>
      <c r="H4155" s="16"/>
      <c r="I4155" s="16"/>
      <c r="J4155" s="16"/>
      <c r="K4155" s="16"/>
      <c r="L4155" s="16"/>
      <c r="M4155" s="16"/>
      <c r="N4155" s="16"/>
      <c r="O4155" s="17" t="s">
        <v>38</v>
      </c>
      <c r="P4155" s="5" t="str">
        <f t="shared" si="95"/>
        <v>Truncate table MBC007;</v>
      </c>
      <c r="Q4155" s="5"/>
      <c r="R4155" s="5"/>
    </row>
    <row r="4156" spans="2:18" x14ac:dyDescent="0.25">
      <c r="B4156" s="19" t="s">
        <v>5431</v>
      </c>
      <c r="C4156" s="16"/>
      <c r="D4156" s="16" t="s">
        <v>29</v>
      </c>
      <c r="E4156" s="16" t="s">
        <v>151</v>
      </c>
      <c r="F4156" s="5"/>
      <c r="G4156" s="16" t="s">
        <v>35</v>
      </c>
      <c r="H4156" s="16"/>
      <c r="I4156" s="16"/>
      <c r="J4156" s="16"/>
      <c r="K4156" s="16"/>
      <c r="L4156" s="16"/>
      <c r="M4156" s="16"/>
      <c r="N4156" s="16"/>
      <c r="O4156" s="17" t="s">
        <v>38</v>
      </c>
      <c r="P4156" s="5" t="str">
        <f t="shared" si="95"/>
        <v>Truncate table MBC008;</v>
      </c>
      <c r="Q4156" s="5"/>
      <c r="R4156" s="5"/>
    </row>
    <row r="4157" spans="2:18" x14ac:dyDescent="0.25">
      <c r="B4157" s="19" t="s">
        <v>5432</v>
      </c>
      <c r="C4157" s="16" t="s">
        <v>8613</v>
      </c>
      <c r="D4157" s="16" t="s">
        <v>8152</v>
      </c>
      <c r="E4157" s="16" t="s">
        <v>54</v>
      </c>
      <c r="F4157" s="5" t="s">
        <v>74</v>
      </c>
      <c r="G4157" s="16" t="s">
        <v>35</v>
      </c>
      <c r="H4157" s="16" t="s">
        <v>36</v>
      </c>
      <c r="I4157" s="16"/>
      <c r="J4157" s="16"/>
      <c r="K4157" s="16"/>
      <c r="L4157" s="16"/>
      <c r="M4157" s="16"/>
      <c r="N4157" s="16"/>
      <c r="O4157" s="17" t="s">
        <v>387</v>
      </c>
      <c r="P4157" s="5"/>
      <c r="Q4157" s="5"/>
      <c r="R4157" s="5"/>
    </row>
    <row r="4158" spans="2:18" x14ac:dyDescent="0.25">
      <c r="B4158" s="19" t="s">
        <v>5433</v>
      </c>
      <c r="C4158" s="16"/>
      <c r="D4158" s="16" t="s">
        <v>29</v>
      </c>
      <c r="E4158" s="16" t="s">
        <v>151</v>
      </c>
      <c r="F4158" s="5" t="s">
        <v>544</v>
      </c>
      <c r="G4158" s="16" t="s">
        <v>35</v>
      </c>
      <c r="H4158" s="16" t="s">
        <v>36</v>
      </c>
      <c r="I4158" s="16"/>
      <c r="J4158" s="16"/>
      <c r="K4158" s="16"/>
      <c r="L4158" s="16"/>
      <c r="M4158" s="238" t="s">
        <v>8577</v>
      </c>
      <c r="N4158" s="16"/>
      <c r="O4158" s="17" t="s">
        <v>38</v>
      </c>
      <c r="P4158" s="5" t="str">
        <f>IF(D4158="Datos","Truncate table "&amp; B4158&amp; ";","")</f>
        <v>Truncate table MBC010;</v>
      </c>
      <c r="Q4158" s="5"/>
      <c r="R4158" s="5"/>
    </row>
    <row r="4159" spans="2:18" x14ac:dyDescent="0.25">
      <c r="B4159" s="19" t="s">
        <v>5435</v>
      </c>
      <c r="C4159" s="16" t="s">
        <v>5436</v>
      </c>
      <c r="D4159" s="16" t="s">
        <v>29</v>
      </c>
      <c r="E4159" s="16" t="s">
        <v>151</v>
      </c>
      <c r="F4159" s="5"/>
      <c r="G4159" s="16" t="s">
        <v>35</v>
      </c>
      <c r="H4159" s="16"/>
      <c r="I4159" s="16"/>
      <c r="J4159" s="16"/>
      <c r="K4159" s="16"/>
      <c r="L4159" s="16"/>
      <c r="M4159" s="16"/>
      <c r="N4159" s="16"/>
      <c r="O4159" s="17" t="s">
        <v>38</v>
      </c>
      <c r="P4159" s="5" t="str">
        <f>IF(D4159="Datos","Truncate table "&amp; B4159&amp; ";","")</f>
        <v>Truncate table MBC022;</v>
      </c>
      <c r="Q4159" s="5"/>
      <c r="R4159" s="5"/>
    </row>
    <row r="4160" spans="2:18" x14ac:dyDescent="0.25">
      <c r="B4160" s="19" t="s">
        <v>5437</v>
      </c>
      <c r="C4160" s="16"/>
      <c r="D4160" s="16" t="s">
        <v>29</v>
      </c>
      <c r="E4160" s="16"/>
      <c r="F4160" s="5"/>
      <c r="G4160" s="16" t="s">
        <v>35</v>
      </c>
      <c r="H4160" s="16"/>
      <c r="I4160" s="16"/>
      <c r="J4160" s="16"/>
      <c r="K4160" s="16"/>
      <c r="L4160" s="16"/>
      <c r="M4160" s="16"/>
      <c r="N4160" s="16"/>
      <c r="O4160" s="17"/>
      <c r="P4160" s="5" t="str">
        <f>IF(D4160="Datos","Truncate table "&amp; B4160&amp; ";","")</f>
        <v>Truncate table MBC100;</v>
      </c>
      <c r="Q4160" s="5"/>
      <c r="R4160" s="5"/>
    </row>
    <row r="4161" spans="2:18" x14ac:dyDescent="0.25">
      <c r="B4161" s="19" t="s">
        <v>5438</v>
      </c>
      <c r="C4161" s="16"/>
      <c r="D4161" s="16" t="s">
        <v>29</v>
      </c>
      <c r="E4161" s="16"/>
      <c r="F4161" s="5"/>
      <c r="G4161" s="16" t="s">
        <v>35</v>
      </c>
      <c r="H4161" s="16"/>
      <c r="I4161" s="16"/>
      <c r="J4161" s="16"/>
      <c r="K4161" s="16"/>
      <c r="L4161" s="16"/>
      <c r="M4161" s="16"/>
      <c r="N4161" s="16"/>
      <c r="O4161" s="17"/>
      <c r="P4161" s="5" t="str">
        <f>IF(D4161="Datos","Truncate table "&amp; B4161&amp; ";","")</f>
        <v>Truncate table MCV010;</v>
      </c>
      <c r="Q4161" s="5"/>
      <c r="R4161" s="5"/>
    </row>
    <row r="4162" spans="2:18" ht="26.25" customHeight="1" x14ac:dyDescent="0.25">
      <c r="B4162" s="19" t="s">
        <v>5439</v>
      </c>
      <c r="C4162" s="16" t="s">
        <v>5440</v>
      </c>
      <c r="D4162" s="16" t="s">
        <v>8152</v>
      </c>
      <c r="E4162" s="16" t="s">
        <v>54</v>
      </c>
      <c r="F4162" s="5" t="s">
        <v>2854</v>
      </c>
      <c r="G4162" s="16" t="s">
        <v>35</v>
      </c>
      <c r="H4162" s="16" t="s">
        <v>36</v>
      </c>
      <c r="I4162" s="16"/>
      <c r="J4162" s="16"/>
      <c r="K4162" s="16"/>
      <c r="L4162" s="16"/>
      <c r="M4162" s="238" t="s">
        <v>8577</v>
      </c>
      <c r="N4162" s="16"/>
      <c r="O4162" s="17" t="s">
        <v>38</v>
      </c>
      <c r="P4162" s="35"/>
      <c r="Q4162" s="5"/>
      <c r="R4162" s="5"/>
    </row>
    <row r="4163" spans="2:18" x14ac:dyDescent="0.25">
      <c r="B4163" s="19" t="s">
        <v>5441</v>
      </c>
      <c r="C4163" s="16"/>
      <c r="D4163" s="16" t="s">
        <v>8152</v>
      </c>
      <c r="E4163" s="16"/>
      <c r="F4163" s="5"/>
      <c r="G4163" s="16" t="s">
        <v>35</v>
      </c>
      <c r="H4163" s="16"/>
      <c r="I4163" s="16"/>
      <c r="J4163" s="16"/>
      <c r="K4163" s="16"/>
      <c r="L4163" s="16"/>
      <c r="M4163" s="229"/>
      <c r="N4163" s="16"/>
      <c r="O4163" s="17"/>
      <c r="P4163" s="5" t="str">
        <f t="shared" ref="P4163:P4226" si="96">IF(D4163="Datos","Truncate table "&amp; B4163&amp; ";","")</f>
        <v/>
      </c>
      <c r="Q4163" s="5"/>
      <c r="R4163" s="5"/>
    </row>
    <row r="4164" spans="2:18" x14ac:dyDescent="0.25">
      <c r="B4164" s="19" t="s">
        <v>5442</v>
      </c>
      <c r="C4164" s="16" t="s">
        <v>5443</v>
      </c>
      <c r="D4164" s="16" t="s">
        <v>8152</v>
      </c>
      <c r="E4164" s="16" t="s">
        <v>151</v>
      </c>
      <c r="F4164" s="5"/>
      <c r="G4164" s="16" t="s">
        <v>35</v>
      </c>
      <c r="H4164" s="16"/>
      <c r="I4164" s="16"/>
      <c r="J4164" s="16"/>
      <c r="K4164" s="16"/>
      <c r="L4164" s="16"/>
      <c r="M4164" s="229"/>
      <c r="N4164" s="16"/>
      <c r="O4164" s="17" t="s">
        <v>38</v>
      </c>
      <c r="P4164" s="5" t="str">
        <f t="shared" si="96"/>
        <v/>
      </c>
      <c r="Q4164" s="5"/>
      <c r="R4164" s="5"/>
    </row>
    <row r="4165" spans="2:18" x14ac:dyDescent="0.25">
      <c r="B4165" s="19" t="s">
        <v>5444</v>
      </c>
      <c r="C4165" s="16" t="s">
        <v>3546</v>
      </c>
      <c r="D4165" s="16" t="s">
        <v>8152</v>
      </c>
      <c r="E4165" s="16" t="s">
        <v>54</v>
      </c>
      <c r="F4165" s="5" t="s">
        <v>74</v>
      </c>
      <c r="G4165" s="16" t="s">
        <v>35</v>
      </c>
      <c r="H4165" s="16" t="s">
        <v>36</v>
      </c>
      <c r="I4165" s="16"/>
      <c r="J4165" s="16"/>
      <c r="K4165" s="16"/>
      <c r="L4165" s="16"/>
      <c r="M4165" s="229"/>
      <c r="N4165" s="16"/>
      <c r="O4165" s="17" t="s">
        <v>38</v>
      </c>
      <c r="P4165" s="5" t="str">
        <f t="shared" si="96"/>
        <v/>
      </c>
      <c r="Q4165" s="5"/>
      <c r="R4165" s="5"/>
    </row>
    <row r="4166" spans="2:18" x14ac:dyDescent="0.25">
      <c r="B4166" s="19" t="s">
        <v>5445</v>
      </c>
      <c r="C4166" s="16" t="s">
        <v>3546</v>
      </c>
      <c r="D4166" s="16" t="s">
        <v>29</v>
      </c>
      <c r="E4166" s="16" t="s">
        <v>54</v>
      </c>
      <c r="F4166" s="5" t="s">
        <v>1057</v>
      </c>
      <c r="G4166" s="16" t="s">
        <v>35</v>
      </c>
      <c r="H4166" s="16"/>
      <c r="I4166" s="16"/>
      <c r="J4166" s="16"/>
      <c r="K4166" s="16"/>
      <c r="L4166" s="16"/>
      <c r="M4166" s="16"/>
      <c r="N4166" s="16"/>
      <c r="O4166" s="17" t="s">
        <v>38</v>
      </c>
      <c r="P4166" s="5" t="str">
        <f t="shared" si="96"/>
        <v>Truncate table MOI002;</v>
      </c>
      <c r="Q4166" s="5"/>
      <c r="R4166" s="5"/>
    </row>
    <row r="4167" spans="2:18" x14ac:dyDescent="0.25">
      <c r="B4167" s="19" t="s">
        <v>5446</v>
      </c>
      <c r="C4167" s="16" t="s">
        <v>5447</v>
      </c>
      <c r="D4167" s="16" t="s">
        <v>29</v>
      </c>
      <c r="E4167" s="16" t="s">
        <v>54</v>
      </c>
      <c r="F4167" s="5" t="s">
        <v>163</v>
      </c>
      <c r="G4167" s="16" t="s">
        <v>35</v>
      </c>
      <c r="H4167" s="16" t="s">
        <v>36</v>
      </c>
      <c r="I4167" s="16"/>
      <c r="J4167" s="16"/>
      <c r="K4167" s="16"/>
      <c r="L4167" s="16"/>
      <c r="M4167" s="16"/>
      <c r="N4167" s="16"/>
      <c r="O4167" s="17" t="s">
        <v>38</v>
      </c>
      <c r="P4167" s="5" t="str">
        <f t="shared" si="96"/>
        <v>Truncate table MOI003;</v>
      </c>
      <c r="Q4167" s="5"/>
      <c r="R4167" s="5"/>
    </row>
    <row r="4168" spans="2:18" ht="40.5" x14ac:dyDescent="0.25">
      <c r="B4168" s="21" t="s">
        <v>5448</v>
      </c>
      <c r="C4168" s="16" t="s">
        <v>5449</v>
      </c>
      <c r="D4168" s="16" t="s">
        <v>29</v>
      </c>
      <c r="E4168" s="16" t="s">
        <v>428</v>
      </c>
      <c r="F4168" s="5" t="s">
        <v>427</v>
      </c>
      <c r="G4168" s="16" t="s">
        <v>35</v>
      </c>
      <c r="H4168" s="16" t="s">
        <v>36</v>
      </c>
      <c r="I4168" s="16"/>
      <c r="J4168" s="16"/>
      <c r="K4168" s="16"/>
      <c r="L4168" s="16" t="s">
        <v>5450</v>
      </c>
      <c r="M4168" s="16"/>
      <c r="N4168" s="16"/>
      <c r="O4168" s="17"/>
      <c r="P4168" s="5" t="str">
        <f t="shared" si="96"/>
        <v>Truncate table MPE001;</v>
      </c>
      <c r="Q4168" s="5"/>
      <c r="R4168" s="5"/>
    </row>
    <row r="4169" spans="2:18" ht="40.5" x14ac:dyDescent="0.25">
      <c r="B4169" s="21" t="s">
        <v>5451</v>
      </c>
      <c r="C4169" s="16" t="s">
        <v>5452</v>
      </c>
      <c r="D4169" s="16" t="s">
        <v>29</v>
      </c>
      <c r="E4169" s="16" t="s">
        <v>428</v>
      </c>
      <c r="F4169" s="5" t="s">
        <v>427</v>
      </c>
      <c r="G4169" s="16" t="s">
        <v>35</v>
      </c>
      <c r="H4169" s="16" t="s">
        <v>36</v>
      </c>
      <c r="I4169" s="16"/>
      <c r="J4169" s="16"/>
      <c r="K4169" s="16"/>
      <c r="L4169" s="16" t="s">
        <v>5450</v>
      </c>
      <c r="M4169" s="16"/>
      <c r="N4169" s="16"/>
      <c r="O4169" s="17"/>
      <c r="P4169" s="5" t="str">
        <f t="shared" si="96"/>
        <v>Truncate table MPE002;</v>
      </c>
      <c r="Q4169" s="5"/>
      <c r="R4169" s="5"/>
    </row>
    <row r="4170" spans="2:18" x14ac:dyDescent="0.25">
      <c r="B4170" s="21" t="s">
        <v>5453</v>
      </c>
      <c r="C4170" s="16" t="s">
        <v>5454</v>
      </c>
      <c r="D4170" s="16" t="s">
        <v>29</v>
      </c>
      <c r="E4170" s="16" t="s">
        <v>428</v>
      </c>
      <c r="F4170" s="5" t="s">
        <v>427</v>
      </c>
      <c r="G4170" s="16" t="s">
        <v>35</v>
      </c>
      <c r="H4170" s="16" t="s">
        <v>36</v>
      </c>
      <c r="I4170" s="16"/>
      <c r="J4170" s="16"/>
      <c r="K4170" s="16"/>
      <c r="L4170" s="16"/>
      <c r="M4170" s="16"/>
      <c r="N4170" s="16"/>
      <c r="O4170" s="17"/>
      <c r="P4170" s="5" t="str">
        <f t="shared" si="96"/>
        <v>Truncate table MPE003 ;</v>
      </c>
      <c r="Q4170" s="5"/>
      <c r="R4170" s="5"/>
    </row>
    <row r="4171" spans="2:18" x14ac:dyDescent="0.25">
      <c r="B4171" s="21" t="s">
        <v>5455</v>
      </c>
      <c r="C4171" s="16"/>
      <c r="D4171" s="16" t="s">
        <v>29</v>
      </c>
      <c r="E4171" s="16" t="s">
        <v>428</v>
      </c>
      <c r="F4171" s="5" t="s">
        <v>427</v>
      </c>
      <c r="G4171" s="16" t="s">
        <v>35</v>
      </c>
      <c r="H4171" s="16" t="s">
        <v>36</v>
      </c>
      <c r="I4171" s="16"/>
      <c r="J4171" s="16"/>
      <c r="K4171" s="16"/>
      <c r="L4171" s="16"/>
      <c r="M4171" s="16"/>
      <c r="N4171" s="16"/>
      <c r="O4171" s="17"/>
      <c r="P4171" s="5" t="str">
        <f t="shared" si="96"/>
        <v>Truncate table MPE004;</v>
      </c>
      <c r="Q4171" s="5"/>
      <c r="R4171" s="5"/>
    </row>
    <row r="4172" spans="2:18" ht="81" x14ac:dyDescent="0.25">
      <c r="B4172" s="19" t="s">
        <v>5456</v>
      </c>
      <c r="C4172" s="16" t="s">
        <v>5457</v>
      </c>
      <c r="D4172" s="16" t="s">
        <v>8152</v>
      </c>
      <c r="E4172" s="16" t="s">
        <v>428</v>
      </c>
      <c r="F4172" s="5" t="s">
        <v>427</v>
      </c>
      <c r="G4172" s="16" t="s">
        <v>35</v>
      </c>
      <c r="H4172" s="16" t="s">
        <v>36</v>
      </c>
      <c r="I4172" s="16"/>
      <c r="J4172" s="16"/>
      <c r="K4172" s="16"/>
      <c r="L4172" s="16" t="s">
        <v>5458</v>
      </c>
      <c r="M4172" s="16"/>
      <c r="N4172" s="16"/>
      <c r="O4172" s="17" t="s">
        <v>38</v>
      </c>
      <c r="P4172" s="5" t="str">
        <f t="shared" si="96"/>
        <v/>
      </c>
      <c r="Q4172" s="5"/>
      <c r="R4172" s="5"/>
    </row>
    <row r="4173" spans="2:18" ht="81" x14ac:dyDescent="0.25">
      <c r="B4173" s="19" t="s">
        <v>5459</v>
      </c>
      <c r="C4173" s="16" t="s">
        <v>5460</v>
      </c>
      <c r="D4173" s="16" t="s">
        <v>8152</v>
      </c>
      <c r="E4173" s="16" t="s">
        <v>428</v>
      </c>
      <c r="F4173" s="5" t="s">
        <v>427</v>
      </c>
      <c r="G4173" s="16" t="s">
        <v>35</v>
      </c>
      <c r="H4173" s="16" t="s">
        <v>36</v>
      </c>
      <c r="I4173" s="16"/>
      <c r="J4173" s="16"/>
      <c r="K4173" s="16"/>
      <c r="L4173" s="16" t="s">
        <v>5458</v>
      </c>
      <c r="M4173" s="16"/>
      <c r="N4173" s="16"/>
      <c r="O4173" s="17" t="s">
        <v>38</v>
      </c>
      <c r="P4173" s="5" t="str">
        <f t="shared" si="96"/>
        <v/>
      </c>
      <c r="Q4173" s="5"/>
      <c r="R4173" s="5"/>
    </row>
    <row r="4174" spans="2:18" ht="81" x14ac:dyDescent="0.25">
      <c r="B4174" s="19" t="s">
        <v>5461</v>
      </c>
      <c r="C4174" s="16" t="s">
        <v>5462</v>
      </c>
      <c r="D4174" s="16" t="s">
        <v>8152</v>
      </c>
      <c r="E4174" s="16" t="s">
        <v>428</v>
      </c>
      <c r="F4174" s="5" t="s">
        <v>427</v>
      </c>
      <c r="G4174" s="16" t="s">
        <v>35</v>
      </c>
      <c r="H4174" s="16" t="s">
        <v>36</v>
      </c>
      <c r="I4174" s="16"/>
      <c r="J4174" s="16"/>
      <c r="K4174" s="16"/>
      <c r="L4174" s="16" t="s">
        <v>5458</v>
      </c>
      <c r="M4174" s="16"/>
      <c r="N4174" s="16"/>
      <c r="O4174" s="17" t="s">
        <v>38</v>
      </c>
      <c r="P4174" s="5" t="str">
        <f t="shared" si="96"/>
        <v/>
      </c>
      <c r="Q4174" s="5"/>
      <c r="R4174" s="5"/>
    </row>
    <row r="4175" spans="2:18" ht="81" x14ac:dyDescent="0.25">
      <c r="B4175" s="19" t="s">
        <v>5463</v>
      </c>
      <c r="C4175" s="16" t="s">
        <v>5464</v>
      </c>
      <c r="D4175" s="16" t="s">
        <v>8152</v>
      </c>
      <c r="E4175" s="16" t="s">
        <v>428</v>
      </c>
      <c r="F4175" s="5" t="s">
        <v>427</v>
      </c>
      <c r="G4175" s="16" t="s">
        <v>35</v>
      </c>
      <c r="H4175" s="16" t="s">
        <v>36</v>
      </c>
      <c r="I4175" s="16"/>
      <c r="J4175" s="16"/>
      <c r="K4175" s="16"/>
      <c r="L4175" s="16" t="s">
        <v>5458</v>
      </c>
      <c r="M4175" s="16"/>
      <c r="N4175" s="16"/>
      <c r="O4175" s="17" t="s">
        <v>38</v>
      </c>
      <c r="P4175" s="5" t="str">
        <f t="shared" si="96"/>
        <v/>
      </c>
      <c r="Q4175" s="5"/>
      <c r="R4175" s="5"/>
    </row>
    <row r="4176" spans="2:18" x14ac:dyDescent="0.25">
      <c r="B4176" s="21" t="s">
        <v>5465</v>
      </c>
      <c r="C4176" s="16" t="s">
        <v>5466</v>
      </c>
      <c r="D4176" s="16" t="s">
        <v>29</v>
      </c>
      <c r="E4176" s="16" t="s">
        <v>428</v>
      </c>
      <c r="F4176" s="5" t="s">
        <v>427</v>
      </c>
      <c r="G4176" s="16" t="s">
        <v>35</v>
      </c>
      <c r="H4176" s="16" t="s">
        <v>36</v>
      </c>
      <c r="I4176" s="16"/>
      <c r="J4176" s="16"/>
      <c r="K4176" s="16"/>
      <c r="L4176" s="16"/>
      <c r="M4176" s="16"/>
      <c r="N4176" s="16"/>
      <c r="O4176" s="17"/>
      <c r="P4176" s="5" t="str">
        <f t="shared" si="96"/>
        <v>Truncate table MPE009;</v>
      </c>
      <c r="Q4176" s="5"/>
      <c r="R4176" s="5"/>
    </row>
    <row r="4177" spans="1:18" x14ac:dyDescent="0.25">
      <c r="B4177" s="21" t="s">
        <v>5467</v>
      </c>
      <c r="C4177" s="16" t="s">
        <v>5468</v>
      </c>
      <c r="D4177" s="16" t="s">
        <v>29</v>
      </c>
      <c r="E4177" s="16" t="s">
        <v>428</v>
      </c>
      <c r="F4177" s="5" t="s">
        <v>427</v>
      </c>
      <c r="G4177" s="16" t="s">
        <v>35</v>
      </c>
      <c r="H4177" s="16" t="s">
        <v>36</v>
      </c>
      <c r="I4177" s="16"/>
      <c r="J4177" s="16"/>
      <c r="K4177" s="16"/>
      <c r="L4177" s="16"/>
      <c r="M4177" s="16"/>
      <c r="N4177" s="16"/>
      <c r="O4177" s="17"/>
      <c r="P4177" s="5" t="str">
        <f t="shared" si="96"/>
        <v>Truncate table MPE010;</v>
      </c>
      <c r="Q4177" s="5"/>
      <c r="R4177" s="5"/>
    </row>
    <row r="4178" spans="1:18" ht="81" x14ac:dyDescent="0.25">
      <c r="B4178" s="19" t="s">
        <v>5469</v>
      </c>
      <c r="C4178" s="16" t="s">
        <v>5470</v>
      </c>
      <c r="D4178" s="16" t="s">
        <v>8152</v>
      </c>
      <c r="E4178" s="16" t="s">
        <v>428</v>
      </c>
      <c r="F4178" s="5" t="s">
        <v>427</v>
      </c>
      <c r="G4178" s="16" t="s">
        <v>35</v>
      </c>
      <c r="H4178" s="16" t="s">
        <v>36</v>
      </c>
      <c r="I4178" s="16"/>
      <c r="J4178" s="16"/>
      <c r="K4178" s="16"/>
      <c r="L4178" s="16" t="s">
        <v>5458</v>
      </c>
      <c r="M4178" s="16"/>
      <c r="N4178" s="16"/>
      <c r="O4178" s="17" t="s">
        <v>38</v>
      </c>
      <c r="P4178" s="5" t="str">
        <f t="shared" si="96"/>
        <v/>
      </c>
      <c r="Q4178" s="5"/>
      <c r="R4178" s="5"/>
    </row>
    <row r="4179" spans="1:18" x14ac:dyDescent="0.25">
      <c r="B4179" s="21" t="s">
        <v>5471</v>
      </c>
      <c r="C4179" s="16" t="s">
        <v>5472</v>
      </c>
      <c r="D4179" s="16" t="s">
        <v>8152</v>
      </c>
      <c r="E4179" s="16" t="s">
        <v>428</v>
      </c>
      <c r="F4179" s="5" t="s">
        <v>427</v>
      </c>
      <c r="G4179" s="16" t="s">
        <v>35</v>
      </c>
      <c r="H4179" s="16" t="s">
        <v>36</v>
      </c>
      <c r="I4179" s="16"/>
      <c r="J4179" s="16"/>
      <c r="K4179" s="16"/>
      <c r="L4179" s="16"/>
      <c r="M4179" s="16"/>
      <c r="N4179" s="16"/>
      <c r="O4179" s="17"/>
      <c r="P4179" s="5" t="str">
        <f t="shared" si="96"/>
        <v/>
      </c>
      <c r="Q4179" s="5"/>
      <c r="R4179" s="5"/>
    </row>
    <row r="4180" spans="1:18" ht="40.5" x14ac:dyDescent="0.25">
      <c r="A4180" s="240"/>
      <c r="B4180" s="21" t="s">
        <v>5473</v>
      </c>
      <c r="C4180" s="16" t="s">
        <v>5474</v>
      </c>
      <c r="D4180" s="16" t="s">
        <v>29</v>
      </c>
      <c r="E4180" s="16" t="s">
        <v>428</v>
      </c>
      <c r="F4180" s="5" t="s">
        <v>427</v>
      </c>
      <c r="G4180" s="16" t="s">
        <v>35</v>
      </c>
      <c r="H4180" s="16" t="s">
        <v>36</v>
      </c>
      <c r="I4180" s="5" t="s">
        <v>5475</v>
      </c>
      <c r="J4180" s="5" t="s">
        <v>5476</v>
      </c>
      <c r="K4180" s="16"/>
      <c r="L4180" s="16"/>
      <c r="M4180" s="16"/>
      <c r="N4180" s="16"/>
      <c r="O4180" s="17"/>
      <c r="P4180" s="5" t="str">
        <f t="shared" si="96"/>
        <v>Truncate table MPE015;</v>
      </c>
      <c r="Q4180" s="5"/>
      <c r="R4180" s="5"/>
    </row>
    <row r="4181" spans="1:18" ht="40.5" x14ac:dyDescent="0.25">
      <c r="A4181" s="240"/>
      <c r="B4181" s="21" t="s">
        <v>5477</v>
      </c>
      <c r="C4181" s="16" t="s">
        <v>5478</v>
      </c>
      <c r="D4181" s="16" t="s">
        <v>29</v>
      </c>
      <c r="E4181" s="16" t="s">
        <v>428</v>
      </c>
      <c r="F4181" s="5" t="s">
        <v>427</v>
      </c>
      <c r="G4181" s="16" t="s">
        <v>35</v>
      </c>
      <c r="H4181" s="16" t="s">
        <v>36</v>
      </c>
      <c r="I4181" s="5" t="s">
        <v>5479</v>
      </c>
      <c r="J4181" s="5" t="s">
        <v>5479</v>
      </c>
      <c r="K4181" s="16"/>
      <c r="L4181" s="16"/>
      <c r="M4181" s="16"/>
      <c r="N4181" s="16"/>
      <c r="O4181" s="17"/>
      <c r="P4181" s="5" t="str">
        <f t="shared" si="96"/>
        <v>Truncate table MPE016;</v>
      </c>
      <c r="Q4181" s="5"/>
      <c r="R4181" s="5"/>
    </row>
    <row r="4182" spans="1:18" ht="40.5" x14ac:dyDescent="0.25">
      <c r="A4182" s="240"/>
      <c r="B4182" s="21" t="s">
        <v>5480</v>
      </c>
      <c r="C4182" s="16" t="s">
        <v>5481</v>
      </c>
      <c r="D4182" s="16" t="s">
        <v>29</v>
      </c>
      <c r="E4182" s="16" t="s">
        <v>428</v>
      </c>
      <c r="F4182" s="5" t="s">
        <v>427</v>
      </c>
      <c r="G4182" s="16" t="s">
        <v>35</v>
      </c>
      <c r="H4182" s="16" t="s">
        <v>36</v>
      </c>
      <c r="I4182" s="5" t="s">
        <v>5482</v>
      </c>
      <c r="J4182" s="5" t="s">
        <v>5483</v>
      </c>
      <c r="K4182" s="16"/>
      <c r="L4182" s="16"/>
      <c r="M4182" s="16"/>
      <c r="N4182" s="16"/>
      <c r="O4182" s="17"/>
      <c r="P4182" s="5" t="str">
        <f t="shared" si="96"/>
        <v>Truncate table MPE017;</v>
      </c>
      <c r="Q4182" s="5"/>
      <c r="R4182" s="5"/>
    </row>
    <row r="4183" spans="1:18" ht="40.5" x14ac:dyDescent="0.25">
      <c r="A4183" s="240"/>
      <c r="B4183" s="4" t="s">
        <v>5484</v>
      </c>
      <c r="C4183" s="5" t="s">
        <v>5485</v>
      </c>
      <c r="D4183" s="16" t="s">
        <v>29</v>
      </c>
      <c r="E4183" s="16" t="s">
        <v>151</v>
      </c>
      <c r="F4183" s="23" t="s">
        <v>699</v>
      </c>
      <c r="G4183" s="16" t="s">
        <v>35</v>
      </c>
      <c r="H4183" s="16" t="s">
        <v>36</v>
      </c>
      <c r="I4183" s="5" t="s">
        <v>5486</v>
      </c>
      <c r="J4183" s="5" t="s">
        <v>5487</v>
      </c>
      <c r="K4183" s="5" t="s">
        <v>1581</v>
      </c>
      <c r="L4183" s="23" t="s">
        <v>5488</v>
      </c>
      <c r="M4183" s="23"/>
      <c r="N4183" s="5"/>
      <c r="O4183" s="17"/>
      <c r="P4183" s="5" t="str">
        <f t="shared" si="96"/>
        <v>Truncate table MPE018;</v>
      </c>
      <c r="Q4183" s="5"/>
      <c r="R4183" s="5"/>
    </row>
    <row r="4184" spans="1:18" ht="40.5" x14ac:dyDescent="0.25">
      <c r="B4184" s="21" t="s">
        <v>5489</v>
      </c>
      <c r="C4184" s="16" t="s">
        <v>5490</v>
      </c>
      <c r="D4184" s="41" t="s">
        <v>8152</v>
      </c>
      <c r="E4184" s="16" t="s">
        <v>428</v>
      </c>
      <c r="F4184" s="5" t="s">
        <v>427</v>
      </c>
      <c r="G4184" s="16" t="s">
        <v>35</v>
      </c>
      <c r="H4184" s="16" t="s">
        <v>36</v>
      </c>
      <c r="I4184" s="16"/>
      <c r="J4184" s="16"/>
      <c r="K4184" s="16"/>
      <c r="L4184" s="16" t="s">
        <v>5491</v>
      </c>
      <c r="M4184" s="16"/>
      <c r="N4184" s="16"/>
      <c r="O4184" s="17"/>
      <c r="P4184" s="5" t="str">
        <f t="shared" si="96"/>
        <v/>
      </c>
      <c r="Q4184" s="5"/>
      <c r="R4184" s="5"/>
    </row>
    <row r="4185" spans="1:18" ht="40.5" x14ac:dyDescent="0.25">
      <c r="B4185" s="21" t="s">
        <v>5492</v>
      </c>
      <c r="C4185" s="16" t="s">
        <v>5493</v>
      </c>
      <c r="D4185" s="41" t="s">
        <v>8152</v>
      </c>
      <c r="E4185" s="16" t="s">
        <v>428</v>
      </c>
      <c r="F4185" s="5" t="s">
        <v>427</v>
      </c>
      <c r="G4185" s="16" t="s">
        <v>28</v>
      </c>
      <c r="H4185" s="16" t="s">
        <v>36</v>
      </c>
      <c r="I4185" s="16"/>
      <c r="J4185" s="16"/>
      <c r="K4185" s="16"/>
      <c r="L4185" s="16" t="s">
        <v>5494</v>
      </c>
      <c r="M4185" s="16"/>
      <c r="N4185" s="16"/>
      <c r="O4185" s="17"/>
      <c r="P4185" s="5" t="str">
        <f t="shared" si="96"/>
        <v/>
      </c>
      <c r="Q4185" s="5"/>
      <c r="R4185" s="5"/>
    </row>
    <row r="4186" spans="1:18" x14ac:dyDescent="0.25">
      <c r="B4186" s="21" t="s">
        <v>5495</v>
      </c>
      <c r="C4186" s="16" t="s">
        <v>5496</v>
      </c>
      <c r="D4186" s="41" t="s">
        <v>8152</v>
      </c>
      <c r="E4186" s="16" t="s">
        <v>428</v>
      </c>
      <c r="F4186" s="5" t="s">
        <v>427</v>
      </c>
      <c r="G4186" s="16" t="s">
        <v>35</v>
      </c>
      <c r="H4186" s="16" t="s">
        <v>36</v>
      </c>
      <c r="I4186" s="16"/>
      <c r="J4186" s="16"/>
      <c r="K4186" s="16"/>
      <c r="L4186" s="16" t="s">
        <v>5497</v>
      </c>
      <c r="M4186" s="16"/>
      <c r="N4186" s="16"/>
      <c r="O4186" s="17"/>
      <c r="P4186" s="5" t="str">
        <f t="shared" si="96"/>
        <v/>
      </c>
      <c r="Q4186" s="5"/>
      <c r="R4186" s="5"/>
    </row>
    <row r="4187" spans="1:18" ht="40.5" x14ac:dyDescent="0.25">
      <c r="B4187" s="21" t="s">
        <v>5498</v>
      </c>
      <c r="C4187" s="16" t="s">
        <v>5499</v>
      </c>
      <c r="D4187" s="41" t="s">
        <v>8152</v>
      </c>
      <c r="E4187" s="16" t="s">
        <v>428</v>
      </c>
      <c r="F4187" s="5" t="s">
        <v>427</v>
      </c>
      <c r="G4187" s="16" t="s">
        <v>35</v>
      </c>
      <c r="H4187" s="16" t="s">
        <v>36</v>
      </c>
      <c r="I4187" s="16"/>
      <c r="J4187" s="16"/>
      <c r="K4187" s="16"/>
      <c r="L4187" s="16" t="s">
        <v>5494</v>
      </c>
      <c r="M4187" s="16"/>
      <c r="N4187" s="16"/>
      <c r="O4187" s="17"/>
      <c r="P4187" s="5" t="str">
        <f t="shared" si="96"/>
        <v/>
      </c>
      <c r="Q4187" s="5"/>
      <c r="R4187" s="5"/>
    </row>
    <row r="4188" spans="1:18" ht="54" x14ac:dyDescent="0.25">
      <c r="B4188" s="21" t="s">
        <v>5500</v>
      </c>
      <c r="C4188" s="16" t="s">
        <v>5501</v>
      </c>
      <c r="D4188" s="41" t="s">
        <v>8152</v>
      </c>
      <c r="E4188" s="16" t="s">
        <v>428</v>
      </c>
      <c r="F4188" s="5" t="s">
        <v>427</v>
      </c>
      <c r="G4188" s="16" t="s">
        <v>35</v>
      </c>
      <c r="H4188" s="16" t="s">
        <v>36</v>
      </c>
      <c r="I4188" s="16"/>
      <c r="J4188" s="16"/>
      <c r="K4188" s="16"/>
      <c r="L4188" s="16" t="s">
        <v>5502</v>
      </c>
      <c r="M4188" s="16"/>
      <c r="N4188" s="16"/>
      <c r="O4188" s="17"/>
      <c r="P4188" s="5" t="str">
        <f t="shared" si="96"/>
        <v/>
      </c>
      <c r="Q4188" s="5"/>
      <c r="R4188" s="5"/>
    </row>
    <row r="4189" spans="1:18" ht="54" x14ac:dyDescent="0.25">
      <c r="B4189" s="21" t="s">
        <v>5503</v>
      </c>
      <c r="C4189" s="16" t="s">
        <v>5504</v>
      </c>
      <c r="D4189" s="41" t="s">
        <v>8152</v>
      </c>
      <c r="E4189" s="16" t="s">
        <v>428</v>
      </c>
      <c r="F4189" s="5" t="s">
        <v>427</v>
      </c>
      <c r="G4189" s="16" t="s">
        <v>35</v>
      </c>
      <c r="H4189" s="16" t="s">
        <v>36</v>
      </c>
      <c r="I4189" s="16"/>
      <c r="J4189" s="16"/>
      <c r="K4189" s="16"/>
      <c r="L4189" s="16" t="s">
        <v>5502</v>
      </c>
      <c r="M4189" s="16"/>
      <c r="N4189" s="16"/>
      <c r="O4189" s="17"/>
      <c r="P4189" s="5" t="str">
        <f t="shared" si="96"/>
        <v/>
      </c>
      <c r="Q4189" s="5"/>
      <c r="R4189" s="5"/>
    </row>
    <row r="4190" spans="1:18" ht="40.5" x14ac:dyDescent="0.25">
      <c r="B4190" s="4" t="s">
        <v>5505</v>
      </c>
      <c r="C4190" s="5" t="s">
        <v>5506</v>
      </c>
      <c r="D4190" s="16" t="s">
        <v>8152</v>
      </c>
      <c r="E4190" s="16" t="s">
        <v>151</v>
      </c>
      <c r="F4190" s="23" t="s">
        <v>699</v>
      </c>
      <c r="G4190" s="16" t="s">
        <v>35</v>
      </c>
      <c r="H4190" s="16" t="s">
        <v>36</v>
      </c>
      <c r="I4190" s="5" t="s">
        <v>5507</v>
      </c>
      <c r="J4190" s="5" t="s">
        <v>5508</v>
      </c>
      <c r="K4190" s="5" t="s">
        <v>1581</v>
      </c>
      <c r="L4190" s="23" t="s">
        <v>5488</v>
      </c>
      <c r="M4190" s="23"/>
      <c r="N4190" s="5"/>
      <c r="O4190" s="17"/>
      <c r="P4190" s="5" t="str">
        <f t="shared" si="96"/>
        <v/>
      </c>
      <c r="Q4190" s="5"/>
      <c r="R4190" s="5"/>
    </row>
    <row r="4191" spans="1:18" ht="40.5" x14ac:dyDescent="0.25">
      <c r="B4191" s="23" t="s">
        <v>5509</v>
      </c>
      <c r="C4191" s="23" t="s">
        <v>5510</v>
      </c>
      <c r="D4191" s="19" t="s">
        <v>29</v>
      </c>
      <c r="E4191" s="19" t="s">
        <v>428</v>
      </c>
      <c r="F4191" s="5" t="s">
        <v>427</v>
      </c>
      <c r="G4191" s="19" t="s">
        <v>35</v>
      </c>
      <c r="H4191" s="19" t="s">
        <v>36</v>
      </c>
      <c r="I4191" s="23" t="s">
        <v>5511</v>
      </c>
      <c r="J4191" s="23" t="s">
        <v>5512</v>
      </c>
      <c r="K4191" s="23" t="s">
        <v>5513</v>
      </c>
      <c r="L4191" s="40" t="s">
        <v>5514</v>
      </c>
      <c r="M4191" s="40"/>
      <c r="N4191" s="23" t="s">
        <v>5515</v>
      </c>
      <c r="O4191" s="24" t="s">
        <v>38</v>
      </c>
      <c r="P4191" s="5" t="str">
        <f t="shared" si="96"/>
        <v>Truncate table MPE030;</v>
      </c>
      <c r="Q4191" s="5"/>
      <c r="R4191" s="5"/>
    </row>
    <row r="4192" spans="1:18" ht="40.5" x14ac:dyDescent="0.25">
      <c r="B4192" s="4" t="s">
        <v>5516</v>
      </c>
      <c r="C4192" s="5" t="s">
        <v>5517</v>
      </c>
      <c r="D4192" s="41" t="s">
        <v>29</v>
      </c>
      <c r="E4192" s="16" t="s">
        <v>151</v>
      </c>
      <c r="F4192" s="23" t="s">
        <v>699</v>
      </c>
      <c r="G4192" s="16" t="s">
        <v>35</v>
      </c>
      <c r="H4192" s="16" t="s">
        <v>36</v>
      </c>
      <c r="I4192" s="5" t="s">
        <v>5518</v>
      </c>
      <c r="J4192" s="5" t="s">
        <v>5519</v>
      </c>
      <c r="K4192" s="5" t="s">
        <v>1581</v>
      </c>
      <c r="L4192" s="31" t="s">
        <v>5488</v>
      </c>
      <c r="M4192" s="31"/>
      <c r="N4192" s="5"/>
      <c r="O4192" s="17"/>
      <c r="P4192" s="5" t="str">
        <f t="shared" si="96"/>
        <v>Truncate table MPEP20;</v>
      </c>
      <c r="Q4192" s="5"/>
      <c r="R4192" s="5"/>
    </row>
    <row r="4193" spans="2:18" x14ac:dyDescent="0.25">
      <c r="B4193" s="19" t="s">
        <v>5520</v>
      </c>
      <c r="C4193" s="16"/>
      <c r="D4193" s="41" t="s">
        <v>29</v>
      </c>
      <c r="E4193" s="16"/>
      <c r="F4193" s="5"/>
      <c r="G4193" s="16" t="s">
        <v>35</v>
      </c>
      <c r="H4193" s="16"/>
      <c r="I4193" s="16"/>
      <c r="J4193" s="16"/>
      <c r="K4193" s="16"/>
      <c r="L4193" s="16"/>
      <c r="M4193" s="16"/>
      <c r="N4193" s="16"/>
      <c r="O4193" s="17"/>
      <c r="P4193" s="5" t="str">
        <f t="shared" si="96"/>
        <v>Truncate table MQCLT;</v>
      </c>
      <c r="Q4193" s="5"/>
      <c r="R4193" s="5"/>
    </row>
    <row r="4194" spans="2:18" x14ac:dyDescent="0.25">
      <c r="B4194" s="19" t="s">
        <v>5521</v>
      </c>
      <c r="C4194" s="16"/>
      <c r="D4194" s="16" t="s">
        <v>29</v>
      </c>
      <c r="E4194" s="16"/>
      <c r="F4194" s="5"/>
      <c r="G4194" s="16" t="s">
        <v>35</v>
      </c>
      <c r="H4194" s="16"/>
      <c r="I4194" s="16"/>
      <c r="J4194" s="16"/>
      <c r="K4194" s="16"/>
      <c r="L4194" s="16"/>
      <c r="M4194" s="16"/>
      <c r="N4194" s="16"/>
      <c r="O4194" s="17"/>
      <c r="P4194" s="5" t="str">
        <f t="shared" si="96"/>
        <v>Truncate table MQILG;</v>
      </c>
      <c r="Q4194" s="5"/>
      <c r="R4194" s="5"/>
    </row>
    <row r="4195" spans="2:18" x14ac:dyDescent="0.25">
      <c r="B4195" s="19" t="s">
        <v>5522</v>
      </c>
      <c r="C4195" s="16"/>
      <c r="D4195" s="16" t="s">
        <v>29</v>
      </c>
      <c r="E4195" s="16"/>
      <c r="F4195" s="5"/>
      <c r="G4195" s="16" t="s">
        <v>35</v>
      </c>
      <c r="H4195" s="16"/>
      <c r="I4195" s="16"/>
      <c r="J4195" s="16"/>
      <c r="K4195" s="16"/>
      <c r="L4195" s="16"/>
      <c r="M4195" s="16"/>
      <c r="N4195" s="16"/>
      <c r="O4195" s="17"/>
      <c r="P4195" s="5" t="str">
        <f t="shared" si="96"/>
        <v>Truncate table MQOLG;</v>
      </c>
      <c r="Q4195" s="5"/>
      <c r="R4195" s="5"/>
    </row>
    <row r="4196" spans="2:18" x14ac:dyDescent="0.25">
      <c r="B4196" s="19" t="s">
        <v>5523</v>
      </c>
      <c r="C4196" s="16"/>
      <c r="D4196" s="16" t="s">
        <v>29</v>
      </c>
      <c r="E4196" s="16"/>
      <c r="F4196" s="5"/>
      <c r="G4196" s="16" t="s">
        <v>35</v>
      </c>
      <c r="H4196" s="16"/>
      <c r="I4196" s="16"/>
      <c r="J4196" s="16"/>
      <c r="K4196" s="16"/>
      <c r="L4196" s="16"/>
      <c r="M4196" s="16"/>
      <c r="N4196" s="16"/>
      <c r="O4196" s="17"/>
      <c r="P4196" s="5" t="str">
        <f t="shared" si="96"/>
        <v>Truncate table MQSYS;</v>
      </c>
      <c r="Q4196" s="5"/>
      <c r="R4196" s="5"/>
    </row>
    <row r="4197" spans="2:18" x14ac:dyDescent="0.25">
      <c r="B4197" s="19" t="s">
        <v>5524</v>
      </c>
      <c r="C4197" s="16"/>
      <c r="D4197" s="16" t="s">
        <v>29</v>
      </c>
      <c r="E4197" s="16"/>
      <c r="F4197" s="5"/>
      <c r="G4197" s="16" t="s">
        <v>35</v>
      </c>
      <c r="H4197" s="16"/>
      <c r="I4197" s="16"/>
      <c r="J4197" s="16"/>
      <c r="K4197" s="16"/>
      <c r="L4197" s="16"/>
      <c r="M4197" s="16"/>
      <c r="N4197" s="16"/>
      <c r="O4197" s="17"/>
      <c r="P4197" s="5" t="str">
        <f t="shared" si="96"/>
        <v>Truncate table MQSYS1;</v>
      </c>
      <c r="Q4197" s="5"/>
      <c r="R4197" s="5"/>
    </row>
    <row r="4198" spans="2:18" x14ac:dyDescent="0.25">
      <c r="B4198" s="19" t="s">
        <v>5525</v>
      </c>
      <c r="C4198" s="16"/>
      <c r="D4198" s="16" t="s">
        <v>29</v>
      </c>
      <c r="E4198" s="16"/>
      <c r="F4198" s="5"/>
      <c r="G4198" s="16" t="s">
        <v>35</v>
      </c>
      <c r="H4198" s="16"/>
      <c r="I4198" s="16"/>
      <c r="J4198" s="16"/>
      <c r="K4198" s="16"/>
      <c r="L4198" s="16"/>
      <c r="M4198" s="16"/>
      <c r="N4198" s="16"/>
      <c r="O4198" s="17"/>
      <c r="P4198" s="5" t="str">
        <f t="shared" si="96"/>
        <v>Truncate table MRAM01;</v>
      </c>
      <c r="Q4198" s="5"/>
      <c r="R4198" s="5"/>
    </row>
    <row r="4199" spans="2:18" x14ac:dyDescent="0.25">
      <c r="B4199" s="19" t="s">
        <v>5526</v>
      </c>
      <c r="C4199" s="16"/>
      <c r="D4199" s="16" t="s">
        <v>29</v>
      </c>
      <c r="E4199" s="16"/>
      <c r="F4199" s="5"/>
      <c r="G4199" s="16" t="s">
        <v>35</v>
      </c>
      <c r="H4199" s="16"/>
      <c r="I4199" s="16"/>
      <c r="J4199" s="16"/>
      <c r="K4199" s="16"/>
      <c r="L4199" s="16"/>
      <c r="M4199" s="16"/>
      <c r="N4199" s="16"/>
      <c r="O4199" s="17"/>
      <c r="P4199" s="5" t="str">
        <f t="shared" si="96"/>
        <v>Truncate table MRAM02;</v>
      </c>
      <c r="Q4199" s="5"/>
      <c r="R4199" s="5"/>
    </row>
    <row r="4200" spans="2:18" x14ac:dyDescent="0.25">
      <c r="B4200" s="19" t="s">
        <v>5527</v>
      </c>
      <c r="C4200" s="16"/>
      <c r="D4200" s="16" t="s">
        <v>29</v>
      </c>
      <c r="E4200" s="16"/>
      <c r="F4200" s="5"/>
      <c r="G4200" s="16" t="s">
        <v>35</v>
      </c>
      <c r="H4200" s="16"/>
      <c r="I4200" s="16"/>
      <c r="J4200" s="16"/>
      <c r="K4200" s="16"/>
      <c r="L4200" s="16"/>
      <c r="M4200" s="16"/>
      <c r="N4200" s="16"/>
      <c r="O4200" s="17"/>
      <c r="P4200" s="5" t="str">
        <f t="shared" si="96"/>
        <v>Truncate table MRAM03;</v>
      </c>
      <c r="Q4200" s="5"/>
      <c r="R4200" s="5"/>
    </row>
    <row r="4201" spans="2:18" x14ac:dyDescent="0.25">
      <c r="B4201" s="19" t="s">
        <v>5528</v>
      </c>
      <c r="C4201" s="16"/>
      <c r="D4201" s="16" t="s">
        <v>29</v>
      </c>
      <c r="E4201" s="16"/>
      <c r="F4201" s="5"/>
      <c r="G4201" s="16" t="s">
        <v>35</v>
      </c>
      <c r="H4201" s="16"/>
      <c r="I4201" s="16"/>
      <c r="J4201" s="16"/>
      <c r="K4201" s="16"/>
      <c r="L4201" s="16"/>
      <c r="M4201" s="16"/>
      <c r="N4201" s="16"/>
      <c r="O4201" s="17"/>
      <c r="P4201" s="5" t="str">
        <f t="shared" si="96"/>
        <v>Truncate table MRAM04;</v>
      </c>
      <c r="Q4201" s="5"/>
      <c r="R4201" s="5"/>
    </row>
    <row r="4202" spans="2:18" x14ac:dyDescent="0.25">
      <c r="B4202" s="19" t="s">
        <v>5529</v>
      </c>
      <c r="C4202" s="16"/>
      <c r="D4202" s="16" t="s">
        <v>29</v>
      </c>
      <c r="E4202" s="16"/>
      <c r="F4202" s="5"/>
      <c r="G4202" s="16" t="s">
        <v>35</v>
      </c>
      <c r="H4202" s="16"/>
      <c r="I4202" s="16"/>
      <c r="J4202" s="16"/>
      <c r="K4202" s="16"/>
      <c r="L4202" s="16"/>
      <c r="M4202" s="16"/>
      <c r="N4202" s="16"/>
      <c r="O4202" s="17"/>
      <c r="P4202" s="5" t="str">
        <f t="shared" si="96"/>
        <v>Truncate table MRAM05;</v>
      </c>
      <c r="Q4202" s="5"/>
      <c r="R4202" s="5"/>
    </row>
    <row r="4203" spans="2:18" x14ac:dyDescent="0.25">
      <c r="B4203" s="19" t="s">
        <v>5530</v>
      </c>
      <c r="C4203" s="16"/>
      <c r="D4203" s="16" t="s">
        <v>29</v>
      </c>
      <c r="E4203" s="16"/>
      <c r="F4203" s="5"/>
      <c r="G4203" s="16" t="s">
        <v>35</v>
      </c>
      <c r="H4203" s="16"/>
      <c r="I4203" s="16"/>
      <c r="J4203" s="16"/>
      <c r="K4203" s="16"/>
      <c r="L4203" s="16"/>
      <c r="M4203" s="16"/>
      <c r="N4203" s="16"/>
      <c r="O4203" s="17"/>
      <c r="P4203" s="5" t="str">
        <f t="shared" si="96"/>
        <v>Truncate table MRAM06;</v>
      </c>
      <c r="Q4203" s="5"/>
      <c r="R4203" s="5"/>
    </row>
    <row r="4204" spans="2:18" x14ac:dyDescent="0.25">
      <c r="B4204" s="19" t="s">
        <v>5531</v>
      </c>
      <c r="C4204" s="16"/>
      <c r="D4204" s="16" t="s">
        <v>29</v>
      </c>
      <c r="E4204" s="16"/>
      <c r="F4204" s="5"/>
      <c r="G4204" s="16" t="s">
        <v>35</v>
      </c>
      <c r="H4204" s="16"/>
      <c r="I4204" s="16"/>
      <c r="J4204" s="16"/>
      <c r="K4204" s="16"/>
      <c r="L4204" s="16"/>
      <c r="M4204" s="16"/>
      <c r="N4204" s="16"/>
      <c r="O4204" s="17"/>
      <c r="P4204" s="5" t="str">
        <f t="shared" si="96"/>
        <v>Truncate table MRAM07;</v>
      </c>
      <c r="Q4204" s="5"/>
      <c r="R4204" s="5"/>
    </row>
    <row r="4205" spans="2:18" x14ac:dyDescent="0.25">
      <c r="B4205" s="19" t="s">
        <v>5532</v>
      </c>
      <c r="C4205" s="16"/>
      <c r="D4205" s="16" t="s">
        <v>29</v>
      </c>
      <c r="E4205" s="16"/>
      <c r="F4205" s="5"/>
      <c r="G4205" s="16" t="s">
        <v>35</v>
      </c>
      <c r="H4205" s="16"/>
      <c r="I4205" s="16"/>
      <c r="J4205" s="16"/>
      <c r="K4205" s="16"/>
      <c r="L4205" s="16"/>
      <c r="M4205" s="16"/>
      <c r="N4205" s="16"/>
      <c r="O4205" s="17"/>
      <c r="P4205" s="5" t="str">
        <f t="shared" si="96"/>
        <v>Truncate table MRAM08;</v>
      </c>
      <c r="Q4205" s="5"/>
      <c r="R4205" s="5"/>
    </row>
    <row r="4206" spans="2:18" x14ac:dyDescent="0.25">
      <c r="B4206" s="19" t="s">
        <v>5533</v>
      </c>
      <c r="C4206" s="16"/>
      <c r="D4206" s="16" t="s">
        <v>29</v>
      </c>
      <c r="E4206" s="16"/>
      <c r="F4206" s="5"/>
      <c r="G4206" s="16" t="s">
        <v>35</v>
      </c>
      <c r="H4206" s="16"/>
      <c r="I4206" s="16"/>
      <c r="J4206" s="16"/>
      <c r="K4206" s="16"/>
      <c r="L4206" s="16"/>
      <c r="M4206" s="16"/>
      <c r="N4206" s="16"/>
      <c r="O4206" s="17"/>
      <c r="P4206" s="5" t="str">
        <f t="shared" si="96"/>
        <v>Truncate table MRAM09;</v>
      </c>
      <c r="Q4206" s="5"/>
      <c r="R4206" s="5"/>
    </row>
    <row r="4207" spans="2:18" x14ac:dyDescent="0.25">
      <c r="B4207" s="19" t="s">
        <v>5534</v>
      </c>
      <c r="C4207" s="16"/>
      <c r="D4207" s="16" t="s">
        <v>29</v>
      </c>
      <c r="E4207" s="16"/>
      <c r="F4207" s="5"/>
      <c r="G4207" s="16" t="s">
        <v>35</v>
      </c>
      <c r="H4207" s="16"/>
      <c r="I4207" s="16"/>
      <c r="J4207" s="16"/>
      <c r="K4207" s="16"/>
      <c r="L4207" s="16"/>
      <c r="M4207" s="16"/>
      <c r="N4207" s="16"/>
      <c r="O4207" s="17"/>
      <c r="P4207" s="5" t="str">
        <f t="shared" si="96"/>
        <v>Truncate table MRAM10;</v>
      </c>
      <c r="Q4207" s="5"/>
      <c r="R4207" s="5"/>
    </row>
    <row r="4208" spans="2:18" x14ac:dyDescent="0.25">
      <c r="B4208" s="19" t="s">
        <v>5535</v>
      </c>
      <c r="C4208" s="16"/>
      <c r="D4208" s="16" t="s">
        <v>29</v>
      </c>
      <c r="E4208" s="16"/>
      <c r="F4208" s="5"/>
      <c r="G4208" s="16" t="s">
        <v>35</v>
      </c>
      <c r="H4208" s="16"/>
      <c r="I4208" s="16"/>
      <c r="J4208" s="16"/>
      <c r="K4208" s="16"/>
      <c r="L4208" s="16"/>
      <c r="M4208" s="16"/>
      <c r="N4208" s="16"/>
      <c r="O4208" s="17"/>
      <c r="P4208" s="5" t="str">
        <f t="shared" si="96"/>
        <v>Truncate table MRAMGA1;</v>
      </c>
      <c r="Q4208" s="5"/>
      <c r="R4208" s="5"/>
    </row>
    <row r="4209" spans="2:18" x14ac:dyDescent="0.25">
      <c r="B4209" s="19" t="s">
        <v>5536</v>
      </c>
      <c r="C4209" s="16"/>
      <c r="D4209" s="16" t="s">
        <v>29</v>
      </c>
      <c r="E4209" s="16"/>
      <c r="F4209" s="5"/>
      <c r="G4209" s="16" t="s">
        <v>35</v>
      </c>
      <c r="H4209" s="16"/>
      <c r="I4209" s="16"/>
      <c r="J4209" s="16"/>
      <c r="K4209" s="16"/>
      <c r="L4209" s="16"/>
      <c r="M4209" s="16"/>
      <c r="N4209" s="16"/>
      <c r="O4209" s="17"/>
      <c r="P4209" s="5" t="str">
        <f t="shared" si="96"/>
        <v>Truncate table MRAP01;</v>
      </c>
      <c r="Q4209" s="5"/>
      <c r="R4209" s="5"/>
    </row>
    <row r="4210" spans="2:18" x14ac:dyDescent="0.25">
      <c r="B4210" s="19" t="s">
        <v>5537</v>
      </c>
      <c r="C4210" s="16"/>
      <c r="D4210" s="16" t="s">
        <v>29</v>
      </c>
      <c r="E4210" s="16"/>
      <c r="F4210" s="5"/>
      <c r="G4210" s="16" t="s">
        <v>35</v>
      </c>
      <c r="H4210" s="16"/>
      <c r="I4210" s="16"/>
      <c r="J4210" s="16"/>
      <c r="K4210" s="16"/>
      <c r="L4210" s="16"/>
      <c r="M4210" s="16"/>
      <c r="N4210" s="16"/>
      <c r="O4210" s="17"/>
      <c r="P4210" s="5" t="str">
        <f t="shared" si="96"/>
        <v>Truncate table MRAP02;</v>
      </c>
      <c r="Q4210" s="5"/>
      <c r="R4210" s="5"/>
    </row>
    <row r="4211" spans="2:18" x14ac:dyDescent="0.25">
      <c r="B4211" s="19" t="s">
        <v>5538</v>
      </c>
      <c r="C4211" s="16"/>
      <c r="D4211" s="16" t="s">
        <v>29</v>
      </c>
      <c r="E4211" s="16"/>
      <c r="F4211" s="5"/>
      <c r="G4211" s="16" t="s">
        <v>35</v>
      </c>
      <c r="H4211" s="16"/>
      <c r="I4211" s="16"/>
      <c r="J4211" s="16"/>
      <c r="K4211" s="16"/>
      <c r="L4211" s="16"/>
      <c r="M4211" s="16"/>
      <c r="N4211" s="16"/>
      <c r="O4211" s="17"/>
      <c r="P4211" s="5" t="str">
        <f t="shared" si="96"/>
        <v>Truncate table MRAPG1;</v>
      </c>
      <c r="Q4211" s="5"/>
      <c r="R4211" s="5"/>
    </row>
    <row r="4212" spans="2:18" x14ac:dyDescent="0.25">
      <c r="B4212" s="19" t="s">
        <v>5539</v>
      </c>
      <c r="C4212" s="16"/>
      <c r="D4212" s="16" t="s">
        <v>29</v>
      </c>
      <c r="E4212" s="16"/>
      <c r="F4212" s="5"/>
      <c r="G4212" s="16" t="s">
        <v>35</v>
      </c>
      <c r="H4212" s="16"/>
      <c r="I4212" s="16"/>
      <c r="J4212" s="16"/>
      <c r="K4212" s="16"/>
      <c r="L4212" s="16"/>
      <c r="M4212" s="16"/>
      <c r="N4212" s="16"/>
      <c r="O4212" s="17"/>
      <c r="P4212" s="5" t="str">
        <f t="shared" si="96"/>
        <v>Truncate table MRAPG2;</v>
      </c>
      <c r="Q4212" s="5"/>
      <c r="R4212" s="5"/>
    </row>
    <row r="4213" spans="2:18" x14ac:dyDescent="0.25">
      <c r="B4213" s="19" t="s">
        <v>5540</v>
      </c>
      <c r="C4213" s="16"/>
      <c r="D4213" s="16" t="s">
        <v>29</v>
      </c>
      <c r="E4213" s="16"/>
      <c r="F4213" s="5"/>
      <c r="G4213" s="16" t="s">
        <v>35</v>
      </c>
      <c r="H4213" s="16"/>
      <c r="I4213" s="16"/>
      <c r="J4213" s="16"/>
      <c r="K4213" s="16"/>
      <c r="L4213" s="16"/>
      <c r="M4213" s="16"/>
      <c r="N4213" s="16"/>
      <c r="O4213" s="17"/>
      <c r="P4213" s="5" t="str">
        <f t="shared" si="96"/>
        <v>Truncate table MRAPG3;</v>
      </c>
      <c r="Q4213" s="5"/>
      <c r="R4213" s="5"/>
    </row>
    <row r="4214" spans="2:18" x14ac:dyDescent="0.25">
      <c r="B4214" s="19" t="s">
        <v>5541</v>
      </c>
      <c r="C4214" s="16"/>
      <c r="D4214" s="16" t="s">
        <v>29</v>
      </c>
      <c r="E4214" s="16"/>
      <c r="F4214" s="5"/>
      <c r="G4214" s="16" t="s">
        <v>35</v>
      </c>
      <c r="H4214" s="16"/>
      <c r="I4214" s="16"/>
      <c r="J4214" s="16"/>
      <c r="K4214" s="16"/>
      <c r="L4214" s="16"/>
      <c r="M4214" s="16"/>
      <c r="N4214" s="16"/>
      <c r="O4214" s="17"/>
      <c r="P4214" s="5" t="str">
        <f t="shared" si="96"/>
        <v>Truncate table MRAPG4;</v>
      </c>
      <c r="Q4214" s="5"/>
      <c r="R4214" s="5"/>
    </row>
    <row r="4215" spans="2:18" x14ac:dyDescent="0.25">
      <c r="B4215" s="19" t="s">
        <v>5542</v>
      </c>
      <c r="C4215" s="16"/>
      <c r="D4215" s="16" t="s">
        <v>29</v>
      </c>
      <c r="E4215" s="16"/>
      <c r="F4215" s="5"/>
      <c r="G4215" s="16" t="s">
        <v>35</v>
      </c>
      <c r="H4215" s="16"/>
      <c r="I4215" s="16"/>
      <c r="J4215" s="16"/>
      <c r="K4215" s="16"/>
      <c r="L4215" s="16"/>
      <c r="M4215" s="16"/>
      <c r="N4215" s="16"/>
      <c r="O4215" s="17"/>
      <c r="P4215" s="5" t="str">
        <f t="shared" si="96"/>
        <v>Truncate table MRAPG5;</v>
      </c>
      <c r="Q4215" s="5"/>
      <c r="R4215" s="5"/>
    </row>
    <row r="4216" spans="2:18" x14ac:dyDescent="0.25">
      <c r="B4216" s="19" t="s">
        <v>5543</v>
      </c>
      <c r="C4216" s="16"/>
      <c r="D4216" s="16" t="s">
        <v>29</v>
      </c>
      <c r="E4216" s="16"/>
      <c r="F4216" s="5"/>
      <c r="G4216" s="16" t="s">
        <v>35</v>
      </c>
      <c r="H4216" s="16"/>
      <c r="I4216" s="16"/>
      <c r="J4216" s="16"/>
      <c r="K4216" s="16"/>
      <c r="L4216" s="16"/>
      <c r="M4216" s="16"/>
      <c r="N4216" s="16"/>
      <c r="O4216" s="17"/>
      <c r="P4216" s="5" t="str">
        <f t="shared" si="96"/>
        <v>Truncate table MRAPG6;</v>
      </c>
      <c r="Q4216" s="5"/>
      <c r="R4216" s="5"/>
    </row>
    <row r="4217" spans="2:18" x14ac:dyDescent="0.25">
      <c r="B4217" s="19" t="s">
        <v>5544</v>
      </c>
      <c r="C4217" s="16"/>
      <c r="D4217" s="16" t="s">
        <v>29</v>
      </c>
      <c r="E4217" s="16"/>
      <c r="F4217" s="5"/>
      <c r="G4217" s="16" t="s">
        <v>35</v>
      </c>
      <c r="H4217" s="16"/>
      <c r="I4217" s="16"/>
      <c r="J4217" s="16"/>
      <c r="K4217" s="16"/>
      <c r="L4217" s="16"/>
      <c r="M4217" s="16"/>
      <c r="N4217" s="16"/>
      <c r="O4217" s="17"/>
      <c r="P4217" s="5" t="str">
        <f t="shared" si="96"/>
        <v>Truncate table MRAPG7;</v>
      </c>
      <c r="Q4217" s="5"/>
      <c r="R4217" s="5"/>
    </row>
    <row r="4218" spans="2:18" x14ac:dyDescent="0.25">
      <c r="B4218" s="19" t="s">
        <v>5545</v>
      </c>
      <c r="C4218" s="16"/>
      <c r="D4218" s="16" t="s">
        <v>29</v>
      </c>
      <c r="E4218" s="16"/>
      <c r="F4218" s="5"/>
      <c r="G4218" s="16" t="s">
        <v>35</v>
      </c>
      <c r="H4218" s="16"/>
      <c r="I4218" s="16"/>
      <c r="J4218" s="16"/>
      <c r="K4218" s="16"/>
      <c r="L4218" s="16"/>
      <c r="M4218" s="16"/>
      <c r="N4218" s="16"/>
      <c r="O4218" s="17"/>
      <c r="P4218" s="5" t="str">
        <f t="shared" si="96"/>
        <v>Truncate table MRCM01;</v>
      </c>
      <c r="Q4218" s="5"/>
      <c r="R4218" s="5"/>
    </row>
    <row r="4219" spans="2:18" x14ac:dyDescent="0.25">
      <c r="B4219" s="19" t="s">
        <v>5546</v>
      </c>
      <c r="C4219" s="16"/>
      <c r="D4219" s="16" t="s">
        <v>29</v>
      </c>
      <c r="E4219" s="16"/>
      <c r="F4219" s="5"/>
      <c r="G4219" s="16" t="s">
        <v>35</v>
      </c>
      <c r="H4219" s="16"/>
      <c r="I4219" s="16"/>
      <c r="J4219" s="16"/>
      <c r="K4219" s="16"/>
      <c r="L4219" s="16"/>
      <c r="M4219" s="16"/>
      <c r="N4219" s="16"/>
      <c r="O4219" s="17"/>
      <c r="P4219" s="5" t="str">
        <f t="shared" si="96"/>
        <v>Truncate table MRCM02;</v>
      </c>
      <c r="Q4219" s="5"/>
      <c r="R4219" s="5"/>
    </row>
    <row r="4220" spans="2:18" x14ac:dyDescent="0.25">
      <c r="B4220" s="19" t="s">
        <v>5547</v>
      </c>
      <c r="C4220" s="16"/>
      <c r="D4220" s="16" t="s">
        <v>29</v>
      </c>
      <c r="E4220" s="16"/>
      <c r="F4220" s="5"/>
      <c r="G4220" s="16" t="s">
        <v>35</v>
      </c>
      <c r="H4220" s="16"/>
      <c r="I4220" s="16"/>
      <c r="J4220" s="16"/>
      <c r="K4220" s="16"/>
      <c r="L4220" s="16"/>
      <c r="M4220" s="16"/>
      <c r="N4220" s="16"/>
      <c r="O4220" s="17"/>
      <c r="P4220" s="5" t="str">
        <f t="shared" si="96"/>
        <v>Truncate table MRCM06;</v>
      </c>
      <c r="Q4220" s="5"/>
      <c r="R4220" s="5"/>
    </row>
    <row r="4221" spans="2:18" x14ac:dyDescent="0.25">
      <c r="B4221" s="19" t="s">
        <v>5548</v>
      </c>
      <c r="C4221" s="16"/>
      <c r="D4221" s="16" t="s">
        <v>29</v>
      </c>
      <c r="E4221" s="16"/>
      <c r="F4221" s="5"/>
      <c r="G4221" s="16" t="s">
        <v>35</v>
      </c>
      <c r="H4221" s="16"/>
      <c r="I4221" s="16"/>
      <c r="J4221" s="16"/>
      <c r="K4221" s="16"/>
      <c r="L4221" s="16"/>
      <c r="M4221" s="16"/>
      <c r="N4221" s="16"/>
      <c r="O4221" s="17"/>
      <c r="P4221" s="5" t="str">
        <f t="shared" si="96"/>
        <v>Truncate table MRCM09;</v>
      </c>
      <c r="Q4221" s="5"/>
      <c r="R4221" s="5"/>
    </row>
    <row r="4222" spans="2:18" x14ac:dyDescent="0.25">
      <c r="B4222" s="19" t="s">
        <v>5549</v>
      </c>
      <c r="C4222" s="16"/>
      <c r="D4222" s="16" t="s">
        <v>29</v>
      </c>
      <c r="E4222" s="16"/>
      <c r="F4222" s="5"/>
      <c r="G4222" s="16" t="s">
        <v>35</v>
      </c>
      <c r="H4222" s="16"/>
      <c r="I4222" s="16"/>
      <c r="J4222" s="16"/>
      <c r="K4222" s="16"/>
      <c r="L4222" s="16"/>
      <c r="M4222" s="16"/>
      <c r="N4222" s="16"/>
      <c r="O4222" s="17"/>
      <c r="P4222" s="5" t="str">
        <f t="shared" si="96"/>
        <v>Truncate table MRCM11;</v>
      </c>
      <c r="Q4222" s="5"/>
      <c r="R4222" s="5"/>
    </row>
    <row r="4223" spans="2:18" x14ac:dyDescent="0.25">
      <c r="B4223" s="19" t="s">
        <v>5550</v>
      </c>
      <c r="C4223" s="16"/>
      <c r="D4223" s="16" t="s">
        <v>29</v>
      </c>
      <c r="E4223" s="16"/>
      <c r="F4223" s="5"/>
      <c r="G4223" s="16" t="s">
        <v>35</v>
      </c>
      <c r="H4223" s="16"/>
      <c r="I4223" s="16"/>
      <c r="J4223" s="16"/>
      <c r="K4223" s="16"/>
      <c r="L4223" s="16"/>
      <c r="M4223" s="16"/>
      <c r="N4223" s="16"/>
      <c r="O4223" s="17"/>
      <c r="P4223" s="5" t="str">
        <f t="shared" si="96"/>
        <v>Truncate table MRCM12;</v>
      </c>
      <c r="Q4223" s="5"/>
      <c r="R4223" s="5"/>
    </row>
    <row r="4224" spans="2:18" x14ac:dyDescent="0.25">
      <c r="B4224" s="19" t="s">
        <v>5551</v>
      </c>
      <c r="C4224" s="16"/>
      <c r="D4224" s="16" t="s">
        <v>29</v>
      </c>
      <c r="E4224" s="16"/>
      <c r="F4224" s="5"/>
      <c r="G4224" s="16" t="s">
        <v>35</v>
      </c>
      <c r="H4224" s="16"/>
      <c r="I4224" s="16"/>
      <c r="J4224" s="16"/>
      <c r="K4224" s="16"/>
      <c r="L4224" s="16"/>
      <c r="M4224" s="16"/>
      <c r="N4224" s="16"/>
      <c r="O4224" s="17"/>
      <c r="P4224" s="5" t="str">
        <f t="shared" si="96"/>
        <v>Truncate table MRCM20;</v>
      </c>
      <c r="Q4224" s="5"/>
      <c r="R4224" s="5"/>
    </row>
    <row r="4225" spans="2:18" x14ac:dyDescent="0.25">
      <c r="B4225" s="19" t="s">
        <v>5552</v>
      </c>
      <c r="C4225" s="16"/>
      <c r="D4225" s="16" t="s">
        <v>29</v>
      </c>
      <c r="E4225" s="16"/>
      <c r="F4225" s="5"/>
      <c r="G4225" s="16" t="s">
        <v>35</v>
      </c>
      <c r="H4225" s="16"/>
      <c r="I4225" s="16"/>
      <c r="J4225" s="16"/>
      <c r="K4225" s="16"/>
      <c r="L4225" s="16"/>
      <c r="M4225" s="16"/>
      <c r="N4225" s="16"/>
      <c r="O4225" s="17"/>
      <c r="P4225" s="5" t="str">
        <f t="shared" si="96"/>
        <v>Truncate table MRCM21;</v>
      </c>
      <c r="Q4225" s="5"/>
      <c r="R4225" s="5"/>
    </row>
    <row r="4226" spans="2:18" x14ac:dyDescent="0.25">
      <c r="B4226" s="19" t="s">
        <v>5553</v>
      </c>
      <c r="C4226" s="16"/>
      <c r="D4226" s="16" t="s">
        <v>29</v>
      </c>
      <c r="E4226" s="16"/>
      <c r="F4226" s="5"/>
      <c r="G4226" s="16" t="s">
        <v>35</v>
      </c>
      <c r="H4226" s="16"/>
      <c r="I4226" s="16"/>
      <c r="J4226" s="16"/>
      <c r="K4226" s="16"/>
      <c r="L4226" s="16"/>
      <c r="M4226" s="16"/>
      <c r="N4226" s="16"/>
      <c r="O4226" s="17"/>
      <c r="P4226" s="5" t="str">
        <f t="shared" si="96"/>
        <v>Truncate table MRCM25;</v>
      </c>
      <c r="Q4226" s="5"/>
      <c r="R4226" s="5"/>
    </row>
    <row r="4227" spans="2:18" x14ac:dyDescent="0.25">
      <c r="B4227" s="19" t="s">
        <v>5554</v>
      </c>
      <c r="C4227" s="16"/>
      <c r="D4227" s="16" t="s">
        <v>29</v>
      </c>
      <c r="E4227" s="16"/>
      <c r="F4227" s="5"/>
      <c r="G4227" s="16" t="s">
        <v>35</v>
      </c>
      <c r="H4227" s="16"/>
      <c r="I4227" s="16"/>
      <c r="J4227" s="16"/>
      <c r="K4227" s="16"/>
      <c r="L4227" s="16"/>
      <c r="M4227" s="16"/>
      <c r="N4227" s="16"/>
      <c r="O4227" s="17"/>
      <c r="P4227" s="5" t="str">
        <f t="shared" ref="P4227:P4290" si="97">IF(D4227="Datos","Truncate table "&amp; B4227&amp; ";","")</f>
        <v>Truncate table MRCM30;</v>
      </c>
      <c r="Q4227" s="5"/>
      <c r="R4227" s="5"/>
    </row>
    <row r="4228" spans="2:18" x14ac:dyDescent="0.25">
      <c r="B4228" s="19" t="s">
        <v>5555</v>
      </c>
      <c r="C4228" s="16"/>
      <c r="D4228" s="16" t="s">
        <v>29</v>
      </c>
      <c r="E4228" s="16"/>
      <c r="F4228" s="5"/>
      <c r="G4228" s="16" t="s">
        <v>35</v>
      </c>
      <c r="H4228" s="16"/>
      <c r="I4228" s="16"/>
      <c r="J4228" s="16"/>
      <c r="K4228" s="16"/>
      <c r="L4228" s="16"/>
      <c r="M4228" s="16"/>
      <c r="N4228" s="16"/>
      <c r="O4228" s="17"/>
      <c r="P4228" s="5" t="str">
        <f t="shared" si="97"/>
        <v>Truncate table MRCM35;</v>
      </c>
      <c r="Q4228" s="5"/>
      <c r="R4228" s="5"/>
    </row>
    <row r="4229" spans="2:18" x14ac:dyDescent="0.25">
      <c r="B4229" s="19" t="s">
        <v>5556</v>
      </c>
      <c r="C4229" s="16"/>
      <c r="D4229" s="16" t="s">
        <v>29</v>
      </c>
      <c r="E4229" s="16"/>
      <c r="F4229" s="5"/>
      <c r="G4229" s="16" t="s">
        <v>35</v>
      </c>
      <c r="H4229" s="16"/>
      <c r="I4229" s="16"/>
      <c r="J4229" s="16"/>
      <c r="K4229" s="16"/>
      <c r="L4229" s="16"/>
      <c r="M4229" s="16"/>
      <c r="N4229" s="16"/>
      <c r="O4229" s="17"/>
      <c r="P4229" s="5" t="str">
        <f t="shared" si="97"/>
        <v>Truncate table MRCM36;</v>
      </c>
      <c r="Q4229" s="5"/>
      <c r="R4229" s="5"/>
    </row>
    <row r="4230" spans="2:18" x14ac:dyDescent="0.25">
      <c r="B4230" s="19" t="s">
        <v>5557</v>
      </c>
      <c r="C4230" s="16"/>
      <c r="D4230" s="16" t="s">
        <v>29</v>
      </c>
      <c r="E4230" s="16"/>
      <c r="F4230" s="5"/>
      <c r="G4230" s="16" t="s">
        <v>35</v>
      </c>
      <c r="H4230" s="16"/>
      <c r="I4230" s="16"/>
      <c r="J4230" s="16"/>
      <c r="K4230" s="16"/>
      <c r="L4230" s="16"/>
      <c r="M4230" s="16"/>
      <c r="N4230" s="16"/>
      <c r="O4230" s="17"/>
      <c r="P4230" s="5" t="str">
        <f t="shared" si="97"/>
        <v>Truncate table MRCM50;</v>
      </c>
      <c r="Q4230" s="5"/>
      <c r="R4230" s="5"/>
    </row>
    <row r="4231" spans="2:18" x14ac:dyDescent="0.25">
      <c r="B4231" s="19" t="s">
        <v>5558</v>
      </c>
      <c r="C4231" s="16"/>
      <c r="D4231" s="16" t="s">
        <v>29</v>
      </c>
      <c r="E4231" s="16"/>
      <c r="F4231" s="5"/>
      <c r="G4231" s="16" t="s">
        <v>35</v>
      </c>
      <c r="H4231" s="16"/>
      <c r="I4231" s="16"/>
      <c r="J4231" s="16"/>
      <c r="K4231" s="16"/>
      <c r="L4231" s="16"/>
      <c r="M4231" s="16"/>
      <c r="N4231" s="16"/>
      <c r="O4231" s="17"/>
      <c r="P4231" s="5" t="str">
        <f t="shared" si="97"/>
        <v>Truncate table MRCM501;</v>
      </c>
      <c r="Q4231" s="5"/>
      <c r="R4231" s="5"/>
    </row>
    <row r="4232" spans="2:18" x14ac:dyDescent="0.25">
      <c r="B4232" s="19" t="s">
        <v>5559</v>
      </c>
      <c r="C4232" s="16"/>
      <c r="D4232" s="16" t="s">
        <v>29</v>
      </c>
      <c r="E4232" s="16"/>
      <c r="F4232" s="5"/>
      <c r="G4232" s="16" t="s">
        <v>35</v>
      </c>
      <c r="H4232" s="16"/>
      <c r="I4232" s="16"/>
      <c r="J4232" s="16"/>
      <c r="K4232" s="16"/>
      <c r="L4232" s="16"/>
      <c r="M4232" s="16"/>
      <c r="N4232" s="16"/>
      <c r="O4232" s="17"/>
      <c r="P4232" s="5" t="str">
        <f t="shared" si="97"/>
        <v>Truncate table MRCMC1;</v>
      </c>
      <c r="Q4232" s="5"/>
      <c r="R4232" s="5"/>
    </row>
    <row r="4233" spans="2:18" x14ac:dyDescent="0.25">
      <c r="B4233" s="19" t="s">
        <v>5560</v>
      </c>
      <c r="C4233" s="16"/>
      <c r="D4233" s="16" t="s">
        <v>29</v>
      </c>
      <c r="E4233" s="16"/>
      <c r="F4233" s="5"/>
      <c r="G4233" s="16" t="s">
        <v>35</v>
      </c>
      <c r="H4233" s="16"/>
      <c r="I4233" s="16"/>
      <c r="J4233" s="16"/>
      <c r="K4233" s="16"/>
      <c r="L4233" s="16"/>
      <c r="M4233" s="16"/>
      <c r="N4233" s="16"/>
      <c r="O4233" s="17"/>
      <c r="P4233" s="5" t="str">
        <f t="shared" si="97"/>
        <v>Truncate table MRCMC2;</v>
      </c>
      <c r="Q4233" s="5"/>
      <c r="R4233" s="5"/>
    </row>
    <row r="4234" spans="2:18" x14ac:dyDescent="0.25">
      <c r="B4234" s="19" t="s">
        <v>5561</v>
      </c>
      <c r="C4234" s="16"/>
      <c r="D4234" s="16" t="s">
        <v>29</v>
      </c>
      <c r="E4234" s="16"/>
      <c r="F4234" s="5"/>
      <c r="G4234" s="16" t="s">
        <v>35</v>
      </c>
      <c r="H4234" s="16"/>
      <c r="I4234" s="16"/>
      <c r="J4234" s="16"/>
      <c r="K4234" s="16"/>
      <c r="L4234" s="16"/>
      <c r="M4234" s="16"/>
      <c r="N4234" s="16"/>
      <c r="O4234" s="17"/>
      <c r="P4234" s="5" t="str">
        <f t="shared" si="97"/>
        <v>Truncate table MRCMC4;</v>
      </c>
      <c r="Q4234" s="5"/>
      <c r="R4234" s="5"/>
    </row>
    <row r="4235" spans="2:18" x14ac:dyDescent="0.25">
      <c r="B4235" s="19" t="s">
        <v>5562</v>
      </c>
      <c r="C4235" s="16" t="s">
        <v>5563</v>
      </c>
      <c r="D4235" s="16" t="s">
        <v>8152</v>
      </c>
      <c r="E4235" s="16" t="s">
        <v>54</v>
      </c>
      <c r="F4235" s="5" t="s">
        <v>3711</v>
      </c>
      <c r="G4235" s="16" t="s">
        <v>35</v>
      </c>
      <c r="H4235" s="16"/>
      <c r="I4235" s="16"/>
      <c r="J4235" s="16"/>
      <c r="K4235" s="16"/>
      <c r="L4235" s="16"/>
      <c r="M4235" s="16"/>
      <c r="N4235" s="16"/>
      <c r="O4235" s="17" t="s">
        <v>38</v>
      </c>
      <c r="P4235" s="5" t="str">
        <f t="shared" si="97"/>
        <v/>
      </c>
      <c r="Q4235" s="5"/>
      <c r="R4235" s="5"/>
    </row>
    <row r="4236" spans="2:18" x14ac:dyDescent="0.25">
      <c r="B4236" s="19" t="s">
        <v>5564</v>
      </c>
      <c r="C4236" s="16" t="s">
        <v>5563</v>
      </c>
      <c r="D4236" s="16" t="s">
        <v>8152</v>
      </c>
      <c r="E4236" s="16" t="s">
        <v>54</v>
      </c>
      <c r="F4236" s="5" t="s">
        <v>3711</v>
      </c>
      <c r="G4236" s="16" t="s">
        <v>35</v>
      </c>
      <c r="H4236" s="16"/>
      <c r="I4236" s="16"/>
      <c r="J4236" s="16"/>
      <c r="K4236" s="16"/>
      <c r="L4236" s="16"/>
      <c r="M4236" s="16"/>
      <c r="N4236" s="5" t="s">
        <v>5565</v>
      </c>
      <c r="O4236" s="17" t="s">
        <v>38</v>
      </c>
      <c r="P4236" s="5" t="str">
        <f t="shared" si="97"/>
        <v/>
      </c>
      <c r="Q4236" s="5"/>
      <c r="R4236" s="5"/>
    </row>
    <row r="4237" spans="2:18" x14ac:dyDescent="0.25">
      <c r="B4237" s="19" t="s">
        <v>5566</v>
      </c>
      <c r="C4237" s="16" t="s">
        <v>5563</v>
      </c>
      <c r="D4237" s="16" t="s">
        <v>8152</v>
      </c>
      <c r="E4237" s="16" t="s">
        <v>54</v>
      </c>
      <c r="F4237" s="5" t="s">
        <v>3711</v>
      </c>
      <c r="G4237" s="16" t="s">
        <v>35</v>
      </c>
      <c r="H4237" s="16"/>
      <c r="I4237" s="16"/>
      <c r="J4237" s="16"/>
      <c r="K4237" s="16"/>
      <c r="L4237" s="16"/>
      <c r="M4237" s="16"/>
      <c r="N4237" s="16"/>
      <c r="O4237" s="17" t="s">
        <v>38</v>
      </c>
      <c r="P4237" s="5" t="str">
        <f t="shared" si="97"/>
        <v/>
      </c>
      <c r="Q4237" s="5"/>
      <c r="R4237" s="5"/>
    </row>
    <row r="4238" spans="2:18" ht="27" x14ac:dyDescent="0.25">
      <c r="B4238" s="19" t="s">
        <v>5567</v>
      </c>
      <c r="C4238" s="16" t="s">
        <v>5563</v>
      </c>
      <c r="D4238" s="16" t="s">
        <v>29</v>
      </c>
      <c r="E4238" s="16" t="s">
        <v>54</v>
      </c>
      <c r="F4238" s="5" t="s">
        <v>3711</v>
      </c>
      <c r="G4238" s="16" t="s">
        <v>35</v>
      </c>
      <c r="H4238" s="16"/>
      <c r="I4238" s="16"/>
      <c r="J4238" s="16"/>
      <c r="K4238" s="16"/>
      <c r="L4238" s="16"/>
      <c r="M4238" s="16"/>
      <c r="N4238" s="16"/>
      <c r="O4238" s="17" t="s">
        <v>38</v>
      </c>
      <c r="P4238" s="5" t="str">
        <f t="shared" si="97"/>
        <v>Truncate table MSG0100K_20140813;</v>
      </c>
      <c r="Q4238" s="5"/>
      <c r="R4238" s="5"/>
    </row>
    <row r="4239" spans="2:18" x14ac:dyDescent="0.25">
      <c r="B4239" s="19" t="s">
        <v>5568</v>
      </c>
      <c r="C4239" s="16" t="s">
        <v>5563</v>
      </c>
      <c r="D4239" s="16" t="s">
        <v>29</v>
      </c>
      <c r="E4239" s="16" t="s">
        <v>54</v>
      </c>
      <c r="F4239" s="5" t="s">
        <v>3711</v>
      </c>
      <c r="G4239" s="16" t="s">
        <v>35</v>
      </c>
      <c r="H4239" s="16"/>
      <c r="I4239" s="16"/>
      <c r="J4239" s="16"/>
      <c r="K4239" s="16"/>
      <c r="L4239" s="16"/>
      <c r="M4239" s="16"/>
      <c r="N4239" s="16"/>
      <c r="O4239" s="17" t="s">
        <v>38</v>
      </c>
      <c r="P4239" s="5" t="str">
        <f t="shared" si="97"/>
        <v>Truncate table MSG050;</v>
      </c>
      <c r="Q4239" s="5"/>
      <c r="R4239" s="5"/>
    </row>
    <row r="4240" spans="2:18" x14ac:dyDescent="0.25">
      <c r="B4240" s="19" t="s">
        <v>5569</v>
      </c>
      <c r="C4240" s="16"/>
      <c r="D4240" s="16" t="s">
        <v>29</v>
      </c>
      <c r="E4240" s="16"/>
      <c r="F4240" s="5"/>
      <c r="G4240" s="16" t="s">
        <v>35</v>
      </c>
      <c r="H4240" s="16"/>
      <c r="I4240" s="16"/>
      <c r="J4240" s="16"/>
      <c r="K4240" s="16"/>
      <c r="L4240" s="16"/>
      <c r="M4240" s="16"/>
      <c r="N4240" s="16"/>
      <c r="O4240" s="17"/>
      <c r="P4240" s="5" t="str">
        <f t="shared" si="97"/>
        <v>Truncate table MSG051;</v>
      </c>
      <c r="Q4240" s="5"/>
      <c r="R4240" s="5"/>
    </row>
    <row r="4241" spans="2:18" x14ac:dyDescent="0.25">
      <c r="B4241" s="19" t="s">
        <v>5570</v>
      </c>
      <c r="C4241" s="16" t="s">
        <v>5563</v>
      </c>
      <c r="D4241" s="16" t="s">
        <v>8152</v>
      </c>
      <c r="E4241" s="16" t="s">
        <v>54</v>
      </c>
      <c r="F4241" s="5" t="s">
        <v>3711</v>
      </c>
      <c r="G4241" s="16" t="s">
        <v>35</v>
      </c>
      <c r="H4241" s="16"/>
      <c r="I4241" s="16"/>
      <c r="J4241" s="16"/>
      <c r="K4241" s="16"/>
      <c r="L4241" s="16"/>
      <c r="M4241" s="16"/>
      <c r="N4241" s="16"/>
      <c r="O4241" s="17" t="s">
        <v>38</v>
      </c>
      <c r="P4241" s="5" t="str">
        <f t="shared" si="97"/>
        <v/>
      </c>
      <c r="Q4241" s="5"/>
      <c r="R4241" s="5"/>
    </row>
    <row r="4242" spans="2:18" x14ac:dyDescent="0.25">
      <c r="B4242" s="19" t="s">
        <v>5571</v>
      </c>
      <c r="C4242" s="16" t="s">
        <v>5563</v>
      </c>
      <c r="D4242" s="16" t="s">
        <v>8152</v>
      </c>
      <c r="E4242" s="16" t="s">
        <v>54</v>
      </c>
      <c r="F4242" s="5" t="s">
        <v>3711</v>
      </c>
      <c r="G4242" s="16" t="s">
        <v>35</v>
      </c>
      <c r="H4242" s="16"/>
      <c r="I4242" s="16"/>
      <c r="J4242" s="16"/>
      <c r="K4242" s="16"/>
      <c r="L4242" s="16"/>
      <c r="M4242" s="16"/>
      <c r="N4242" s="16"/>
      <c r="O4242" s="17" t="s">
        <v>38</v>
      </c>
      <c r="P4242" s="5" t="str">
        <f t="shared" si="97"/>
        <v/>
      </c>
      <c r="Q4242" s="5"/>
      <c r="R4242" s="5"/>
    </row>
    <row r="4243" spans="2:18" x14ac:dyDescent="0.25">
      <c r="B4243" s="19" t="s">
        <v>5572</v>
      </c>
      <c r="C4243" s="16" t="s">
        <v>5563</v>
      </c>
      <c r="D4243" s="16" t="s">
        <v>8152</v>
      </c>
      <c r="E4243" s="16" t="s">
        <v>54</v>
      </c>
      <c r="F4243" s="5" t="s">
        <v>3711</v>
      </c>
      <c r="G4243" s="16" t="s">
        <v>35</v>
      </c>
      <c r="H4243" s="16"/>
      <c r="I4243" s="16"/>
      <c r="J4243" s="16"/>
      <c r="K4243" s="16"/>
      <c r="L4243" s="16"/>
      <c r="M4243" s="16"/>
      <c r="N4243" s="16"/>
      <c r="O4243" s="17" t="s">
        <v>38</v>
      </c>
      <c r="P4243" s="5" t="str">
        <f t="shared" si="97"/>
        <v/>
      </c>
      <c r="Q4243" s="5"/>
      <c r="R4243" s="5"/>
    </row>
    <row r="4244" spans="2:18" x14ac:dyDescent="0.25">
      <c r="B4244" s="19" t="s">
        <v>5573</v>
      </c>
      <c r="C4244" s="16" t="s">
        <v>5563</v>
      </c>
      <c r="D4244" s="16" t="s">
        <v>8152</v>
      </c>
      <c r="E4244" s="16" t="s">
        <v>54</v>
      </c>
      <c r="F4244" s="5" t="s">
        <v>3711</v>
      </c>
      <c r="G4244" s="16" t="s">
        <v>35</v>
      </c>
      <c r="H4244" s="16"/>
      <c r="I4244" s="16"/>
      <c r="J4244" s="16"/>
      <c r="K4244" s="16"/>
      <c r="L4244" s="16"/>
      <c r="M4244" s="16"/>
      <c r="N4244" s="16"/>
      <c r="O4244" s="17" t="s">
        <v>38</v>
      </c>
      <c r="P4244" s="5" t="str">
        <f t="shared" si="97"/>
        <v/>
      </c>
      <c r="Q4244" s="5"/>
      <c r="R4244" s="5"/>
    </row>
    <row r="4245" spans="2:18" x14ac:dyDescent="0.25">
      <c r="B4245" s="19" t="s">
        <v>5574</v>
      </c>
      <c r="C4245" s="16" t="s">
        <v>5563</v>
      </c>
      <c r="D4245" s="16" t="s">
        <v>8152</v>
      </c>
      <c r="E4245" s="16" t="s">
        <v>54</v>
      </c>
      <c r="F4245" s="5" t="s">
        <v>3711</v>
      </c>
      <c r="G4245" s="16" t="s">
        <v>35</v>
      </c>
      <c r="H4245" s="16"/>
      <c r="I4245" s="16"/>
      <c r="J4245" s="16"/>
      <c r="K4245" s="16"/>
      <c r="L4245" s="16"/>
      <c r="M4245" s="16"/>
      <c r="N4245" s="16"/>
      <c r="O4245" s="17" t="s">
        <v>38</v>
      </c>
      <c r="P4245" s="5" t="str">
        <f t="shared" si="97"/>
        <v/>
      </c>
      <c r="Q4245" s="5"/>
      <c r="R4245" s="5"/>
    </row>
    <row r="4246" spans="2:18" x14ac:dyDescent="0.25">
      <c r="B4246" s="19" t="s">
        <v>5575</v>
      </c>
      <c r="C4246" s="16" t="s">
        <v>5563</v>
      </c>
      <c r="D4246" s="16" t="s">
        <v>8152</v>
      </c>
      <c r="E4246" s="16" t="s">
        <v>54</v>
      </c>
      <c r="F4246" s="5" t="s">
        <v>3711</v>
      </c>
      <c r="G4246" s="16" t="s">
        <v>35</v>
      </c>
      <c r="H4246" s="16"/>
      <c r="I4246" s="16"/>
      <c r="J4246" s="16"/>
      <c r="K4246" s="16"/>
      <c r="L4246" s="16"/>
      <c r="M4246" s="16"/>
      <c r="N4246" s="16"/>
      <c r="O4246" s="17" t="s">
        <v>38</v>
      </c>
      <c r="P4246" s="5" t="str">
        <f t="shared" si="97"/>
        <v/>
      </c>
      <c r="Q4246" s="5"/>
      <c r="R4246" s="5"/>
    </row>
    <row r="4247" spans="2:18" x14ac:dyDescent="0.25">
      <c r="B4247" s="19" t="s">
        <v>5576</v>
      </c>
      <c r="C4247" s="16" t="s">
        <v>5563</v>
      </c>
      <c r="D4247" s="16" t="s">
        <v>8152</v>
      </c>
      <c r="E4247" s="16" t="s">
        <v>54</v>
      </c>
      <c r="F4247" s="5" t="s">
        <v>3711</v>
      </c>
      <c r="G4247" s="16" t="s">
        <v>35</v>
      </c>
      <c r="H4247" s="16"/>
      <c r="I4247" s="16"/>
      <c r="J4247" s="16"/>
      <c r="K4247" s="16"/>
      <c r="L4247" s="16"/>
      <c r="M4247" s="16"/>
      <c r="N4247" s="16"/>
      <c r="O4247" s="17" t="s">
        <v>38</v>
      </c>
      <c r="P4247" s="5" t="str">
        <f t="shared" si="97"/>
        <v/>
      </c>
      <c r="Q4247" s="5"/>
      <c r="R4247" s="5"/>
    </row>
    <row r="4248" spans="2:18" x14ac:dyDescent="0.25">
      <c r="B4248" s="19" t="s">
        <v>5577</v>
      </c>
      <c r="C4248" s="16" t="s">
        <v>5563</v>
      </c>
      <c r="D4248" s="16" t="s">
        <v>8152</v>
      </c>
      <c r="E4248" s="16" t="s">
        <v>54</v>
      </c>
      <c r="F4248" s="5" t="s">
        <v>3711</v>
      </c>
      <c r="G4248" s="16" t="s">
        <v>35</v>
      </c>
      <c r="H4248" s="16"/>
      <c r="I4248" s="16"/>
      <c r="J4248" s="16"/>
      <c r="K4248" s="16"/>
      <c r="L4248" s="16"/>
      <c r="M4248" s="16"/>
      <c r="N4248" s="16"/>
      <c r="O4248" s="17" t="s">
        <v>38</v>
      </c>
      <c r="P4248" s="5" t="str">
        <f t="shared" si="97"/>
        <v/>
      </c>
      <c r="Q4248" s="5"/>
      <c r="R4248" s="5"/>
    </row>
    <row r="4249" spans="2:18" x14ac:dyDescent="0.25">
      <c r="B4249" s="19" t="s">
        <v>5578</v>
      </c>
      <c r="C4249" s="16" t="s">
        <v>5563</v>
      </c>
      <c r="D4249" s="16" t="s">
        <v>29</v>
      </c>
      <c r="E4249" s="16" t="s">
        <v>54</v>
      </c>
      <c r="F4249" s="5" t="s">
        <v>3711</v>
      </c>
      <c r="G4249" s="16" t="s">
        <v>35</v>
      </c>
      <c r="H4249" s="16"/>
      <c r="I4249" s="16"/>
      <c r="J4249" s="16"/>
      <c r="K4249" s="16"/>
      <c r="L4249" s="16"/>
      <c r="M4249" s="16"/>
      <c r="N4249" s="16"/>
      <c r="O4249" s="17" t="s">
        <v>38</v>
      </c>
      <c r="P4249" s="5" t="str">
        <f t="shared" si="97"/>
        <v>Truncate table MSG401;</v>
      </c>
      <c r="Q4249" s="5"/>
      <c r="R4249" s="5"/>
    </row>
    <row r="4250" spans="2:18" x14ac:dyDescent="0.25">
      <c r="B4250" s="19" t="s">
        <v>5579</v>
      </c>
      <c r="C4250" s="16" t="s">
        <v>5563</v>
      </c>
      <c r="D4250" s="16" t="s">
        <v>8152</v>
      </c>
      <c r="E4250" s="16" t="s">
        <v>54</v>
      </c>
      <c r="F4250" s="5" t="s">
        <v>3711</v>
      </c>
      <c r="G4250" s="16" t="s">
        <v>35</v>
      </c>
      <c r="H4250" s="16"/>
      <c r="I4250" s="16"/>
      <c r="J4250" s="16"/>
      <c r="K4250" s="16"/>
      <c r="L4250" s="16"/>
      <c r="M4250" s="16"/>
      <c r="N4250" s="16"/>
      <c r="O4250" s="17" t="s">
        <v>38</v>
      </c>
      <c r="P4250" s="5" t="str">
        <f t="shared" si="97"/>
        <v/>
      </c>
      <c r="Q4250" s="5"/>
      <c r="R4250" s="5"/>
    </row>
    <row r="4251" spans="2:18" x14ac:dyDescent="0.25">
      <c r="B4251" s="19" t="s">
        <v>5580</v>
      </c>
      <c r="C4251" s="16" t="s">
        <v>5563</v>
      </c>
      <c r="D4251" s="16" t="s">
        <v>8152</v>
      </c>
      <c r="E4251" s="16" t="s">
        <v>54</v>
      </c>
      <c r="F4251" s="5" t="s">
        <v>3711</v>
      </c>
      <c r="G4251" s="16" t="s">
        <v>35</v>
      </c>
      <c r="H4251" s="16"/>
      <c r="I4251" s="16"/>
      <c r="J4251" s="16"/>
      <c r="K4251" s="16"/>
      <c r="L4251" s="16"/>
      <c r="M4251" s="16"/>
      <c r="N4251" s="16"/>
      <c r="O4251" s="17" t="s">
        <v>38</v>
      </c>
      <c r="P4251" s="5" t="str">
        <f t="shared" si="97"/>
        <v/>
      </c>
      <c r="Q4251" s="5"/>
      <c r="R4251" s="5"/>
    </row>
    <row r="4252" spans="2:18" x14ac:dyDescent="0.25">
      <c r="B4252" s="19" t="s">
        <v>5581</v>
      </c>
      <c r="C4252" s="16" t="s">
        <v>5563</v>
      </c>
      <c r="D4252" s="16" t="s">
        <v>8152</v>
      </c>
      <c r="E4252" s="16" t="s">
        <v>54</v>
      </c>
      <c r="F4252" s="5" t="s">
        <v>3711</v>
      </c>
      <c r="G4252" s="16" t="s">
        <v>35</v>
      </c>
      <c r="H4252" s="16"/>
      <c r="I4252" s="16"/>
      <c r="J4252" s="16"/>
      <c r="K4252" s="16"/>
      <c r="L4252" s="16"/>
      <c r="M4252" s="16"/>
      <c r="N4252" s="16"/>
      <c r="O4252" s="17" t="s">
        <v>38</v>
      </c>
      <c r="P4252" s="5" t="str">
        <f t="shared" si="97"/>
        <v/>
      </c>
      <c r="Q4252" s="5"/>
      <c r="R4252" s="5"/>
    </row>
    <row r="4253" spans="2:18" x14ac:dyDescent="0.25">
      <c r="B4253" s="19" t="s">
        <v>5582</v>
      </c>
      <c r="C4253" s="16" t="s">
        <v>5563</v>
      </c>
      <c r="D4253" s="16" t="s">
        <v>8152</v>
      </c>
      <c r="E4253" s="16" t="s">
        <v>54</v>
      </c>
      <c r="F4253" s="5" t="s">
        <v>3711</v>
      </c>
      <c r="G4253" s="16" t="s">
        <v>35</v>
      </c>
      <c r="H4253" s="16"/>
      <c r="I4253" s="16"/>
      <c r="J4253" s="16"/>
      <c r="K4253" s="16"/>
      <c r="L4253" s="16"/>
      <c r="M4253" s="16"/>
      <c r="N4253" s="16"/>
      <c r="O4253" s="17" t="s">
        <v>38</v>
      </c>
      <c r="P4253" s="5" t="str">
        <f t="shared" si="97"/>
        <v/>
      </c>
      <c r="Q4253" s="5"/>
      <c r="R4253" s="5"/>
    </row>
    <row r="4254" spans="2:18" x14ac:dyDescent="0.25">
      <c r="B4254" s="19" t="s">
        <v>5583</v>
      </c>
      <c r="C4254" s="16" t="s">
        <v>5563</v>
      </c>
      <c r="D4254" s="16" t="s">
        <v>8152</v>
      </c>
      <c r="E4254" s="16" t="s">
        <v>54</v>
      </c>
      <c r="F4254" s="5" t="s">
        <v>3711</v>
      </c>
      <c r="G4254" s="16" t="s">
        <v>35</v>
      </c>
      <c r="H4254" s="16"/>
      <c r="I4254" s="16"/>
      <c r="J4254" s="16"/>
      <c r="K4254" s="16"/>
      <c r="L4254" s="16"/>
      <c r="M4254" s="16"/>
      <c r="N4254" s="16"/>
      <c r="O4254" s="17" t="s">
        <v>38</v>
      </c>
      <c r="P4254" s="5" t="str">
        <f t="shared" si="97"/>
        <v/>
      </c>
      <c r="Q4254" s="5"/>
      <c r="R4254" s="5"/>
    </row>
    <row r="4255" spans="2:18" x14ac:dyDescent="0.25">
      <c r="B4255" s="19" t="s">
        <v>5584</v>
      </c>
      <c r="C4255" s="16"/>
      <c r="D4255" s="16" t="s">
        <v>29</v>
      </c>
      <c r="E4255" s="16"/>
      <c r="F4255" s="5"/>
      <c r="G4255" s="16" t="s">
        <v>35</v>
      </c>
      <c r="H4255" s="16"/>
      <c r="I4255" s="16"/>
      <c r="J4255" s="16"/>
      <c r="K4255" s="16"/>
      <c r="L4255" s="16"/>
      <c r="M4255" s="16"/>
      <c r="N4255" s="16"/>
      <c r="O4255" s="17"/>
      <c r="P4255" s="5" t="str">
        <f t="shared" si="97"/>
        <v>Truncate table MSG512;</v>
      </c>
      <c r="Q4255" s="5"/>
      <c r="R4255" s="5"/>
    </row>
    <row r="4256" spans="2:18" x14ac:dyDescent="0.25">
      <c r="B4256" s="19" t="s">
        <v>5585</v>
      </c>
      <c r="C4256" s="16" t="s">
        <v>5563</v>
      </c>
      <c r="D4256" s="16" t="s">
        <v>8152</v>
      </c>
      <c r="E4256" s="16" t="s">
        <v>54</v>
      </c>
      <c r="F4256" s="5" t="s">
        <v>3711</v>
      </c>
      <c r="G4256" s="16" t="s">
        <v>35</v>
      </c>
      <c r="H4256" s="16"/>
      <c r="I4256" s="16"/>
      <c r="J4256" s="16"/>
      <c r="K4256" s="16"/>
      <c r="L4256" s="16"/>
      <c r="M4256" s="16"/>
      <c r="N4256" s="16"/>
      <c r="O4256" s="17" t="s">
        <v>38</v>
      </c>
      <c r="P4256" s="5" t="str">
        <f t="shared" si="97"/>
        <v/>
      </c>
      <c r="Q4256" s="5"/>
      <c r="R4256" s="5"/>
    </row>
    <row r="4257" spans="2:18" x14ac:dyDescent="0.25">
      <c r="B4257" s="19" t="s">
        <v>5586</v>
      </c>
      <c r="C4257" s="16" t="s">
        <v>5563</v>
      </c>
      <c r="D4257" s="16" t="s">
        <v>8152</v>
      </c>
      <c r="E4257" s="16" t="s">
        <v>54</v>
      </c>
      <c r="F4257" s="5" t="s">
        <v>3711</v>
      </c>
      <c r="G4257" s="16" t="s">
        <v>35</v>
      </c>
      <c r="H4257" s="16"/>
      <c r="I4257" s="16"/>
      <c r="J4257" s="16"/>
      <c r="K4257" s="16"/>
      <c r="L4257" s="16"/>
      <c r="M4257" s="16"/>
      <c r="N4257" s="16"/>
      <c r="O4257" s="17" t="s">
        <v>38</v>
      </c>
      <c r="P4257" s="5" t="str">
        <f t="shared" si="97"/>
        <v/>
      </c>
      <c r="Q4257" s="5"/>
      <c r="R4257" s="5"/>
    </row>
    <row r="4258" spans="2:18" x14ac:dyDescent="0.25">
      <c r="B4258" s="19" t="s">
        <v>5587</v>
      </c>
      <c r="C4258" s="16"/>
      <c r="D4258" s="16" t="s">
        <v>29</v>
      </c>
      <c r="E4258" s="16"/>
      <c r="F4258" s="5"/>
      <c r="G4258" s="16" t="s">
        <v>35</v>
      </c>
      <c r="H4258" s="16"/>
      <c r="I4258" s="16"/>
      <c r="J4258" s="16"/>
      <c r="K4258" s="16"/>
      <c r="L4258" s="16"/>
      <c r="M4258" s="16"/>
      <c r="N4258" s="16"/>
      <c r="O4258" s="17"/>
      <c r="P4258" s="5" t="str">
        <f t="shared" si="97"/>
        <v>Truncate table MSG600;</v>
      </c>
      <c r="Q4258" s="5"/>
      <c r="R4258" s="5"/>
    </row>
    <row r="4259" spans="2:18" x14ac:dyDescent="0.25">
      <c r="B4259" s="19" t="s">
        <v>5588</v>
      </c>
      <c r="C4259" s="16"/>
      <c r="D4259" s="16" t="s">
        <v>29</v>
      </c>
      <c r="E4259" s="16"/>
      <c r="F4259" s="5"/>
      <c r="G4259" s="16" t="s">
        <v>35</v>
      </c>
      <c r="H4259" s="16"/>
      <c r="I4259" s="16"/>
      <c r="J4259" s="16"/>
      <c r="K4259" s="16"/>
      <c r="L4259" s="16"/>
      <c r="M4259" s="16"/>
      <c r="N4259" s="16"/>
      <c r="O4259" s="17"/>
      <c r="P4259" s="5" t="str">
        <f t="shared" si="97"/>
        <v>Truncate table MSG601;</v>
      </c>
      <c r="Q4259" s="5"/>
      <c r="R4259" s="5"/>
    </row>
    <row r="4260" spans="2:18" x14ac:dyDescent="0.25">
      <c r="B4260" s="19" t="s">
        <v>5589</v>
      </c>
      <c r="C4260" s="16"/>
      <c r="D4260" s="16" t="s">
        <v>29</v>
      </c>
      <c r="E4260" s="16"/>
      <c r="F4260" s="5"/>
      <c r="G4260" s="16" t="s">
        <v>35</v>
      </c>
      <c r="H4260" s="16"/>
      <c r="I4260" s="16"/>
      <c r="J4260" s="16"/>
      <c r="K4260" s="16"/>
      <c r="L4260" s="16"/>
      <c r="M4260" s="16"/>
      <c r="N4260" s="16"/>
      <c r="O4260" s="17"/>
      <c r="P4260" s="5" t="str">
        <f t="shared" si="97"/>
        <v>Truncate table MSG800;</v>
      </c>
      <c r="Q4260" s="5"/>
      <c r="R4260" s="5"/>
    </row>
    <row r="4261" spans="2:18" x14ac:dyDescent="0.25">
      <c r="B4261" s="19" t="s">
        <v>5590</v>
      </c>
      <c r="C4261" s="16"/>
      <c r="D4261" s="16" t="s">
        <v>29</v>
      </c>
      <c r="E4261" s="16"/>
      <c r="F4261" s="5"/>
      <c r="G4261" s="16" t="s">
        <v>35</v>
      </c>
      <c r="H4261" s="16"/>
      <c r="I4261" s="16"/>
      <c r="J4261" s="16"/>
      <c r="K4261" s="16"/>
      <c r="L4261" s="16"/>
      <c r="M4261" s="16"/>
      <c r="N4261" s="16"/>
      <c r="O4261" s="17"/>
      <c r="P4261" s="5" t="str">
        <f t="shared" si="97"/>
        <v>Truncate table MSG801;</v>
      </c>
      <c r="Q4261" s="5"/>
      <c r="R4261" s="5"/>
    </row>
    <row r="4262" spans="2:18" ht="54" x14ac:dyDescent="0.25">
      <c r="B4262" s="19" t="s">
        <v>5591</v>
      </c>
      <c r="C4262" s="16" t="s">
        <v>5592</v>
      </c>
      <c r="D4262" s="16" t="s">
        <v>8152</v>
      </c>
      <c r="E4262" s="16" t="s">
        <v>54</v>
      </c>
      <c r="F4262" s="5" t="s">
        <v>3711</v>
      </c>
      <c r="G4262" s="16" t="s">
        <v>35</v>
      </c>
      <c r="H4262" s="16"/>
      <c r="I4262" s="16"/>
      <c r="J4262" s="16"/>
      <c r="K4262" s="16"/>
      <c r="L4262" s="242" t="s">
        <v>5593</v>
      </c>
      <c r="M4262" s="242"/>
      <c r="N4262" s="16"/>
      <c r="O4262" s="17" t="s">
        <v>38</v>
      </c>
      <c r="P4262" s="5" t="str">
        <f t="shared" si="97"/>
        <v/>
      </c>
      <c r="Q4262" s="5"/>
      <c r="R4262" s="5"/>
    </row>
    <row r="4263" spans="2:18" ht="54" x14ac:dyDescent="0.25">
      <c r="B4263" s="19" t="s">
        <v>5594</v>
      </c>
      <c r="C4263" s="275" t="s">
        <v>1024</v>
      </c>
      <c r="D4263" s="16" t="s">
        <v>8152</v>
      </c>
      <c r="E4263" s="16" t="s">
        <v>54</v>
      </c>
      <c r="F4263" s="5" t="s">
        <v>3711</v>
      </c>
      <c r="G4263" s="16" t="s">
        <v>35</v>
      </c>
      <c r="H4263" s="16"/>
      <c r="I4263" s="16"/>
      <c r="J4263" s="16"/>
      <c r="K4263" s="16"/>
      <c r="L4263" s="242" t="s">
        <v>5593</v>
      </c>
      <c r="M4263" s="242"/>
      <c r="N4263" s="16"/>
      <c r="O4263" s="17" t="s">
        <v>38</v>
      </c>
      <c r="P4263" s="5" t="str">
        <f t="shared" si="97"/>
        <v/>
      </c>
      <c r="Q4263" s="5"/>
      <c r="R4263" s="5"/>
    </row>
    <row r="4264" spans="2:18" ht="54" x14ac:dyDescent="0.25">
      <c r="B4264" s="19" t="s">
        <v>5595</v>
      </c>
      <c r="C4264" s="16" t="s">
        <v>5596</v>
      </c>
      <c r="D4264" s="16" t="s">
        <v>8152</v>
      </c>
      <c r="E4264" s="16" t="s">
        <v>54</v>
      </c>
      <c r="F4264" s="5" t="s">
        <v>3711</v>
      </c>
      <c r="G4264" s="16" t="s">
        <v>35</v>
      </c>
      <c r="H4264" s="16"/>
      <c r="I4264" s="16"/>
      <c r="J4264" s="16"/>
      <c r="K4264" s="16"/>
      <c r="L4264" s="242" t="s">
        <v>5593</v>
      </c>
      <c r="M4264" s="242"/>
      <c r="N4264" s="16"/>
      <c r="O4264" s="17" t="s">
        <v>38</v>
      </c>
      <c r="P4264" s="5" t="str">
        <f t="shared" si="97"/>
        <v/>
      </c>
      <c r="Q4264" s="5"/>
      <c r="R4264" s="5"/>
    </row>
    <row r="4265" spans="2:18" ht="54" x14ac:dyDescent="0.25">
      <c r="B4265" s="19" t="s">
        <v>5597</v>
      </c>
      <c r="C4265" s="275" t="s">
        <v>5598</v>
      </c>
      <c r="D4265" s="16" t="s">
        <v>29</v>
      </c>
      <c r="E4265" s="16" t="s">
        <v>54</v>
      </c>
      <c r="F4265" s="5" t="s">
        <v>3711</v>
      </c>
      <c r="G4265" s="16" t="s">
        <v>35</v>
      </c>
      <c r="H4265" s="16"/>
      <c r="I4265" s="16"/>
      <c r="J4265" s="16"/>
      <c r="K4265" s="16"/>
      <c r="L4265" s="242" t="s">
        <v>5593</v>
      </c>
      <c r="M4265" s="242"/>
      <c r="N4265" s="16"/>
      <c r="O4265" s="17" t="s">
        <v>38</v>
      </c>
      <c r="P4265" s="5" t="str">
        <f t="shared" si="97"/>
        <v>Truncate table MSGA50;</v>
      </c>
      <c r="Q4265" s="5"/>
      <c r="R4265" s="5"/>
    </row>
    <row r="4266" spans="2:18" ht="54" x14ac:dyDescent="0.25">
      <c r="B4266" s="19" t="s">
        <v>5599</v>
      </c>
      <c r="C4266" s="16" t="s">
        <v>5600</v>
      </c>
      <c r="D4266" s="16" t="s">
        <v>29</v>
      </c>
      <c r="E4266" s="16" t="s">
        <v>54</v>
      </c>
      <c r="F4266" s="5" t="s">
        <v>3711</v>
      </c>
      <c r="G4266" s="16" t="s">
        <v>35</v>
      </c>
      <c r="H4266" s="16"/>
      <c r="I4266" s="16"/>
      <c r="J4266" s="16"/>
      <c r="K4266" s="16"/>
      <c r="L4266" s="242" t="s">
        <v>5593</v>
      </c>
      <c r="M4266" s="242"/>
      <c r="N4266" s="16"/>
      <c r="O4266" s="17" t="s">
        <v>38</v>
      </c>
      <c r="P4266" s="5" t="str">
        <f t="shared" si="97"/>
        <v>Truncate table MSGA51;</v>
      </c>
      <c r="Q4266" s="5"/>
      <c r="R4266" s="5"/>
    </row>
    <row r="4267" spans="2:18" x14ac:dyDescent="0.25">
      <c r="B4267" s="19" t="s">
        <v>5601</v>
      </c>
      <c r="C4267" s="16" t="s">
        <v>5563</v>
      </c>
      <c r="D4267" s="16" t="s">
        <v>29</v>
      </c>
      <c r="E4267" s="16" t="s">
        <v>54</v>
      </c>
      <c r="F4267" s="5" t="s">
        <v>3711</v>
      </c>
      <c r="G4267" s="16" t="s">
        <v>35</v>
      </c>
      <c r="H4267" s="16"/>
      <c r="I4267" s="16"/>
      <c r="J4267" s="16"/>
      <c r="K4267" s="16"/>
      <c r="L4267" s="16"/>
      <c r="M4267" s="16"/>
      <c r="N4267" s="16"/>
      <c r="O4267" s="17" t="s">
        <v>38</v>
      </c>
      <c r="P4267" s="5" t="str">
        <f t="shared" si="97"/>
        <v>Truncate table MSGA52;</v>
      </c>
      <c r="Q4267" s="5"/>
      <c r="R4267" s="5"/>
    </row>
    <row r="4268" spans="2:18" ht="54" x14ac:dyDescent="0.25">
      <c r="B4268" s="19" t="s">
        <v>5602</v>
      </c>
      <c r="C4268" s="16" t="s">
        <v>5603</v>
      </c>
      <c r="D4268" s="16" t="s">
        <v>29</v>
      </c>
      <c r="E4268" s="16" t="s">
        <v>54</v>
      </c>
      <c r="F4268" s="5" t="s">
        <v>3711</v>
      </c>
      <c r="G4268" s="16" t="s">
        <v>35</v>
      </c>
      <c r="H4268" s="16"/>
      <c r="I4268" s="16"/>
      <c r="J4268" s="16"/>
      <c r="K4268" s="16"/>
      <c r="L4268" s="242" t="s">
        <v>5593</v>
      </c>
      <c r="M4268" s="242"/>
      <c r="N4268" s="16"/>
      <c r="O4268" s="17" t="s">
        <v>38</v>
      </c>
      <c r="P4268" s="5" t="str">
        <f t="shared" si="97"/>
        <v>Truncate table MSGA53;</v>
      </c>
      <c r="Q4268" s="5"/>
      <c r="R4268" s="5"/>
    </row>
    <row r="4269" spans="2:18" x14ac:dyDescent="0.25">
      <c r="B4269" s="19" t="s">
        <v>5604</v>
      </c>
      <c r="C4269" s="16"/>
      <c r="D4269" s="16" t="s">
        <v>29</v>
      </c>
      <c r="E4269" s="16"/>
      <c r="F4269" s="5"/>
      <c r="G4269" s="16" t="s">
        <v>35</v>
      </c>
      <c r="H4269" s="16"/>
      <c r="I4269" s="16"/>
      <c r="J4269" s="16"/>
      <c r="K4269" s="16"/>
      <c r="L4269" s="16"/>
      <c r="M4269" s="16"/>
      <c r="N4269" s="16"/>
      <c r="O4269" s="17"/>
      <c r="P4269" s="5" t="str">
        <f t="shared" si="97"/>
        <v>Truncate table MSGA54;</v>
      </c>
      <c r="Q4269" s="5"/>
      <c r="R4269" s="5"/>
    </row>
    <row r="4270" spans="2:18" ht="54" x14ac:dyDescent="0.25">
      <c r="B4270" s="19" t="s">
        <v>5605</v>
      </c>
      <c r="C4270" s="16" t="s">
        <v>5606</v>
      </c>
      <c r="D4270" s="16" t="s">
        <v>29</v>
      </c>
      <c r="E4270" s="16" t="s">
        <v>54</v>
      </c>
      <c r="F4270" s="5" t="s">
        <v>3711</v>
      </c>
      <c r="G4270" s="16" t="s">
        <v>35</v>
      </c>
      <c r="H4270" s="16"/>
      <c r="I4270" s="16"/>
      <c r="J4270" s="16"/>
      <c r="K4270" s="16"/>
      <c r="L4270" s="242" t="s">
        <v>5593</v>
      </c>
      <c r="M4270" s="242"/>
      <c r="N4270" s="16"/>
      <c r="O4270" s="17" t="s">
        <v>38</v>
      </c>
      <c r="P4270" s="5" t="str">
        <f t="shared" si="97"/>
        <v>Truncate table MSGA55;</v>
      </c>
      <c r="Q4270" s="5"/>
      <c r="R4270" s="5"/>
    </row>
    <row r="4271" spans="2:18" x14ac:dyDescent="0.25">
      <c r="B4271" s="19" t="s">
        <v>5607</v>
      </c>
      <c r="C4271" s="16" t="s">
        <v>5563</v>
      </c>
      <c r="D4271" s="16" t="s">
        <v>29</v>
      </c>
      <c r="E4271" s="16" t="s">
        <v>54</v>
      </c>
      <c r="F4271" s="5" t="s">
        <v>3711</v>
      </c>
      <c r="G4271" s="16" t="s">
        <v>35</v>
      </c>
      <c r="H4271" s="16"/>
      <c r="I4271" s="16"/>
      <c r="J4271" s="16"/>
      <c r="K4271" s="16"/>
      <c r="L4271" s="16"/>
      <c r="M4271" s="16"/>
      <c r="N4271" s="16"/>
      <c r="O4271" s="17" t="s">
        <v>38</v>
      </c>
      <c r="P4271" s="5" t="str">
        <f t="shared" si="97"/>
        <v>Truncate table MSGP01;</v>
      </c>
      <c r="Q4271" s="5"/>
      <c r="R4271" s="5"/>
    </row>
    <row r="4272" spans="2:18" x14ac:dyDescent="0.25">
      <c r="B4272" s="19" t="s">
        <v>5608</v>
      </c>
      <c r="C4272" s="16" t="s">
        <v>5563</v>
      </c>
      <c r="D4272" s="16" t="s">
        <v>8152</v>
      </c>
      <c r="E4272" s="16" t="s">
        <v>54</v>
      </c>
      <c r="F4272" s="5" t="s">
        <v>3711</v>
      </c>
      <c r="G4272" s="16" t="s">
        <v>35</v>
      </c>
      <c r="H4272" s="16"/>
      <c r="I4272" s="16"/>
      <c r="J4272" s="16"/>
      <c r="K4272" s="16"/>
      <c r="L4272" s="16"/>
      <c r="M4272" s="16"/>
      <c r="N4272" s="16"/>
      <c r="O4272" s="17" t="s">
        <v>38</v>
      </c>
      <c r="P4272" s="5" t="str">
        <f t="shared" si="97"/>
        <v/>
      </c>
      <c r="Q4272" s="5"/>
      <c r="R4272" s="5"/>
    </row>
    <row r="4273" spans="2:18" x14ac:dyDescent="0.25">
      <c r="B4273" s="19" t="s">
        <v>5609</v>
      </c>
      <c r="C4273" s="16" t="s">
        <v>5563</v>
      </c>
      <c r="D4273" s="16" t="s">
        <v>29</v>
      </c>
      <c r="E4273" s="16" t="s">
        <v>54</v>
      </c>
      <c r="F4273" s="5" t="s">
        <v>3711</v>
      </c>
      <c r="G4273" s="16" t="s">
        <v>35</v>
      </c>
      <c r="H4273" s="16"/>
      <c r="I4273" s="16"/>
      <c r="J4273" s="16"/>
      <c r="K4273" s="16"/>
      <c r="L4273" s="16"/>
      <c r="M4273" s="16"/>
      <c r="N4273" s="16"/>
      <c r="O4273" s="17" t="s">
        <v>38</v>
      </c>
      <c r="P4273" s="5" t="str">
        <f t="shared" si="97"/>
        <v>Truncate table MSGP11;</v>
      </c>
      <c r="Q4273" s="5"/>
      <c r="R4273" s="5"/>
    </row>
    <row r="4274" spans="2:18" x14ac:dyDescent="0.25">
      <c r="B4274" s="19" t="s">
        <v>5610</v>
      </c>
      <c r="C4274" s="16"/>
      <c r="D4274" s="16" t="s">
        <v>29</v>
      </c>
      <c r="E4274" s="16"/>
      <c r="F4274" s="5"/>
      <c r="G4274" s="16" t="s">
        <v>35</v>
      </c>
      <c r="H4274" s="16"/>
      <c r="I4274" s="16"/>
      <c r="J4274" s="16"/>
      <c r="K4274" s="16"/>
      <c r="L4274" s="16"/>
      <c r="M4274" s="16"/>
      <c r="N4274" s="16"/>
      <c r="O4274" s="17"/>
      <c r="P4274" s="5" t="str">
        <f t="shared" si="97"/>
        <v>Truncate table NSH01601;</v>
      </c>
      <c r="Q4274" s="5"/>
      <c r="R4274" s="5"/>
    </row>
    <row r="4275" spans="2:18" x14ac:dyDescent="0.25">
      <c r="B4275" s="19" t="s">
        <v>5611</v>
      </c>
      <c r="C4275" s="16"/>
      <c r="D4275" s="16" t="s">
        <v>29</v>
      </c>
      <c r="E4275" s="16"/>
      <c r="F4275" s="5"/>
      <c r="G4275" s="16" t="s">
        <v>35</v>
      </c>
      <c r="H4275" s="16"/>
      <c r="I4275" s="16"/>
      <c r="J4275" s="16"/>
      <c r="K4275" s="16"/>
      <c r="L4275" s="16"/>
      <c r="M4275" s="16"/>
      <c r="N4275" s="16"/>
      <c r="O4275" s="17"/>
      <c r="P4275" s="5" t="str">
        <f t="shared" si="97"/>
        <v>Truncate table PAN001;</v>
      </c>
      <c r="Q4275" s="5"/>
      <c r="R4275" s="5"/>
    </row>
    <row r="4276" spans="2:18" x14ac:dyDescent="0.25">
      <c r="B4276" s="19" t="s">
        <v>5612</v>
      </c>
      <c r="C4276" s="16"/>
      <c r="D4276" s="16" t="s">
        <v>29</v>
      </c>
      <c r="E4276" s="16"/>
      <c r="F4276" s="5"/>
      <c r="G4276" s="16" t="s">
        <v>35</v>
      </c>
      <c r="H4276" s="16"/>
      <c r="I4276" s="16"/>
      <c r="J4276" s="16"/>
      <c r="K4276" s="16"/>
      <c r="L4276" s="16"/>
      <c r="M4276" s="16"/>
      <c r="N4276" s="16"/>
      <c r="O4276" s="17"/>
      <c r="P4276" s="5" t="str">
        <f t="shared" si="97"/>
        <v>Truncate table PAN002;</v>
      </c>
      <c r="Q4276" s="5"/>
      <c r="R4276" s="5"/>
    </row>
    <row r="4277" spans="2:18" x14ac:dyDescent="0.25">
      <c r="B4277" s="19" t="s">
        <v>5613</v>
      </c>
      <c r="C4277" s="16"/>
      <c r="D4277" s="16" t="s">
        <v>29</v>
      </c>
      <c r="E4277" s="16"/>
      <c r="F4277" s="5"/>
      <c r="G4277" s="16" t="s">
        <v>35</v>
      </c>
      <c r="H4277" s="16"/>
      <c r="I4277" s="16"/>
      <c r="J4277" s="16"/>
      <c r="K4277" s="16"/>
      <c r="L4277" s="16"/>
      <c r="M4277" s="16"/>
      <c r="N4277" s="16"/>
      <c r="O4277" s="17"/>
      <c r="P4277" s="5" t="str">
        <f t="shared" si="97"/>
        <v>Truncate table PAR000;</v>
      </c>
      <c r="Q4277" s="5"/>
      <c r="R4277" s="5"/>
    </row>
    <row r="4278" spans="2:18" x14ac:dyDescent="0.25">
      <c r="B4278" s="19" t="s">
        <v>5614</v>
      </c>
      <c r="C4278" s="16"/>
      <c r="D4278" s="16" t="s">
        <v>29</v>
      </c>
      <c r="E4278" s="16"/>
      <c r="F4278" s="5"/>
      <c r="G4278" s="16" t="s">
        <v>35</v>
      </c>
      <c r="H4278" s="16"/>
      <c r="I4278" s="16"/>
      <c r="J4278" s="16"/>
      <c r="K4278" s="16"/>
      <c r="L4278" s="16"/>
      <c r="M4278" s="16"/>
      <c r="N4278" s="16"/>
      <c r="O4278" s="17"/>
      <c r="P4278" s="5" t="str">
        <f t="shared" si="97"/>
        <v>Truncate table PAS001;</v>
      </c>
      <c r="Q4278" s="5"/>
      <c r="R4278" s="5"/>
    </row>
    <row r="4279" spans="2:18" x14ac:dyDescent="0.25">
      <c r="B4279" s="19" t="s">
        <v>5615</v>
      </c>
      <c r="C4279" s="16"/>
      <c r="D4279" s="16" t="s">
        <v>29</v>
      </c>
      <c r="E4279" s="16"/>
      <c r="F4279" s="5"/>
      <c r="G4279" s="16" t="s">
        <v>35</v>
      </c>
      <c r="H4279" s="16"/>
      <c r="I4279" s="16"/>
      <c r="J4279" s="16"/>
      <c r="K4279" s="16"/>
      <c r="L4279" s="16"/>
      <c r="M4279" s="16"/>
      <c r="N4279" s="16"/>
      <c r="O4279" s="17"/>
      <c r="P4279" s="5" t="str">
        <f t="shared" si="97"/>
        <v>Truncate table PAS002;</v>
      </c>
      <c r="Q4279" s="5"/>
      <c r="R4279" s="5"/>
    </row>
    <row r="4280" spans="2:18" x14ac:dyDescent="0.25">
      <c r="B4280" s="19" t="s">
        <v>5616</v>
      </c>
      <c r="C4280" s="16"/>
      <c r="D4280" s="16" t="s">
        <v>29</v>
      </c>
      <c r="E4280" s="16"/>
      <c r="F4280" s="5"/>
      <c r="G4280" s="16" t="s">
        <v>35</v>
      </c>
      <c r="H4280" s="16"/>
      <c r="I4280" s="16"/>
      <c r="J4280" s="16"/>
      <c r="K4280" s="16"/>
      <c r="L4280" s="16"/>
      <c r="M4280" s="16"/>
      <c r="N4280" s="16"/>
      <c r="O4280" s="17"/>
      <c r="P4280" s="5" t="str">
        <f t="shared" si="97"/>
        <v>Truncate table PAS003;</v>
      </c>
      <c r="Q4280" s="5"/>
      <c r="R4280" s="5"/>
    </row>
    <row r="4281" spans="2:18" x14ac:dyDescent="0.25">
      <c r="B4281" s="19" t="s">
        <v>5617</v>
      </c>
      <c r="C4281" s="16"/>
      <c r="D4281" s="16" t="s">
        <v>29</v>
      </c>
      <c r="E4281" s="16"/>
      <c r="F4281" s="5"/>
      <c r="G4281" s="16" t="s">
        <v>35</v>
      </c>
      <c r="H4281" s="16"/>
      <c r="I4281" s="16"/>
      <c r="J4281" s="16"/>
      <c r="K4281" s="16"/>
      <c r="L4281" s="16"/>
      <c r="M4281" s="16"/>
      <c r="N4281" s="16"/>
      <c r="O4281" s="17"/>
      <c r="P4281" s="5" t="str">
        <f t="shared" si="97"/>
        <v>Truncate table PAS004;</v>
      </c>
      <c r="Q4281" s="5"/>
      <c r="R4281" s="5"/>
    </row>
    <row r="4282" spans="2:18" x14ac:dyDescent="0.25">
      <c r="B4282" s="19" t="s">
        <v>5618</v>
      </c>
      <c r="C4282" s="16"/>
      <c r="D4282" s="16" t="s">
        <v>29</v>
      </c>
      <c r="E4282" s="16"/>
      <c r="F4282" s="5"/>
      <c r="G4282" s="16" t="s">
        <v>35</v>
      </c>
      <c r="H4282" s="16"/>
      <c r="I4282" s="16"/>
      <c r="J4282" s="16"/>
      <c r="K4282" s="16"/>
      <c r="L4282" s="16"/>
      <c r="M4282" s="16"/>
      <c r="N4282" s="16"/>
      <c r="O4282" s="17"/>
      <c r="P4282" s="5" t="str">
        <f t="shared" si="97"/>
        <v>Truncate table PAS005;</v>
      </c>
      <c r="Q4282" s="5"/>
      <c r="R4282" s="5"/>
    </row>
    <row r="4283" spans="2:18" x14ac:dyDescent="0.25">
      <c r="B4283" s="19" t="s">
        <v>5619</v>
      </c>
      <c r="C4283" s="16" t="s">
        <v>5620</v>
      </c>
      <c r="D4283" s="16" t="s">
        <v>8152</v>
      </c>
      <c r="E4283" s="16" t="s">
        <v>5621</v>
      </c>
      <c r="F4283" s="5" t="s">
        <v>386</v>
      </c>
      <c r="G4283" s="16" t="s">
        <v>35</v>
      </c>
      <c r="H4283" s="16" t="s">
        <v>36</v>
      </c>
      <c r="I4283" s="16"/>
      <c r="J4283" s="16"/>
      <c r="K4283" s="16"/>
      <c r="L4283" s="16"/>
      <c r="M4283" s="229"/>
      <c r="N4283" s="16"/>
      <c r="O4283" s="17" t="s">
        <v>38</v>
      </c>
      <c r="P4283" s="5" t="str">
        <f t="shared" si="97"/>
        <v/>
      </c>
      <c r="Q4283" s="5"/>
      <c r="R4283" s="5"/>
    </row>
    <row r="4284" spans="2:18" x14ac:dyDescent="0.25">
      <c r="B4284" s="19" t="s">
        <v>5622</v>
      </c>
      <c r="C4284" s="16"/>
      <c r="D4284" s="16" t="s">
        <v>8152</v>
      </c>
      <c r="E4284" s="16"/>
      <c r="F4284" s="5"/>
      <c r="G4284" s="16" t="s">
        <v>35</v>
      </c>
      <c r="H4284" s="16"/>
      <c r="I4284" s="16"/>
      <c r="J4284" s="16"/>
      <c r="K4284" s="16"/>
      <c r="L4284" s="16"/>
      <c r="M4284" s="229"/>
      <c r="N4284" s="16"/>
      <c r="O4284" s="17"/>
      <c r="P4284" s="5" t="str">
        <f t="shared" si="97"/>
        <v/>
      </c>
      <c r="Q4284" s="5"/>
      <c r="R4284" s="5"/>
    </row>
    <row r="4285" spans="2:18" x14ac:dyDescent="0.25">
      <c r="B4285" s="19" t="s">
        <v>5623</v>
      </c>
      <c r="C4285" s="16"/>
      <c r="D4285" s="16" t="s">
        <v>29</v>
      </c>
      <c r="E4285" s="16"/>
      <c r="F4285" s="5"/>
      <c r="G4285" s="16" t="s">
        <v>35</v>
      </c>
      <c r="H4285" s="16"/>
      <c r="I4285" s="16"/>
      <c r="J4285" s="16"/>
      <c r="K4285" s="16"/>
      <c r="L4285" s="16"/>
      <c r="M4285" s="16"/>
      <c r="N4285" s="16"/>
      <c r="O4285" s="17"/>
      <c r="P4285" s="5" t="str">
        <f t="shared" si="97"/>
        <v>Truncate table PLL001;</v>
      </c>
      <c r="Q4285" s="5"/>
      <c r="R4285" s="5"/>
    </row>
    <row r="4286" spans="2:18" x14ac:dyDescent="0.25">
      <c r="B4286" s="19" t="s">
        <v>5624</v>
      </c>
      <c r="C4286" s="16"/>
      <c r="D4286" s="16" t="s">
        <v>29</v>
      </c>
      <c r="E4286" s="16"/>
      <c r="F4286" s="5"/>
      <c r="G4286" s="16" t="s">
        <v>35</v>
      </c>
      <c r="H4286" s="16"/>
      <c r="I4286" s="16"/>
      <c r="J4286" s="16"/>
      <c r="K4286" s="16"/>
      <c r="L4286" s="16"/>
      <c r="M4286" s="16"/>
      <c r="N4286" s="16"/>
      <c r="O4286" s="17"/>
      <c r="P4286" s="5" t="str">
        <f t="shared" si="97"/>
        <v>Truncate table PLL002;</v>
      </c>
      <c r="Q4286" s="5"/>
      <c r="R4286" s="5"/>
    </row>
    <row r="4287" spans="2:18" x14ac:dyDescent="0.25">
      <c r="B4287" s="19" t="s">
        <v>5625</v>
      </c>
      <c r="C4287" s="16"/>
      <c r="D4287" s="16" t="s">
        <v>29</v>
      </c>
      <c r="E4287" s="16"/>
      <c r="F4287" s="5"/>
      <c r="G4287" s="16" t="s">
        <v>35</v>
      </c>
      <c r="H4287" s="16"/>
      <c r="I4287" s="16"/>
      <c r="J4287" s="16"/>
      <c r="K4287" s="16"/>
      <c r="L4287" s="16"/>
      <c r="M4287" s="16"/>
      <c r="N4287" s="16"/>
      <c r="O4287" s="17"/>
      <c r="P4287" s="5" t="str">
        <f t="shared" si="97"/>
        <v>Truncate table PLL003;</v>
      </c>
      <c r="Q4287" s="5"/>
      <c r="R4287" s="5"/>
    </row>
    <row r="4288" spans="2:18" x14ac:dyDescent="0.25">
      <c r="B4288" s="19" t="s">
        <v>5626</v>
      </c>
      <c r="C4288" s="16"/>
      <c r="D4288" s="16" t="s">
        <v>29</v>
      </c>
      <c r="E4288" s="16"/>
      <c r="F4288" s="5"/>
      <c r="G4288" s="16" t="s">
        <v>35</v>
      </c>
      <c r="H4288" s="16"/>
      <c r="I4288" s="16"/>
      <c r="J4288" s="16"/>
      <c r="K4288" s="16"/>
      <c r="L4288" s="16"/>
      <c r="M4288" s="16"/>
      <c r="N4288" s="16"/>
      <c r="O4288" s="17"/>
      <c r="P4288" s="5" t="str">
        <f t="shared" si="97"/>
        <v>Truncate table PLL004;</v>
      </c>
      <c r="Q4288" s="5"/>
      <c r="R4288" s="5"/>
    </row>
    <row r="4289" spans="2:18" x14ac:dyDescent="0.25">
      <c r="B4289" s="19" t="s">
        <v>5627</v>
      </c>
      <c r="C4289" s="16"/>
      <c r="D4289" s="16" t="s">
        <v>29</v>
      </c>
      <c r="E4289" s="16"/>
      <c r="F4289" s="5"/>
      <c r="G4289" s="16" t="s">
        <v>35</v>
      </c>
      <c r="H4289" s="16"/>
      <c r="I4289" s="16"/>
      <c r="J4289" s="16"/>
      <c r="K4289" s="16"/>
      <c r="L4289" s="16"/>
      <c r="M4289" s="16"/>
      <c r="N4289" s="16"/>
      <c r="O4289" s="17"/>
      <c r="P4289" s="5" t="str">
        <f t="shared" si="97"/>
        <v>Truncate table PLL005;</v>
      </c>
      <c r="Q4289" s="5"/>
      <c r="R4289" s="5"/>
    </row>
    <row r="4290" spans="2:18" x14ac:dyDescent="0.25">
      <c r="B4290" s="19" t="s">
        <v>5628</v>
      </c>
      <c r="C4290" s="16"/>
      <c r="D4290" s="16" t="s">
        <v>29</v>
      </c>
      <c r="E4290" s="16"/>
      <c r="F4290" s="5"/>
      <c r="G4290" s="16" t="s">
        <v>35</v>
      </c>
      <c r="H4290" s="16"/>
      <c r="I4290" s="16"/>
      <c r="J4290" s="16"/>
      <c r="K4290" s="16"/>
      <c r="L4290" s="16"/>
      <c r="M4290" s="16"/>
      <c r="N4290" s="16"/>
      <c r="O4290" s="17"/>
      <c r="P4290" s="5" t="str">
        <f t="shared" si="97"/>
        <v>Truncate table PLL006;</v>
      </c>
      <c r="Q4290" s="5"/>
      <c r="R4290" s="5"/>
    </row>
    <row r="4291" spans="2:18" x14ac:dyDescent="0.25">
      <c r="B4291" s="19" t="s">
        <v>5629</v>
      </c>
      <c r="C4291" s="16"/>
      <c r="D4291" s="16" t="s">
        <v>29</v>
      </c>
      <c r="E4291" s="16"/>
      <c r="F4291" s="5"/>
      <c r="G4291" s="16" t="s">
        <v>35</v>
      </c>
      <c r="H4291" s="16"/>
      <c r="I4291" s="16"/>
      <c r="J4291" s="16"/>
      <c r="K4291" s="16"/>
      <c r="L4291" s="16"/>
      <c r="M4291" s="16"/>
      <c r="N4291" s="16"/>
      <c r="O4291" s="17"/>
      <c r="P4291" s="5" t="str">
        <f t="shared" ref="P4291:P4354" si="98">IF(D4291="Datos","Truncate table "&amp; B4291&amp; ";","")</f>
        <v>Truncate table PLL007;</v>
      </c>
      <c r="Q4291" s="5"/>
      <c r="R4291" s="5"/>
    </row>
    <row r="4292" spans="2:18" x14ac:dyDescent="0.25">
      <c r="B4292" s="19" t="s">
        <v>5630</v>
      </c>
      <c r="C4292" s="16"/>
      <c r="D4292" s="16" t="s">
        <v>29</v>
      </c>
      <c r="E4292" s="16"/>
      <c r="F4292" s="5"/>
      <c r="G4292" s="16" t="s">
        <v>35</v>
      </c>
      <c r="H4292" s="16"/>
      <c r="I4292" s="16"/>
      <c r="J4292" s="16"/>
      <c r="K4292" s="16"/>
      <c r="L4292" s="16"/>
      <c r="M4292" s="16"/>
      <c r="N4292" s="16"/>
      <c r="O4292" s="17"/>
      <c r="P4292" s="5" t="str">
        <f t="shared" si="98"/>
        <v>Truncate table PLL008;</v>
      </c>
      <c r="Q4292" s="5"/>
      <c r="R4292" s="5"/>
    </row>
    <row r="4293" spans="2:18" x14ac:dyDescent="0.25">
      <c r="B4293" s="19" t="s">
        <v>5631</v>
      </c>
      <c r="C4293" s="16"/>
      <c r="D4293" s="16" t="s">
        <v>29</v>
      </c>
      <c r="E4293" s="16"/>
      <c r="F4293" s="5"/>
      <c r="G4293" s="16" t="s">
        <v>35</v>
      </c>
      <c r="H4293" s="16"/>
      <c r="I4293" s="16"/>
      <c r="J4293" s="16"/>
      <c r="K4293" s="16"/>
      <c r="L4293" s="16"/>
      <c r="M4293" s="16"/>
      <c r="N4293" s="16"/>
      <c r="O4293" s="17"/>
      <c r="P4293" s="5" t="str">
        <f t="shared" si="98"/>
        <v>Truncate table PLL009;</v>
      </c>
      <c r="Q4293" s="5"/>
      <c r="R4293" s="5"/>
    </row>
    <row r="4294" spans="2:18" x14ac:dyDescent="0.25">
      <c r="B4294" s="19" t="s">
        <v>5632</v>
      </c>
      <c r="C4294" s="16"/>
      <c r="D4294" s="16" t="s">
        <v>29</v>
      </c>
      <c r="E4294" s="16"/>
      <c r="F4294" s="5"/>
      <c r="G4294" s="16" t="s">
        <v>35</v>
      </c>
      <c r="H4294" s="16"/>
      <c r="I4294" s="16"/>
      <c r="J4294" s="16"/>
      <c r="K4294" s="16"/>
      <c r="L4294" s="16"/>
      <c r="M4294" s="16"/>
      <c r="N4294" s="16"/>
      <c r="O4294" s="17"/>
      <c r="P4294" s="5" t="str">
        <f t="shared" si="98"/>
        <v>Truncate table PLL010;</v>
      </c>
      <c r="Q4294" s="5"/>
      <c r="R4294" s="5"/>
    </row>
    <row r="4295" spans="2:18" x14ac:dyDescent="0.25">
      <c r="B4295" s="19" t="s">
        <v>5633</v>
      </c>
      <c r="C4295" s="16"/>
      <c r="D4295" s="16" t="s">
        <v>29</v>
      </c>
      <c r="E4295" s="16"/>
      <c r="F4295" s="5"/>
      <c r="G4295" s="16" t="s">
        <v>35</v>
      </c>
      <c r="H4295" s="16"/>
      <c r="I4295" s="16"/>
      <c r="J4295" s="16"/>
      <c r="K4295" s="16"/>
      <c r="L4295" s="16"/>
      <c r="M4295" s="16"/>
      <c r="N4295" s="16"/>
      <c r="O4295" s="17"/>
      <c r="P4295" s="5" t="str">
        <f t="shared" si="98"/>
        <v>Truncate table PLL012;</v>
      </c>
      <c r="Q4295" s="5"/>
      <c r="R4295" s="5"/>
    </row>
    <row r="4296" spans="2:18" x14ac:dyDescent="0.25">
      <c r="B4296" s="19" t="s">
        <v>5634</v>
      </c>
      <c r="C4296" s="16"/>
      <c r="D4296" s="16" t="s">
        <v>29</v>
      </c>
      <c r="E4296" s="16"/>
      <c r="F4296" s="5"/>
      <c r="G4296" s="16" t="s">
        <v>35</v>
      </c>
      <c r="H4296" s="16"/>
      <c r="I4296" s="16"/>
      <c r="J4296" s="16"/>
      <c r="K4296" s="16"/>
      <c r="L4296" s="16"/>
      <c r="M4296" s="16"/>
      <c r="N4296" s="16"/>
      <c r="O4296" s="17"/>
      <c r="P4296" s="5" t="str">
        <f t="shared" si="98"/>
        <v>Truncate table PLS001;</v>
      </c>
      <c r="Q4296" s="5"/>
      <c r="R4296" s="5"/>
    </row>
    <row r="4297" spans="2:18" x14ac:dyDescent="0.25">
      <c r="B4297" s="19" t="s">
        <v>5635</v>
      </c>
      <c r="C4297" s="16"/>
      <c r="D4297" s="16" t="s">
        <v>29</v>
      </c>
      <c r="E4297" s="16"/>
      <c r="F4297" s="5"/>
      <c r="G4297" s="16" t="s">
        <v>35</v>
      </c>
      <c r="H4297" s="16"/>
      <c r="I4297" s="16"/>
      <c r="J4297" s="16"/>
      <c r="K4297" s="16"/>
      <c r="L4297" s="16"/>
      <c r="M4297" s="16"/>
      <c r="N4297" s="16"/>
      <c r="O4297" s="17"/>
      <c r="P4297" s="5" t="str">
        <f t="shared" si="98"/>
        <v>Truncate table PLS002;</v>
      </c>
      <c r="Q4297" s="5"/>
      <c r="R4297" s="5"/>
    </row>
    <row r="4298" spans="2:18" x14ac:dyDescent="0.25">
      <c r="B4298" s="19" t="s">
        <v>5636</v>
      </c>
      <c r="C4298" s="16"/>
      <c r="D4298" s="16" t="s">
        <v>29</v>
      </c>
      <c r="E4298" s="16"/>
      <c r="F4298" s="5"/>
      <c r="G4298" s="16" t="s">
        <v>35</v>
      </c>
      <c r="H4298" s="16"/>
      <c r="I4298" s="16"/>
      <c r="J4298" s="16"/>
      <c r="K4298" s="16"/>
      <c r="L4298" s="16"/>
      <c r="M4298" s="16"/>
      <c r="N4298" s="16"/>
      <c r="O4298" s="17"/>
      <c r="P4298" s="5" t="str">
        <f t="shared" si="98"/>
        <v>Truncate table PLS003;</v>
      </c>
      <c r="Q4298" s="5"/>
      <c r="R4298" s="5"/>
    </row>
    <row r="4299" spans="2:18" x14ac:dyDescent="0.25">
      <c r="B4299" s="19" t="s">
        <v>5637</v>
      </c>
      <c r="C4299" s="16"/>
      <c r="D4299" s="16" t="s">
        <v>29</v>
      </c>
      <c r="E4299" s="16"/>
      <c r="F4299" s="5"/>
      <c r="G4299" s="16" t="s">
        <v>35</v>
      </c>
      <c r="H4299" s="16"/>
      <c r="I4299" s="16"/>
      <c r="J4299" s="16"/>
      <c r="K4299" s="16"/>
      <c r="L4299" s="16"/>
      <c r="M4299" s="16"/>
      <c r="N4299" s="16"/>
      <c r="O4299" s="17"/>
      <c r="P4299" s="5" t="str">
        <f t="shared" si="98"/>
        <v>Truncate table PLS004;</v>
      </c>
      <c r="Q4299" s="5"/>
      <c r="R4299" s="5"/>
    </row>
    <row r="4300" spans="2:18" x14ac:dyDescent="0.25">
      <c r="B4300" s="19" t="s">
        <v>5638</v>
      </c>
      <c r="C4300" s="16"/>
      <c r="D4300" s="16" t="s">
        <v>29</v>
      </c>
      <c r="E4300" s="16"/>
      <c r="F4300" s="5"/>
      <c r="G4300" s="16" t="s">
        <v>35</v>
      </c>
      <c r="H4300" s="16"/>
      <c r="I4300" s="16"/>
      <c r="J4300" s="16"/>
      <c r="K4300" s="16"/>
      <c r="L4300" s="16"/>
      <c r="M4300" s="16"/>
      <c r="N4300" s="16"/>
      <c r="O4300" s="17"/>
      <c r="P4300" s="5" t="str">
        <f t="shared" si="98"/>
        <v>Truncate table PLS005;</v>
      </c>
      <c r="Q4300" s="5"/>
      <c r="R4300" s="5"/>
    </row>
    <row r="4301" spans="2:18" x14ac:dyDescent="0.25">
      <c r="B4301" s="19" t="s">
        <v>5639</v>
      </c>
      <c r="C4301" s="16"/>
      <c r="D4301" s="16" t="s">
        <v>29</v>
      </c>
      <c r="E4301" s="16"/>
      <c r="F4301" s="5"/>
      <c r="G4301" s="16" t="s">
        <v>35</v>
      </c>
      <c r="H4301" s="16"/>
      <c r="I4301" s="16"/>
      <c r="J4301" s="16"/>
      <c r="K4301" s="16"/>
      <c r="L4301" s="16"/>
      <c r="M4301" s="16"/>
      <c r="N4301" s="16"/>
      <c r="O4301" s="17"/>
      <c r="P4301" s="5" t="str">
        <f t="shared" si="98"/>
        <v>Truncate table PLS006;</v>
      </c>
      <c r="Q4301" s="5"/>
      <c r="R4301" s="5"/>
    </row>
    <row r="4302" spans="2:18" x14ac:dyDescent="0.25">
      <c r="B4302" s="19" t="s">
        <v>5640</v>
      </c>
      <c r="C4302" s="16"/>
      <c r="D4302" s="16" t="s">
        <v>29</v>
      </c>
      <c r="E4302" s="16"/>
      <c r="F4302" s="5"/>
      <c r="G4302" s="16" t="s">
        <v>35</v>
      </c>
      <c r="H4302" s="16"/>
      <c r="I4302" s="16"/>
      <c r="J4302" s="16"/>
      <c r="K4302" s="16"/>
      <c r="L4302" s="16"/>
      <c r="M4302" s="16"/>
      <c r="N4302" s="16"/>
      <c r="O4302" s="17"/>
      <c r="P4302" s="5" t="str">
        <f t="shared" si="98"/>
        <v>Truncate table PLS007;</v>
      </c>
      <c r="Q4302" s="5"/>
      <c r="R4302" s="5"/>
    </row>
    <row r="4303" spans="2:18" x14ac:dyDescent="0.25">
      <c r="B4303" s="19" t="s">
        <v>5641</v>
      </c>
      <c r="C4303" s="16"/>
      <c r="D4303" s="16" t="s">
        <v>29</v>
      </c>
      <c r="E4303" s="16"/>
      <c r="F4303" s="5"/>
      <c r="G4303" s="16" t="s">
        <v>35</v>
      </c>
      <c r="H4303" s="16"/>
      <c r="I4303" s="16"/>
      <c r="J4303" s="16"/>
      <c r="K4303" s="16"/>
      <c r="L4303" s="16"/>
      <c r="M4303" s="16"/>
      <c r="N4303" s="16"/>
      <c r="O4303" s="17"/>
      <c r="P4303" s="5" t="str">
        <f t="shared" si="98"/>
        <v>Truncate table PLS008;</v>
      </c>
      <c r="Q4303" s="5"/>
      <c r="R4303" s="5"/>
    </row>
    <row r="4304" spans="2:18" x14ac:dyDescent="0.25">
      <c r="B4304" s="19" t="s">
        <v>5642</v>
      </c>
      <c r="C4304" s="16"/>
      <c r="D4304" s="16" t="s">
        <v>29</v>
      </c>
      <c r="E4304" s="16"/>
      <c r="F4304" s="5"/>
      <c r="G4304" s="16" t="s">
        <v>35</v>
      </c>
      <c r="H4304" s="16"/>
      <c r="I4304" s="16"/>
      <c r="J4304" s="16"/>
      <c r="K4304" s="16"/>
      <c r="L4304" s="16"/>
      <c r="M4304" s="16"/>
      <c r="N4304" s="16"/>
      <c r="O4304" s="17"/>
      <c r="P4304" s="5" t="str">
        <f t="shared" si="98"/>
        <v>Truncate table PLS009;</v>
      </c>
      <c r="Q4304" s="5"/>
      <c r="R4304" s="5"/>
    </row>
    <row r="4305" spans="2:18" x14ac:dyDescent="0.25">
      <c r="B4305" s="19" t="s">
        <v>5643</v>
      </c>
      <c r="C4305" s="16"/>
      <c r="D4305" s="16" t="s">
        <v>29</v>
      </c>
      <c r="E4305" s="16"/>
      <c r="F4305" s="5"/>
      <c r="G4305" s="16" t="s">
        <v>35</v>
      </c>
      <c r="H4305" s="16"/>
      <c r="I4305" s="16"/>
      <c r="J4305" s="16"/>
      <c r="K4305" s="16"/>
      <c r="L4305" s="16"/>
      <c r="M4305" s="16"/>
      <c r="N4305" s="16"/>
      <c r="O4305" s="17"/>
      <c r="P4305" s="5" t="str">
        <f t="shared" si="98"/>
        <v>Truncate table PLS010;</v>
      </c>
      <c r="Q4305" s="5"/>
      <c r="R4305" s="5"/>
    </row>
    <row r="4306" spans="2:18" x14ac:dyDescent="0.25">
      <c r="B4306" s="19" t="s">
        <v>5644</v>
      </c>
      <c r="C4306" s="16"/>
      <c r="D4306" s="16" t="s">
        <v>29</v>
      </c>
      <c r="E4306" s="16"/>
      <c r="F4306" s="5"/>
      <c r="G4306" s="16" t="s">
        <v>35</v>
      </c>
      <c r="H4306" s="16"/>
      <c r="I4306" s="16"/>
      <c r="J4306" s="16"/>
      <c r="K4306" s="16"/>
      <c r="L4306" s="16"/>
      <c r="M4306" s="16"/>
      <c r="N4306" s="16"/>
      <c r="O4306" s="17"/>
      <c r="P4306" s="5" t="str">
        <f t="shared" si="98"/>
        <v>Truncate table PLS011;</v>
      </c>
      <c r="Q4306" s="5"/>
      <c r="R4306" s="5"/>
    </row>
    <row r="4307" spans="2:18" x14ac:dyDescent="0.25">
      <c r="B4307" s="19" t="s">
        <v>5645</v>
      </c>
      <c r="C4307" s="16"/>
      <c r="D4307" s="16" t="s">
        <v>29</v>
      </c>
      <c r="E4307" s="16"/>
      <c r="F4307" s="5"/>
      <c r="G4307" s="16" t="s">
        <v>35</v>
      </c>
      <c r="H4307" s="16"/>
      <c r="I4307" s="16"/>
      <c r="J4307" s="16"/>
      <c r="K4307" s="16"/>
      <c r="L4307" s="16"/>
      <c r="M4307" s="16"/>
      <c r="N4307" s="16"/>
      <c r="O4307" s="17"/>
      <c r="P4307" s="5" t="str">
        <f t="shared" si="98"/>
        <v>Truncate table PLS012;</v>
      </c>
      <c r="Q4307" s="5"/>
      <c r="R4307" s="5"/>
    </row>
    <row r="4308" spans="2:18" x14ac:dyDescent="0.25">
      <c r="B4308" s="19" t="s">
        <v>5646</v>
      </c>
      <c r="C4308" s="16"/>
      <c r="D4308" s="16" t="s">
        <v>29</v>
      </c>
      <c r="E4308" s="16"/>
      <c r="F4308" s="5"/>
      <c r="G4308" s="16" t="s">
        <v>35</v>
      </c>
      <c r="H4308" s="16"/>
      <c r="I4308" s="16"/>
      <c r="J4308" s="16"/>
      <c r="K4308" s="16"/>
      <c r="L4308" s="16"/>
      <c r="M4308" s="16"/>
      <c r="N4308" s="16"/>
      <c r="O4308" s="17"/>
      <c r="P4308" s="5" t="str">
        <f t="shared" si="98"/>
        <v>Truncate table PLS013;</v>
      </c>
      <c r="Q4308" s="5"/>
      <c r="R4308" s="5"/>
    </row>
    <row r="4309" spans="2:18" x14ac:dyDescent="0.25">
      <c r="B4309" s="19" t="s">
        <v>5647</v>
      </c>
      <c r="C4309" s="16"/>
      <c r="D4309" s="16" t="s">
        <v>29</v>
      </c>
      <c r="E4309" s="16"/>
      <c r="F4309" s="5"/>
      <c r="G4309" s="16" t="s">
        <v>35</v>
      </c>
      <c r="H4309" s="16"/>
      <c r="I4309" s="16"/>
      <c r="J4309" s="16"/>
      <c r="K4309" s="16"/>
      <c r="L4309" s="16"/>
      <c r="M4309" s="16"/>
      <c r="N4309" s="16"/>
      <c r="O4309" s="17"/>
      <c r="P4309" s="5" t="str">
        <f t="shared" si="98"/>
        <v>Truncate table PLS014;</v>
      </c>
      <c r="Q4309" s="5"/>
      <c r="R4309" s="5"/>
    </row>
    <row r="4310" spans="2:18" x14ac:dyDescent="0.25">
      <c r="B4310" s="19" t="s">
        <v>5648</v>
      </c>
      <c r="C4310" s="16"/>
      <c r="D4310" s="16" t="s">
        <v>29</v>
      </c>
      <c r="E4310" s="16"/>
      <c r="F4310" s="5"/>
      <c r="G4310" s="16" t="s">
        <v>35</v>
      </c>
      <c r="H4310" s="16"/>
      <c r="I4310" s="16"/>
      <c r="J4310" s="16"/>
      <c r="K4310" s="16"/>
      <c r="L4310" s="16"/>
      <c r="M4310" s="16"/>
      <c r="N4310" s="16"/>
      <c r="O4310" s="17"/>
      <c r="P4310" s="5" t="str">
        <f t="shared" si="98"/>
        <v>Truncate table PLS015;</v>
      </c>
      <c r="Q4310" s="5"/>
      <c r="R4310" s="5"/>
    </row>
    <row r="4311" spans="2:18" x14ac:dyDescent="0.25">
      <c r="B4311" s="19" t="s">
        <v>5649</v>
      </c>
      <c r="C4311" s="16"/>
      <c r="D4311" s="16" t="s">
        <v>29</v>
      </c>
      <c r="E4311" s="16"/>
      <c r="F4311" s="5"/>
      <c r="G4311" s="16" t="s">
        <v>35</v>
      </c>
      <c r="H4311" s="16"/>
      <c r="I4311" s="16"/>
      <c r="J4311" s="16"/>
      <c r="K4311" s="16"/>
      <c r="L4311" s="16"/>
      <c r="M4311" s="16"/>
      <c r="N4311" s="16"/>
      <c r="O4311" s="17"/>
      <c r="P4311" s="5" t="str">
        <f t="shared" si="98"/>
        <v>Truncate table PLS016;</v>
      </c>
      <c r="Q4311" s="5"/>
      <c r="R4311" s="5"/>
    </row>
    <row r="4312" spans="2:18" x14ac:dyDescent="0.25">
      <c r="B4312" s="19" t="s">
        <v>5650</v>
      </c>
      <c r="C4312" s="16"/>
      <c r="D4312" s="16" t="s">
        <v>29</v>
      </c>
      <c r="E4312" s="16"/>
      <c r="F4312" s="5"/>
      <c r="G4312" s="16" t="s">
        <v>35</v>
      </c>
      <c r="H4312" s="16"/>
      <c r="I4312" s="16"/>
      <c r="J4312" s="16"/>
      <c r="K4312" s="16"/>
      <c r="L4312" s="16"/>
      <c r="M4312" s="16"/>
      <c r="N4312" s="16"/>
      <c r="O4312" s="17"/>
      <c r="P4312" s="5" t="str">
        <f t="shared" si="98"/>
        <v>Truncate table PLS017;</v>
      </c>
      <c r="Q4312" s="5"/>
      <c r="R4312" s="5"/>
    </row>
    <row r="4313" spans="2:18" x14ac:dyDescent="0.25">
      <c r="B4313" s="19" t="s">
        <v>5651</v>
      </c>
      <c r="C4313" s="16"/>
      <c r="D4313" s="16" t="s">
        <v>29</v>
      </c>
      <c r="E4313" s="16"/>
      <c r="F4313" s="5"/>
      <c r="G4313" s="16" t="s">
        <v>35</v>
      </c>
      <c r="H4313" s="16"/>
      <c r="I4313" s="16"/>
      <c r="J4313" s="16"/>
      <c r="K4313" s="16"/>
      <c r="L4313" s="16"/>
      <c r="M4313" s="16"/>
      <c r="N4313" s="16"/>
      <c r="O4313" s="17"/>
      <c r="P4313" s="5" t="str">
        <f t="shared" si="98"/>
        <v>Truncate table PLS018;</v>
      </c>
      <c r="Q4313" s="5"/>
      <c r="R4313" s="5"/>
    </row>
    <row r="4314" spans="2:18" x14ac:dyDescent="0.25">
      <c r="B4314" s="19" t="s">
        <v>5652</v>
      </c>
      <c r="C4314" s="16"/>
      <c r="D4314" s="16" t="s">
        <v>29</v>
      </c>
      <c r="E4314" s="16"/>
      <c r="F4314" s="5"/>
      <c r="G4314" s="16" t="s">
        <v>35</v>
      </c>
      <c r="H4314" s="16"/>
      <c r="I4314" s="16"/>
      <c r="J4314" s="16"/>
      <c r="K4314" s="16"/>
      <c r="L4314" s="16"/>
      <c r="M4314" s="16"/>
      <c r="N4314" s="16"/>
      <c r="O4314" s="17"/>
      <c r="P4314" s="5" t="str">
        <f t="shared" si="98"/>
        <v>Truncate table PLS019;</v>
      </c>
      <c r="Q4314" s="5"/>
      <c r="R4314" s="5"/>
    </row>
    <row r="4315" spans="2:18" x14ac:dyDescent="0.25">
      <c r="B4315" s="19" t="s">
        <v>5653</v>
      </c>
      <c r="C4315" s="16"/>
      <c r="D4315" s="16" t="s">
        <v>29</v>
      </c>
      <c r="E4315" s="16"/>
      <c r="F4315" s="5"/>
      <c r="G4315" s="16" t="s">
        <v>35</v>
      </c>
      <c r="H4315" s="16"/>
      <c r="I4315" s="16"/>
      <c r="J4315" s="16"/>
      <c r="K4315" s="16"/>
      <c r="L4315" s="16"/>
      <c r="M4315" s="16"/>
      <c r="N4315" s="16"/>
      <c r="O4315" s="17"/>
      <c r="P4315" s="5" t="str">
        <f t="shared" si="98"/>
        <v>Truncate table PLS020;</v>
      </c>
      <c r="Q4315" s="5"/>
      <c r="R4315" s="5"/>
    </row>
    <row r="4316" spans="2:18" x14ac:dyDescent="0.25">
      <c r="B4316" s="19" t="s">
        <v>5654</v>
      </c>
      <c r="C4316" s="16"/>
      <c r="D4316" s="16" t="s">
        <v>29</v>
      </c>
      <c r="E4316" s="16"/>
      <c r="F4316" s="5"/>
      <c r="G4316" s="16" t="s">
        <v>35</v>
      </c>
      <c r="H4316" s="16"/>
      <c r="I4316" s="16"/>
      <c r="J4316" s="16"/>
      <c r="K4316" s="16"/>
      <c r="L4316" s="16"/>
      <c r="M4316" s="16"/>
      <c r="N4316" s="16"/>
      <c r="O4316" s="17"/>
      <c r="P4316" s="5" t="str">
        <f t="shared" si="98"/>
        <v>Truncate table PLS021;</v>
      </c>
      <c r="Q4316" s="5"/>
      <c r="R4316" s="5"/>
    </row>
    <row r="4317" spans="2:18" x14ac:dyDescent="0.25">
      <c r="B4317" s="19" t="s">
        <v>5655</v>
      </c>
      <c r="C4317" s="16"/>
      <c r="D4317" s="16" t="s">
        <v>29</v>
      </c>
      <c r="E4317" s="16"/>
      <c r="F4317" s="5"/>
      <c r="G4317" s="16" t="s">
        <v>35</v>
      </c>
      <c r="H4317" s="16"/>
      <c r="I4317" s="16"/>
      <c r="J4317" s="16"/>
      <c r="K4317" s="16"/>
      <c r="L4317" s="16"/>
      <c r="M4317" s="16"/>
      <c r="N4317" s="16"/>
      <c r="O4317" s="17"/>
      <c r="P4317" s="5" t="str">
        <f t="shared" si="98"/>
        <v>Truncate table PLS030;</v>
      </c>
      <c r="Q4317" s="5"/>
      <c r="R4317" s="5"/>
    </row>
    <row r="4318" spans="2:18" x14ac:dyDescent="0.25">
      <c r="B4318" s="19" t="s">
        <v>5656</v>
      </c>
      <c r="C4318" s="16"/>
      <c r="D4318" s="16" t="s">
        <v>29</v>
      </c>
      <c r="E4318" s="16"/>
      <c r="F4318" s="5"/>
      <c r="G4318" s="16" t="s">
        <v>35</v>
      </c>
      <c r="H4318" s="16"/>
      <c r="I4318" s="16"/>
      <c r="J4318" s="16"/>
      <c r="K4318" s="16"/>
      <c r="L4318" s="16"/>
      <c r="M4318" s="16"/>
      <c r="N4318" s="16"/>
      <c r="O4318" s="17"/>
      <c r="P4318" s="5" t="str">
        <f t="shared" si="98"/>
        <v>Truncate table PLS031;</v>
      </c>
      <c r="Q4318" s="5"/>
      <c r="R4318" s="5"/>
    </row>
    <row r="4319" spans="2:18" x14ac:dyDescent="0.25">
      <c r="B4319" s="19" t="s">
        <v>5657</v>
      </c>
      <c r="C4319" s="16"/>
      <c r="D4319" s="16" t="s">
        <v>29</v>
      </c>
      <c r="E4319" s="16"/>
      <c r="F4319" s="5"/>
      <c r="G4319" s="16" t="s">
        <v>35</v>
      </c>
      <c r="H4319" s="16"/>
      <c r="I4319" s="16"/>
      <c r="J4319" s="16"/>
      <c r="K4319" s="16"/>
      <c r="L4319" s="16"/>
      <c r="M4319" s="16"/>
      <c r="N4319" s="16"/>
      <c r="O4319" s="17"/>
      <c r="P4319" s="5" t="str">
        <f t="shared" si="98"/>
        <v>Truncate table PLS032;</v>
      </c>
      <c r="Q4319" s="5"/>
      <c r="R4319" s="5"/>
    </row>
    <row r="4320" spans="2:18" x14ac:dyDescent="0.25">
      <c r="B4320" s="19" t="s">
        <v>5658</v>
      </c>
      <c r="C4320" s="16"/>
      <c r="D4320" s="16" t="s">
        <v>29</v>
      </c>
      <c r="E4320" s="16"/>
      <c r="F4320" s="5"/>
      <c r="G4320" s="16" t="s">
        <v>35</v>
      </c>
      <c r="H4320" s="16"/>
      <c r="I4320" s="16"/>
      <c r="J4320" s="16"/>
      <c r="K4320" s="16"/>
      <c r="L4320" s="16"/>
      <c r="M4320" s="16"/>
      <c r="N4320" s="16"/>
      <c r="O4320" s="17"/>
      <c r="P4320" s="5" t="str">
        <f t="shared" si="98"/>
        <v>Truncate table PLS033;</v>
      </c>
      <c r="Q4320" s="5"/>
      <c r="R4320" s="5"/>
    </row>
    <row r="4321" spans="2:18" x14ac:dyDescent="0.25">
      <c r="B4321" s="19" t="s">
        <v>5659</v>
      </c>
      <c r="C4321" s="16"/>
      <c r="D4321" s="16" t="s">
        <v>29</v>
      </c>
      <c r="E4321" s="16"/>
      <c r="F4321" s="5"/>
      <c r="G4321" s="16" t="s">
        <v>35</v>
      </c>
      <c r="H4321" s="16"/>
      <c r="I4321" s="16"/>
      <c r="J4321" s="16"/>
      <c r="K4321" s="16"/>
      <c r="L4321" s="16"/>
      <c r="M4321" s="16"/>
      <c r="N4321" s="16"/>
      <c r="O4321" s="17"/>
      <c r="P4321" s="5" t="str">
        <f t="shared" si="98"/>
        <v>Truncate table PLS034;</v>
      </c>
      <c r="Q4321" s="5"/>
      <c r="R4321" s="5"/>
    </row>
    <row r="4322" spans="2:18" x14ac:dyDescent="0.25">
      <c r="B4322" s="19" t="s">
        <v>5660</v>
      </c>
      <c r="C4322" s="16"/>
      <c r="D4322" s="16" t="s">
        <v>29</v>
      </c>
      <c r="E4322" s="16"/>
      <c r="F4322" s="5"/>
      <c r="G4322" s="16" t="s">
        <v>35</v>
      </c>
      <c r="H4322" s="16"/>
      <c r="I4322" s="16"/>
      <c r="J4322" s="16"/>
      <c r="K4322" s="16"/>
      <c r="L4322" s="16"/>
      <c r="M4322" s="16"/>
      <c r="N4322" s="16"/>
      <c r="O4322" s="17"/>
      <c r="P4322" s="5" t="str">
        <f t="shared" si="98"/>
        <v>Truncate table PLS070;</v>
      </c>
      <c r="Q4322" s="5"/>
      <c r="R4322" s="5"/>
    </row>
    <row r="4323" spans="2:18" x14ac:dyDescent="0.25">
      <c r="B4323" s="19" t="s">
        <v>5661</v>
      </c>
      <c r="C4323" s="16"/>
      <c r="D4323" s="16" t="s">
        <v>29</v>
      </c>
      <c r="E4323" s="16"/>
      <c r="F4323" s="5"/>
      <c r="G4323" s="16" t="s">
        <v>35</v>
      </c>
      <c r="H4323" s="16"/>
      <c r="I4323" s="16"/>
      <c r="J4323" s="16"/>
      <c r="K4323" s="16"/>
      <c r="L4323" s="16"/>
      <c r="M4323" s="16"/>
      <c r="N4323" s="16"/>
      <c r="O4323" s="17"/>
      <c r="P4323" s="5" t="str">
        <f t="shared" si="98"/>
        <v>Truncate table PLS071;</v>
      </c>
      <c r="Q4323" s="5"/>
      <c r="R4323" s="5"/>
    </row>
    <row r="4324" spans="2:18" x14ac:dyDescent="0.25">
      <c r="B4324" s="19" t="s">
        <v>5662</v>
      </c>
      <c r="C4324" s="16"/>
      <c r="D4324" s="16" t="s">
        <v>29</v>
      </c>
      <c r="E4324" s="16"/>
      <c r="F4324" s="5"/>
      <c r="G4324" s="16" t="s">
        <v>35</v>
      </c>
      <c r="H4324" s="16"/>
      <c r="I4324" s="16"/>
      <c r="J4324" s="16"/>
      <c r="K4324" s="16"/>
      <c r="L4324" s="16"/>
      <c r="M4324" s="16"/>
      <c r="N4324" s="16"/>
      <c r="O4324" s="17"/>
      <c r="P4324" s="5" t="str">
        <f t="shared" si="98"/>
        <v>Truncate table POI001;</v>
      </c>
      <c r="Q4324" s="5"/>
      <c r="R4324" s="5"/>
    </row>
    <row r="4325" spans="2:18" x14ac:dyDescent="0.25">
      <c r="B4325" s="19" t="s">
        <v>5663</v>
      </c>
      <c r="C4325" s="16"/>
      <c r="D4325" s="16" t="s">
        <v>29</v>
      </c>
      <c r="E4325" s="16"/>
      <c r="F4325" s="5"/>
      <c r="G4325" s="16" t="s">
        <v>35</v>
      </c>
      <c r="H4325" s="16"/>
      <c r="I4325" s="16"/>
      <c r="J4325" s="16"/>
      <c r="K4325" s="16"/>
      <c r="L4325" s="16"/>
      <c r="M4325" s="16"/>
      <c r="N4325" s="16"/>
      <c r="O4325" s="17"/>
      <c r="P4325" s="5" t="str">
        <f t="shared" si="98"/>
        <v>Truncate table PPF001;</v>
      </c>
      <c r="Q4325" s="5"/>
      <c r="R4325" s="5"/>
    </row>
    <row r="4326" spans="2:18" x14ac:dyDescent="0.25">
      <c r="B4326" s="19" t="s">
        <v>5664</v>
      </c>
      <c r="C4326" s="16"/>
      <c r="D4326" s="16" t="s">
        <v>29</v>
      </c>
      <c r="E4326" s="16"/>
      <c r="F4326" s="5"/>
      <c r="G4326" s="16" t="s">
        <v>35</v>
      </c>
      <c r="H4326" s="16"/>
      <c r="I4326" s="16"/>
      <c r="J4326" s="16"/>
      <c r="K4326" s="16"/>
      <c r="L4326" s="16"/>
      <c r="M4326" s="16"/>
      <c r="N4326" s="16"/>
      <c r="O4326" s="17"/>
      <c r="P4326" s="5" t="str">
        <f t="shared" si="98"/>
        <v>Truncate table PPF002;</v>
      </c>
      <c r="Q4326" s="5"/>
      <c r="R4326" s="5"/>
    </row>
    <row r="4327" spans="2:18" x14ac:dyDescent="0.25">
      <c r="B4327" s="19" t="s">
        <v>5665</v>
      </c>
      <c r="C4327" s="16"/>
      <c r="D4327" s="16" t="s">
        <v>29</v>
      </c>
      <c r="E4327" s="16"/>
      <c r="F4327" s="5"/>
      <c r="G4327" s="16" t="s">
        <v>35</v>
      </c>
      <c r="H4327" s="16"/>
      <c r="I4327" s="16"/>
      <c r="J4327" s="16"/>
      <c r="K4327" s="16"/>
      <c r="L4327" s="16"/>
      <c r="M4327" s="16"/>
      <c r="N4327" s="16"/>
      <c r="O4327" s="17"/>
      <c r="P4327" s="5" t="str">
        <f t="shared" si="98"/>
        <v>Truncate table PPF003;</v>
      </c>
      <c r="Q4327" s="5"/>
      <c r="R4327" s="5"/>
    </row>
    <row r="4328" spans="2:18" x14ac:dyDescent="0.25">
      <c r="B4328" s="19" t="s">
        <v>5666</v>
      </c>
      <c r="C4328" s="16"/>
      <c r="D4328" s="16" t="s">
        <v>29</v>
      </c>
      <c r="E4328" s="16"/>
      <c r="F4328" s="5"/>
      <c r="G4328" s="16" t="s">
        <v>35</v>
      </c>
      <c r="H4328" s="16"/>
      <c r="I4328" s="16"/>
      <c r="J4328" s="16"/>
      <c r="K4328" s="16"/>
      <c r="L4328" s="16"/>
      <c r="M4328" s="16"/>
      <c r="N4328" s="16"/>
      <c r="O4328" s="17"/>
      <c r="P4328" s="5" t="str">
        <f t="shared" si="98"/>
        <v>Truncate table PPF004;</v>
      </c>
      <c r="Q4328" s="5"/>
      <c r="R4328" s="5"/>
    </row>
    <row r="4329" spans="2:18" x14ac:dyDescent="0.25">
      <c r="B4329" s="19" t="s">
        <v>5667</v>
      </c>
      <c r="C4329" s="16"/>
      <c r="D4329" s="16" t="s">
        <v>29</v>
      </c>
      <c r="E4329" s="16"/>
      <c r="F4329" s="5"/>
      <c r="G4329" s="16" t="s">
        <v>35</v>
      </c>
      <c r="H4329" s="16"/>
      <c r="I4329" s="16"/>
      <c r="J4329" s="16"/>
      <c r="K4329" s="16"/>
      <c r="L4329" s="16"/>
      <c r="M4329" s="16"/>
      <c r="N4329" s="16"/>
      <c r="O4329" s="17"/>
      <c r="P4329" s="5" t="str">
        <f t="shared" si="98"/>
        <v>Truncate table PPF005;</v>
      </c>
      <c r="Q4329" s="5"/>
      <c r="R4329" s="5"/>
    </row>
    <row r="4330" spans="2:18" x14ac:dyDescent="0.25">
      <c r="B4330" s="19" t="s">
        <v>5668</v>
      </c>
      <c r="C4330" s="16"/>
      <c r="D4330" s="16" t="s">
        <v>29</v>
      </c>
      <c r="E4330" s="16"/>
      <c r="F4330" s="5"/>
      <c r="G4330" s="16" t="s">
        <v>35</v>
      </c>
      <c r="H4330" s="16"/>
      <c r="I4330" s="16"/>
      <c r="J4330" s="16"/>
      <c r="K4330" s="16"/>
      <c r="L4330" s="16"/>
      <c r="M4330" s="16"/>
      <c r="N4330" s="16"/>
      <c r="O4330" s="17"/>
      <c r="P4330" s="5" t="str">
        <f t="shared" si="98"/>
        <v>Truncate table PPF006;</v>
      </c>
      <c r="Q4330" s="5"/>
      <c r="R4330" s="5"/>
    </row>
    <row r="4331" spans="2:18" x14ac:dyDescent="0.25">
      <c r="B4331" s="19" t="s">
        <v>5669</v>
      </c>
      <c r="C4331" s="16"/>
      <c r="D4331" s="16" t="s">
        <v>29</v>
      </c>
      <c r="E4331" s="16"/>
      <c r="F4331" s="5"/>
      <c r="G4331" s="16" t="s">
        <v>35</v>
      </c>
      <c r="H4331" s="16"/>
      <c r="I4331" s="16"/>
      <c r="J4331" s="16"/>
      <c r="K4331" s="16"/>
      <c r="L4331" s="16"/>
      <c r="M4331" s="16"/>
      <c r="N4331" s="16"/>
      <c r="O4331" s="17"/>
      <c r="P4331" s="5" t="str">
        <f t="shared" si="98"/>
        <v>Truncate table PPF007;</v>
      </c>
      <c r="Q4331" s="5"/>
      <c r="R4331" s="5"/>
    </row>
    <row r="4332" spans="2:18" x14ac:dyDescent="0.25">
      <c r="B4332" s="19" t="s">
        <v>5670</v>
      </c>
      <c r="C4332" s="16"/>
      <c r="D4332" s="16" t="s">
        <v>29</v>
      </c>
      <c r="E4332" s="16"/>
      <c r="F4332" s="5"/>
      <c r="G4332" s="16" t="s">
        <v>35</v>
      </c>
      <c r="H4332" s="16"/>
      <c r="I4332" s="16"/>
      <c r="J4332" s="16"/>
      <c r="K4332" s="16"/>
      <c r="L4332" s="16"/>
      <c r="M4332" s="16"/>
      <c r="N4332" s="16"/>
      <c r="O4332" s="17"/>
      <c r="P4332" s="5" t="str">
        <f t="shared" si="98"/>
        <v>Truncate table PPF008;</v>
      </c>
      <c r="Q4332" s="5"/>
      <c r="R4332" s="5"/>
    </row>
    <row r="4333" spans="2:18" x14ac:dyDescent="0.25">
      <c r="B4333" s="19" t="s">
        <v>5671</v>
      </c>
      <c r="C4333" s="16" t="s">
        <v>5672</v>
      </c>
      <c r="D4333" s="16" t="s">
        <v>29</v>
      </c>
      <c r="E4333" s="16" t="s">
        <v>1096</v>
      </c>
      <c r="F4333" s="5" t="s">
        <v>2715</v>
      </c>
      <c r="G4333" s="16" t="s">
        <v>35</v>
      </c>
      <c r="H4333" s="16" t="s">
        <v>36</v>
      </c>
      <c r="I4333" s="16"/>
      <c r="J4333" s="16"/>
      <c r="K4333" s="16"/>
      <c r="L4333" s="16"/>
      <c r="M4333" s="16"/>
      <c r="N4333" s="16"/>
      <c r="O4333" s="17" t="s">
        <v>38</v>
      </c>
      <c r="P4333" s="5" t="str">
        <f t="shared" si="98"/>
        <v>Truncate table PPG000;</v>
      </c>
      <c r="Q4333" s="5"/>
      <c r="R4333" s="5"/>
    </row>
    <row r="4334" spans="2:18" x14ac:dyDescent="0.25">
      <c r="B4334" s="19" t="s">
        <v>5673</v>
      </c>
      <c r="C4334" s="16" t="s">
        <v>5674</v>
      </c>
      <c r="D4334" s="16" t="s">
        <v>29</v>
      </c>
      <c r="E4334" s="16" t="s">
        <v>1096</v>
      </c>
      <c r="F4334" s="5" t="s">
        <v>2715</v>
      </c>
      <c r="G4334" s="16" t="s">
        <v>35</v>
      </c>
      <c r="H4334" s="16" t="s">
        <v>36</v>
      </c>
      <c r="I4334" s="16"/>
      <c r="J4334" s="16"/>
      <c r="K4334" s="16"/>
      <c r="L4334" s="16"/>
      <c r="M4334" s="16"/>
      <c r="N4334" s="16"/>
      <c r="O4334" s="17" t="s">
        <v>38</v>
      </c>
      <c r="P4334" s="5" t="str">
        <f t="shared" si="98"/>
        <v>Truncate table PPG001;</v>
      </c>
      <c r="Q4334" s="5"/>
      <c r="R4334" s="5"/>
    </row>
    <row r="4335" spans="2:18" x14ac:dyDescent="0.25">
      <c r="B4335" s="19" t="s">
        <v>5675</v>
      </c>
      <c r="C4335" s="16" t="s">
        <v>5674</v>
      </c>
      <c r="D4335" s="16" t="s">
        <v>29</v>
      </c>
      <c r="E4335" s="16" t="s">
        <v>1096</v>
      </c>
      <c r="F4335" s="5" t="s">
        <v>2715</v>
      </c>
      <c r="G4335" s="16" t="s">
        <v>35</v>
      </c>
      <c r="H4335" s="16" t="s">
        <v>36</v>
      </c>
      <c r="I4335" s="16"/>
      <c r="J4335" s="16"/>
      <c r="K4335" s="16"/>
      <c r="L4335" s="16"/>
      <c r="M4335" s="16"/>
      <c r="N4335" s="16"/>
      <c r="O4335" s="17" t="s">
        <v>38</v>
      </c>
      <c r="P4335" s="5" t="str">
        <f t="shared" si="98"/>
        <v>Truncate table PPG002;</v>
      </c>
      <c r="Q4335" s="5"/>
      <c r="R4335" s="5"/>
    </row>
    <row r="4336" spans="2:18" x14ac:dyDescent="0.25">
      <c r="B4336" s="19" t="s">
        <v>5676</v>
      </c>
      <c r="C4336" s="16" t="s">
        <v>5674</v>
      </c>
      <c r="D4336" s="16" t="s">
        <v>29</v>
      </c>
      <c r="E4336" s="16" t="s">
        <v>1096</v>
      </c>
      <c r="F4336" s="5" t="s">
        <v>2715</v>
      </c>
      <c r="G4336" s="16" t="s">
        <v>35</v>
      </c>
      <c r="H4336" s="16" t="s">
        <v>36</v>
      </c>
      <c r="I4336" s="16"/>
      <c r="J4336" s="16"/>
      <c r="K4336" s="16"/>
      <c r="L4336" s="16"/>
      <c r="M4336" s="16"/>
      <c r="N4336" s="16"/>
      <c r="O4336" s="17" t="s">
        <v>38</v>
      </c>
      <c r="P4336" s="5" t="str">
        <f t="shared" si="98"/>
        <v>Truncate table PPG003;</v>
      </c>
      <c r="Q4336" s="5"/>
      <c r="R4336" s="5"/>
    </row>
    <row r="4337" spans="2:18" x14ac:dyDescent="0.25">
      <c r="B4337" s="19" t="s">
        <v>5677</v>
      </c>
      <c r="C4337" s="16" t="s">
        <v>5674</v>
      </c>
      <c r="D4337" s="16" t="s">
        <v>29</v>
      </c>
      <c r="E4337" s="16" t="s">
        <v>1096</v>
      </c>
      <c r="F4337" s="5" t="s">
        <v>2715</v>
      </c>
      <c r="G4337" s="16" t="s">
        <v>35</v>
      </c>
      <c r="H4337" s="16" t="s">
        <v>36</v>
      </c>
      <c r="I4337" s="16"/>
      <c r="J4337" s="16"/>
      <c r="K4337" s="16"/>
      <c r="L4337" s="16"/>
      <c r="M4337" s="16"/>
      <c r="N4337" s="16"/>
      <c r="O4337" s="17" t="s">
        <v>38</v>
      </c>
      <c r="P4337" s="5" t="str">
        <f t="shared" si="98"/>
        <v>Truncate table PPG004;</v>
      </c>
      <c r="Q4337" s="5"/>
      <c r="R4337" s="5"/>
    </row>
    <row r="4338" spans="2:18" x14ac:dyDescent="0.25">
      <c r="B4338" s="19" t="s">
        <v>5678</v>
      </c>
      <c r="C4338" s="16" t="s">
        <v>5679</v>
      </c>
      <c r="D4338" s="16" t="s">
        <v>29</v>
      </c>
      <c r="E4338" s="16" t="s">
        <v>1096</v>
      </c>
      <c r="F4338" s="5" t="s">
        <v>2715</v>
      </c>
      <c r="G4338" s="16" t="s">
        <v>35</v>
      </c>
      <c r="H4338" s="16" t="s">
        <v>36</v>
      </c>
      <c r="I4338" s="16"/>
      <c r="J4338" s="16"/>
      <c r="K4338" s="16"/>
      <c r="L4338" s="16"/>
      <c r="M4338" s="16"/>
      <c r="N4338" s="16"/>
      <c r="O4338" s="17" t="s">
        <v>38</v>
      </c>
      <c r="P4338" s="5" t="str">
        <f t="shared" si="98"/>
        <v>Truncate table PPG005;</v>
      </c>
      <c r="Q4338" s="5"/>
      <c r="R4338" s="5"/>
    </row>
    <row r="4339" spans="2:18" x14ac:dyDescent="0.25">
      <c r="B4339" s="19" t="s">
        <v>5680</v>
      </c>
      <c r="C4339" s="16" t="s">
        <v>5674</v>
      </c>
      <c r="D4339" s="16" t="s">
        <v>29</v>
      </c>
      <c r="E4339" s="16" t="s">
        <v>1096</v>
      </c>
      <c r="F4339" s="5" t="s">
        <v>2715</v>
      </c>
      <c r="G4339" s="16" t="s">
        <v>35</v>
      </c>
      <c r="H4339" s="16" t="s">
        <v>36</v>
      </c>
      <c r="I4339" s="16"/>
      <c r="J4339" s="16"/>
      <c r="K4339" s="16"/>
      <c r="L4339" s="16"/>
      <c r="M4339" s="16"/>
      <c r="N4339" s="16"/>
      <c r="O4339" s="17" t="s">
        <v>38</v>
      </c>
      <c r="P4339" s="5" t="str">
        <f t="shared" si="98"/>
        <v>Truncate table PPG006;</v>
      </c>
      <c r="Q4339" s="5"/>
      <c r="R4339" s="5"/>
    </row>
    <row r="4340" spans="2:18" x14ac:dyDescent="0.25">
      <c r="B4340" s="19" t="s">
        <v>5681</v>
      </c>
      <c r="C4340" s="16" t="s">
        <v>5682</v>
      </c>
      <c r="D4340" s="16" t="s">
        <v>29</v>
      </c>
      <c r="E4340" s="16" t="s">
        <v>1096</v>
      </c>
      <c r="F4340" s="5" t="s">
        <v>2715</v>
      </c>
      <c r="G4340" s="16" t="s">
        <v>35</v>
      </c>
      <c r="H4340" s="16" t="s">
        <v>36</v>
      </c>
      <c r="I4340" s="16"/>
      <c r="J4340" s="16"/>
      <c r="K4340" s="16"/>
      <c r="L4340" s="16"/>
      <c r="M4340" s="16"/>
      <c r="N4340" s="16"/>
      <c r="O4340" s="17" t="s">
        <v>38</v>
      </c>
      <c r="P4340" s="5" t="str">
        <f t="shared" si="98"/>
        <v>Truncate table PPG007;</v>
      </c>
      <c r="Q4340" s="5"/>
      <c r="R4340" s="5"/>
    </row>
    <row r="4341" spans="2:18" x14ac:dyDescent="0.25">
      <c r="B4341" s="19" t="s">
        <v>5683</v>
      </c>
      <c r="C4341" s="16" t="s">
        <v>5684</v>
      </c>
      <c r="D4341" s="16" t="s">
        <v>29</v>
      </c>
      <c r="E4341" s="16" t="s">
        <v>1096</v>
      </c>
      <c r="F4341" s="5" t="s">
        <v>2715</v>
      </c>
      <c r="G4341" s="16" t="s">
        <v>35</v>
      </c>
      <c r="H4341" s="16" t="s">
        <v>36</v>
      </c>
      <c r="I4341" s="16"/>
      <c r="J4341" s="16"/>
      <c r="K4341" s="16"/>
      <c r="L4341" s="16"/>
      <c r="M4341" s="16"/>
      <c r="N4341" s="16"/>
      <c r="O4341" s="17" t="s">
        <v>38</v>
      </c>
      <c r="P4341" s="5" t="str">
        <f t="shared" si="98"/>
        <v>Truncate table PPG008;</v>
      </c>
      <c r="Q4341" s="5"/>
      <c r="R4341" s="5"/>
    </row>
    <row r="4342" spans="2:18" ht="40.5" x14ac:dyDescent="0.25">
      <c r="B4342" s="23" t="s">
        <v>5685</v>
      </c>
      <c r="C4342" s="23" t="s">
        <v>5686</v>
      </c>
      <c r="D4342" s="19" t="s">
        <v>29</v>
      </c>
      <c r="E4342" s="19" t="s">
        <v>1096</v>
      </c>
      <c r="F4342" s="23" t="s">
        <v>2715</v>
      </c>
      <c r="G4342" s="19" t="s">
        <v>35</v>
      </c>
      <c r="H4342" s="19" t="s">
        <v>36</v>
      </c>
      <c r="I4342" s="23" t="s">
        <v>5687</v>
      </c>
      <c r="J4342" s="23" t="s">
        <v>5688</v>
      </c>
      <c r="K4342" s="23" t="s">
        <v>1068</v>
      </c>
      <c r="L4342" s="23" t="s">
        <v>5689</v>
      </c>
      <c r="M4342" s="23"/>
      <c r="N4342" s="23" t="s">
        <v>5690</v>
      </c>
      <c r="O4342" s="24" t="s">
        <v>38</v>
      </c>
      <c r="P4342" s="5" t="str">
        <f t="shared" si="98"/>
        <v>Truncate table PPG009;</v>
      </c>
      <c r="Q4342" s="5"/>
      <c r="R4342" s="5"/>
    </row>
    <row r="4343" spans="2:18" x14ac:dyDescent="0.25">
      <c r="B4343" s="19" t="s">
        <v>5691</v>
      </c>
      <c r="C4343" s="16" t="s">
        <v>8584</v>
      </c>
      <c r="D4343" s="16" t="s">
        <v>8152</v>
      </c>
      <c r="E4343" s="16" t="s">
        <v>1096</v>
      </c>
      <c r="F4343" s="5" t="s">
        <v>2715</v>
      </c>
      <c r="G4343" s="16" t="s">
        <v>35</v>
      </c>
      <c r="H4343" s="16" t="s">
        <v>36</v>
      </c>
      <c r="I4343" s="16"/>
      <c r="J4343" s="16"/>
      <c r="K4343" s="16"/>
      <c r="L4343" s="16"/>
      <c r="M4343" s="229" t="s">
        <v>38</v>
      </c>
      <c r="N4343" s="16"/>
      <c r="O4343" s="17" t="s">
        <v>38</v>
      </c>
      <c r="P4343" s="5" t="str">
        <f t="shared" si="98"/>
        <v/>
      </c>
      <c r="Q4343" s="5"/>
      <c r="R4343" s="5"/>
    </row>
    <row r="4344" spans="2:18" ht="27" x14ac:dyDescent="0.25">
      <c r="B4344" s="19" t="s">
        <v>5692</v>
      </c>
      <c r="C4344" s="16" t="s">
        <v>5693</v>
      </c>
      <c r="D4344" s="16" t="s">
        <v>8152</v>
      </c>
      <c r="E4344" s="16" t="s">
        <v>1096</v>
      </c>
      <c r="F4344" s="5" t="s">
        <v>2715</v>
      </c>
      <c r="G4344" s="16" t="s">
        <v>35</v>
      </c>
      <c r="H4344" s="16" t="s">
        <v>36</v>
      </c>
      <c r="I4344" s="16"/>
      <c r="J4344" s="16"/>
      <c r="K4344" s="16"/>
      <c r="L4344" s="16"/>
      <c r="M4344" s="238" t="s">
        <v>8577</v>
      </c>
      <c r="N4344" s="16" t="s">
        <v>8615</v>
      </c>
      <c r="O4344" s="17" t="s">
        <v>38</v>
      </c>
      <c r="P4344" s="5" t="str">
        <f t="shared" si="98"/>
        <v/>
      </c>
      <c r="Q4344" s="5"/>
      <c r="R4344" s="5"/>
    </row>
    <row r="4345" spans="2:18" ht="39.950000000000003" customHeight="1" x14ac:dyDescent="0.25">
      <c r="B4345" s="19" t="s">
        <v>5694</v>
      </c>
      <c r="C4345" s="16" t="s">
        <v>5695</v>
      </c>
      <c r="D4345" s="16" t="s">
        <v>8152</v>
      </c>
      <c r="E4345" s="16" t="s">
        <v>1096</v>
      </c>
      <c r="F4345" s="5" t="s">
        <v>2715</v>
      </c>
      <c r="G4345" s="16" t="s">
        <v>35</v>
      </c>
      <c r="H4345" s="16" t="s">
        <v>36</v>
      </c>
      <c r="I4345" s="16"/>
      <c r="J4345" s="16"/>
      <c r="K4345" s="16"/>
      <c r="L4345" s="16"/>
      <c r="M4345" s="238" t="s">
        <v>8577</v>
      </c>
      <c r="N4345" s="16" t="s">
        <v>8614</v>
      </c>
      <c r="O4345" s="17" t="s">
        <v>38</v>
      </c>
      <c r="P4345" s="5" t="str">
        <f t="shared" si="98"/>
        <v/>
      </c>
      <c r="Q4345" s="5"/>
      <c r="R4345" s="5"/>
    </row>
    <row r="4346" spans="2:18" ht="37.5" customHeight="1" x14ac:dyDescent="0.25">
      <c r="B4346" s="19" t="s">
        <v>5696</v>
      </c>
      <c r="C4346" s="16" t="s">
        <v>5697</v>
      </c>
      <c r="D4346" s="16" t="s">
        <v>8152</v>
      </c>
      <c r="E4346" s="16" t="s">
        <v>1096</v>
      </c>
      <c r="F4346" s="5" t="s">
        <v>2715</v>
      </c>
      <c r="G4346" s="16" t="s">
        <v>35</v>
      </c>
      <c r="H4346" s="16" t="s">
        <v>36</v>
      </c>
      <c r="I4346" s="16"/>
      <c r="J4346" s="16"/>
      <c r="K4346" s="16"/>
      <c r="L4346" s="16"/>
      <c r="M4346" s="238" t="s">
        <v>8577</v>
      </c>
      <c r="N4346" s="16" t="s">
        <v>8616</v>
      </c>
      <c r="O4346" s="17" t="s">
        <v>38</v>
      </c>
      <c r="P4346" s="5" t="str">
        <f t="shared" si="98"/>
        <v/>
      </c>
      <c r="Q4346" s="5"/>
      <c r="R4346" s="5"/>
    </row>
    <row r="4347" spans="2:18" x14ac:dyDescent="0.25">
      <c r="B4347" s="19" t="s">
        <v>5698</v>
      </c>
      <c r="C4347" s="16" t="s">
        <v>5699</v>
      </c>
      <c r="D4347" s="16" t="s">
        <v>8152</v>
      </c>
      <c r="E4347" s="16" t="s">
        <v>1096</v>
      </c>
      <c r="F4347" s="5" t="s">
        <v>2715</v>
      </c>
      <c r="G4347" s="16" t="s">
        <v>35</v>
      </c>
      <c r="H4347" s="16" t="s">
        <v>36</v>
      </c>
      <c r="I4347" s="16"/>
      <c r="J4347" s="16"/>
      <c r="K4347" s="16"/>
      <c r="L4347" s="16"/>
      <c r="M4347" s="5"/>
      <c r="N4347" s="16"/>
      <c r="O4347" s="17" t="s">
        <v>38</v>
      </c>
      <c r="P4347" s="5" t="str">
        <f t="shared" si="98"/>
        <v/>
      </c>
      <c r="Q4347" s="5"/>
      <c r="R4347" s="5"/>
    </row>
    <row r="4348" spans="2:18" x14ac:dyDescent="0.25">
      <c r="B4348" s="19" t="s">
        <v>5700</v>
      </c>
      <c r="C4348" s="16" t="s">
        <v>5701</v>
      </c>
      <c r="D4348" s="16" t="s">
        <v>8152</v>
      </c>
      <c r="E4348" s="16" t="s">
        <v>1096</v>
      </c>
      <c r="F4348" s="5" t="s">
        <v>2715</v>
      </c>
      <c r="G4348" s="16" t="s">
        <v>35</v>
      </c>
      <c r="H4348" s="16" t="s">
        <v>36</v>
      </c>
      <c r="I4348" s="16"/>
      <c r="J4348" s="16"/>
      <c r="K4348" s="16"/>
      <c r="L4348" s="16"/>
      <c r="M4348" s="5"/>
      <c r="N4348" s="16"/>
      <c r="O4348" s="17" t="s">
        <v>38</v>
      </c>
      <c r="P4348" s="5" t="str">
        <f t="shared" si="98"/>
        <v/>
      </c>
      <c r="Q4348" s="5"/>
      <c r="R4348" s="5"/>
    </row>
    <row r="4349" spans="2:18" x14ac:dyDescent="0.25">
      <c r="B4349" s="19" t="s">
        <v>5702</v>
      </c>
      <c r="C4349" s="16"/>
      <c r="D4349" s="16" t="s">
        <v>8152</v>
      </c>
      <c r="E4349" s="16" t="s">
        <v>1096</v>
      </c>
      <c r="F4349" s="5" t="s">
        <v>2715</v>
      </c>
      <c r="G4349" s="16" t="s">
        <v>35</v>
      </c>
      <c r="H4349" s="16" t="s">
        <v>36</v>
      </c>
      <c r="I4349" s="16"/>
      <c r="J4349" s="16"/>
      <c r="K4349" s="16"/>
      <c r="L4349" s="16"/>
      <c r="M4349" s="238" t="s">
        <v>8577</v>
      </c>
      <c r="N4349" s="16"/>
      <c r="O4349" s="17"/>
      <c r="P4349" s="5" t="str">
        <f t="shared" si="98"/>
        <v/>
      </c>
      <c r="Q4349" s="5"/>
      <c r="R4349" s="5"/>
    </row>
    <row r="4350" spans="2:18" x14ac:dyDescent="0.25">
      <c r="B4350" s="19" t="s">
        <v>5703</v>
      </c>
      <c r="C4350" s="16" t="s">
        <v>5704</v>
      </c>
      <c r="D4350" s="16" t="s">
        <v>8152</v>
      </c>
      <c r="E4350" s="16" t="s">
        <v>1096</v>
      </c>
      <c r="F4350" s="5" t="s">
        <v>2715</v>
      </c>
      <c r="G4350" s="16" t="s">
        <v>35</v>
      </c>
      <c r="H4350" s="16" t="s">
        <v>36</v>
      </c>
      <c r="I4350" s="16"/>
      <c r="J4350" s="16"/>
      <c r="K4350" s="16"/>
      <c r="L4350" s="16"/>
      <c r="M4350" s="238" t="s">
        <v>8588</v>
      </c>
      <c r="N4350" s="16"/>
      <c r="O4350" s="17" t="s">
        <v>38</v>
      </c>
      <c r="P4350" s="5" t="str">
        <f t="shared" si="98"/>
        <v/>
      </c>
      <c r="Q4350" s="5"/>
      <c r="R4350" s="5"/>
    </row>
    <row r="4351" spans="2:18" ht="39.75" customHeight="1" x14ac:dyDescent="0.25">
      <c r="B4351" s="19" t="s">
        <v>5705</v>
      </c>
      <c r="C4351" s="16" t="s">
        <v>5706</v>
      </c>
      <c r="D4351" s="16" t="s">
        <v>8152</v>
      </c>
      <c r="E4351" s="16" t="s">
        <v>1096</v>
      </c>
      <c r="F4351" s="5" t="s">
        <v>2715</v>
      </c>
      <c r="G4351" s="16" t="s">
        <v>35</v>
      </c>
      <c r="H4351" s="16" t="s">
        <v>36</v>
      </c>
      <c r="I4351" s="16"/>
      <c r="J4351" s="16"/>
      <c r="K4351" s="16"/>
      <c r="L4351" s="16"/>
      <c r="M4351" s="238" t="s">
        <v>8577</v>
      </c>
      <c r="N4351" s="16" t="s">
        <v>8578</v>
      </c>
      <c r="O4351" s="17" t="s">
        <v>38</v>
      </c>
      <c r="P4351" s="5" t="str">
        <f t="shared" si="98"/>
        <v/>
      </c>
      <c r="Q4351" s="5"/>
      <c r="R4351" s="5"/>
    </row>
    <row r="4352" spans="2:18" x14ac:dyDescent="0.25">
      <c r="B4352" s="19" t="s">
        <v>5707</v>
      </c>
      <c r="C4352" s="16" t="s">
        <v>5708</v>
      </c>
      <c r="D4352" s="16" t="s">
        <v>8152</v>
      </c>
      <c r="E4352" s="16" t="s">
        <v>1096</v>
      </c>
      <c r="F4352" s="5" t="s">
        <v>2715</v>
      </c>
      <c r="G4352" s="16" t="s">
        <v>35</v>
      </c>
      <c r="H4352" s="16" t="s">
        <v>36</v>
      </c>
      <c r="I4352" s="16"/>
      <c r="J4352" s="16"/>
      <c r="K4352" s="16"/>
      <c r="L4352" s="16"/>
      <c r="M4352" s="5"/>
      <c r="N4352" s="16"/>
      <c r="O4352" s="17" t="s">
        <v>38</v>
      </c>
      <c r="P4352" s="5" t="str">
        <f t="shared" si="98"/>
        <v/>
      </c>
      <c r="Q4352" s="5"/>
      <c r="R4352" s="5"/>
    </row>
    <row r="4353" spans="2:18" ht="90" customHeight="1" x14ac:dyDescent="0.25">
      <c r="B4353" s="19" t="s">
        <v>5709</v>
      </c>
      <c r="C4353" s="16" t="s">
        <v>8585</v>
      </c>
      <c r="D4353" s="16" t="s">
        <v>8152</v>
      </c>
      <c r="E4353" s="16" t="s">
        <v>1096</v>
      </c>
      <c r="F4353" s="5" t="s">
        <v>2715</v>
      </c>
      <c r="G4353" s="16" t="s">
        <v>35</v>
      </c>
      <c r="H4353" s="16" t="s">
        <v>36</v>
      </c>
      <c r="I4353" s="16"/>
      <c r="J4353" s="16"/>
      <c r="K4353" s="16"/>
      <c r="L4353" s="16"/>
      <c r="M4353" s="238" t="s">
        <v>387</v>
      </c>
      <c r="N4353" s="16" t="s">
        <v>8586</v>
      </c>
      <c r="O4353" s="17" t="s">
        <v>38</v>
      </c>
      <c r="P4353" s="5" t="str">
        <f t="shared" si="98"/>
        <v/>
      </c>
      <c r="Q4353" s="5"/>
      <c r="R4353" s="5"/>
    </row>
    <row r="4354" spans="2:18" ht="40.5" customHeight="1" x14ac:dyDescent="0.25">
      <c r="B4354" s="19" t="s">
        <v>5710</v>
      </c>
      <c r="C4354" s="16" t="s">
        <v>5711</v>
      </c>
      <c r="D4354" s="16" t="s">
        <v>8152</v>
      </c>
      <c r="E4354" s="16" t="s">
        <v>1096</v>
      </c>
      <c r="F4354" s="5" t="s">
        <v>2715</v>
      </c>
      <c r="G4354" s="16" t="s">
        <v>35</v>
      </c>
      <c r="H4354" s="16" t="s">
        <v>36</v>
      </c>
      <c r="I4354" s="16"/>
      <c r="J4354" s="16"/>
      <c r="K4354" s="16"/>
      <c r="L4354" s="16"/>
      <c r="M4354" s="238" t="s">
        <v>8577</v>
      </c>
      <c r="N4354" s="16" t="s">
        <v>8579</v>
      </c>
      <c r="O4354" s="17" t="s">
        <v>38</v>
      </c>
      <c r="P4354" s="5" t="str">
        <f t="shared" si="98"/>
        <v/>
      </c>
      <c r="Q4354" s="5"/>
      <c r="R4354" s="5"/>
    </row>
    <row r="4355" spans="2:18" x14ac:dyDescent="0.25">
      <c r="B4355" s="19" t="s">
        <v>5712</v>
      </c>
      <c r="C4355" s="16" t="s">
        <v>5713</v>
      </c>
      <c r="D4355" s="16" t="s">
        <v>8152</v>
      </c>
      <c r="E4355" s="16" t="s">
        <v>1096</v>
      </c>
      <c r="F4355" s="5" t="s">
        <v>2715</v>
      </c>
      <c r="G4355" s="16" t="s">
        <v>35</v>
      </c>
      <c r="H4355" s="16" t="s">
        <v>36</v>
      </c>
      <c r="I4355" s="16"/>
      <c r="J4355" s="16"/>
      <c r="K4355" s="16"/>
      <c r="L4355" s="16"/>
      <c r="M4355" s="5"/>
      <c r="N4355" s="16"/>
      <c r="O4355" s="17" t="s">
        <v>38</v>
      </c>
      <c r="P4355" s="5" t="str">
        <f t="shared" ref="P4355:P4386" si="99">IF(D4355="Datos","Truncate table "&amp; B4355&amp; ";","")</f>
        <v/>
      </c>
      <c r="Q4355" s="5"/>
      <c r="R4355" s="5"/>
    </row>
    <row r="4356" spans="2:18" x14ac:dyDescent="0.25">
      <c r="B4356" s="19" t="s">
        <v>5714</v>
      </c>
      <c r="C4356" s="16"/>
      <c r="D4356" s="16" t="s">
        <v>8152</v>
      </c>
      <c r="E4356" s="16" t="s">
        <v>1096</v>
      </c>
      <c r="F4356" s="5" t="s">
        <v>2715</v>
      </c>
      <c r="G4356" s="16" t="s">
        <v>35</v>
      </c>
      <c r="H4356" s="16" t="s">
        <v>36</v>
      </c>
      <c r="I4356" s="16"/>
      <c r="J4356" s="16"/>
      <c r="K4356" s="16"/>
      <c r="L4356" s="16"/>
      <c r="M4356" s="5"/>
      <c r="N4356" s="16"/>
      <c r="O4356" s="17"/>
      <c r="P4356" s="5" t="str">
        <f t="shared" si="99"/>
        <v/>
      </c>
      <c r="Q4356" s="5"/>
      <c r="R4356" s="5"/>
    </row>
    <row r="4357" spans="2:18" x14ac:dyDescent="0.25">
      <c r="B4357" s="19" t="s">
        <v>5715</v>
      </c>
      <c r="C4357" s="16"/>
      <c r="D4357" s="16" t="s">
        <v>8152</v>
      </c>
      <c r="E4357" s="16" t="s">
        <v>151</v>
      </c>
      <c r="F4357" s="5" t="s">
        <v>8213</v>
      </c>
      <c r="G4357" s="16" t="s">
        <v>35</v>
      </c>
      <c r="H4357" s="16" t="s">
        <v>36</v>
      </c>
      <c r="I4357" s="16"/>
      <c r="J4357" s="16"/>
      <c r="K4357" s="16"/>
      <c r="L4357" s="16"/>
      <c r="M4357" s="5"/>
      <c r="N4357" s="16"/>
      <c r="O4357" s="17" t="s">
        <v>38</v>
      </c>
      <c r="P4357" s="5" t="str">
        <f t="shared" si="99"/>
        <v/>
      </c>
      <c r="Q4357" s="5"/>
      <c r="R4357" s="5"/>
    </row>
    <row r="4358" spans="2:18" ht="27" x14ac:dyDescent="0.25">
      <c r="B4358" s="19" t="s">
        <v>5716</v>
      </c>
      <c r="C4358" s="16"/>
      <c r="D4358" s="16" t="s">
        <v>8152</v>
      </c>
      <c r="E4358" s="16" t="s">
        <v>151</v>
      </c>
      <c r="F4358" s="5" t="s">
        <v>8213</v>
      </c>
      <c r="G4358" s="16" t="s">
        <v>35</v>
      </c>
      <c r="H4358" s="16" t="s">
        <v>36</v>
      </c>
      <c r="I4358" s="16"/>
      <c r="J4358" s="16"/>
      <c r="K4358" s="16"/>
      <c r="L4358" s="16"/>
      <c r="M4358" s="238" t="s">
        <v>8577</v>
      </c>
      <c r="N4358" s="16" t="s">
        <v>8617</v>
      </c>
      <c r="O4358" s="17" t="s">
        <v>38</v>
      </c>
      <c r="P4358" s="5" t="str">
        <f t="shared" si="99"/>
        <v/>
      </c>
      <c r="Q4358" s="5"/>
      <c r="R4358" s="5"/>
    </row>
    <row r="4359" spans="2:18" x14ac:dyDescent="0.25">
      <c r="B4359" s="19" t="s">
        <v>5717</v>
      </c>
      <c r="C4359" s="16"/>
      <c r="D4359" s="16" t="s">
        <v>8152</v>
      </c>
      <c r="E4359" s="16" t="s">
        <v>151</v>
      </c>
      <c r="F4359" s="5" t="s">
        <v>8213</v>
      </c>
      <c r="G4359" s="16" t="s">
        <v>35</v>
      </c>
      <c r="H4359" s="16" t="s">
        <v>36</v>
      </c>
      <c r="I4359" s="16"/>
      <c r="J4359" s="16"/>
      <c r="K4359" s="16"/>
      <c r="L4359" s="16"/>
      <c r="M4359" s="238" t="s">
        <v>8577</v>
      </c>
      <c r="N4359" s="16"/>
      <c r="O4359" s="17" t="s">
        <v>38</v>
      </c>
      <c r="P4359" s="5" t="str">
        <f t="shared" si="99"/>
        <v/>
      </c>
      <c r="Q4359" s="5"/>
      <c r="R4359" s="5"/>
    </row>
    <row r="4360" spans="2:18" ht="40.5" x14ac:dyDescent="0.25">
      <c r="B4360" s="19" t="s">
        <v>5718</v>
      </c>
      <c r="C4360" s="16"/>
      <c r="D4360" s="16" t="s">
        <v>8152</v>
      </c>
      <c r="E4360" s="16" t="s">
        <v>151</v>
      </c>
      <c r="F4360" s="5" t="s">
        <v>8213</v>
      </c>
      <c r="G4360" s="16" t="s">
        <v>35</v>
      </c>
      <c r="H4360" s="16" t="s">
        <v>36</v>
      </c>
      <c r="I4360" s="16"/>
      <c r="J4360" s="16"/>
      <c r="K4360" s="16"/>
      <c r="L4360" s="16"/>
      <c r="M4360" s="238" t="s">
        <v>8577</v>
      </c>
      <c r="N4360" s="16" t="s">
        <v>8635</v>
      </c>
      <c r="O4360" s="17" t="s">
        <v>38</v>
      </c>
      <c r="P4360" s="5" t="str">
        <f t="shared" si="99"/>
        <v/>
      </c>
      <c r="Q4360" s="5"/>
      <c r="R4360" s="5"/>
    </row>
    <row r="4361" spans="2:18" x14ac:dyDescent="0.25">
      <c r="B4361" s="19" t="s">
        <v>5719</v>
      </c>
      <c r="C4361" s="16"/>
      <c r="D4361" s="16" t="s">
        <v>29</v>
      </c>
      <c r="E4361" s="16" t="s">
        <v>151</v>
      </c>
      <c r="F4361" s="5" t="s">
        <v>243</v>
      </c>
      <c r="G4361" s="16" t="s">
        <v>35</v>
      </c>
      <c r="H4361" s="16" t="s">
        <v>36</v>
      </c>
      <c r="I4361" s="16"/>
      <c r="J4361" s="16"/>
      <c r="K4361" s="16"/>
      <c r="L4361" s="16"/>
      <c r="M4361" s="16"/>
      <c r="N4361" s="16"/>
      <c r="O4361" s="17" t="s">
        <v>38</v>
      </c>
      <c r="P4361" s="5" t="str">
        <f t="shared" si="99"/>
        <v>Truncate table PQT005;</v>
      </c>
      <c r="Q4361" s="5"/>
      <c r="R4361" s="5"/>
    </row>
    <row r="4362" spans="2:18" x14ac:dyDescent="0.25">
      <c r="B4362" s="19" t="s">
        <v>5720</v>
      </c>
      <c r="C4362" s="16"/>
      <c r="D4362" s="16" t="s">
        <v>29</v>
      </c>
      <c r="E4362" s="16" t="s">
        <v>151</v>
      </c>
      <c r="F4362" s="5" t="s">
        <v>243</v>
      </c>
      <c r="G4362" s="16" t="s">
        <v>35</v>
      </c>
      <c r="H4362" s="16" t="s">
        <v>36</v>
      </c>
      <c r="I4362" s="16"/>
      <c r="J4362" s="16"/>
      <c r="K4362" s="16"/>
      <c r="L4362" s="16"/>
      <c r="M4362" s="16"/>
      <c r="N4362" s="16"/>
      <c r="O4362" s="17" t="s">
        <v>38</v>
      </c>
      <c r="P4362" s="5" t="str">
        <f t="shared" si="99"/>
        <v>Truncate table PQT006;</v>
      </c>
      <c r="Q4362" s="5"/>
      <c r="R4362" s="5"/>
    </row>
    <row r="4363" spans="2:18" x14ac:dyDescent="0.25">
      <c r="B4363" s="19" t="s">
        <v>5721</v>
      </c>
      <c r="C4363" s="16"/>
      <c r="D4363" s="16" t="s">
        <v>29</v>
      </c>
      <c r="E4363" s="16" t="s">
        <v>151</v>
      </c>
      <c r="F4363" s="5" t="s">
        <v>243</v>
      </c>
      <c r="G4363" s="16" t="s">
        <v>35</v>
      </c>
      <c r="H4363" s="16" t="s">
        <v>36</v>
      </c>
      <c r="I4363" s="16"/>
      <c r="J4363" s="16"/>
      <c r="K4363" s="16"/>
      <c r="L4363" s="16"/>
      <c r="M4363" s="16"/>
      <c r="N4363" s="16"/>
      <c r="O4363" s="17"/>
      <c r="P4363" s="5" t="str">
        <f t="shared" si="99"/>
        <v>Truncate table PQT007;</v>
      </c>
      <c r="Q4363" s="5"/>
      <c r="R4363" s="5"/>
    </row>
    <row r="4364" spans="2:18" x14ac:dyDescent="0.25">
      <c r="B4364" s="19" t="s">
        <v>5722</v>
      </c>
      <c r="C4364" s="16"/>
      <c r="D4364" s="16" t="s">
        <v>29</v>
      </c>
      <c r="E4364" s="16" t="s">
        <v>151</v>
      </c>
      <c r="F4364" s="5" t="s">
        <v>243</v>
      </c>
      <c r="G4364" s="16" t="s">
        <v>35</v>
      </c>
      <c r="H4364" s="16" t="s">
        <v>36</v>
      </c>
      <c r="I4364" s="16"/>
      <c r="J4364" s="16"/>
      <c r="K4364" s="16"/>
      <c r="L4364" s="16"/>
      <c r="M4364" s="16"/>
      <c r="N4364" s="16"/>
      <c r="O4364" s="17"/>
      <c r="P4364" s="5" t="str">
        <f t="shared" si="99"/>
        <v>Truncate table PQT010;</v>
      </c>
      <c r="Q4364" s="5"/>
      <c r="R4364" s="5"/>
    </row>
    <row r="4365" spans="2:18" x14ac:dyDescent="0.25">
      <c r="B4365" s="19" t="s">
        <v>5723</v>
      </c>
      <c r="C4365" s="16"/>
      <c r="D4365" s="16" t="s">
        <v>29</v>
      </c>
      <c r="E4365" s="16" t="s">
        <v>151</v>
      </c>
      <c r="F4365" s="5" t="s">
        <v>243</v>
      </c>
      <c r="G4365" s="16" t="s">
        <v>35</v>
      </c>
      <c r="H4365" s="16" t="s">
        <v>36</v>
      </c>
      <c r="I4365" s="16"/>
      <c r="J4365" s="16"/>
      <c r="K4365" s="16"/>
      <c r="L4365" s="16"/>
      <c r="M4365" s="16"/>
      <c r="N4365" s="16"/>
      <c r="O4365" s="17"/>
      <c r="P4365" s="5" t="str">
        <f t="shared" si="99"/>
        <v>Truncate table PQT011;</v>
      </c>
      <c r="Q4365" s="5"/>
      <c r="R4365" s="5"/>
    </row>
    <row r="4366" spans="2:18" x14ac:dyDescent="0.25">
      <c r="B4366" s="19" t="s">
        <v>5724</v>
      </c>
      <c r="C4366" s="16"/>
      <c r="D4366" s="16" t="s">
        <v>29</v>
      </c>
      <c r="E4366" s="16" t="s">
        <v>151</v>
      </c>
      <c r="F4366" s="5" t="s">
        <v>243</v>
      </c>
      <c r="G4366" s="16" t="s">
        <v>35</v>
      </c>
      <c r="H4366" s="16" t="s">
        <v>36</v>
      </c>
      <c r="I4366" s="16"/>
      <c r="J4366" s="16"/>
      <c r="K4366" s="16"/>
      <c r="L4366" s="16"/>
      <c r="M4366" s="16"/>
      <c r="N4366" s="16"/>
      <c r="O4366" s="17" t="s">
        <v>38</v>
      </c>
      <c r="P4366" s="5" t="str">
        <f t="shared" si="99"/>
        <v>Truncate table PQT012;</v>
      </c>
      <c r="Q4366" s="5"/>
      <c r="R4366" s="5"/>
    </row>
    <row r="4367" spans="2:18" x14ac:dyDescent="0.25">
      <c r="B4367" s="19" t="s">
        <v>5725</v>
      </c>
      <c r="C4367" s="16"/>
      <c r="D4367" s="16" t="s">
        <v>29</v>
      </c>
      <c r="E4367" s="16" t="s">
        <v>151</v>
      </c>
      <c r="F4367" s="5" t="s">
        <v>243</v>
      </c>
      <c r="G4367" s="16" t="s">
        <v>35</v>
      </c>
      <c r="H4367" s="16" t="s">
        <v>36</v>
      </c>
      <c r="I4367" s="16"/>
      <c r="J4367" s="16"/>
      <c r="K4367" s="16"/>
      <c r="L4367" s="16"/>
      <c r="M4367" s="16"/>
      <c r="N4367" s="16"/>
      <c r="O4367" s="17" t="s">
        <v>38</v>
      </c>
      <c r="P4367" s="5" t="str">
        <f t="shared" si="99"/>
        <v>Truncate table PQT100;</v>
      </c>
      <c r="Q4367" s="5"/>
      <c r="R4367" s="5"/>
    </row>
    <row r="4368" spans="2:18" x14ac:dyDescent="0.25">
      <c r="B4368" s="19" t="s">
        <v>5726</v>
      </c>
      <c r="C4368" s="16"/>
      <c r="D4368" s="16" t="s">
        <v>29</v>
      </c>
      <c r="E4368" s="16" t="s">
        <v>151</v>
      </c>
      <c r="F4368" s="5" t="s">
        <v>243</v>
      </c>
      <c r="G4368" s="16" t="s">
        <v>35</v>
      </c>
      <c r="H4368" s="16" t="s">
        <v>36</v>
      </c>
      <c r="I4368" s="16"/>
      <c r="J4368" s="16"/>
      <c r="K4368" s="16"/>
      <c r="L4368" s="16"/>
      <c r="M4368" s="16"/>
      <c r="N4368" s="16"/>
      <c r="O4368" s="17" t="s">
        <v>38</v>
      </c>
      <c r="P4368" s="5" t="str">
        <f t="shared" si="99"/>
        <v>Truncate table PQT101;</v>
      </c>
      <c r="Q4368" s="5"/>
      <c r="R4368" s="5"/>
    </row>
    <row r="4369" spans="2:18" x14ac:dyDescent="0.25">
      <c r="B4369" s="19" t="s">
        <v>5727</v>
      </c>
      <c r="C4369" s="16"/>
      <c r="D4369" s="16" t="s">
        <v>29</v>
      </c>
      <c r="E4369" s="16" t="s">
        <v>151</v>
      </c>
      <c r="F4369" s="5" t="s">
        <v>243</v>
      </c>
      <c r="G4369" s="16" t="s">
        <v>35</v>
      </c>
      <c r="H4369" s="16" t="s">
        <v>36</v>
      </c>
      <c r="I4369" s="16"/>
      <c r="J4369" s="16"/>
      <c r="K4369" s="16"/>
      <c r="L4369" s="16"/>
      <c r="M4369" s="16"/>
      <c r="N4369" s="16"/>
      <c r="O4369" s="17"/>
      <c r="P4369" s="5" t="str">
        <f t="shared" si="99"/>
        <v>Truncate table PQT102;</v>
      </c>
      <c r="Q4369" s="5"/>
      <c r="R4369" s="5"/>
    </row>
    <row r="4370" spans="2:18" x14ac:dyDescent="0.25">
      <c r="B4370" s="19" t="s">
        <v>5728</v>
      </c>
      <c r="C4370" s="16"/>
      <c r="D4370" s="16" t="s">
        <v>29</v>
      </c>
      <c r="E4370" s="16" t="s">
        <v>151</v>
      </c>
      <c r="F4370" s="5" t="s">
        <v>243</v>
      </c>
      <c r="G4370" s="16" t="s">
        <v>35</v>
      </c>
      <c r="H4370" s="16" t="s">
        <v>36</v>
      </c>
      <c r="I4370" s="16"/>
      <c r="J4370" s="16"/>
      <c r="K4370" s="16"/>
      <c r="L4370" s="16"/>
      <c r="M4370" s="16"/>
      <c r="N4370" s="16"/>
      <c r="O4370" s="17"/>
      <c r="P4370" s="5" t="str">
        <f t="shared" si="99"/>
        <v>Truncate table PQT105;</v>
      </c>
      <c r="Q4370" s="5"/>
      <c r="R4370" s="5"/>
    </row>
    <row r="4371" spans="2:18" x14ac:dyDescent="0.25">
      <c r="B4371" s="19" t="s">
        <v>5729</v>
      </c>
      <c r="C4371" s="16" t="s">
        <v>5730</v>
      </c>
      <c r="D4371" s="16" t="s">
        <v>8152</v>
      </c>
      <c r="E4371" s="16" t="s">
        <v>151</v>
      </c>
      <c r="F4371" s="5" t="s">
        <v>8213</v>
      </c>
      <c r="G4371" s="16" t="s">
        <v>35</v>
      </c>
      <c r="H4371" s="16" t="s">
        <v>36</v>
      </c>
      <c r="I4371" s="16"/>
      <c r="J4371" s="16"/>
      <c r="K4371" s="16"/>
      <c r="L4371" s="16"/>
      <c r="M4371" s="238" t="s">
        <v>8577</v>
      </c>
      <c r="N4371" s="16"/>
      <c r="O4371" s="17" t="s">
        <v>38</v>
      </c>
      <c r="P4371" s="5" t="str">
        <f t="shared" si="99"/>
        <v/>
      </c>
      <c r="Q4371" s="5"/>
      <c r="R4371" s="5"/>
    </row>
    <row r="4372" spans="2:18" ht="27" x14ac:dyDescent="0.25">
      <c r="B4372" s="19" t="s">
        <v>5731</v>
      </c>
      <c r="C4372" s="16" t="s">
        <v>8618</v>
      </c>
      <c r="D4372" s="16" t="s">
        <v>8152</v>
      </c>
      <c r="E4372" s="16" t="s">
        <v>151</v>
      </c>
      <c r="F4372" s="5" t="s">
        <v>8213</v>
      </c>
      <c r="G4372" s="16" t="s">
        <v>35</v>
      </c>
      <c r="H4372" s="16" t="s">
        <v>36</v>
      </c>
      <c r="I4372" s="16"/>
      <c r="J4372" s="16"/>
      <c r="K4372" s="16"/>
      <c r="L4372" s="16"/>
      <c r="M4372" s="238" t="s">
        <v>8577</v>
      </c>
      <c r="N4372" s="16" t="s">
        <v>8619</v>
      </c>
      <c r="O4372" s="17" t="s">
        <v>38</v>
      </c>
      <c r="P4372" s="5" t="str">
        <f t="shared" si="99"/>
        <v/>
      </c>
      <c r="Q4372" s="5"/>
      <c r="R4372" s="5"/>
    </row>
    <row r="4373" spans="2:18" x14ac:dyDescent="0.25">
      <c r="B4373" s="19" t="s">
        <v>5733</v>
      </c>
      <c r="C4373" s="16"/>
      <c r="D4373" s="16" t="s">
        <v>29</v>
      </c>
      <c r="E4373" s="16" t="s">
        <v>151</v>
      </c>
      <c r="F4373" s="5" t="s">
        <v>243</v>
      </c>
      <c r="G4373" s="16" t="s">
        <v>35</v>
      </c>
      <c r="H4373" s="16" t="s">
        <v>36</v>
      </c>
      <c r="I4373" s="16"/>
      <c r="J4373" s="16"/>
      <c r="K4373" s="16"/>
      <c r="L4373" s="16"/>
      <c r="M4373" s="16"/>
      <c r="N4373" s="16" t="s">
        <v>5732</v>
      </c>
      <c r="O4373" s="17" t="s">
        <v>38</v>
      </c>
      <c r="P4373" s="5" t="str">
        <f t="shared" si="99"/>
        <v>Truncate table PRD003;</v>
      </c>
      <c r="Q4373" s="5"/>
      <c r="R4373" s="5"/>
    </row>
    <row r="4374" spans="2:18" x14ac:dyDescent="0.25">
      <c r="B4374" s="19" t="s">
        <v>5734</v>
      </c>
      <c r="C4374" s="16"/>
      <c r="D4374" s="16" t="s">
        <v>29</v>
      </c>
      <c r="E4374" s="16" t="s">
        <v>151</v>
      </c>
      <c r="F4374" s="5" t="s">
        <v>243</v>
      </c>
      <c r="G4374" s="16" t="s">
        <v>35</v>
      </c>
      <c r="H4374" s="16" t="s">
        <v>36</v>
      </c>
      <c r="I4374" s="16"/>
      <c r="J4374" s="16"/>
      <c r="K4374" s="16"/>
      <c r="L4374" s="16"/>
      <c r="M4374" s="16"/>
      <c r="N4374" s="16" t="s">
        <v>5732</v>
      </c>
      <c r="O4374" s="17" t="s">
        <v>38</v>
      </c>
      <c r="P4374" s="5" t="str">
        <f t="shared" si="99"/>
        <v>Truncate table PRD004;</v>
      </c>
      <c r="Q4374" s="5"/>
      <c r="R4374" s="5"/>
    </row>
    <row r="4375" spans="2:18" ht="40.5" x14ac:dyDescent="0.25">
      <c r="B4375" s="19" t="s">
        <v>5735</v>
      </c>
      <c r="C4375" s="16" t="s">
        <v>8516</v>
      </c>
      <c r="D4375" s="16" t="s">
        <v>8152</v>
      </c>
      <c r="E4375" s="16" t="s">
        <v>151</v>
      </c>
      <c r="F4375" s="5" t="s">
        <v>150</v>
      </c>
      <c r="G4375" s="16" t="s">
        <v>35</v>
      </c>
      <c r="H4375" s="16" t="s">
        <v>36</v>
      </c>
      <c r="I4375" s="16"/>
      <c r="J4375" s="16"/>
      <c r="K4375" s="16"/>
      <c r="L4375" s="16" t="s">
        <v>8517</v>
      </c>
      <c r="M4375" s="238" t="s">
        <v>8577</v>
      </c>
      <c r="N4375" s="16" t="s">
        <v>8620</v>
      </c>
      <c r="O4375" s="17" t="s">
        <v>38</v>
      </c>
      <c r="P4375" s="5" t="str">
        <f t="shared" si="99"/>
        <v/>
      </c>
      <c r="Q4375" s="5"/>
      <c r="R4375" s="5"/>
    </row>
    <row r="4376" spans="2:18" x14ac:dyDescent="0.25">
      <c r="B4376" s="19" t="s">
        <v>5736</v>
      </c>
      <c r="C4376" s="16"/>
      <c r="D4376" s="16" t="s">
        <v>29</v>
      </c>
      <c r="E4376" s="16" t="s">
        <v>151</v>
      </c>
      <c r="F4376" s="5" t="s">
        <v>243</v>
      </c>
      <c r="G4376" s="16" t="s">
        <v>35</v>
      </c>
      <c r="H4376" s="16" t="s">
        <v>36</v>
      </c>
      <c r="I4376" s="16"/>
      <c r="J4376" s="16"/>
      <c r="K4376" s="16"/>
      <c r="L4376" s="16"/>
      <c r="M4376" s="16"/>
      <c r="N4376" s="16" t="s">
        <v>5732</v>
      </c>
      <c r="O4376" s="17"/>
      <c r="P4376" s="5" t="str">
        <f t="shared" si="99"/>
        <v>Truncate table PRD006;</v>
      </c>
      <c r="Q4376" s="5"/>
      <c r="R4376" s="5"/>
    </row>
    <row r="4377" spans="2:18" x14ac:dyDescent="0.25">
      <c r="B4377" s="19" t="s">
        <v>5737</v>
      </c>
      <c r="C4377" s="16"/>
      <c r="D4377" s="16" t="s">
        <v>29</v>
      </c>
      <c r="E4377" s="16" t="s">
        <v>151</v>
      </c>
      <c r="F4377" s="5" t="s">
        <v>243</v>
      </c>
      <c r="G4377" s="16" t="s">
        <v>35</v>
      </c>
      <c r="H4377" s="16" t="s">
        <v>36</v>
      </c>
      <c r="I4377" s="16"/>
      <c r="J4377" s="16"/>
      <c r="K4377" s="16"/>
      <c r="L4377" s="16"/>
      <c r="M4377" s="16"/>
      <c r="N4377" s="16" t="s">
        <v>5732</v>
      </c>
      <c r="O4377" s="17"/>
      <c r="P4377" s="5" t="str">
        <f t="shared" si="99"/>
        <v>Truncate table PRD007;</v>
      </c>
      <c r="Q4377" s="5"/>
      <c r="R4377" s="5"/>
    </row>
    <row r="4378" spans="2:18" ht="40.5" x14ac:dyDescent="0.25">
      <c r="B4378" s="4" t="s">
        <v>5738</v>
      </c>
      <c r="C4378" s="5" t="s">
        <v>5739</v>
      </c>
      <c r="D4378" s="16" t="s">
        <v>8152</v>
      </c>
      <c r="E4378" s="16" t="s">
        <v>151</v>
      </c>
      <c r="F4378" s="5" t="s">
        <v>8213</v>
      </c>
      <c r="G4378" s="16" t="s">
        <v>35</v>
      </c>
      <c r="H4378" s="16" t="s">
        <v>36</v>
      </c>
      <c r="I4378" s="5" t="s">
        <v>5740</v>
      </c>
      <c r="J4378" s="5" t="s">
        <v>5741</v>
      </c>
      <c r="K4378" s="5" t="s">
        <v>1581</v>
      </c>
      <c r="L4378" s="23" t="s">
        <v>5742</v>
      </c>
      <c r="M4378" s="238" t="s">
        <v>8577</v>
      </c>
      <c r="N4378" s="16" t="s">
        <v>8621</v>
      </c>
      <c r="O4378" s="17"/>
      <c r="P4378" s="5" t="str">
        <f t="shared" si="99"/>
        <v/>
      </c>
      <c r="Q4378" s="5"/>
      <c r="R4378" s="5"/>
    </row>
    <row r="4379" spans="2:18" x14ac:dyDescent="0.25">
      <c r="B4379" s="19" t="s">
        <v>5743</v>
      </c>
      <c r="C4379" s="16"/>
      <c r="D4379" s="42" t="s">
        <v>29</v>
      </c>
      <c r="E4379" s="16" t="s">
        <v>151</v>
      </c>
      <c r="F4379" s="5" t="s">
        <v>243</v>
      </c>
      <c r="G4379" s="16" t="s">
        <v>35</v>
      </c>
      <c r="H4379" s="16" t="s">
        <v>36</v>
      </c>
      <c r="I4379" s="16"/>
      <c r="J4379" s="16"/>
      <c r="K4379" s="16"/>
      <c r="L4379" s="16"/>
      <c r="M4379" s="16"/>
      <c r="N4379" s="16" t="s">
        <v>5732</v>
      </c>
      <c r="O4379" s="17"/>
      <c r="P4379" s="5" t="str">
        <f t="shared" si="99"/>
        <v>Truncate table PRD100;</v>
      </c>
      <c r="Q4379" s="5"/>
      <c r="R4379" s="5"/>
    </row>
    <row r="4380" spans="2:18" x14ac:dyDescent="0.25">
      <c r="B4380" s="19" t="s">
        <v>5744</v>
      </c>
      <c r="C4380" s="16"/>
      <c r="D4380" s="16" t="s">
        <v>29</v>
      </c>
      <c r="E4380" s="16" t="s">
        <v>151</v>
      </c>
      <c r="F4380" s="5"/>
      <c r="G4380" s="16" t="s">
        <v>35</v>
      </c>
      <c r="H4380" s="16" t="s">
        <v>36</v>
      </c>
      <c r="I4380" s="16"/>
      <c r="J4380" s="16"/>
      <c r="K4380" s="16"/>
      <c r="L4380" s="16"/>
      <c r="M4380" s="16"/>
      <c r="N4380" s="16"/>
      <c r="O4380" s="17"/>
      <c r="P4380" s="5" t="str">
        <f t="shared" si="99"/>
        <v>Truncate table PRDP01;</v>
      </c>
      <c r="Q4380" s="5"/>
      <c r="R4380" s="5"/>
    </row>
    <row r="4381" spans="2:18" x14ac:dyDescent="0.25">
      <c r="B4381" s="19" t="s">
        <v>5745</v>
      </c>
      <c r="C4381" s="16"/>
      <c r="D4381" s="16" t="s">
        <v>29</v>
      </c>
      <c r="E4381" s="16" t="s">
        <v>151</v>
      </c>
      <c r="F4381" s="5"/>
      <c r="G4381" s="16" t="s">
        <v>35</v>
      </c>
      <c r="H4381" s="16" t="s">
        <v>36</v>
      </c>
      <c r="I4381" s="16"/>
      <c r="J4381" s="16"/>
      <c r="K4381" s="16"/>
      <c r="L4381" s="16"/>
      <c r="M4381" s="16"/>
      <c r="N4381" s="16"/>
      <c r="O4381" s="17"/>
      <c r="P4381" s="5" t="str">
        <f t="shared" si="99"/>
        <v>Truncate table PRDP02;</v>
      </c>
      <c r="Q4381" s="5"/>
      <c r="R4381" s="5"/>
    </row>
    <row r="4382" spans="2:18" x14ac:dyDescent="0.25">
      <c r="B4382" s="19" t="s">
        <v>5746</v>
      </c>
      <c r="C4382" s="16"/>
      <c r="D4382" s="16" t="s">
        <v>29</v>
      </c>
      <c r="E4382" s="16" t="s">
        <v>151</v>
      </c>
      <c r="F4382" s="5"/>
      <c r="G4382" s="16" t="s">
        <v>35</v>
      </c>
      <c r="H4382" s="16" t="s">
        <v>36</v>
      </c>
      <c r="I4382" s="16"/>
      <c r="J4382" s="16"/>
      <c r="K4382" s="16"/>
      <c r="L4382" s="16"/>
      <c r="M4382" s="16"/>
      <c r="N4382" s="16"/>
      <c r="O4382" s="17"/>
      <c r="P4382" s="5" t="str">
        <f t="shared" si="99"/>
        <v>Truncate table PRDP03;</v>
      </c>
      <c r="Q4382" s="5"/>
      <c r="R4382" s="5"/>
    </row>
    <row r="4383" spans="2:18" x14ac:dyDescent="0.25">
      <c r="B4383" s="19" t="s">
        <v>5747</v>
      </c>
      <c r="C4383" s="16"/>
      <c r="D4383" s="16" t="s">
        <v>29</v>
      </c>
      <c r="E4383" s="16" t="s">
        <v>151</v>
      </c>
      <c r="F4383" s="5"/>
      <c r="G4383" s="16" t="s">
        <v>35</v>
      </c>
      <c r="H4383" s="16" t="s">
        <v>36</v>
      </c>
      <c r="I4383" s="16"/>
      <c r="J4383" s="16"/>
      <c r="K4383" s="16"/>
      <c r="L4383" s="16"/>
      <c r="M4383" s="16"/>
      <c r="N4383" s="16"/>
      <c r="O4383" s="17"/>
      <c r="P4383" s="5" t="str">
        <f t="shared" si="99"/>
        <v>Truncate table PRDP04;</v>
      </c>
      <c r="Q4383" s="5"/>
      <c r="R4383" s="5"/>
    </row>
    <row r="4384" spans="2:18" x14ac:dyDescent="0.25">
      <c r="B4384" s="19" t="s">
        <v>5748</v>
      </c>
      <c r="C4384" s="16" t="s">
        <v>5749</v>
      </c>
      <c r="D4384" s="16" t="s">
        <v>8152</v>
      </c>
      <c r="E4384" s="16" t="s">
        <v>151</v>
      </c>
      <c r="F4384" s="5" t="s">
        <v>544</v>
      </c>
      <c r="G4384" s="16" t="s">
        <v>35</v>
      </c>
      <c r="H4384" s="16" t="s">
        <v>36</v>
      </c>
      <c r="I4384" s="16"/>
      <c r="J4384" s="16"/>
      <c r="K4384" s="16"/>
      <c r="L4384" s="16"/>
      <c r="M4384" s="5"/>
      <c r="N4384" s="16"/>
      <c r="O4384" s="17" t="s">
        <v>38</v>
      </c>
      <c r="P4384" s="5" t="str">
        <f t="shared" si="99"/>
        <v/>
      </c>
      <c r="Q4384" s="5"/>
      <c r="R4384" s="5"/>
    </row>
    <row r="4385" spans="2:18" x14ac:dyDescent="0.25">
      <c r="B4385" s="19" t="s">
        <v>5750</v>
      </c>
      <c r="C4385" s="16" t="s">
        <v>5749</v>
      </c>
      <c r="D4385" s="16" t="s">
        <v>8152</v>
      </c>
      <c r="E4385" s="16" t="s">
        <v>151</v>
      </c>
      <c r="F4385" s="5" t="s">
        <v>544</v>
      </c>
      <c r="G4385" s="16" t="s">
        <v>35</v>
      </c>
      <c r="H4385" s="16" t="s">
        <v>36</v>
      </c>
      <c r="I4385" s="16"/>
      <c r="J4385" s="16"/>
      <c r="K4385" s="16"/>
      <c r="L4385" s="16"/>
      <c r="M4385" s="5"/>
      <c r="N4385" s="16"/>
      <c r="O4385" s="17" t="s">
        <v>38</v>
      </c>
      <c r="P4385" s="5" t="str">
        <f t="shared" si="99"/>
        <v/>
      </c>
      <c r="Q4385" s="5"/>
      <c r="R4385" s="5"/>
    </row>
    <row r="4386" spans="2:18" x14ac:dyDescent="0.25">
      <c r="B4386" s="19" t="s">
        <v>5751</v>
      </c>
      <c r="C4386" s="16" t="s">
        <v>5749</v>
      </c>
      <c r="D4386" s="16" t="s">
        <v>8152</v>
      </c>
      <c r="E4386" s="16" t="s">
        <v>151</v>
      </c>
      <c r="F4386" s="5" t="s">
        <v>544</v>
      </c>
      <c r="G4386" s="16" t="s">
        <v>35</v>
      </c>
      <c r="H4386" s="16" t="s">
        <v>36</v>
      </c>
      <c r="I4386" s="16"/>
      <c r="J4386" s="16"/>
      <c r="K4386" s="16"/>
      <c r="L4386" s="16"/>
      <c r="M4386" s="5"/>
      <c r="N4386" s="16"/>
      <c r="O4386" s="17" t="s">
        <v>38</v>
      </c>
      <c r="P4386" s="5" t="str">
        <f t="shared" si="99"/>
        <v/>
      </c>
      <c r="Q4386" s="5"/>
      <c r="R4386" s="5"/>
    </row>
    <row r="4387" spans="2:18" x14ac:dyDescent="0.25">
      <c r="B4387" s="19" t="s">
        <v>5752</v>
      </c>
      <c r="C4387" s="16" t="s">
        <v>5753</v>
      </c>
      <c r="D4387" s="16" t="s">
        <v>29</v>
      </c>
      <c r="E4387" s="16" t="s">
        <v>54</v>
      </c>
      <c r="F4387" s="5" t="s">
        <v>1057</v>
      </c>
      <c r="G4387" s="16" t="s">
        <v>35</v>
      </c>
      <c r="H4387" s="16"/>
      <c r="I4387" s="16"/>
      <c r="J4387" s="16"/>
      <c r="K4387" s="16"/>
      <c r="L4387" s="16"/>
      <c r="M4387" s="16"/>
      <c r="N4387" s="16"/>
      <c r="O4387" s="17" t="s">
        <v>387</v>
      </c>
      <c r="P4387" s="5"/>
      <c r="Q4387" s="5"/>
      <c r="R4387" s="5"/>
    </row>
    <row r="4388" spans="2:18" x14ac:dyDescent="0.25">
      <c r="B4388" s="19" t="s">
        <v>5754</v>
      </c>
      <c r="C4388" s="16" t="s">
        <v>5753</v>
      </c>
      <c r="D4388" s="16" t="s">
        <v>29</v>
      </c>
      <c r="E4388" s="16" t="s">
        <v>54</v>
      </c>
      <c r="F4388" s="5" t="s">
        <v>1057</v>
      </c>
      <c r="G4388" s="16" t="s">
        <v>35</v>
      </c>
      <c r="H4388" s="16"/>
      <c r="I4388" s="16"/>
      <c r="J4388" s="16"/>
      <c r="K4388" s="16"/>
      <c r="L4388" s="16"/>
      <c r="M4388" s="16"/>
      <c r="N4388" s="16"/>
      <c r="O4388" s="17" t="s">
        <v>387</v>
      </c>
      <c r="P4388" s="5"/>
      <c r="Q4388" s="5"/>
      <c r="R4388" s="5"/>
    </row>
    <row r="4389" spans="2:18" x14ac:dyDescent="0.25">
      <c r="B4389" s="19" t="s">
        <v>5755</v>
      </c>
      <c r="C4389" s="16" t="s">
        <v>5753</v>
      </c>
      <c r="D4389" s="16" t="s">
        <v>8152</v>
      </c>
      <c r="E4389" s="16" t="s">
        <v>54</v>
      </c>
      <c r="F4389" s="5" t="s">
        <v>1057</v>
      </c>
      <c r="G4389" s="16" t="s">
        <v>35</v>
      </c>
      <c r="H4389" s="16"/>
      <c r="I4389" s="16"/>
      <c r="J4389" s="16"/>
      <c r="K4389" s="16"/>
      <c r="L4389" s="16"/>
      <c r="M4389" s="229"/>
      <c r="N4389" s="16"/>
      <c r="O4389" s="17" t="s">
        <v>387</v>
      </c>
      <c r="P4389" s="5" t="str">
        <f>IF(D4389="Datos","Truncate table "&amp; B4389&amp; ";","")</f>
        <v/>
      </c>
      <c r="Q4389" s="5"/>
      <c r="R4389" s="5"/>
    </row>
    <row r="4390" spans="2:18" x14ac:dyDescent="0.25">
      <c r="B4390" s="19" t="s">
        <v>5756</v>
      </c>
      <c r="C4390" s="16" t="s">
        <v>5753</v>
      </c>
      <c r="D4390" s="16" t="s">
        <v>8152</v>
      </c>
      <c r="E4390" s="16" t="s">
        <v>54</v>
      </c>
      <c r="F4390" s="5" t="s">
        <v>1057</v>
      </c>
      <c r="G4390" s="16" t="s">
        <v>35</v>
      </c>
      <c r="H4390" s="16"/>
      <c r="I4390" s="16"/>
      <c r="J4390" s="16"/>
      <c r="K4390" s="16"/>
      <c r="L4390" s="16"/>
      <c r="M4390" s="229"/>
      <c r="N4390" s="16"/>
      <c r="O4390" s="17" t="s">
        <v>387</v>
      </c>
      <c r="P4390" s="5" t="str">
        <f>IF(D4390="Datos","Truncate table "&amp; B4390&amp; ";","")</f>
        <v/>
      </c>
      <c r="Q4390" s="5"/>
      <c r="R4390" s="5"/>
    </row>
    <row r="4391" spans="2:18" x14ac:dyDescent="0.25">
      <c r="B4391" s="19" t="s">
        <v>5757</v>
      </c>
      <c r="C4391" s="16" t="s">
        <v>10125</v>
      </c>
      <c r="D4391" s="16" t="s">
        <v>8152</v>
      </c>
      <c r="E4391" s="16" t="s">
        <v>54</v>
      </c>
      <c r="F4391" s="5" t="s">
        <v>1057</v>
      </c>
      <c r="G4391" s="16" t="s">
        <v>35</v>
      </c>
      <c r="H4391" s="16"/>
      <c r="I4391" s="16"/>
      <c r="J4391" s="16"/>
      <c r="K4391" s="16"/>
      <c r="L4391" s="16"/>
      <c r="M4391" s="229"/>
      <c r="N4391" s="16"/>
      <c r="O4391" s="17" t="s">
        <v>38</v>
      </c>
      <c r="P4391" s="5" t="str">
        <f>IF(D4391="Datos","Truncate table "&amp; B4391&amp; ";","")</f>
        <v/>
      </c>
      <c r="Q4391" s="5"/>
      <c r="R4391" s="5"/>
    </row>
    <row r="4392" spans="2:18" x14ac:dyDescent="0.25">
      <c r="B4392" s="19" t="s">
        <v>5758</v>
      </c>
      <c r="C4392" s="16" t="s">
        <v>5753</v>
      </c>
      <c r="D4392" s="16" t="s">
        <v>29</v>
      </c>
      <c r="E4392" s="16" t="s">
        <v>54</v>
      </c>
      <c r="F4392" s="5" t="s">
        <v>1057</v>
      </c>
      <c r="G4392" s="16" t="s">
        <v>35</v>
      </c>
      <c r="H4392" s="16"/>
      <c r="I4392" s="16"/>
      <c r="J4392" s="16"/>
      <c r="K4392" s="16"/>
      <c r="L4392" s="16"/>
      <c r="M4392" s="16"/>
      <c r="N4392" s="16"/>
      <c r="O4392" s="17" t="s">
        <v>387</v>
      </c>
      <c r="P4392" s="5"/>
      <c r="Q4392" s="5"/>
      <c r="R4392" s="5"/>
    </row>
    <row r="4393" spans="2:18" x14ac:dyDescent="0.25">
      <c r="B4393" s="19" t="s">
        <v>5759</v>
      </c>
      <c r="C4393" s="16"/>
      <c r="D4393" s="16" t="s">
        <v>8152</v>
      </c>
      <c r="E4393" s="16"/>
      <c r="F4393" s="5"/>
      <c r="G4393" s="16" t="s">
        <v>35</v>
      </c>
      <c r="H4393" s="16"/>
      <c r="I4393" s="16"/>
      <c r="J4393" s="16"/>
      <c r="K4393" s="16"/>
      <c r="L4393" s="16"/>
      <c r="M4393" s="229"/>
      <c r="N4393" s="16"/>
      <c r="O4393" s="17"/>
      <c r="P4393" s="5" t="str">
        <f>IF(D4393="Datos","Truncate table "&amp; B4393&amp; ";","")</f>
        <v/>
      </c>
      <c r="Q4393" s="5"/>
      <c r="R4393" s="5"/>
    </row>
    <row r="4394" spans="2:18" x14ac:dyDescent="0.25">
      <c r="B4394" s="19" t="s">
        <v>5760</v>
      </c>
      <c r="C4394" s="16" t="s">
        <v>5753</v>
      </c>
      <c r="D4394" s="16" t="s">
        <v>29</v>
      </c>
      <c r="E4394" s="16" t="s">
        <v>54</v>
      </c>
      <c r="F4394" s="5" t="s">
        <v>1057</v>
      </c>
      <c r="G4394" s="16" t="s">
        <v>35</v>
      </c>
      <c r="H4394" s="16"/>
      <c r="I4394" s="16"/>
      <c r="J4394" s="16"/>
      <c r="K4394" s="16"/>
      <c r="L4394" s="16"/>
      <c r="M4394" s="16"/>
      <c r="N4394" s="16"/>
      <c r="O4394" s="17" t="s">
        <v>387</v>
      </c>
      <c r="P4394" s="5"/>
      <c r="Q4394" s="5"/>
      <c r="R4394" s="5"/>
    </row>
    <row r="4395" spans="2:18" x14ac:dyDescent="0.25">
      <c r="B4395" s="19" t="s">
        <v>5761</v>
      </c>
      <c r="C4395" s="16" t="s">
        <v>5762</v>
      </c>
      <c r="D4395" s="16" t="s">
        <v>8152</v>
      </c>
      <c r="E4395" s="16" t="s">
        <v>54</v>
      </c>
      <c r="F4395" s="5" t="s">
        <v>1057</v>
      </c>
      <c r="G4395" s="16" t="s">
        <v>35</v>
      </c>
      <c r="H4395" s="16"/>
      <c r="I4395" s="16"/>
      <c r="J4395" s="16"/>
      <c r="K4395" s="16"/>
      <c r="L4395" s="16"/>
      <c r="M4395" s="229"/>
      <c r="N4395" s="16"/>
      <c r="O4395" s="17" t="s">
        <v>387</v>
      </c>
      <c r="P4395" s="5" t="str">
        <f t="shared" ref="P4395:P4426" si="100">IF(D4395="Datos","Truncate table "&amp; B4395&amp; ";","")</f>
        <v/>
      </c>
      <c r="Q4395" s="5"/>
      <c r="R4395" s="5"/>
    </row>
    <row r="4396" spans="2:18" x14ac:dyDescent="0.25">
      <c r="B4396" s="19" t="s">
        <v>5763</v>
      </c>
      <c r="C4396" s="16"/>
      <c r="D4396" s="16" t="s">
        <v>29</v>
      </c>
      <c r="E4396" s="16" t="s">
        <v>54</v>
      </c>
      <c r="F4396" s="5" t="s">
        <v>1057</v>
      </c>
      <c r="G4396" s="16" t="s">
        <v>35</v>
      </c>
      <c r="H4396" s="16"/>
      <c r="I4396" s="16"/>
      <c r="J4396" s="16"/>
      <c r="K4396" s="16"/>
      <c r="L4396" s="16"/>
      <c r="M4396" s="16"/>
      <c r="N4396" s="16"/>
      <c r="O4396" s="17"/>
      <c r="P4396" s="5" t="str">
        <f t="shared" si="100"/>
        <v>Truncate table PRFU03;</v>
      </c>
      <c r="Q4396" s="5"/>
      <c r="R4396" s="5"/>
    </row>
    <row r="4397" spans="2:18" x14ac:dyDescent="0.25">
      <c r="B4397" s="19" t="s">
        <v>5764</v>
      </c>
      <c r="C4397" s="16"/>
      <c r="D4397" s="16" t="s">
        <v>29</v>
      </c>
      <c r="E4397" s="16"/>
      <c r="F4397" s="5"/>
      <c r="G4397" s="16" t="s">
        <v>35</v>
      </c>
      <c r="H4397" s="16"/>
      <c r="I4397" s="16"/>
      <c r="J4397" s="16"/>
      <c r="K4397" s="16"/>
      <c r="L4397" s="16"/>
      <c r="M4397" s="16"/>
      <c r="N4397" s="16"/>
      <c r="O4397" s="17"/>
      <c r="P4397" s="5" t="str">
        <f t="shared" si="100"/>
        <v>Truncate table PS000;</v>
      </c>
      <c r="Q4397" s="5"/>
      <c r="R4397" s="5"/>
    </row>
    <row r="4398" spans="2:18" x14ac:dyDescent="0.25">
      <c r="B4398" s="19" t="s">
        <v>5765</v>
      </c>
      <c r="C4398" s="16"/>
      <c r="D4398" s="16" t="s">
        <v>29</v>
      </c>
      <c r="E4398" s="16"/>
      <c r="F4398" s="5"/>
      <c r="G4398" s="16" t="s">
        <v>35</v>
      </c>
      <c r="H4398" s="16"/>
      <c r="I4398" s="16"/>
      <c r="J4398" s="16"/>
      <c r="K4398" s="16"/>
      <c r="L4398" s="16"/>
      <c r="M4398" s="16"/>
      <c r="N4398" s="16"/>
      <c r="O4398" s="17"/>
      <c r="P4398" s="5" t="str">
        <f t="shared" si="100"/>
        <v>Truncate table PTD001;</v>
      </c>
      <c r="Q4398" s="5"/>
      <c r="R4398" s="5"/>
    </row>
    <row r="4399" spans="2:18" x14ac:dyDescent="0.25">
      <c r="B4399" s="19" t="s">
        <v>5766</v>
      </c>
      <c r="C4399" s="16"/>
      <c r="D4399" s="16" t="s">
        <v>29</v>
      </c>
      <c r="E4399" s="16"/>
      <c r="F4399" s="5"/>
      <c r="G4399" s="16" t="s">
        <v>35</v>
      </c>
      <c r="H4399" s="16"/>
      <c r="I4399" s="16"/>
      <c r="J4399" s="16"/>
      <c r="K4399" s="16"/>
      <c r="L4399" s="16"/>
      <c r="M4399" s="16"/>
      <c r="N4399" s="16"/>
      <c r="O4399" s="17"/>
      <c r="P4399" s="5" t="str">
        <f t="shared" si="100"/>
        <v>Truncate table PTD002;</v>
      </c>
      <c r="Q4399" s="5"/>
      <c r="R4399" s="5"/>
    </row>
    <row r="4400" spans="2:18" x14ac:dyDescent="0.25">
      <c r="B4400" s="19" t="s">
        <v>5767</v>
      </c>
      <c r="C4400" s="16" t="s">
        <v>5768</v>
      </c>
      <c r="D4400" s="16" t="s">
        <v>29</v>
      </c>
      <c r="E4400" s="16" t="s">
        <v>151</v>
      </c>
      <c r="F4400" s="5" t="s">
        <v>4752</v>
      </c>
      <c r="G4400" s="16" t="s">
        <v>35</v>
      </c>
      <c r="H4400" s="16" t="s">
        <v>36</v>
      </c>
      <c r="I4400" s="16"/>
      <c r="J4400" s="16"/>
      <c r="K4400" s="16"/>
      <c r="L4400" s="16"/>
      <c r="M4400" s="16"/>
      <c r="N4400" s="16"/>
      <c r="O4400" s="17" t="s">
        <v>38</v>
      </c>
      <c r="P4400" s="5" t="str">
        <f t="shared" si="100"/>
        <v>Truncate table PTD003;</v>
      </c>
      <c r="Q4400" s="5"/>
      <c r="R4400" s="5"/>
    </row>
    <row r="4401" spans="2:22" x14ac:dyDescent="0.25">
      <c r="B4401" s="19" t="s">
        <v>5769</v>
      </c>
      <c r="C4401" s="16"/>
      <c r="D4401" s="16" t="s">
        <v>8152</v>
      </c>
      <c r="E4401" s="16"/>
      <c r="F4401" s="5"/>
      <c r="G4401" s="16" t="s">
        <v>35</v>
      </c>
      <c r="H4401" s="16"/>
      <c r="I4401" s="16"/>
      <c r="J4401" s="16"/>
      <c r="K4401" s="16"/>
      <c r="L4401" s="16"/>
      <c r="M4401" s="229"/>
      <c r="N4401" s="16"/>
      <c r="O4401" s="17"/>
      <c r="P4401" s="5" t="str">
        <f t="shared" si="100"/>
        <v/>
      </c>
      <c r="Q4401" s="5"/>
      <c r="R4401" s="5"/>
    </row>
    <row r="4402" spans="2:22" x14ac:dyDescent="0.25">
      <c r="B4402" s="19" t="s">
        <v>5770</v>
      </c>
      <c r="C4402" s="20" t="s">
        <v>5771</v>
      </c>
      <c r="D4402" s="16" t="s">
        <v>8152</v>
      </c>
      <c r="E4402" s="16" t="s">
        <v>54</v>
      </c>
      <c r="F4402" s="16" t="s">
        <v>216</v>
      </c>
      <c r="G4402" s="16" t="s">
        <v>35</v>
      </c>
      <c r="H4402" s="16" t="s">
        <v>36</v>
      </c>
      <c r="I4402" s="16"/>
      <c r="J4402" s="16"/>
      <c r="K4402" s="16"/>
      <c r="L4402" s="16"/>
      <c r="M4402" s="16"/>
      <c r="N4402" s="16"/>
      <c r="O4402" s="17" t="s">
        <v>38</v>
      </c>
      <c r="P4402" s="16" t="str">
        <f t="shared" si="100"/>
        <v/>
      </c>
      <c r="Q4402" s="16"/>
      <c r="R4402" s="16"/>
      <c r="S4402"/>
      <c r="T4402"/>
      <c r="U4402"/>
      <c r="V4402"/>
    </row>
    <row r="4403" spans="2:22" x14ac:dyDescent="0.25">
      <c r="B4403" s="19" t="s">
        <v>5772</v>
      </c>
      <c r="C4403" s="16"/>
      <c r="D4403" s="16" t="s">
        <v>8152</v>
      </c>
      <c r="E4403" s="16"/>
      <c r="F4403" s="5"/>
      <c r="G4403" s="16" t="s">
        <v>35</v>
      </c>
      <c r="H4403" s="16"/>
      <c r="I4403" s="16"/>
      <c r="J4403" s="16"/>
      <c r="K4403" s="16"/>
      <c r="L4403" s="16"/>
      <c r="M4403" s="229"/>
      <c r="N4403" s="16"/>
      <c r="O4403" s="17"/>
      <c r="P4403" s="5" t="str">
        <f t="shared" si="100"/>
        <v/>
      </c>
      <c r="Q4403" s="5"/>
      <c r="R4403" s="5"/>
    </row>
    <row r="4404" spans="2:22" x14ac:dyDescent="0.25">
      <c r="B4404" s="19" t="s">
        <v>5773</v>
      </c>
      <c r="C4404" s="16"/>
      <c r="D4404" s="16" t="s">
        <v>29</v>
      </c>
      <c r="E4404" s="16"/>
      <c r="F4404" s="5"/>
      <c r="G4404" s="16" t="s">
        <v>35</v>
      </c>
      <c r="H4404" s="16"/>
      <c r="I4404" s="16"/>
      <c r="J4404" s="16"/>
      <c r="K4404" s="16"/>
      <c r="L4404" s="16"/>
      <c r="M4404" s="16"/>
      <c r="N4404" s="16"/>
      <c r="O4404" s="17"/>
      <c r="P4404" s="5" t="str">
        <f t="shared" si="100"/>
        <v>Truncate table PXFPDVZF;</v>
      </c>
      <c r="Q4404" s="5"/>
      <c r="R4404" s="5"/>
    </row>
    <row r="4405" spans="2:22" x14ac:dyDescent="0.25">
      <c r="B4405" s="19" t="s">
        <v>5774</v>
      </c>
      <c r="C4405" s="16"/>
      <c r="D4405" s="16" t="s">
        <v>29</v>
      </c>
      <c r="E4405" s="16"/>
      <c r="F4405" s="5"/>
      <c r="G4405" s="16" t="s">
        <v>35</v>
      </c>
      <c r="H4405" s="16"/>
      <c r="I4405" s="16"/>
      <c r="J4405" s="16"/>
      <c r="K4405" s="16"/>
      <c r="L4405" s="16"/>
      <c r="M4405" s="16"/>
      <c r="N4405" s="16"/>
      <c r="O4405" s="17"/>
      <c r="P4405" s="5" t="str">
        <f t="shared" si="100"/>
        <v>Truncate table PXFPFMZF;</v>
      </c>
      <c r="Q4405" s="5"/>
      <c r="R4405" s="5"/>
    </row>
    <row r="4406" spans="2:22" x14ac:dyDescent="0.25">
      <c r="B4406" s="19" t="s">
        <v>5775</v>
      </c>
      <c r="C4406" s="16"/>
      <c r="D4406" s="16" t="s">
        <v>29</v>
      </c>
      <c r="E4406" s="16"/>
      <c r="F4406" s="5"/>
      <c r="G4406" s="16" t="s">
        <v>35</v>
      </c>
      <c r="H4406" s="16"/>
      <c r="I4406" s="16"/>
      <c r="J4406" s="16"/>
      <c r="K4406" s="16"/>
      <c r="L4406" s="16"/>
      <c r="M4406" s="16"/>
      <c r="N4406" s="16"/>
      <c r="O4406" s="17"/>
      <c r="P4406" s="5" t="str">
        <f t="shared" si="100"/>
        <v>Truncate table RAP000;</v>
      </c>
      <c r="Q4406" s="5"/>
      <c r="R4406" s="5"/>
    </row>
    <row r="4407" spans="2:22" x14ac:dyDescent="0.25">
      <c r="B4407" s="19" t="s">
        <v>5776</v>
      </c>
      <c r="C4407" s="16"/>
      <c r="D4407" s="16" t="s">
        <v>29</v>
      </c>
      <c r="E4407" s="16"/>
      <c r="F4407" s="5"/>
      <c r="G4407" s="16" t="s">
        <v>35</v>
      </c>
      <c r="H4407" s="16"/>
      <c r="I4407" s="16"/>
      <c r="J4407" s="16"/>
      <c r="K4407" s="16"/>
      <c r="L4407" s="16"/>
      <c r="M4407" s="16"/>
      <c r="N4407" s="16"/>
      <c r="O4407" s="17"/>
      <c r="P4407" s="5" t="str">
        <f t="shared" si="100"/>
        <v>Truncate table RAP001;</v>
      </c>
      <c r="Q4407" s="5"/>
      <c r="R4407" s="5"/>
    </row>
    <row r="4408" spans="2:22" x14ac:dyDescent="0.25">
      <c r="B4408" s="19" t="s">
        <v>5777</v>
      </c>
      <c r="C4408" s="16"/>
      <c r="D4408" s="16" t="s">
        <v>29</v>
      </c>
      <c r="E4408" s="16"/>
      <c r="F4408" s="5"/>
      <c r="G4408" s="16" t="s">
        <v>35</v>
      </c>
      <c r="H4408" s="16"/>
      <c r="I4408" s="16"/>
      <c r="J4408" s="16"/>
      <c r="K4408" s="16"/>
      <c r="L4408" s="16"/>
      <c r="M4408" s="16"/>
      <c r="N4408" s="16"/>
      <c r="O4408" s="17"/>
      <c r="P4408" s="5" t="str">
        <f t="shared" si="100"/>
        <v>Truncate table RCCARCH2;</v>
      </c>
      <c r="Q4408" s="5"/>
      <c r="R4408" s="5"/>
    </row>
    <row r="4409" spans="2:22" x14ac:dyDescent="0.25">
      <c r="B4409" s="19" t="s">
        <v>5778</v>
      </c>
      <c r="C4409" s="16"/>
      <c r="D4409" s="16" t="s">
        <v>29</v>
      </c>
      <c r="E4409" s="16"/>
      <c r="F4409" s="5"/>
      <c r="G4409" s="16" t="s">
        <v>35</v>
      </c>
      <c r="H4409" s="16"/>
      <c r="I4409" s="16"/>
      <c r="J4409" s="16"/>
      <c r="K4409" s="16"/>
      <c r="L4409" s="16"/>
      <c r="M4409" s="16"/>
      <c r="N4409" s="16"/>
      <c r="O4409" s="17"/>
      <c r="P4409" s="5" t="str">
        <f t="shared" si="100"/>
        <v>Truncate table REC400;</v>
      </c>
      <c r="Q4409" s="5"/>
      <c r="R4409" s="5"/>
    </row>
    <row r="4410" spans="2:22" x14ac:dyDescent="0.25">
      <c r="B4410" s="19" t="s">
        <v>5779</v>
      </c>
      <c r="C4410" s="16" t="s">
        <v>2605</v>
      </c>
      <c r="D4410" s="16" t="s">
        <v>29</v>
      </c>
      <c r="E4410" s="16" t="s">
        <v>2605</v>
      </c>
      <c r="F4410" s="16" t="s">
        <v>2605</v>
      </c>
      <c r="G4410" s="16" t="s">
        <v>35</v>
      </c>
      <c r="H4410" s="16"/>
      <c r="I4410" s="16"/>
      <c r="J4410" s="16"/>
      <c r="K4410" s="16"/>
      <c r="L4410" s="16"/>
      <c r="M4410" s="16"/>
      <c r="N4410" s="16"/>
      <c r="O4410" s="17" t="s">
        <v>38</v>
      </c>
      <c r="P4410" s="16" t="str">
        <f t="shared" si="100"/>
        <v>Truncate table REC401;</v>
      </c>
      <c r="Q4410" s="16"/>
      <c r="R4410" s="16"/>
      <c r="S4410"/>
      <c r="T4410"/>
      <c r="U4410"/>
      <c r="V4410"/>
    </row>
    <row r="4411" spans="2:22" x14ac:dyDescent="0.25">
      <c r="B4411" s="19" t="s">
        <v>5780</v>
      </c>
      <c r="C4411" s="16" t="s">
        <v>2605</v>
      </c>
      <c r="D4411" s="16" t="s">
        <v>29</v>
      </c>
      <c r="E4411" s="16" t="s">
        <v>2605</v>
      </c>
      <c r="F4411" s="16" t="s">
        <v>2605</v>
      </c>
      <c r="G4411" s="16" t="s">
        <v>35</v>
      </c>
      <c r="H4411" s="16"/>
      <c r="I4411" s="16"/>
      <c r="J4411" s="16"/>
      <c r="K4411" s="16"/>
      <c r="L4411" s="16"/>
      <c r="M4411" s="16"/>
      <c r="N4411" s="16"/>
      <c r="O4411" s="17" t="s">
        <v>38</v>
      </c>
      <c r="P4411" s="16" t="str">
        <f t="shared" si="100"/>
        <v>Truncate table REC402;</v>
      </c>
      <c r="Q4411" s="16"/>
      <c r="R4411" s="16"/>
      <c r="S4411"/>
      <c r="T4411"/>
      <c r="U4411"/>
      <c r="V4411"/>
    </row>
    <row r="4412" spans="2:22" x14ac:dyDescent="0.25">
      <c r="B4412" s="19" t="s">
        <v>5781</v>
      </c>
      <c r="C4412" s="16"/>
      <c r="D4412" s="16" t="s">
        <v>29</v>
      </c>
      <c r="E4412" s="16"/>
      <c r="F4412" s="16"/>
      <c r="G4412" s="16" t="s">
        <v>35</v>
      </c>
      <c r="H4412" s="16"/>
      <c r="I4412" s="16"/>
      <c r="J4412" s="16"/>
      <c r="K4412" s="16"/>
      <c r="L4412" s="16"/>
      <c r="M4412" s="16"/>
      <c r="N4412" s="16"/>
      <c r="O4412" s="17"/>
      <c r="P4412" s="16" t="str">
        <f t="shared" si="100"/>
        <v>Truncate table REC403;</v>
      </c>
      <c r="Q4412" s="16"/>
      <c r="R4412" s="16"/>
      <c r="S4412"/>
      <c r="T4412"/>
      <c r="U4412"/>
      <c r="V4412"/>
    </row>
    <row r="4413" spans="2:22" x14ac:dyDescent="0.25">
      <c r="B4413" s="19" t="s">
        <v>5782</v>
      </c>
      <c r="C4413" s="16" t="s">
        <v>2605</v>
      </c>
      <c r="D4413" s="16" t="s">
        <v>29</v>
      </c>
      <c r="E4413" s="16" t="s">
        <v>2605</v>
      </c>
      <c r="F4413" s="16" t="s">
        <v>2605</v>
      </c>
      <c r="G4413" s="16" t="s">
        <v>35</v>
      </c>
      <c r="H4413" s="16"/>
      <c r="I4413" s="16"/>
      <c r="J4413" s="16"/>
      <c r="K4413" s="16"/>
      <c r="L4413" s="16"/>
      <c r="M4413" s="16"/>
      <c r="N4413" s="16"/>
      <c r="O4413" s="17" t="s">
        <v>38</v>
      </c>
      <c r="P4413" s="16" t="str">
        <f t="shared" si="100"/>
        <v>Truncate table REC404;</v>
      </c>
      <c r="Q4413" s="16"/>
      <c r="R4413" s="16"/>
      <c r="S4413"/>
      <c r="T4413"/>
      <c r="U4413"/>
      <c r="V4413"/>
    </row>
    <row r="4414" spans="2:22" x14ac:dyDescent="0.25">
      <c r="B4414" s="19" t="s">
        <v>5783</v>
      </c>
      <c r="C4414" s="16"/>
      <c r="D4414" s="16" t="s">
        <v>29</v>
      </c>
      <c r="E4414" s="16"/>
      <c r="F4414" s="16"/>
      <c r="G4414" s="16" t="s">
        <v>35</v>
      </c>
      <c r="H4414" s="16"/>
      <c r="I4414" s="16"/>
      <c r="J4414" s="16"/>
      <c r="K4414" s="16"/>
      <c r="L4414" s="16"/>
      <c r="M4414" s="16"/>
      <c r="N4414" s="16"/>
      <c r="O4414" s="17"/>
      <c r="P4414" s="16" t="str">
        <f t="shared" si="100"/>
        <v>Truncate table REC405;</v>
      </c>
      <c r="Q4414" s="16"/>
      <c r="R4414" s="16"/>
      <c r="S4414"/>
      <c r="T4414"/>
      <c r="U4414"/>
      <c r="V4414"/>
    </row>
    <row r="4415" spans="2:22" x14ac:dyDescent="0.25">
      <c r="B4415" s="19" t="s">
        <v>5784</v>
      </c>
      <c r="C4415" s="16"/>
      <c r="D4415" s="16" t="s">
        <v>29</v>
      </c>
      <c r="E4415" s="16"/>
      <c r="F4415" s="16"/>
      <c r="G4415" s="16" t="s">
        <v>35</v>
      </c>
      <c r="H4415" s="16"/>
      <c r="I4415" s="16"/>
      <c r="J4415" s="16"/>
      <c r="K4415" s="16"/>
      <c r="L4415" s="16"/>
      <c r="M4415" s="16"/>
      <c r="N4415" s="16"/>
      <c r="O4415" s="17"/>
      <c r="P4415" s="16" t="str">
        <f t="shared" si="100"/>
        <v>Truncate table REC406;</v>
      </c>
      <c r="Q4415" s="16"/>
      <c r="R4415" s="16"/>
      <c r="S4415"/>
      <c r="T4415"/>
      <c r="U4415"/>
      <c r="V4415"/>
    </row>
    <row r="4416" spans="2:22" x14ac:dyDescent="0.25">
      <c r="B4416" s="19" t="s">
        <v>5785</v>
      </c>
      <c r="C4416" s="16" t="s">
        <v>2605</v>
      </c>
      <c r="D4416" s="16" t="s">
        <v>29</v>
      </c>
      <c r="E4416" s="16" t="s">
        <v>2605</v>
      </c>
      <c r="F4416" s="16" t="s">
        <v>2605</v>
      </c>
      <c r="G4416" s="16" t="s">
        <v>35</v>
      </c>
      <c r="H4416" s="16"/>
      <c r="I4416" s="16"/>
      <c r="J4416" s="16"/>
      <c r="K4416" s="16"/>
      <c r="L4416" s="16"/>
      <c r="M4416" s="16"/>
      <c r="N4416" s="16"/>
      <c r="O4416" s="17" t="s">
        <v>38</v>
      </c>
      <c r="P4416" s="16" t="str">
        <f t="shared" si="100"/>
        <v>Truncate table REC408;</v>
      </c>
      <c r="Q4416" s="16"/>
      <c r="R4416" s="16"/>
      <c r="S4416"/>
      <c r="T4416"/>
      <c r="U4416"/>
      <c r="V4416"/>
    </row>
    <row r="4417" spans="2:22" x14ac:dyDescent="0.25">
      <c r="B4417" s="19" t="s">
        <v>5786</v>
      </c>
      <c r="C4417" s="16" t="s">
        <v>2605</v>
      </c>
      <c r="D4417" s="16" t="s">
        <v>29</v>
      </c>
      <c r="E4417" s="16" t="s">
        <v>2605</v>
      </c>
      <c r="F4417" s="16" t="s">
        <v>2605</v>
      </c>
      <c r="G4417" s="16" t="s">
        <v>35</v>
      </c>
      <c r="H4417" s="16"/>
      <c r="I4417" s="16"/>
      <c r="J4417" s="16"/>
      <c r="K4417" s="16"/>
      <c r="L4417" s="16"/>
      <c r="M4417" s="16"/>
      <c r="N4417" s="16"/>
      <c r="O4417" s="17" t="s">
        <v>38</v>
      </c>
      <c r="P4417" s="16" t="str">
        <f t="shared" si="100"/>
        <v>Truncate table REC409;</v>
      </c>
      <c r="Q4417" s="16"/>
      <c r="R4417" s="16"/>
      <c r="S4417"/>
      <c r="T4417"/>
      <c r="U4417"/>
      <c r="V4417"/>
    </row>
    <row r="4418" spans="2:22" x14ac:dyDescent="0.25">
      <c r="B4418" s="19" t="s">
        <v>5787</v>
      </c>
      <c r="C4418" s="16"/>
      <c r="D4418" s="16" t="s">
        <v>29</v>
      </c>
      <c r="E4418" s="16"/>
      <c r="F4418" s="5"/>
      <c r="G4418" s="16" t="s">
        <v>35</v>
      </c>
      <c r="H4418" s="16"/>
      <c r="I4418" s="16"/>
      <c r="J4418" s="16"/>
      <c r="K4418" s="16"/>
      <c r="L4418" s="16"/>
      <c r="M4418" s="16"/>
      <c r="N4418" s="16"/>
      <c r="O4418" s="17"/>
      <c r="P4418" s="5" t="str">
        <f t="shared" si="100"/>
        <v>Truncate table RELBTN;</v>
      </c>
      <c r="Q4418" s="5"/>
      <c r="R4418" s="5"/>
    </row>
    <row r="4419" spans="2:22" x14ac:dyDescent="0.25">
      <c r="B4419" s="12" t="s">
        <v>5788</v>
      </c>
      <c r="C4419" s="5" t="s">
        <v>5789</v>
      </c>
      <c r="D4419" s="16" t="s">
        <v>8152</v>
      </c>
      <c r="E4419" s="5" t="s">
        <v>54</v>
      </c>
      <c r="F4419" s="5" t="s">
        <v>557</v>
      </c>
      <c r="G4419" s="5" t="s">
        <v>35</v>
      </c>
      <c r="H4419" s="5"/>
      <c r="I4419" s="16"/>
      <c r="J4419" s="16"/>
      <c r="K4419" s="16"/>
      <c r="L4419" s="16"/>
      <c r="M4419" s="16"/>
      <c r="N4419" s="16" t="s">
        <v>5790</v>
      </c>
      <c r="O4419" s="17" t="s">
        <v>38</v>
      </c>
      <c r="P4419" s="5" t="str">
        <f t="shared" si="100"/>
        <v/>
      </c>
      <c r="Q4419" s="5"/>
      <c r="R4419" s="5"/>
    </row>
    <row r="4420" spans="2:22" x14ac:dyDescent="0.25">
      <c r="B4420" s="12" t="s">
        <v>5791</v>
      </c>
      <c r="C4420" s="5" t="s">
        <v>5792</v>
      </c>
      <c r="D4420" s="16" t="s">
        <v>8152</v>
      </c>
      <c r="E4420" s="5" t="s">
        <v>54</v>
      </c>
      <c r="F4420" s="5" t="s">
        <v>557</v>
      </c>
      <c r="G4420" s="5" t="s">
        <v>35</v>
      </c>
      <c r="H4420" s="5"/>
      <c r="I4420" s="16"/>
      <c r="J4420" s="16"/>
      <c r="K4420" s="16"/>
      <c r="L4420" s="16"/>
      <c r="M4420" s="16"/>
      <c r="N4420" s="16"/>
      <c r="O4420" s="17" t="s">
        <v>38</v>
      </c>
      <c r="P4420" s="5" t="str">
        <f t="shared" si="100"/>
        <v/>
      </c>
      <c r="Q4420" s="5"/>
      <c r="R4420" s="5"/>
    </row>
    <row r="4421" spans="2:22" x14ac:dyDescent="0.25">
      <c r="B4421" s="12" t="s">
        <v>5793</v>
      </c>
      <c r="C4421" s="5" t="s">
        <v>4719</v>
      </c>
      <c r="D4421" s="16" t="s">
        <v>8152</v>
      </c>
      <c r="E4421" s="5" t="s">
        <v>54</v>
      </c>
      <c r="F4421" s="5" t="s">
        <v>557</v>
      </c>
      <c r="G4421" s="5" t="s">
        <v>35</v>
      </c>
      <c r="H4421" s="5"/>
      <c r="I4421" s="16"/>
      <c r="J4421" s="16"/>
      <c r="K4421" s="16"/>
      <c r="L4421" s="16"/>
      <c r="M4421" s="16"/>
      <c r="N4421" s="16"/>
      <c r="O4421" s="17" t="s">
        <v>38</v>
      </c>
      <c r="P4421" s="5" t="str">
        <f t="shared" si="100"/>
        <v/>
      </c>
      <c r="Q4421" s="5"/>
      <c r="R4421" s="5"/>
    </row>
    <row r="4422" spans="2:22" x14ac:dyDescent="0.25">
      <c r="B4422" s="12" t="s">
        <v>5794</v>
      </c>
      <c r="C4422" s="5" t="s">
        <v>5795</v>
      </c>
      <c r="D4422" s="16" t="s">
        <v>8152</v>
      </c>
      <c r="E4422" s="5" t="s">
        <v>54</v>
      </c>
      <c r="F4422" s="5" t="s">
        <v>557</v>
      </c>
      <c r="G4422" s="5" t="s">
        <v>35</v>
      </c>
      <c r="H4422" s="5"/>
      <c r="I4422" s="16"/>
      <c r="J4422" s="16"/>
      <c r="K4422" s="16"/>
      <c r="L4422" s="16"/>
      <c r="M4422" s="16"/>
      <c r="N4422" s="16"/>
      <c r="O4422" s="17" t="s">
        <v>38</v>
      </c>
      <c r="P4422" s="5" t="str">
        <f t="shared" si="100"/>
        <v/>
      </c>
      <c r="Q4422" s="5"/>
      <c r="R4422" s="5"/>
    </row>
    <row r="4423" spans="2:22" x14ac:dyDescent="0.25">
      <c r="B4423" s="12" t="s">
        <v>5796</v>
      </c>
      <c r="C4423" s="5" t="s">
        <v>5790</v>
      </c>
      <c r="D4423" s="16" t="s">
        <v>8152</v>
      </c>
      <c r="E4423" s="5" t="s">
        <v>54</v>
      </c>
      <c r="F4423" s="5" t="s">
        <v>557</v>
      </c>
      <c r="G4423" s="5" t="s">
        <v>35</v>
      </c>
      <c r="H4423" s="5"/>
      <c r="I4423" s="16"/>
      <c r="J4423" s="16"/>
      <c r="K4423" s="16"/>
      <c r="L4423" s="16"/>
      <c r="M4423" s="16"/>
      <c r="N4423" s="16"/>
      <c r="O4423" s="17" t="s">
        <v>38</v>
      </c>
      <c r="P4423" s="5" t="str">
        <f t="shared" si="100"/>
        <v/>
      </c>
      <c r="Q4423" s="5"/>
      <c r="R4423" s="5"/>
    </row>
    <row r="4424" spans="2:22" x14ac:dyDescent="0.25">
      <c r="B4424" s="12" t="s">
        <v>5797</v>
      </c>
      <c r="C4424" s="5"/>
      <c r="D4424" s="16" t="s">
        <v>8152</v>
      </c>
      <c r="E4424" s="5" t="s">
        <v>54</v>
      </c>
      <c r="F4424" s="5" t="s">
        <v>557</v>
      </c>
      <c r="G4424" s="5" t="s">
        <v>35</v>
      </c>
      <c r="H4424" s="5"/>
      <c r="I4424" s="16"/>
      <c r="J4424" s="16"/>
      <c r="K4424" s="16"/>
      <c r="L4424" s="16"/>
      <c r="M4424" s="16"/>
      <c r="N4424" s="16"/>
      <c r="O4424" s="17"/>
      <c r="P4424" s="5" t="str">
        <f t="shared" si="100"/>
        <v/>
      </c>
      <c r="Q4424" s="5"/>
      <c r="R4424" s="5"/>
    </row>
    <row r="4425" spans="2:22" x14ac:dyDescent="0.25">
      <c r="B4425" s="12" t="s">
        <v>5798</v>
      </c>
      <c r="C4425" s="5"/>
      <c r="D4425" s="16" t="s">
        <v>29</v>
      </c>
      <c r="E4425" s="5" t="s">
        <v>54</v>
      </c>
      <c r="F4425" s="5" t="s">
        <v>557</v>
      </c>
      <c r="G4425" s="5" t="s">
        <v>35</v>
      </c>
      <c r="H4425" s="5"/>
      <c r="I4425" s="16"/>
      <c r="J4425" s="16"/>
      <c r="K4425" s="16"/>
      <c r="L4425" s="16"/>
      <c r="M4425" s="16"/>
      <c r="N4425" s="16"/>
      <c r="O4425" s="17"/>
      <c r="P4425" s="5" t="str">
        <f t="shared" si="100"/>
        <v>Truncate table REP007;</v>
      </c>
      <c r="Q4425" s="5"/>
      <c r="R4425" s="5"/>
    </row>
    <row r="4426" spans="2:22" x14ac:dyDescent="0.25">
      <c r="B4426" s="12" t="s">
        <v>5799</v>
      </c>
      <c r="C4426" s="5" t="s">
        <v>5800</v>
      </c>
      <c r="D4426" s="16" t="s">
        <v>8152</v>
      </c>
      <c r="E4426" s="5" t="s">
        <v>54</v>
      </c>
      <c r="F4426" s="5" t="s">
        <v>557</v>
      </c>
      <c r="G4426" s="5" t="s">
        <v>35</v>
      </c>
      <c r="H4426" s="5"/>
      <c r="I4426" s="16"/>
      <c r="J4426" s="16"/>
      <c r="K4426" s="16"/>
      <c r="L4426" s="16"/>
      <c r="M4426" s="16"/>
      <c r="N4426" s="16"/>
      <c r="O4426" s="17" t="s">
        <v>38</v>
      </c>
      <c r="P4426" s="5" t="str">
        <f t="shared" si="100"/>
        <v/>
      </c>
      <c r="Q4426" s="5"/>
      <c r="R4426" s="5"/>
    </row>
    <row r="4427" spans="2:22" x14ac:dyDescent="0.25">
      <c r="B4427" s="12" t="s">
        <v>5801</v>
      </c>
      <c r="C4427" s="5" t="s">
        <v>5802</v>
      </c>
      <c r="D4427" s="16" t="s">
        <v>8152</v>
      </c>
      <c r="E4427" s="5" t="s">
        <v>54</v>
      </c>
      <c r="F4427" s="5" t="s">
        <v>557</v>
      </c>
      <c r="G4427" s="5" t="s">
        <v>35</v>
      </c>
      <c r="H4427" s="5"/>
      <c r="I4427" s="16"/>
      <c r="J4427" s="16"/>
      <c r="K4427" s="16"/>
      <c r="L4427" s="16"/>
      <c r="M4427" s="16"/>
      <c r="N4427" s="16"/>
      <c r="O4427" s="17" t="s">
        <v>38</v>
      </c>
      <c r="P4427" s="5" t="str">
        <f t="shared" ref="P4427:P4448" si="101">IF(D4427="Datos","Truncate table "&amp; B4427&amp; ";","")</f>
        <v/>
      </c>
      <c r="Q4427" s="5"/>
      <c r="R4427" s="5"/>
    </row>
    <row r="4428" spans="2:22" x14ac:dyDescent="0.25">
      <c r="B4428" s="12" t="s">
        <v>5803</v>
      </c>
      <c r="C4428" s="5" t="s">
        <v>5804</v>
      </c>
      <c r="D4428" s="16" t="s">
        <v>8152</v>
      </c>
      <c r="E4428" s="5" t="s">
        <v>54</v>
      </c>
      <c r="F4428" s="5" t="s">
        <v>557</v>
      </c>
      <c r="G4428" s="5" t="s">
        <v>35</v>
      </c>
      <c r="H4428" s="5"/>
      <c r="I4428" s="16"/>
      <c r="J4428" s="16"/>
      <c r="K4428" s="16"/>
      <c r="L4428" s="16"/>
      <c r="M4428" s="16"/>
      <c r="N4428" s="16"/>
      <c r="O4428" s="17" t="s">
        <v>38</v>
      </c>
      <c r="P4428" s="5" t="str">
        <f t="shared" si="101"/>
        <v/>
      </c>
      <c r="Q4428" s="5"/>
      <c r="R4428" s="5"/>
    </row>
    <row r="4429" spans="2:22" x14ac:dyDescent="0.25">
      <c r="B4429" s="12" t="s">
        <v>5805</v>
      </c>
      <c r="C4429" s="5" t="s">
        <v>5806</v>
      </c>
      <c r="D4429" s="16" t="s">
        <v>8152</v>
      </c>
      <c r="E4429" s="5" t="s">
        <v>54</v>
      </c>
      <c r="F4429" s="5" t="s">
        <v>557</v>
      </c>
      <c r="G4429" s="5" t="s">
        <v>35</v>
      </c>
      <c r="H4429" s="5"/>
      <c r="I4429" s="16"/>
      <c r="J4429" s="16"/>
      <c r="K4429" s="16"/>
      <c r="L4429" s="16"/>
      <c r="M4429" s="16"/>
      <c r="N4429" s="16"/>
      <c r="O4429" s="17" t="s">
        <v>38</v>
      </c>
      <c r="P4429" s="5" t="str">
        <f t="shared" si="101"/>
        <v/>
      </c>
      <c r="Q4429" s="5"/>
      <c r="R4429" s="5"/>
    </row>
    <row r="4430" spans="2:22" x14ac:dyDescent="0.25">
      <c r="B4430" s="12" t="s">
        <v>5807</v>
      </c>
      <c r="C4430" s="5" t="s">
        <v>5808</v>
      </c>
      <c r="D4430" s="16" t="s">
        <v>8152</v>
      </c>
      <c r="E4430" s="5" t="s">
        <v>54</v>
      </c>
      <c r="F4430" s="5" t="s">
        <v>557</v>
      </c>
      <c r="G4430" s="5" t="s">
        <v>35</v>
      </c>
      <c r="H4430" s="5"/>
      <c r="I4430" s="16"/>
      <c r="J4430" s="16"/>
      <c r="K4430" s="16"/>
      <c r="L4430" s="16"/>
      <c r="M4430" s="16"/>
      <c r="N4430" s="16"/>
      <c r="O4430" s="17" t="s">
        <v>38</v>
      </c>
      <c r="P4430" s="5" t="str">
        <f t="shared" si="101"/>
        <v/>
      </c>
      <c r="Q4430" s="5"/>
      <c r="R4430" s="5"/>
    </row>
    <row r="4431" spans="2:22" x14ac:dyDescent="0.25">
      <c r="B4431" s="12" t="s">
        <v>5809</v>
      </c>
      <c r="C4431" s="5" t="s">
        <v>5810</v>
      </c>
      <c r="D4431" s="16" t="s">
        <v>8152</v>
      </c>
      <c r="E4431" s="5" t="s">
        <v>54</v>
      </c>
      <c r="F4431" s="5" t="s">
        <v>557</v>
      </c>
      <c r="G4431" s="5" t="s">
        <v>35</v>
      </c>
      <c r="H4431" s="5"/>
      <c r="I4431" s="16"/>
      <c r="J4431" s="16"/>
      <c r="K4431" s="16"/>
      <c r="L4431" s="16"/>
      <c r="M4431" s="16"/>
      <c r="N4431" s="16"/>
      <c r="O4431" s="17" t="s">
        <v>38</v>
      </c>
      <c r="P4431" s="5" t="str">
        <f t="shared" si="101"/>
        <v/>
      </c>
      <c r="Q4431" s="5"/>
      <c r="R4431" s="5"/>
    </row>
    <row r="4432" spans="2:22" x14ac:dyDescent="0.25">
      <c r="B4432" s="12" t="s">
        <v>5811</v>
      </c>
      <c r="C4432" s="5" t="s">
        <v>5812</v>
      </c>
      <c r="D4432" s="16" t="s">
        <v>8152</v>
      </c>
      <c r="E4432" s="5" t="s">
        <v>54</v>
      </c>
      <c r="F4432" s="5" t="s">
        <v>557</v>
      </c>
      <c r="G4432" s="5" t="s">
        <v>35</v>
      </c>
      <c r="H4432" s="5"/>
      <c r="I4432" s="16"/>
      <c r="J4432" s="16"/>
      <c r="K4432" s="16"/>
      <c r="L4432" s="16"/>
      <c r="M4432" s="16"/>
      <c r="N4432" s="16"/>
      <c r="O4432" s="17" t="s">
        <v>38</v>
      </c>
      <c r="P4432" s="5" t="str">
        <f t="shared" si="101"/>
        <v/>
      </c>
      <c r="Q4432" s="5"/>
      <c r="R4432" s="5"/>
    </row>
    <row r="4433" spans="2:22" x14ac:dyDescent="0.25">
      <c r="B4433" s="12" t="s">
        <v>5813</v>
      </c>
      <c r="C4433" s="5" t="s">
        <v>5814</v>
      </c>
      <c r="D4433" s="16" t="s">
        <v>8152</v>
      </c>
      <c r="E4433" s="5" t="s">
        <v>54</v>
      </c>
      <c r="F4433" s="5" t="s">
        <v>557</v>
      </c>
      <c r="G4433" s="5" t="s">
        <v>35</v>
      </c>
      <c r="H4433" s="5"/>
      <c r="I4433" s="16"/>
      <c r="J4433" s="16"/>
      <c r="K4433" s="16"/>
      <c r="L4433" s="16"/>
      <c r="M4433" s="16"/>
      <c r="N4433" s="16"/>
      <c r="O4433" s="17" t="s">
        <v>38</v>
      </c>
      <c r="P4433" s="5" t="str">
        <f t="shared" si="101"/>
        <v/>
      </c>
      <c r="Q4433" s="5"/>
      <c r="R4433" s="5"/>
    </row>
    <row r="4434" spans="2:22" x14ac:dyDescent="0.25">
      <c r="B4434" s="12" t="s">
        <v>5815</v>
      </c>
      <c r="C4434" s="5" t="s">
        <v>5790</v>
      </c>
      <c r="D4434" s="16" t="s">
        <v>29</v>
      </c>
      <c r="E4434" s="5" t="s">
        <v>54</v>
      </c>
      <c r="F4434" s="5" t="s">
        <v>557</v>
      </c>
      <c r="G4434" s="5" t="s">
        <v>35</v>
      </c>
      <c r="H4434" s="5"/>
      <c r="I4434" s="16"/>
      <c r="J4434" s="16"/>
      <c r="K4434" s="16"/>
      <c r="L4434" s="16"/>
      <c r="M4434" s="16"/>
      <c r="N4434" s="16"/>
      <c r="O4434" s="17" t="s">
        <v>38</v>
      </c>
      <c r="P4434" s="5" t="str">
        <f t="shared" si="101"/>
        <v>Truncate table REP019;</v>
      </c>
      <c r="Q4434" s="5"/>
      <c r="R4434" s="5"/>
    </row>
    <row r="4435" spans="2:22" x14ac:dyDescent="0.25">
      <c r="B4435" s="12" t="s">
        <v>5816</v>
      </c>
      <c r="C4435" s="5" t="s">
        <v>5817</v>
      </c>
      <c r="D4435" s="16" t="s">
        <v>8152</v>
      </c>
      <c r="E4435" s="5" t="s">
        <v>54</v>
      </c>
      <c r="F4435" s="5" t="s">
        <v>557</v>
      </c>
      <c r="G4435" s="5" t="s">
        <v>35</v>
      </c>
      <c r="H4435" s="5"/>
      <c r="I4435" s="16"/>
      <c r="J4435" s="16"/>
      <c r="K4435" s="16"/>
      <c r="L4435" s="16"/>
      <c r="M4435" s="16"/>
      <c r="N4435" s="16"/>
      <c r="O4435" s="17" t="s">
        <v>38</v>
      </c>
      <c r="P4435" s="5" t="str">
        <f t="shared" si="101"/>
        <v/>
      </c>
      <c r="Q4435" s="5"/>
      <c r="R4435" s="5"/>
    </row>
    <row r="4436" spans="2:22" x14ac:dyDescent="0.25">
      <c r="B4436" s="12" t="s">
        <v>5818</v>
      </c>
      <c r="C4436" s="5" t="s">
        <v>5819</v>
      </c>
      <c r="D4436" s="16" t="s">
        <v>8152</v>
      </c>
      <c r="E4436" s="5" t="s">
        <v>54</v>
      </c>
      <c r="F4436" s="5" t="s">
        <v>557</v>
      </c>
      <c r="G4436" s="5" t="s">
        <v>35</v>
      </c>
      <c r="H4436" s="5"/>
      <c r="I4436" s="16"/>
      <c r="J4436" s="16"/>
      <c r="K4436" s="16"/>
      <c r="L4436" s="16"/>
      <c r="M4436" s="16"/>
      <c r="N4436" s="16"/>
      <c r="O4436" s="17" t="s">
        <v>38</v>
      </c>
      <c r="P4436" s="5" t="str">
        <f t="shared" si="101"/>
        <v/>
      </c>
      <c r="Q4436" s="5"/>
      <c r="R4436" s="5"/>
    </row>
    <row r="4437" spans="2:22" x14ac:dyDescent="0.25">
      <c r="B4437" s="12" t="s">
        <v>5820</v>
      </c>
      <c r="C4437" s="5" t="s">
        <v>5821</v>
      </c>
      <c r="D4437" s="16" t="s">
        <v>8152</v>
      </c>
      <c r="E4437" s="5" t="s">
        <v>54</v>
      </c>
      <c r="F4437" s="5" t="s">
        <v>557</v>
      </c>
      <c r="G4437" s="5" t="s">
        <v>35</v>
      </c>
      <c r="H4437" s="5"/>
      <c r="I4437" s="16"/>
      <c r="J4437" s="16"/>
      <c r="K4437" s="16"/>
      <c r="L4437" s="16"/>
      <c r="M4437" s="16"/>
      <c r="N4437" s="16"/>
      <c r="O4437" s="17" t="s">
        <v>38</v>
      </c>
      <c r="P4437" s="5" t="str">
        <f t="shared" si="101"/>
        <v/>
      </c>
      <c r="Q4437" s="5"/>
      <c r="R4437" s="5"/>
    </row>
    <row r="4438" spans="2:22" x14ac:dyDescent="0.25">
      <c r="B4438" s="12" t="s">
        <v>5822</v>
      </c>
      <c r="C4438" s="5" t="s">
        <v>5823</v>
      </c>
      <c r="D4438" s="16" t="s">
        <v>8152</v>
      </c>
      <c r="E4438" s="5" t="s">
        <v>54</v>
      </c>
      <c r="F4438" s="5" t="s">
        <v>557</v>
      </c>
      <c r="G4438" s="5" t="s">
        <v>35</v>
      </c>
      <c r="H4438" s="5"/>
      <c r="I4438" s="16"/>
      <c r="J4438" s="16"/>
      <c r="K4438" s="16"/>
      <c r="L4438" s="16"/>
      <c r="M4438" s="16"/>
      <c r="N4438" s="16"/>
      <c r="O4438" s="17" t="s">
        <v>38</v>
      </c>
      <c r="P4438" s="5" t="str">
        <f t="shared" si="101"/>
        <v/>
      </c>
      <c r="Q4438" s="5"/>
      <c r="R4438" s="5"/>
    </row>
    <row r="4439" spans="2:22" x14ac:dyDescent="0.25">
      <c r="B4439" s="12" t="s">
        <v>5824</v>
      </c>
      <c r="C4439" s="5" t="s">
        <v>5825</v>
      </c>
      <c r="D4439" s="16" t="s">
        <v>8152</v>
      </c>
      <c r="E4439" s="5" t="s">
        <v>54</v>
      </c>
      <c r="F4439" s="5" t="s">
        <v>557</v>
      </c>
      <c r="G4439" s="5" t="s">
        <v>35</v>
      </c>
      <c r="H4439" s="5"/>
      <c r="I4439" s="16"/>
      <c r="J4439" s="16"/>
      <c r="K4439" s="16"/>
      <c r="L4439" s="16"/>
      <c r="M4439" s="16"/>
      <c r="N4439" s="16"/>
      <c r="O4439" s="17" t="s">
        <v>38</v>
      </c>
      <c r="P4439" s="5" t="str">
        <f t="shared" si="101"/>
        <v/>
      </c>
      <c r="Q4439" s="5"/>
      <c r="R4439" s="5"/>
    </row>
    <row r="4440" spans="2:22" x14ac:dyDescent="0.25">
      <c r="B4440" s="12" t="s">
        <v>5826</v>
      </c>
      <c r="C4440" s="5" t="s">
        <v>5827</v>
      </c>
      <c r="D4440" s="16" t="s">
        <v>8152</v>
      </c>
      <c r="E4440" s="5" t="s">
        <v>54</v>
      </c>
      <c r="F4440" s="5" t="s">
        <v>557</v>
      </c>
      <c r="G4440" s="5" t="s">
        <v>35</v>
      </c>
      <c r="H4440" s="5"/>
      <c r="I4440" s="16"/>
      <c r="J4440" s="16"/>
      <c r="K4440" s="16"/>
      <c r="L4440" s="16"/>
      <c r="M4440" s="16"/>
      <c r="N4440" s="16"/>
      <c r="O4440" s="17" t="s">
        <v>38</v>
      </c>
      <c r="P4440" s="5" t="str">
        <f t="shared" si="101"/>
        <v/>
      </c>
      <c r="Q4440" s="5"/>
      <c r="R4440" s="5"/>
    </row>
    <row r="4441" spans="2:22" x14ac:dyDescent="0.25">
      <c r="B4441" s="12" t="s">
        <v>5828</v>
      </c>
      <c r="C4441" s="5"/>
      <c r="D4441" s="16" t="s">
        <v>8152</v>
      </c>
      <c r="E4441" s="5"/>
      <c r="F4441" s="5"/>
      <c r="G4441" s="5" t="s">
        <v>35</v>
      </c>
      <c r="H4441" s="5"/>
      <c r="I4441" s="16"/>
      <c r="J4441" s="16"/>
      <c r="K4441" s="16"/>
      <c r="L4441" s="16"/>
      <c r="M4441" s="229"/>
      <c r="N4441" s="16"/>
      <c r="O4441" s="17"/>
      <c r="P4441" s="5" t="str">
        <f t="shared" si="101"/>
        <v/>
      </c>
      <c r="Q4441" s="5"/>
      <c r="R4441" s="5"/>
    </row>
    <row r="4442" spans="2:22" x14ac:dyDescent="0.25">
      <c r="B4442" s="19" t="s">
        <v>5829</v>
      </c>
      <c r="C4442" s="16"/>
      <c r="D4442" s="16" t="s">
        <v>29</v>
      </c>
      <c r="E4442" s="16"/>
      <c r="F4442" s="5"/>
      <c r="G4442" s="16" t="s">
        <v>35</v>
      </c>
      <c r="H4442" s="16"/>
      <c r="I4442" s="16"/>
      <c r="J4442" s="16"/>
      <c r="K4442" s="16"/>
      <c r="L4442" s="16"/>
      <c r="M4442" s="16"/>
      <c r="N4442" s="16"/>
      <c r="O4442" s="17"/>
      <c r="P4442" s="5" t="str">
        <f t="shared" si="101"/>
        <v>Truncate table REP030;</v>
      </c>
      <c r="Q4442" s="5"/>
      <c r="R4442" s="5"/>
    </row>
    <row r="4443" spans="2:22" x14ac:dyDescent="0.25">
      <c r="B4443" s="19" t="s">
        <v>5830</v>
      </c>
      <c r="C4443" s="16"/>
      <c r="D4443" s="16" t="s">
        <v>29</v>
      </c>
      <c r="E4443" s="16"/>
      <c r="F4443" s="5"/>
      <c r="G4443" s="16" t="s">
        <v>35</v>
      </c>
      <c r="H4443" s="16"/>
      <c r="I4443" s="16"/>
      <c r="J4443" s="16"/>
      <c r="K4443" s="16"/>
      <c r="L4443" s="16"/>
      <c r="M4443" s="16"/>
      <c r="N4443" s="16"/>
      <c r="O4443" s="17"/>
      <c r="P4443" s="5" t="str">
        <f t="shared" si="101"/>
        <v>Truncate table REP031;</v>
      </c>
      <c r="Q4443" s="5"/>
      <c r="R4443" s="5"/>
    </row>
    <row r="4444" spans="2:22" x14ac:dyDescent="0.25">
      <c r="B4444" s="19" t="s">
        <v>5831</v>
      </c>
      <c r="C4444" s="16"/>
      <c r="D4444" s="16" t="s">
        <v>29</v>
      </c>
      <c r="E4444" s="16"/>
      <c r="F4444" s="5"/>
      <c r="G4444" s="16" t="s">
        <v>35</v>
      </c>
      <c r="H4444" s="16"/>
      <c r="I4444" s="16"/>
      <c r="J4444" s="16"/>
      <c r="K4444" s="16"/>
      <c r="L4444" s="16"/>
      <c r="M4444" s="16"/>
      <c r="N4444" s="16"/>
      <c r="O4444" s="17"/>
      <c r="P4444" s="5" t="str">
        <f t="shared" si="101"/>
        <v>Truncate table REP032;</v>
      </c>
      <c r="Q4444" s="5"/>
      <c r="R4444" s="5"/>
    </row>
    <row r="4445" spans="2:22" x14ac:dyDescent="0.25">
      <c r="B4445" s="19" t="s">
        <v>5832</v>
      </c>
      <c r="C4445" s="16"/>
      <c r="D4445" s="16" t="s">
        <v>29</v>
      </c>
      <c r="E4445" s="16"/>
      <c r="F4445" s="5"/>
      <c r="G4445" s="16" t="s">
        <v>35</v>
      </c>
      <c r="H4445" s="16"/>
      <c r="I4445" s="16"/>
      <c r="J4445" s="16"/>
      <c r="K4445" s="16"/>
      <c r="L4445" s="16"/>
      <c r="M4445" s="16"/>
      <c r="N4445" s="16"/>
      <c r="O4445" s="17"/>
      <c r="P4445" s="5" t="str">
        <f t="shared" si="101"/>
        <v>Truncate table REP033;</v>
      </c>
      <c r="Q4445" s="5"/>
      <c r="R4445" s="5"/>
    </row>
    <row r="4446" spans="2:22" x14ac:dyDescent="0.25">
      <c r="B4446" s="19" t="s">
        <v>5834</v>
      </c>
      <c r="C4446" s="16" t="s">
        <v>5792</v>
      </c>
      <c r="D4446" s="16" t="s">
        <v>29</v>
      </c>
      <c r="E4446" s="16" t="s">
        <v>5790</v>
      </c>
      <c r="F4446" s="16" t="s">
        <v>5833</v>
      </c>
      <c r="G4446" s="16" t="s">
        <v>35</v>
      </c>
      <c r="H4446" s="16"/>
      <c r="I4446" s="16"/>
      <c r="J4446" s="16"/>
      <c r="K4446" s="16"/>
      <c r="L4446" s="16"/>
      <c r="M4446" s="16"/>
      <c r="N4446" s="16"/>
      <c r="O4446" s="17" t="s">
        <v>38</v>
      </c>
      <c r="P4446" s="16" t="str">
        <f t="shared" si="101"/>
        <v>Truncate table REP102;</v>
      </c>
      <c r="Q4446" s="16"/>
      <c r="R4446" s="16"/>
      <c r="S4446"/>
      <c r="T4446"/>
      <c r="U4446"/>
      <c r="V4446"/>
    </row>
    <row r="4447" spans="2:22" x14ac:dyDescent="0.25">
      <c r="B4447" s="19" t="s">
        <v>5835</v>
      </c>
      <c r="C4447" s="16"/>
      <c r="D4447" s="16" t="s">
        <v>8152</v>
      </c>
      <c r="E4447" s="16"/>
      <c r="F4447" s="5"/>
      <c r="G4447" s="16" t="s">
        <v>35</v>
      </c>
      <c r="H4447" s="16"/>
      <c r="I4447" s="16"/>
      <c r="J4447" s="16"/>
      <c r="K4447" s="16"/>
      <c r="L4447" s="16"/>
      <c r="M4447" s="229"/>
      <c r="N4447" s="16"/>
      <c r="O4447" s="17"/>
      <c r="P4447" s="5" t="str">
        <f t="shared" si="101"/>
        <v/>
      </c>
      <c r="Q4447" s="5"/>
      <c r="R4447" s="5"/>
    </row>
    <row r="4448" spans="2:22" ht="31.5" customHeight="1" x14ac:dyDescent="0.25">
      <c r="B4448" s="19" t="s">
        <v>5836</v>
      </c>
      <c r="C4448" s="16" t="s">
        <v>5837</v>
      </c>
      <c r="D4448" s="16" t="s">
        <v>29</v>
      </c>
      <c r="E4448" s="16" t="s">
        <v>734</v>
      </c>
      <c r="F4448" s="5" t="s">
        <v>8248</v>
      </c>
      <c r="G4448" s="16" t="s">
        <v>35</v>
      </c>
      <c r="H4448" s="16" t="s">
        <v>36</v>
      </c>
      <c r="I4448" s="16"/>
      <c r="J4448" s="16"/>
      <c r="K4448" s="16"/>
      <c r="L4448" s="16"/>
      <c r="M4448" s="16"/>
      <c r="N4448" s="16"/>
      <c r="O4448" s="17" t="s">
        <v>38</v>
      </c>
      <c r="P4448" s="5" t="str">
        <f t="shared" si="101"/>
        <v>Truncate table RGAP01;</v>
      </c>
      <c r="Q4448" s="5"/>
      <c r="R4448" s="5"/>
    </row>
    <row r="4449" spans="2:18" x14ac:dyDescent="0.25">
      <c r="B4449" s="19" t="s">
        <v>5838</v>
      </c>
      <c r="C4449" s="16" t="s">
        <v>5839</v>
      </c>
      <c r="D4449" s="16" t="s">
        <v>8152</v>
      </c>
      <c r="E4449" s="16" t="s">
        <v>734</v>
      </c>
      <c r="F4449" s="5" t="s">
        <v>8248</v>
      </c>
      <c r="G4449" s="16" t="s">
        <v>35</v>
      </c>
      <c r="H4449" s="16" t="s">
        <v>36</v>
      </c>
      <c r="I4449" s="16"/>
      <c r="J4449" s="16"/>
      <c r="K4449" s="16"/>
      <c r="L4449" s="16"/>
      <c r="M4449" s="16"/>
      <c r="N4449" s="16" t="s">
        <v>8298</v>
      </c>
      <c r="O4449" s="17" t="s">
        <v>387</v>
      </c>
      <c r="P4449" s="5"/>
      <c r="Q4449" s="5"/>
      <c r="R4449" s="5"/>
    </row>
    <row r="4450" spans="2:18" x14ac:dyDescent="0.25">
      <c r="B4450" s="19" t="s">
        <v>5840</v>
      </c>
      <c r="C4450" s="16"/>
      <c r="D4450" s="16" t="s">
        <v>8152</v>
      </c>
      <c r="E4450" s="16"/>
      <c r="F4450" s="5"/>
      <c r="G4450" s="16" t="s">
        <v>35</v>
      </c>
      <c r="H4450" s="16"/>
      <c r="I4450" s="16"/>
      <c r="J4450" s="16"/>
      <c r="K4450" s="16"/>
      <c r="L4450" s="16"/>
      <c r="M4450" s="229"/>
      <c r="N4450" s="16"/>
      <c r="O4450" s="17"/>
      <c r="P4450" s="5" t="str">
        <f t="shared" ref="P4450:P4489" si="102">IF(D4450="Datos","Truncate table "&amp; B4450&amp; ";","")</f>
        <v/>
      </c>
      <c r="Q4450" s="5"/>
      <c r="R4450" s="5"/>
    </row>
    <row r="4451" spans="2:18" x14ac:dyDescent="0.25">
      <c r="B4451" s="19" t="s">
        <v>5841</v>
      </c>
      <c r="C4451" s="16"/>
      <c r="D4451" s="16" t="s">
        <v>29</v>
      </c>
      <c r="E4451" s="16"/>
      <c r="F4451" s="5"/>
      <c r="G4451" s="16" t="s">
        <v>35</v>
      </c>
      <c r="H4451" s="16" t="s">
        <v>36</v>
      </c>
      <c r="I4451" s="16"/>
      <c r="J4451" s="16"/>
      <c r="K4451" s="16"/>
      <c r="L4451" s="16"/>
      <c r="M4451" s="16"/>
      <c r="N4451" s="16"/>
      <c r="O4451" s="17"/>
      <c r="P4451" s="5" t="str">
        <f t="shared" si="102"/>
        <v>Truncate table RGAP05;</v>
      </c>
      <c r="Q4451" s="5"/>
      <c r="R4451" s="5"/>
    </row>
    <row r="4452" spans="2:18" x14ac:dyDescent="0.25">
      <c r="B4452" s="19" t="s">
        <v>5842</v>
      </c>
      <c r="C4452" s="16" t="s">
        <v>8561</v>
      </c>
      <c r="D4452" s="16" t="s">
        <v>29</v>
      </c>
      <c r="E4452" s="16" t="s">
        <v>734</v>
      </c>
      <c r="F4452" s="5" t="s">
        <v>8248</v>
      </c>
      <c r="G4452" s="16" t="s">
        <v>35</v>
      </c>
      <c r="H4452" s="16" t="s">
        <v>36</v>
      </c>
      <c r="I4452" s="16"/>
      <c r="J4452" s="16"/>
      <c r="K4452" s="16"/>
      <c r="L4452" s="16"/>
      <c r="M4452" s="16"/>
      <c r="N4452" s="16"/>
      <c r="O4452" s="17" t="s">
        <v>38</v>
      </c>
      <c r="P4452" s="5" t="str">
        <f t="shared" si="102"/>
        <v>Truncate table RGAP10;</v>
      </c>
      <c r="Q4452" s="5"/>
      <c r="R4452" s="5"/>
    </row>
    <row r="4453" spans="2:18" x14ac:dyDescent="0.25">
      <c r="B4453" s="19" t="s">
        <v>5843</v>
      </c>
      <c r="C4453" s="16"/>
      <c r="D4453" s="16" t="s">
        <v>29</v>
      </c>
      <c r="E4453" s="16"/>
      <c r="F4453" s="5"/>
      <c r="G4453" s="16" t="s">
        <v>35</v>
      </c>
      <c r="H4453" s="16"/>
      <c r="I4453" s="16"/>
      <c r="J4453" s="16"/>
      <c r="K4453" s="16"/>
      <c r="L4453" s="16"/>
      <c r="M4453" s="16"/>
      <c r="N4453" s="16"/>
      <c r="O4453" s="17"/>
      <c r="P4453" s="5" t="str">
        <f t="shared" si="102"/>
        <v>Truncate table RGAPM1;</v>
      </c>
      <c r="Q4453" s="5"/>
      <c r="R4453" s="5"/>
    </row>
    <row r="4454" spans="2:18" x14ac:dyDescent="0.25">
      <c r="B4454" s="19" t="s">
        <v>5844</v>
      </c>
      <c r="C4454" s="16"/>
      <c r="D4454" s="16" t="s">
        <v>29</v>
      </c>
      <c r="E4454" s="16"/>
      <c r="F4454" s="5"/>
      <c r="G4454" s="16" t="s">
        <v>35</v>
      </c>
      <c r="H4454" s="16"/>
      <c r="I4454" s="16"/>
      <c r="J4454" s="16"/>
      <c r="K4454" s="16"/>
      <c r="L4454" s="16"/>
      <c r="M4454" s="16"/>
      <c r="N4454" s="16"/>
      <c r="O4454" s="17"/>
      <c r="P4454" s="5" t="str">
        <f t="shared" si="102"/>
        <v>Truncate table RIA219;</v>
      </c>
      <c r="Q4454" s="5"/>
      <c r="R4454" s="5"/>
    </row>
    <row r="4455" spans="2:18" ht="40.5" x14ac:dyDescent="0.25">
      <c r="B4455" s="4" t="s">
        <v>5845</v>
      </c>
      <c r="C4455" s="5" t="s">
        <v>5846</v>
      </c>
      <c r="D4455" s="16" t="s">
        <v>29</v>
      </c>
      <c r="E4455" s="5" t="s">
        <v>34</v>
      </c>
      <c r="F4455" s="5" t="s">
        <v>33</v>
      </c>
      <c r="G4455" s="16" t="s">
        <v>35</v>
      </c>
      <c r="H4455" s="16" t="s">
        <v>12</v>
      </c>
      <c r="I4455" s="5" t="s">
        <v>5847</v>
      </c>
      <c r="J4455" s="5" t="s">
        <v>5848</v>
      </c>
      <c r="K4455" s="5" t="s">
        <v>1135</v>
      </c>
      <c r="L4455" s="5" t="s">
        <v>5849</v>
      </c>
      <c r="M4455" s="5"/>
      <c r="N4455" s="5"/>
      <c r="O4455" s="17"/>
      <c r="P4455" s="5" t="str">
        <f t="shared" si="102"/>
        <v>Truncate table RIB001;</v>
      </c>
      <c r="Q4455" s="5"/>
      <c r="R4455" s="5"/>
    </row>
    <row r="4456" spans="2:18" ht="40.5" x14ac:dyDescent="0.25">
      <c r="B4456" s="4" t="s">
        <v>5850</v>
      </c>
      <c r="C4456" s="5" t="s">
        <v>5851</v>
      </c>
      <c r="D4456" s="5" t="s">
        <v>8152</v>
      </c>
      <c r="E4456" s="5" t="s">
        <v>54</v>
      </c>
      <c r="F4456" s="5" t="s">
        <v>919</v>
      </c>
      <c r="G4456" s="16" t="s">
        <v>35</v>
      </c>
      <c r="H4456" s="16" t="s">
        <v>5852</v>
      </c>
      <c r="I4456" s="5" t="s">
        <v>5853</v>
      </c>
      <c r="J4456" s="5" t="s">
        <v>5854</v>
      </c>
      <c r="K4456" s="5" t="s">
        <v>1135</v>
      </c>
      <c r="L4456" s="5" t="s">
        <v>5849</v>
      </c>
      <c r="M4456" s="5"/>
      <c r="N4456" s="5"/>
      <c r="O4456" s="17"/>
      <c r="P4456" s="5" t="str">
        <f t="shared" si="102"/>
        <v/>
      </c>
      <c r="Q4456" s="5"/>
      <c r="R4456" s="5"/>
    </row>
    <row r="4457" spans="2:18" ht="40.5" x14ac:dyDescent="0.25">
      <c r="B4457" s="4" t="s">
        <v>5855</v>
      </c>
      <c r="C4457" s="5" t="s">
        <v>5856</v>
      </c>
      <c r="D4457" s="5" t="s">
        <v>8152</v>
      </c>
      <c r="E4457" s="5" t="s">
        <v>54</v>
      </c>
      <c r="F4457" s="5" t="s">
        <v>919</v>
      </c>
      <c r="G4457" s="16" t="s">
        <v>35</v>
      </c>
      <c r="H4457" s="16" t="s">
        <v>5852</v>
      </c>
      <c r="I4457" s="5" t="s">
        <v>5857</v>
      </c>
      <c r="J4457" s="5" t="s">
        <v>5858</v>
      </c>
      <c r="K4457" s="5" t="s">
        <v>1135</v>
      </c>
      <c r="L4457" s="5" t="s">
        <v>5849</v>
      </c>
      <c r="M4457" s="5"/>
      <c r="N4457" s="5"/>
      <c r="O4457" s="17"/>
      <c r="P4457" s="5" t="str">
        <f t="shared" si="102"/>
        <v/>
      </c>
      <c r="Q4457" s="5"/>
      <c r="R4457" s="5"/>
    </row>
    <row r="4458" spans="2:18" ht="40.5" x14ac:dyDescent="0.25">
      <c r="B4458" s="4" t="s">
        <v>5859</v>
      </c>
      <c r="C4458" s="5" t="s">
        <v>5860</v>
      </c>
      <c r="D4458" s="5" t="s">
        <v>8152</v>
      </c>
      <c r="E4458" s="5" t="s">
        <v>54</v>
      </c>
      <c r="F4458" s="5" t="s">
        <v>919</v>
      </c>
      <c r="G4458" s="16" t="s">
        <v>35</v>
      </c>
      <c r="H4458" s="16" t="s">
        <v>5852</v>
      </c>
      <c r="I4458" s="5" t="s">
        <v>5861</v>
      </c>
      <c r="J4458" s="5" t="s">
        <v>5862</v>
      </c>
      <c r="K4458" s="5" t="s">
        <v>5863</v>
      </c>
      <c r="L4458" s="5" t="s">
        <v>5849</v>
      </c>
      <c r="M4458" s="5"/>
      <c r="N4458" s="5"/>
      <c r="O4458" s="17"/>
      <c r="P4458" s="5" t="str">
        <f t="shared" si="102"/>
        <v/>
      </c>
      <c r="Q4458" s="5"/>
      <c r="R4458" s="5"/>
    </row>
    <row r="4459" spans="2:18" ht="40.5" x14ac:dyDescent="0.25">
      <c r="B4459" s="4" t="s">
        <v>5864</v>
      </c>
      <c r="C4459" s="5" t="s">
        <v>5865</v>
      </c>
      <c r="D4459" s="5" t="s">
        <v>8152</v>
      </c>
      <c r="E4459" s="5" t="s">
        <v>54</v>
      </c>
      <c r="F4459" s="5" t="s">
        <v>919</v>
      </c>
      <c r="G4459" s="16" t="s">
        <v>35</v>
      </c>
      <c r="H4459" s="16" t="s">
        <v>5852</v>
      </c>
      <c r="I4459" s="5" t="s">
        <v>5866</v>
      </c>
      <c r="J4459" s="5" t="s">
        <v>5867</v>
      </c>
      <c r="K4459" s="5" t="s">
        <v>1135</v>
      </c>
      <c r="L4459" s="5" t="s">
        <v>5849</v>
      </c>
      <c r="M4459" s="5"/>
      <c r="N4459" s="5"/>
      <c r="O4459" s="17"/>
      <c r="P4459" s="5" t="str">
        <f t="shared" si="102"/>
        <v/>
      </c>
      <c r="Q4459" s="5"/>
      <c r="R4459" s="5"/>
    </row>
    <row r="4460" spans="2:18" ht="40.5" x14ac:dyDescent="0.25">
      <c r="B4460" s="4" t="s">
        <v>5868</v>
      </c>
      <c r="C4460" s="5" t="s">
        <v>5869</v>
      </c>
      <c r="D4460" s="5" t="s">
        <v>8152</v>
      </c>
      <c r="E4460" s="5" t="s">
        <v>54</v>
      </c>
      <c r="F4460" s="5" t="s">
        <v>919</v>
      </c>
      <c r="G4460" s="16" t="s">
        <v>35</v>
      </c>
      <c r="H4460" s="16" t="s">
        <v>5852</v>
      </c>
      <c r="I4460" s="5" t="s">
        <v>5870</v>
      </c>
      <c r="J4460" s="5" t="s">
        <v>5871</v>
      </c>
      <c r="K4460" s="5" t="s">
        <v>1135</v>
      </c>
      <c r="L4460" s="5" t="s">
        <v>5849</v>
      </c>
      <c r="M4460" s="5"/>
      <c r="N4460" s="5"/>
      <c r="O4460" s="17"/>
      <c r="P4460" s="5" t="str">
        <f t="shared" si="102"/>
        <v/>
      </c>
      <c r="Q4460" s="5"/>
      <c r="R4460" s="5"/>
    </row>
    <row r="4461" spans="2:18" ht="40.5" x14ac:dyDescent="0.25">
      <c r="B4461" s="4" t="s">
        <v>5872</v>
      </c>
      <c r="C4461" s="5" t="s">
        <v>5873</v>
      </c>
      <c r="D4461" s="5" t="s">
        <v>8152</v>
      </c>
      <c r="E4461" s="5" t="s">
        <v>54</v>
      </c>
      <c r="F4461" s="5" t="s">
        <v>919</v>
      </c>
      <c r="G4461" s="16" t="s">
        <v>35</v>
      </c>
      <c r="H4461" s="16" t="s">
        <v>5852</v>
      </c>
      <c r="I4461" s="5" t="s">
        <v>5874</v>
      </c>
      <c r="J4461" s="5" t="s">
        <v>5875</v>
      </c>
      <c r="K4461" s="5" t="s">
        <v>1135</v>
      </c>
      <c r="L4461" s="5" t="s">
        <v>5849</v>
      </c>
      <c r="M4461" s="5"/>
      <c r="N4461" s="5"/>
      <c r="O4461" s="17"/>
      <c r="P4461" s="5" t="str">
        <f t="shared" si="102"/>
        <v/>
      </c>
      <c r="Q4461" s="5"/>
      <c r="R4461" s="5"/>
    </row>
    <row r="4462" spans="2:18" ht="40.5" x14ac:dyDescent="0.25">
      <c r="B4462" s="4" t="s">
        <v>5876</v>
      </c>
      <c r="C4462" s="5" t="s">
        <v>5877</v>
      </c>
      <c r="D4462" s="5" t="s">
        <v>8152</v>
      </c>
      <c r="E4462" s="5" t="s">
        <v>54</v>
      </c>
      <c r="F4462" s="5" t="s">
        <v>919</v>
      </c>
      <c r="G4462" s="16" t="s">
        <v>35</v>
      </c>
      <c r="H4462" s="16" t="s">
        <v>5852</v>
      </c>
      <c r="I4462" s="5" t="s">
        <v>5878</v>
      </c>
      <c r="J4462" s="5" t="s">
        <v>5879</v>
      </c>
      <c r="K4462" s="5" t="s">
        <v>1135</v>
      </c>
      <c r="L4462" s="5" t="s">
        <v>5849</v>
      </c>
      <c r="M4462" s="5"/>
      <c r="N4462" s="5"/>
      <c r="O4462" s="17"/>
      <c r="P4462" s="5" t="str">
        <f t="shared" si="102"/>
        <v/>
      </c>
      <c r="Q4462" s="5"/>
      <c r="R4462" s="5"/>
    </row>
    <row r="4463" spans="2:18" ht="54" x14ac:dyDescent="0.25">
      <c r="B4463" s="4" t="s">
        <v>5880</v>
      </c>
      <c r="C4463" s="5" t="s">
        <v>5881</v>
      </c>
      <c r="D4463" s="5" t="s">
        <v>8152</v>
      </c>
      <c r="E4463" s="5" t="s">
        <v>54</v>
      </c>
      <c r="F4463" s="5" t="s">
        <v>919</v>
      </c>
      <c r="G4463" s="16" t="s">
        <v>35</v>
      </c>
      <c r="H4463" s="16" t="s">
        <v>5852</v>
      </c>
      <c r="I4463" s="5" t="s">
        <v>5882</v>
      </c>
      <c r="J4463" s="21" t="s">
        <v>5883</v>
      </c>
      <c r="K4463" s="5" t="s">
        <v>5884</v>
      </c>
      <c r="L4463" s="283" t="s">
        <v>5885</v>
      </c>
      <c r="M4463" s="283"/>
      <c r="N4463" s="5"/>
      <c r="O4463" s="17"/>
      <c r="P4463" s="5" t="str">
        <f t="shared" si="102"/>
        <v/>
      </c>
      <c r="Q4463" s="5"/>
      <c r="R4463" s="5"/>
    </row>
    <row r="4464" spans="2:18" ht="40.5" x14ac:dyDescent="0.25">
      <c r="B4464" s="4" t="s">
        <v>5886</v>
      </c>
      <c r="C4464" s="5" t="s">
        <v>5887</v>
      </c>
      <c r="D4464" s="5" t="s">
        <v>29</v>
      </c>
      <c r="E4464" s="5" t="s">
        <v>34</v>
      </c>
      <c r="F4464" s="5" t="s">
        <v>33</v>
      </c>
      <c r="G4464" s="16" t="s">
        <v>35</v>
      </c>
      <c r="H4464" s="16" t="s">
        <v>12</v>
      </c>
      <c r="I4464" s="5" t="s">
        <v>5888</v>
      </c>
      <c r="J4464" s="5" t="s">
        <v>5889</v>
      </c>
      <c r="K4464" s="5" t="s">
        <v>1135</v>
      </c>
      <c r="L4464" s="5" t="s">
        <v>5849</v>
      </c>
      <c r="M4464" s="5"/>
      <c r="N4464" s="5"/>
      <c r="O4464" s="17"/>
      <c r="P4464" s="5" t="str">
        <f t="shared" si="102"/>
        <v>Truncate table RIB011;</v>
      </c>
      <c r="Q4464" s="5"/>
      <c r="R4464" s="5"/>
    </row>
    <row r="4465" spans="2:22" ht="40.5" x14ac:dyDescent="0.25">
      <c r="B4465" s="4" t="s">
        <v>5890</v>
      </c>
      <c r="C4465" s="5" t="s">
        <v>5891</v>
      </c>
      <c r="D4465" s="5" t="s">
        <v>29</v>
      </c>
      <c r="E4465" s="5" t="s">
        <v>34</v>
      </c>
      <c r="F4465" s="5" t="s">
        <v>33</v>
      </c>
      <c r="G4465" s="16" t="s">
        <v>35</v>
      </c>
      <c r="H4465" s="16" t="s">
        <v>12</v>
      </c>
      <c r="I4465" s="5" t="s">
        <v>5892</v>
      </c>
      <c r="J4465" s="5" t="s">
        <v>5893</v>
      </c>
      <c r="K4465" s="5" t="s">
        <v>1135</v>
      </c>
      <c r="L4465" s="5" t="s">
        <v>5849</v>
      </c>
      <c r="M4465" s="5"/>
      <c r="N4465" s="5"/>
      <c r="O4465" s="17"/>
      <c r="P4465" s="5" t="str">
        <f t="shared" si="102"/>
        <v>Truncate table RIB012;</v>
      </c>
      <c r="Q4465" s="5"/>
      <c r="R4465" s="5"/>
    </row>
    <row r="4466" spans="2:22" x14ac:dyDescent="0.25">
      <c r="B4466" s="19" t="s">
        <v>5894</v>
      </c>
      <c r="C4466" s="16" t="s">
        <v>5895</v>
      </c>
      <c r="D4466" s="250" t="s">
        <v>29</v>
      </c>
      <c r="E4466" s="16" t="s">
        <v>5790</v>
      </c>
      <c r="F4466" s="16" t="s">
        <v>5833</v>
      </c>
      <c r="G4466" s="16" t="s">
        <v>35</v>
      </c>
      <c r="H4466" s="16"/>
      <c r="I4466" s="16"/>
      <c r="J4466" s="16"/>
      <c r="K4466" s="16"/>
      <c r="L4466" s="16"/>
      <c r="M4466" s="16"/>
      <c r="N4466" s="16"/>
      <c r="O4466" s="17" t="s">
        <v>38</v>
      </c>
      <c r="P4466" s="16" t="str">
        <f t="shared" si="102"/>
        <v>Truncate table RPAUX01;</v>
      </c>
      <c r="Q4466" s="16"/>
      <c r="R4466" s="16"/>
      <c r="S4466"/>
      <c r="T4466"/>
      <c r="U4466"/>
      <c r="V4466"/>
    </row>
    <row r="4467" spans="2:22" x14ac:dyDescent="0.25">
      <c r="B4467" s="19" t="s">
        <v>5896</v>
      </c>
      <c r="C4467" s="16" t="s">
        <v>5837</v>
      </c>
      <c r="D4467" s="16" t="s">
        <v>29</v>
      </c>
      <c r="E4467" s="16" t="s">
        <v>54</v>
      </c>
      <c r="F4467" s="16" t="s">
        <v>557</v>
      </c>
      <c r="G4467" s="16" t="s">
        <v>35</v>
      </c>
      <c r="H4467" s="16" t="s">
        <v>36</v>
      </c>
      <c r="I4467" s="16"/>
      <c r="J4467" s="16"/>
      <c r="K4467" s="16"/>
      <c r="L4467" s="16"/>
      <c r="M4467" s="16"/>
      <c r="N4467" s="16"/>
      <c r="O4467" s="17" t="s">
        <v>38</v>
      </c>
      <c r="P4467" s="16" t="str">
        <f t="shared" si="102"/>
        <v>Truncate table RPAUX02;</v>
      </c>
      <c r="Q4467" s="16"/>
      <c r="R4467" s="16"/>
      <c r="S4467"/>
      <c r="T4467"/>
      <c r="U4467"/>
      <c r="V4467"/>
    </row>
    <row r="4468" spans="2:22" x14ac:dyDescent="0.25">
      <c r="B4468" s="19" t="s">
        <v>5897</v>
      </c>
      <c r="C4468" s="16" t="s">
        <v>5898</v>
      </c>
      <c r="D4468" s="16" t="s">
        <v>29</v>
      </c>
      <c r="E4468" s="16" t="s">
        <v>5790</v>
      </c>
      <c r="F4468" s="16" t="s">
        <v>5833</v>
      </c>
      <c r="G4468" s="16" t="s">
        <v>35</v>
      </c>
      <c r="H4468" s="16"/>
      <c r="I4468" s="16"/>
      <c r="J4468" s="16"/>
      <c r="K4468" s="16"/>
      <c r="L4468" s="16"/>
      <c r="M4468" s="16"/>
      <c r="N4468" s="16"/>
      <c r="O4468" s="17" t="s">
        <v>38</v>
      </c>
      <c r="P4468" s="16" t="str">
        <f t="shared" si="102"/>
        <v>Truncate table RPAUX03;</v>
      </c>
      <c r="Q4468" s="16"/>
      <c r="R4468" s="16"/>
      <c r="S4468"/>
      <c r="T4468"/>
      <c r="U4468"/>
      <c r="V4468"/>
    </row>
    <row r="4469" spans="2:22" x14ac:dyDescent="0.25">
      <c r="B4469" s="19" t="s">
        <v>5899</v>
      </c>
      <c r="C4469" s="16" t="s">
        <v>5900</v>
      </c>
      <c r="D4469" s="16" t="s">
        <v>29</v>
      </c>
      <c r="E4469" s="16" t="s">
        <v>5790</v>
      </c>
      <c r="F4469" s="16" t="s">
        <v>5833</v>
      </c>
      <c r="G4469" s="16" t="s">
        <v>35</v>
      </c>
      <c r="H4469" s="16"/>
      <c r="I4469" s="16"/>
      <c r="J4469" s="16"/>
      <c r="K4469" s="16"/>
      <c r="L4469" s="16"/>
      <c r="M4469" s="16"/>
      <c r="N4469" s="16"/>
      <c r="O4469" s="17" t="s">
        <v>38</v>
      </c>
      <c r="P4469" s="16" t="str">
        <f t="shared" si="102"/>
        <v>Truncate table RPAUX04;</v>
      </c>
      <c r="Q4469" s="16"/>
      <c r="R4469" s="16"/>
      <c r="S4469"/>
      <c r="T4469"/>
      <c r="U4469"/>
      <c r="V4469"/>
    </row>
    <row r="4470" spans="2:22" x14ac:dyDescent="0.25">
      <c r="B4470" s="19" t="s">
        <v>5901</v>
      </c>
      <c r="C4470" s="16"/>
      <c r="D4470" s="16" t="s">
        <v>29</v>
      </c>
      <c r="E4470" s="16"/>
      <c r="F4470" s="5"/>
      <c r="G4470" s="16" t="s">
        <v>35</v>
      </c>
      <c r="H4470" s="16"/>
      <c r="I4470" s="16"/>
      <c r="J4470" s="16"/>
      <c r="K4470" s="16"/>
      <c r="L4470" s="16"/>
      <c r="M4470" s="16"/>
      <c r="N4470" s="16"/>
      <c r="O4470" s="17"/>
      <c r="P4470" s="5" t="str">
        <f t="shared" si="102"/>
        <v>Truncate table RPC001;</v>
      </c>
      <c r="Q4470" s="5"/>
      <c r="R4470" s="5"/>
    </row>
    <row r="4471" spans="2:22" x14ac:dyDescent="0.25">
      <c r="B4471" s="19" t="s">
        <v>5902</v>
      </c>
      <c r="C4471" s="16"/>
      <c r="D4471" s="16" t="s">
        <v>29</v>
      </c>
      <c r="E4471" s="16"/>
      <c r="F4471" s="5"/>
      <c r="G4471" s="16" t="s">
        <v>35</v>
      </c>
      <c r="H4471" s="16"/>
      <c r="I4471" s="16"/>
      <c r="J4471" s="16"/>
      <c r="K4471" s="16"/>
      <c r="L4471" s="16"/>
      <c r="M4471" s="16"/>
      <c r="N4471" s="16"/>
      <c r="O4471" s="17"/>
      <c r="P4471" s="5" t="str">
        <f t="shared" si="102"/>
        <v>Truncate table RPCBCO;</v>
      </c>
      <c r="Q4471" s="5"/>
      <c r="R4471" s="5"/>
    </row>
    <row r="4472" spans="2:22" x14ac:dyDescent="0.25">
      <c r="B4472" s="19" t="s">
        <v>5903</v>
      </c>
      <c r="C4472" s="16"/>
      <c r="D4472" s="16" t="s">
        <v>29</v>
      </c>
      <c r="E4472" s="16"/>
      <c r="F4472" s="5"/>
      <c r="G4472" s="16" t="s">
        <v>35</v>
      </c>
      <c r="H4472" s="16"/>
      <c r="I4472" s="16"/>
      <c r="J4472" s="16"/>
      <c r="K4472" s="16"/>
      <c r="L4472" s="16"/>
      <c r="M4472" s="16"/>
      <c r="N4472" s="16"/>
      <c r="O4472" s="17"/>
      <c r="P4472" s="5" t="str">
        <f t="shared" si="102"/>
        <v>Truncate table RTM000;</v>
      </c>
      <c r="Q4472" s="5"/>
      <c r="R4472" s="5"/>
    </row>
    <row r="4473" spans="2:22" x14ac:dyDescent="0.25">
      <c r="B4473" s="19" t="s">
        <v>5904</v>
      </c>
      <c r="C4473" s="16"/>
      <c r="D4473" s="16" t="s">
        <v>29</v>
      </c>
      <c r="E4473" s="16"/>
      <c r="F4473" s="5"/>
      <c r="G4473" s="16" t="s">
        <v>35</v>
      </c>
      <c r="H4473" s="16"/>
      <c r="I4473" s="16"/>
      <c r="J4473" s="16"/>
      <c r="K4473" s="16"/>
      <c r="L4473" s="16"/>
      <c r="M4473" s="16"/>
      <c r="N4473" s="16"/>
      <c r="O4473" s="17"/>
      <c r="P4473" s="5" t="str">
        <f t="shared" si="102"/>
        <v>Truncate table RTM001;</v>
      </c>
      <c r="Q4473" s="5"/>
      <c r="R4473" s="5"/>
    </row>
    <row r="4474" spans="2:22" x14ac:dyDescent="0.25">
      <c r="B4474" s="19" t="s">
        <v>5905</v>
      </c>
      <c r="C4474" s="16"/>
      <c r="D4474" s="16" t="s">
        <v>29</v>
      </c>
      <c r="E4474" s="16"/>
      <c r="F4474" s="5"/>
      <c r="G4474" s="16" t="s">
        <v>35</v>
      </c>
      <c r="H4474" s="16"/>
      <c r="I4474" s="16"/>
      <c r="J4474" s="16"/>
      <c r="K4474" s="16"/>
      <c r="L4474" s="16"/>
      <c r="M4474" s="16"/>
      <c r="N4474" s="16"/>
      <c r="O4474" s="17"/>
      <c r="P4474" s="5" t="str">
        <f t="shared" si="102"/>
        <v>Truncate table RTM002;</v>
      </c>
      <c r="Q4474" s="5"/>
      <c r="R4474" s="5"/>
    </row>
    <row r="4475" spans="2:22" ht="54" x14ac:dyDescent="0.25">
      <c r="B4475" s="88" t="s">
        <v>5906</v>
      </c>
      <c r="C4475" s="23" t="s">
        <v>5907</v>
      </c>
      <c r="D4475" s="19" t="s">
        <v>29</v>
      </c>
      <c r="E4475" s="19" t="s">
        <v>54</v>
      </c>
      <c r="F4475" s="23" t="s">
        <v>163</v>
      </c>
      <c r="G4475" s="19" t="s">
        <v>35</v>
      </c>
      <c r="H4475" s="19" t="s">
        <v>36</v>
      </c>
      <c r="I4475" s="23" t="s">
        <v>5908</v>
      </c>
      <c r="J4475" s="23" t="s">
        <v>5909</v>
      </c>
      <c r="K4475" s="23" t="s">
        <v>5910</v>
      </c>
      <c r="L4475" s="23" t="s">
        <v>5911</v>
      </c>
      <c r="M4475" s="23"/>
      <c r="N4475" s="19"/>
      <c r="O4475" s="24" t="s">
        <v>38</v>
      </c>
      <c r="P4475" s="5" t="str">
        <f t="shared" si="102"/>
        <v>Truncate table SCF001;</v>
      </c>
      <c r="Q4475" s="5"/>
      <c r="R4475" s="5"/>
    </row>
    <row r="4476" spans="2:22" ht="81" x14ac:dyDescent="0.25">
      <c r="B4476" s="88" t="s">
        <v>5912</v>
      </c>
      <c r="C4476" s="23" t="s">
        <v>5913</v>
      </c>
      <c r="D4476" s="19" t="s">
        <v>29</v>
      </c>
      <c r="E4476" s="19" t="s">
        <v>54</v>
      </c>
      <c r="F4476" s="23" t="s">
        <v>163</v>
      </c>
      <c r="G4476" s="19" t="s">
        <v>35</v>
      </c>
      <c r="H4476" s="19" t="s">
        <v>36</v>
      </c>
      <c r="I4476" s="23" t="s">
        <v>5914</v>
      </c>
      <c r="J4476" s="23" t="s">
        <v>5915</v>
      </c>
      <c r="K4476" s="23" t="s">
        <v>454</v>
      </c>
      <c r="L4476" s="88" t="s">
        <v>5911</v>
      </c>
      <c r="M4476" s="88"/>
      <c r="N4476" s="23" t="s">
        <v>5916</v>
      </c>
      <c r="O4476" s="24" t="s">
        <v>38</v>
      </c>
      <c r="P4476" s="5" t="str">
        <f t="shared" si="102"/>
        <v>Truncate table SCF002;</v>
      </c>
      <c r="Q4476" s="5"/>
      <c r="R4476" s="5"/>
    </row>
    <row r="4477" spans="2:22" ht="81" x14ac:dyDescent="0.25">
      <c r="B4477" s="88" t="s">
        <v>5917</v>
      </c>
      <c r="C4477" s="23" t="s">
        <v>5918</v>
      </c>
      <c r="D4477" s="19" t="s">
        <v>29</v>
      </c>
      <c r="E4477" s="19" t="s">
        <v>54</v>
      </c>
      <c r="F4477" s="23" t="s">
        <v>163</v>
      </c>
      <c r="G4477" s="19" t="s">
        <v>35</v>
      </c>
      <c r="H4477" s="19" t="s">
        <v>36</v>
      </c>
      <c r="I4477" s="23" t="s">
        <v>5914</v>
      </c>
      <c r="J4477" s="23" t="s">
        <v>5915</v>
      </c>
      <c r="K4477" s="23" t="s">
        <v>454</v>
      </c>
      <c r="L4477" s="88" t="s">
        <v>5911</v>
      </c>
      <c r="M4477" s="88"/>
      <c r="N4477" s="23" t="s">
        <v>5916</v>
      </c>
      <c r="O4477" s="24" t="s">
        <v>38</v>
      </c>
      <c r="P4477" s="5" t="str">
        <f t="shared" si="102"/>
        <v>Truncate table SCF003;</v>
      </c>
      <c r="Q4477" s="5"/>
      <c r="R4477" s="5"/>
    </row>
    <row r="4478" spans="2:22" ht="54" x14ac:dyDescent="0.25">
      <c r="B4478" s="88" t="s">
        <v>5919</v>
      </c>
      <c r="C4478" s="23" t="s">
        <v>5920</v>
      </c>
      <c r="D4478" s="19" t="s">
        <v>8152</v>
      </c>
      <c r="E4478" s="19" t="s">
        <v>54</v>
      </c>
      <c r="F4478" s="23" t="s">
        <v>163</v>
      </c>
      <c r="G4478" s="19" t="s">
        <v>35</v>
      </c>
      <c r="H4478" s="19" t="s">
        <v>36</v>
      </c>
      <c r="I4478" s="23" t="s">
        <v>5921</v>
      </c>
      <c r="J4478" s="23" t="s">
        <v>5922</v>
      </c>
      <c r="K4478" s="23" t="s">
        <v>5923</v>
      </c>
      <c r="L4478" s="88" t="s">
        <v>5911</v>
      </c>
      <c r="M4478" s="229"/>
      <c r="N4478" s="19"/>
      <c r="O4478" s="24" t="s">
        <v>38</v>
      </c>
      <c r="P4478" s="5" t="str">
        <f t="shared" si="102"/>
        <v/>
      </c>
      <c r="Q4478" s="5"/>
      <c r="R4478" s="5"/>
    </row>
    <row r="4479" spans="2:22" ht="54" x14ac:dyDescent="0.25">
      <c r="B4479" s="88" t="s">
        <v>5924</v>
      </c>
      <c r="C4479" s="23" t="s">
        <v>5920</v>
      </c>
      <c r="D4479" s="19" t="s">
        <v>8152</v>
      </c>
      <c r="E4479" s="19" t="s">
        <v>54</v>
      </c>
      <c r="F4479" s="23" t="s">
        <v>163</v>
      </c>
      <c r="G4479" s="19" t="s">
        <v>35</v>
      </c>
      <c r="H4479" s="19" t="s">
        <v>36</v>
      </c>
      <c r="I4479" s="23" t="s">
        <v>5925</v>
      </c>
      <c r="J4479" s="23" t="s">
        <v>5926</v>
      </c>
      <c r="K4479" s="23" t="s">
        <v>5923</v>
      </c>
      <c r="L4479" s="23" t="s">
        <v>5911</v>
      </c>
      <c r="M4479" s="229"/>
      <c r="N4479" s="19"/>
      <c r="O4479" s="24" t="s">
        <v>38</v>
      </c>
      <c r="P4479" s="5" t="str">
        <f t="shared" si="102"/>
        <v/>
      </c>
      <c r="Q4479" s="5"/>
      <c r="R4479" s="5"/>
    </row>
    <row r="4480" spans="2:22" x14ac:dyDescent="0.25">
      <c r="B4480" s="19" t="s">
        <v>5927</v>
      </c>
      <c r="C4480" s="16" t="s">
        <v>5928</v>
      </c>
      <c r="D4480" s="16" t="s">
        <v>8152</v>
      </c>
      <c r="E4480" s="16" t="s">
        <v>151</v>
      </c>
      <c r="F4480" s="5" t="s">
        <v>150</v>
      </c>
      <c r="G4480" s="16" t="s">
        <v>35</v>
      </c>
      <c r="H4480" s="16" t="s">
        <v>36</v>
      </c>
      <c r="I4480" s="16"/>
      <c r="J4480" s="16"/>
      <c r="K4480" s="16"/>
      <c r="L4480" s="16"/>
      <c r="M4480" s="229"/>
      <c r="N4480" s="16" t="s">
        <v>2911</v>
      </c>
      <c r="O4480" s="17" t="s">
        <v>38</v>
      </c>
      <c r="P4480" s="5" t="str">
        <f t="shared" si="102"/>
        <v/>
      </c>
      <c r="Q4480" s="5"/>
      <c r="R4480" s="5"/>
    </row>
    <row r="4481" spans="2:18" x14ac:dyDescent="0.25">
      <c r="B4481" s="19" t="s">
        <v>5929</v>
      </c>
      <c r="C4481" s="16" t="s">
        <v>5928</v>
      </c>
      <c r="D4481" s="16" t="s">
        <v>8152</v>
      </c>
      <c r="E4481" s="16" t="s">
        <v>151</v>
      </c>
      <c r="F4481" s="5" t="s">
        <v>150</v>
      </c>
      <c r="G4481" s="16" t="s">
        <v>35</v>
      </c>
      <c r="H4481" s="16" t="s">
        <v>36</v>
      </c>
      <c r="I4481" s="16"/>
      <c r="J4481" s="16"/>
      <c r="K4481" s="16"/>
      <c r="L4481" s="16"/>
      <c r="M4481" s="229"/>
      <c r="N4481" s="16" t="s">
        <v>2911</v>
      </c>
      <c r="O4481" s="17" t="s">
        <v>38</v>
      </c>
      <c r="P4481" s="5" t="str">
        <f t="shared" si="102"/>
        <v/>
      </c>
      <c r="Q4481" s="5"/>
      <c r="R4481" s="5"/>
    </row>
    <row r="4482" spans="2:18" x14ac:dyDescent="0.25">
      <c r="B4482" s="19" t="s">
        <v>5930</v>
      </c>
      <c r="C4482" s="16"/>
      <c r="D4482" s="16" t="s">
        <v>29</v>
      </c>
      <c r="E4482" s="16" t="s">
        <v>151</v>
      </c>
      <c r="F4482" s="5" t="s">
        <v>150</v>
      </c>
      <c r="G4482" s="16" t="s">
        <v>35</v>
      </c>
      <c r="H4482" s="16" t="s">
        <v>36</v>
      </c>
      <c r="I4482" s="16"/>
      <c r="J4482" s="16"/>
      <c r="K4482" s="16"/>
      <c r="L4482" s="16"/>
      <c r="M4482" s="16"/>
      <c r="N4482" s="16" t="s">
        <v>2911</v>
      </c>
      <c r="O4482" s="17" t="s">
        <v>38</v>
      </c>
      <c r="P4482" s="5" t="str">
        <f t="shared" si="102"/>
        <v>Truncate table SCH003;</v>
      </c>
      <c r="Q4482" s="5"/>
      <c r="R4482" s="5"/>
    </row>
    <row r="4483" spans="2:18" x14ac:dyDescent="0.25">
      <c r="B4483" s="19" t="s">
        <v>5931</v>
      </c>
      <c r="C4483" s="16" t="s">
        <v>5928</v>
      </c>
      <c r="D4483" s="16" t="s">
        <v>8152</v>
      </c>
      <c r="E4483" s="16" t="s">
        <v>151</v>
      </c>
      <c r="F4483" s="5" t="s">
        <v>150</v>
      </c>
      <c r="G4483" s="16" t="s">
        <v>35</v>
      </c>
      <c r="H4483" s="16" t="s">
        <v>36</v>
      </c>
      <c r="I4483" s="16"/>
      <c r="J4483" s="16"/>
      <c r="K4483" s="16"/>
      <c r="L4483" s="16"/>
      <c r="M4483" s="229"/>
      <c r="N4483" s="16" t="s">
        <v>2911</v>
      </c>
      <c r="O4483" s="17" t="s">
        <v>38</v>
      </c>
      <c r="P4483" s="5" t="str">
        <f t="shared" si="102"/>
        <v/>
      </c>
      <c r="Q4483" s="5"/>
      <c r="R4483" s="5"/>
    </row>
    <row r="4484" spans="2:18" x14ac:dyDescent="0.25">
      <c r="B4484" s="19" t="s">
        <v>5932</v>
      </c>
      <c r="C4484" s="16"/>
      <c r="D4484" s="16" t="s">
        <v>29</v>
      </c>
      <c r="E4484" s="16" t="s">
        <v>151</v>
      </c>
      <c r="F4484" s="5" t="s">
        <v>150</v>
      </c>
      <c r="G4484" s="16" t="s">
        <v>35</v>
      </c>
      <c r="H4484" s="16" t="s">
        <v>36</v>
      </c>
      <c r="I4484" s="16"/>
      <c r="J4484" s="16"/>
      <c r="K4484" s="16"/>
      <c r="L4484" s="16"/>
      <c r="M4484" s="16"/>
      <c r="N4484" s="16" t="s">
        <v>2911</v>
      </c>
      <c r="O4484" s="17" t="s">
        <v>38</v>
      </c>
      <c r="P4484" s="5" t="str">
        <f t="shared" si="102"/>
        <v>Truncate table SCH005;</v>
      </c>
      <c r="Q4484" s="5"/>
      <c r="R4484" s="5"/>
    </row>
    <row r="4485" spans="2:18" x14ac:dyDescent="0.25">
      <c r="B4485" s="19" t="s">
        <v>5933</v>
      </c>
      <c r="C4485" s="16" t="s">
        <v>5934</v>
      </c>
      <c r="D4485" s="16" t="s">
        <v>29</v>
      </c>
      <c r="E4485" s="16" t="s">
        <v>151</v>
      </c>
      <c r="F4485" s="5" t="s">
        <v>150</v>
      </c>
      <c r="G4485" s="16" t="s">
        <v>35</v>
      </c>
      <c r="H4485" s="16" t="s">
        <v>36</v>
      </c>
      <c r="I4485" s="16"/>
      <c r="J4485" s="16"/>
      <c r="K4485" s="16"/>
      <c r="L4485" s="16"/>
      <c r="M4485" s="16"/>
      <c r="N4485" s="16" t="s">
        <v>2911</v>
      </c>
      <c r="O4485" s="17" t="s">
        <v>38</v>
      </c>
      <c r="P4485" s="5" t="str">
        <f t="shared" si="102"/>
        <v>Truncate table SCH006;</v>
      </c>
      <c r="Q4485" s="5"/>
      <c r="R4485" s="5"/>
    </row>
    <row r="4486" spans="2:18" x14ac:dyDescent="0.25">
      <c r="B4486" s="19" t="s">
        <v>5935</v>
      </c>
      <c r="C4486" s="16" t="s">
        <v>5936</v>
      </c>
      <c r="D4486" s="16" t="s">
        <v>29</v>
      </c>
      <c r="E4486" s="16" t="s">
        <v>151</v>
      </c>
      <c r="F4486" s="5" t="s">
        <v>150</v>
      </c>
      <c r="G4486" s="16" t="s">
        <v>35</v>
      </c>
      <c r="H4486" s="16" t="s">
        <v>36</v>
      </c>
      <c r="I4486" s="16"/>
      <c r="J4486" s="16"/>
      <c r="K4486" s="16"/>
      <c r="L4486" s="16"/>
      <c r="M4486" s="16"/>
      <c r="N4486" s="16" t="s">
        <v>2911</v>
      </c>
      <c r="O4486" s="17" t="s">
        <v>38</v>
      </c>
      <c r="P4486" s="5" t="str">
        <f t="shared" si="102"/>
        <v>Truncate table SCH007;</v>
      </c>
      <c r="Q4486" s="5"/>
      <c r="R4486" s="5"/>
    </row>
    <row r="4487" spans="2:18" x14ac:dyDescent="0.25">
      <c r="B4487" s="19" t="s">
        <v>5937</v>
      </c>
      <c r="C4487" s="16" t="s">
        <v>2911</v>
      </c>
      <c r="D4487" s="16" t="s">
        <v>29</v>
      </c>
      <c r="E4487" s="16" t="s">
        <v>151</v>
      </c>
      <c r="F4487" s="5" t="s">
        <v>150</v>
      </c>
      <c r="G4487" s="16" t="s">
        <v>35</v>
      </c>
      <c r="H4487" s="16" t="s">
        <v>36</v>
      </c>
      <c r="I4487" s="16"/>
      <c r="J4487" s="16"/>
      <c r="K4487" s="16"/>
      <c r="L4487" s="16"/>
      <c r="M4487" s="16"/>
      <c r="N4487" s="16" t="s">
        <v>2911</v>
      </c>
      <c r="O4487" s="17" t="s">
        <v>38</v>
      </c>
      <c r="P4487" s="5" t="str">
        <f t="shared" si="102"/>
        <v>Truncate table SCH013;</v>
      </c>
      <c r="Q4487" s="5"/>
      <c r="R4487" s="5"/>
    </row>
    <row r="4488" spans="2:18" x14ac:dyDescent="0.25">
      <c r="B4488" s="19" t="s">
        <v>5938</v>
      </c>
      <c r="C4488" s="16"/>
      <c r="D4488" s="16" t="s">
        <v>8152</v>
      </c>
      <c r="E4488" s="16" t="s">
        <v>151</v>
      </c>
      <c r="F4488" s="5" t="s">
        <v>150</v>
      </c>
      <c r="G4488" s="16" t="s">
        <v>35</v>
      </c>
      <c r="H4488" s="16" t="s">
        <v>36</v>
      </c>
      <c r="I4488" s="16"/>
      <c r="J4488" s="16"/>
      <c r="K4488" s="16"/>
      <c r="L4488" s="16"/>
      <c r="M4488" s="229"/>
      <c r="N4488" s="16" t="s">
        <v>2911</v>
      </c>
      <c r="O4488" s="17" t="s">
        <v>38</v>
      </c>
      <c r="P4488" s="5" t="str">
        <f t="shared" si="102"/>
        <v/>
      </c>
      <c r="Q4488" s="5"/>
      <c r="R4488" s="5"/>
    </row>
    <row r="4489" spans="2:18" x14ac:dyDescent="0.25">
      <c r="B4489" s="19" t="s">
        <v>5939</v>
      </c>
      <c r="C4489" s="16"/>
      <c r="D4489" s="16" t="s">
        <v>29</v>
      </c>
      <c r="E4489" s="16" t="s">
        <v>151</v>
      </c>
      <c r="F4489" s="5" t="s">
        <v>150</v>
      </c>
      <c r="G4489" s="16" t="s">
        <v>35</v>
      </c>
      <c r="H4489" s="16" t="s">
        <v>36</v>
      </c>
      <c r="I4489" s="16"/>
      <c r="J4489" s="16"/>
      <c r="K4489" s="16"/>
      <c r="L4489" s="16"/>
      <c r="M4489" s="16"/>
      <c r="N4489" s="16" t="s">
        <v>2911</v>
      </c>
      <c r="O4489" s="17" t="s">
        <v>38</v>
      </c>
      <c r="P4489" s="5" t="str">
        <f t="shared" si="102"/>
        <v>Truncate table SCH500;</v>
      </c>
      <c r="Q4489" s="5"/>
      <c r="R4489" s="5"/>
    </row>
    <row r="4490" spans="2:18" x14ac:dyDescent="0.25">
      <c r="B4490" s="19" t="s">
        <v>5940</v>
      </c>
      <c r="C4490" s="16" t="s">
        <v>5941</v>
      </c>
      <c r="D4490" s="16" t="s">
        <v>29</v>
      </c>
      <c r="E4490" s="16" t="s">
        <v>54</v>
      </c>
      <c r="F4490" s="5" t="s">
        <v>74</v>
      </c>
      <c r="G4490" s="16" t="s">
        <v>28</v>
      </c>
      <c r="H4490" s="16" t="s">
        <v>36</v>
      </c>
      <c r="I4490" s="16"/>
      <c r="J4490" s="16"/>
      <c r="K4490" s="16"/>
      <c r="L4490" s="16"/>
      <c r="M4490" s="16"/>
      <c r="N4490" s="16"/>
      <c r="O4490" s="17" t="s">
        <v>38</v>
      </c>
      <c r="P4490" s="5"/>
      <c r="Q4490" s="5"/>
      <c r="R4490" s="5" t="s">
        <v>387</v>
      </c>
    </row>
    <row r="4491" spans="2:18" x14ac:dyDescent="0.25">
      <c r="B4491" s="19" t="s">
        <v>5942</v>
      </c>
      <c r="C4491" s="16" t="s">
        <v>5943</v>
      </c>
      <c r="D4491" s="16" t="s">
        <v>8152</v>
      </c>
      <c r="E4491" s="16" t="s">
        <v>54</v>
      </c>
      <c r="F4491" s="5" t="s">
        <v>74</v>
      </c>
      <c r="G4491" s="16" t="s">
        <v>28</v>
      </c>
      <c r="H4491" s="16" t="s">
        <v>36</v>
      </c>
      <c r="I4491" s="16"/>
      <c r="J4491" s="16"/>
      <c r="K4491" s="16"/>
      <c r="L4491" s="16"/>
      <c r="M4491" s="229"/>
      <c r="N4491" s="16"/>
      <c r="O4491" s="17" t="s">
        <v>38</v>
      </c>
      <c r="P4491" s="5" t="str">
        <f>IF(D4491="Datos","Truncate table "&amp; B4491&amp; ";","")</f>
        <v/>
      </c>
      <c r="Q4491" s="5"/>
      <c r="R4491" s="5" t="s">
        <v>387</v>
      </c>
    </row>
    <row r="4492" spans="2:18" x14ac:dyDescent="0.25">
      <c r="B4492" s="19" t="s">
        <v>5944</v>
      </c>
      <c r="C4492" s="16" t="s">
        <v>5945</v>
      </c>
      <c r="D4492" s="16" t="s">
        <v>8152</v>
      </c>
      <c r="E4492" s="16" t="s">
        <v>54</v>
      </c>
      <c r="F4492" s="5" t="s">
        <v>74</v>
      </c>
      <c r="G4492" s="16" t="s">
        <v>28</v>
      </c>
      <c r="H4492" s="16" t="s">
        <v>36</v>
      </c>
      <c r="I4492" s="16"/>
      <c r="J4492" s="16"/>
      <c r="K4492" s="16"/>
      <c r="L4492" s="16"/>
      <c r="M4492" s="229"/>
      <c r="N4492" s="16"/>
      <c r="O4492" s="17" t="s">
        <v>38</v>
      </c>
      <c r="P4492" s="5" t="str">
        <f>IF(D4492="Datos","Truncate table "&amp; B4492&amp; ";","")</f>
        <v/>
      </c>
      <c r="Q4492" s="5"/>
      <c r="R4492" s="5" t="s">
        <v>387</v>
      </c>
    </row>
    <row r="4493" spans="2:18" x14ac:dyDescent="0.25">
      <c r="B4493" s="19" t="s">
        <v>5946</v>
      </c>
      <c r="C4493" s="16" t="s">
        <v>5947</v>
      </c>
      <c r="D4493" s="16" t="s">
        <v>29</v>
      </c>
      <c r="E4493" s="16" t="s">
        <v>54</v>
      </c>
      <c r="F4493" s="5" t="s">
        <v>74</v>
      </c>
      <c r="G4493" s="16" t="s">
        <v>28</v>
      </c>
      <c r="H4493" s="16" t="s">
        <v>36</v>
      </c>
      <c r="I4493" s="16"/>
      <c r="J4493" s="16"/>
      <c r="K4493" s="16"/>
      <c r="L4493" s="16"/>
      <c r="M4493" s="16"/>
      <c r="N4493" s="16"/>
      <c r="O4493" s="17" t="s">
        <v>38</v>
      </c>
      <c r="P4493" s="5"/>
      <c r="Q4493" s="5"/>
      <c r="R4493" s="5" t="s">
        <v>387</v>
      </c>
    </row>
    <row r="4494" spans="2:18" x14ac:dyDescent="0.25">
      <c r="B4494" s="19" t="s">
        <v>5948</v>
      </c>
      <c r="C4494" s="16" t="s">
        <v>5949</v>
      </c>
      <c r="D4494" s="16" t="s">
        <v>8152</v>
      </c>
      <c r="E4494" s="16" t="s">
        <v>54</v>
      </c>
      <c r="F4494" s="5" t="s">
        <v>74</v>
      </c>
      <c r="G4494" s="16" t="s">
        <v>28</v>
      </c>
      <c r="H4494" s="16" t="s">
        <v>36</v>
      </c>
      <c r="I4494" s="16"/>
      <c r="J4494" s="16"/>
      <c r="K4494" s="16"/>
      <c r="L4494" s="16"/>
      <c r="M4494" s="229"/>
      <c r="N4494" s="16"/>
      <c r="O4494" s="17" t="s">
        <v>38</v>
      </c>
      <c r="P4494" s="5" t="str">
        <f t="shared" ref="P4494:P4525" si="103">IF(D4494="Datos","Truncate table "&amp; B4494&amp; ";","")</f>
        <v/>
      </c>
      <c r="Q4494" s="5"/>
      <c r="R4494" s="5" t="s">
        <v>387</v>
      </c>
    </row>
    <row r="4495" spans="2:18" x14ac:dyDescent="0.25">
      <c r="B4495" s="19" t="s">
        <v>5950</v>
      </c>
      <c r="C4495" s="16" t="s">
        <v>5951</v>
      </c>
      <c r="D4495" s="16" t="s">
        <v>8152</v>
      </c>
      <c r="E4495" s="16" t="s">
        <v>54</v>
      </c>
      <c r="F4495" s="5" t="s">
        <v>74</v>
      </c>
      <c r="G4495" s="16" t="s">
        <v>28</v>
      </c>
      <c r="H4495" s="16" t="s">
        <v>36</v>
      </c>
      <c r="I4495" s="16"/>
      <c r="J4495" s="16"/>
      <c r="K4495" s="16"/>
      <c r="L4495" s="16"/>
      <c r="M4495" s="229"/>
      <c r="N4495" s="16"/>
      <c r="O4495" s="17" t="s">
        <v>38</v>
      </c>
      <c r="P4495" s="5" t="str">
        <f t="shared" si="103"/>
        <v/>
      </c>
      <c r="Q4495" s="5"/>
      <c r="R4495" s="5" t="s">
        <v>387</v>
      </c>
    </row>
    <row r="4496" spans="2:18" x14ac:dyDescent="0.25">
      <c r="B4496" s="19" t="s">
        <v>5952</v>
      </c>
      <c r="C4496" s="16" t="s">
        <v>174</v>
      </c>
      <c r="D4496" s="16" t="s">
        <v>8152</v>
      </c>
      <c r="E4496" s="16" t="s">
        <v>54</v>
      </c>
      <c r="F4496" s="5" t="s">
        <v>74</v>
      </c>
      <c r="G4496" s="16" t="s">
        <v>28</v>
      </c>
      <c r="H4496" s="16" t="s">
        <v>36</v>
      </c>
      <c r="I4496" s="16"/>
      <c r="J4496" s="16"/>
      <c r="K4496" s="16"/>
      <c r="L4496" s="16"/>
      <c r="M4496" s="229"/>
      <c r="N4496" s="16"/>
      <c r="O4496" s="17" t="s">
        <v>38</v>
      </c>
      <c r="P4496" s="5" t="str">
        <f t="shared" si="103"/>
        <v/>
      </c>
      <c r="Q4496" s="5"/>
      <c r="R4496" s="5" t="s">
        <v>387</v>
      </c>
    </row>
    <row r="4497" spans="2:18" x14ac:dyDescent="0.25">
      <c r="B4497" s="19" t="s">
        <v>5953</v>
      </c>
      <c r="C4497" s="16" t="s">
        <v>5954</v>
      </c>
      <c r="D4497" s="16" t="s">
        <v>8152</v>
      </c>
      <c r="E4497" s="16" t="s">
        <v>54</v>
      </c>
      <c r="F4497" s="5" t="s">
        <v>74</v>
      </c>
      <c r="G4497" s="16" t="s">
        <v>28</v>
      </c>
      <c r="H4497" s="16" t="s">
        <v>36</v>
      </c>
      <c r="I4497" s="16"/>
      <c r="J4497" s="16"/>
      <c r="K4497" s="16"/>
      <c r="L4497" s="16"/>
      <c r="M4497" s="229"/>
      <c r="N4497" s="16"/>
      <c r="O4497" s="17" t="s">
        <v>38</v>
      </c>
      <c r="P4497" s="5" t="str">
        <f t="shared" si="103"/>
        <v/>
      </c>
      <c r="Q4497" s="5"/>
      <c r="R4497" s="5" t="s">
        <v>387</v>
      </c>
    </row>
    <row r="4498" spans="2:18" x14ac:dyDescent="0.25">
      <c r="B4498" s="19" t="s">
        <v>5955</v>
      </c>
      <c r="C4498" s="16" t="s">
        <v>5956</v>
      </c>
      <c r="D4498" s="16" t="s">
        <v>8152</v>
      </c>
      <c r="E4498" s="16" t="s">
        <v>54</v>
      </c>
      <c r="F4498" s="5" t="s">
        <v>74</v>
      </c>
      <c r="G4498" s="16" t="s">
        <v>28</v>
      </c>
      <c r="H4498" s="16" t="s">
        <v>36</v>
      </c>
      <c r="I4498" s="16"/>
      <c r="J4498" s="16"/>
      <c r="K4498" s="16"/>
      <c r="L4498" s="16"/>
      <c r="M4498" s="229"/>
      <c r="N4498" s="16"/>
      <c r="O4498" s="17" t="s">
        <v>38</v>
      </c>
      <c r="P4498" s="5" t="str">
        <f t="shared" si="103"/>
        <v/>
      </c>
      <c r="Q4498" s="5"/>
      <c r="R4498" s="5" t="s">
        <v>387</v>
      </c>
    </row>
    <row r="4499" spans="2:18" x14ac:dyDescent="0.25">
      <c r="B4499" s="19" t="s">
        <v>5957</v>
      </c>
      <c r="C4499" s="16" t="s">
        <v>5958</v>
      </c>
      <c r="D4499" s="16" t="s">
        <v>8152</v>
      </c>
      <c r="E4499" s="16" t="s">
        <v>54</v>
      </c>
      <c r="F4499" s="5" t="s">
        <v>74</v>
      </c>
      <c r="G4499" s="16" t="s">
        <v>28</v>
      </c>
      <c r="H4499" s="16" t="s">
        <v>36</v>
      </c>
      <c r="I4499" s="16"/>
      <c r="J4499" s="16"/>
      <c r="K4499" s="16"/>
      <c r="L4499" s="16"/>
      <c r="M4499" s="229"/>
      <c r="N4499" s="16"/>
      <c r="O4499" s="17" t="s">
        <v>38</v>
      </c>
      <c r="P4499" s="5" t="str">
        <f t="shared" si="103"/>
        <v/>
      </c>
      <c r="Q4499" s="5"/>
      <c r="R4499" s="5" t="s">
        <v>387</v>
      </c>
    </row>
    <row r="4500" spans="2:18" x14ac:dyDescent="0.25">
      <c r="B4500" s="19" t="s">
        <v>5959</v>
      </c>
      <c r="C4500" s="16"/>
      <c r="D4500" s="16" t="s">
        <v>29</v>
      </c>
      <c r="E4500" s="16"/>
      <c r="F4500" s="5"/>
      <c r="G4500" s="16" t="s">
        <v>35</v>
      </c>
      <c r="H4500" s="16"/>
      <c r="I4500" s="16"/>
      <c r="J4500" s="16"/>
      <c r="K4500" s="16"/>
      <c r="L4500" s="16"/>
      <c r="M4500" s="16"/>
      <c r="N4500" s="16"/>
      <c r="O4500" s="17"/>
      <c r="P4500" s="5" t="str">
        <f t="shared" si="103"/>
        <v>Truncate table SCTSRV1;</v>
      </c>
      <c r="Q4500" s="5"/>
      <c r="R4500" s="5"/>
    </row>
    <row r="4501" spans="2:18" x14ac:dyDescent="0.25">
      <c r="B4501" s="19" t="s">
        <v>5960</v>
      </c>
      <c r="C4501" s="16"/>
      <c r="D4501" s="16" t="s">
        <v>29</v>
      </c>
      <c r="E4501" s="16"/>
      <c r="F4501" s="5"/>
      <c r="G4501" s="16" t="s">
        <v>35</v>
      </c>
      <c r="H4501" s="16"/>
      <c r="I4501" s="16"/>
      <c r="J4501" s="16"/>
      <c r="K4501" s="16"/>
      <c r="L4501" s="16"/>
      <c r="M4501" s="16"/>
      <c r="N4501" s="16"/>
      <c r="O4501" s="17"/>
      <c r="P4501" s="5" t="str">
        <f t="shared" si="103"/>
        <v>Truncate table SCTSRV2;</v>
      </c>
      <c r="Q4501" s="5"/>
      <c r="R4501" s="5"/>
    </row>
    <row r="4502" spans="2:18" x14ac:dyDescent="0.25">
      <c r="B4502" s="19" t="s">
        <v>5961</v>
      </c>
      <c r="C4502" s="16"/>
      <c r="D4502" s="16" t="s">
        <v>29</v>
      </c>
      <c r="E4502" s="16"/>
      <c r="F4502" s="5"/>
      <c r="G4502" s="16" t="s">
        <v>35</v>
      </c>
      <c r="H4502" s="16"/>
      <c r="I4502" s="16"/>
      <c r="J4502" s="16"/>
      <c r="K4502" s="16"/>
      <c r="L4502" s="16"/>
      <c r="M4502" s="16"/>
      <c r="N4502" s="16"/>
      <c r="O4502" s="17"/>
      <c r="P4502" s="5" t="str">
        <f t="shared" si="103"/>
        <v>Truncate table SCTSRV3;</v>
      </c>
      <c r="Q4502" s="5"/>
      <c r="R4502" s="5"/>
    </row>
    <row r="4503" spans="2:18" x14ac:dyDescent="0.25">
      <c r="B4503" s="19" t="s">
        <v>5962</v>
      </c>
      <c r="C4503" s="16"/>
      <c r="D4503" s="16" t="s">
        <v>29</v>
      </c>
      <c r="E4503" s="16"/>
      <c r="F4503" s="5"/>
      <c r="G4503" s="16" t="s">
        <v>35</v>
      </c>
      <c r="H4503" s="16"/>
      <c r="I4503" s="16"/>
      <c r="J4503" s="16"/>
      <c r="K4503" s="16"/>
      <c r="L4503" s="16"/>
      <c r="M4503" s="16"/>
      <c r="N4503" s="16"/>
      <c r="O4503" s="17"/>
      <c r="P4503" s="5" t="str">
        <f t="shared" si="103"/>
        <v>Truncate table SCTSRV4;</v>
      </c>
      <c r="Q4503" s="5"/>
      <c r="R4503" s="5"/>
    </row>
    <row r="4504" spans="2:18" x14ac:dyDescent="0.25">
      <c r="B4504" s="19" t="s">
        <v>5963</v>
      </c>
      <c r="C4504" s="16"/>
      <c r="D4504" s="16" t="s">
        <v>29</v>
      </c>
      <c r="E4504" s="16"/>
      <c r="F4504" s="5"/>
      <c r="G4504" s="16" t="s">
        <v>35</v>
      </c>
      <c r="H4504" s="16"/>
      <c r="I4504" s="16"/>
      <c r="J4504" s="16"/>
      <c r="K4504" s="16"/>
      <c r="L4504" s="16"/>
      <c r="M4504" s="16"/>
      <c r="N4504" s="16"/>
      <c r="O4504" s="17"/>
      <c r="P4504" s="5" t="str">
        <f t="shared" si="103"/>
        <v>Truncate table SD4301;</v>
      </c>
      <c r="Q4504" s="5"/>
      <c r="R4504" s="5"/>
    </row>
    <row r="4505" spans="2:18" x14ac:dyDescent="0.25">
      <c r="B4505" s="19" t="s">
        <v>5964</v>
      </c>
      <c r="C4505" s="16"/>
      <c r="D4505" s="16" t="s">
        <v>29</v>
      </c>
      <c r="E4505" s="16"/>
      <c r="F4505" s="5"/>
      <c r="G4505" s="16" t="s">
        <v>35</v>
      </c>
      <c r="H4505" s="16"/>
      <c r="I4505" s="16"/>
      <c r="J4505" s="16"/>
      <c r="K4505" s="16"/>
      <c r="L4505" s="16"/>
      <c r="M4505" s="16"/>
      <c r="N4505" s="16"/>
      <c r="O4505" s="17"/>
      <c r="P4505" s="5" t="str">
        <f t="shared" si="103"/>
        <v>Truncate table SD4302;</v>
      </c>
      <c r="Q4505" s="5"/>
      <c r="R4505" s="5"/>
    </row>
    <row r="4506" spans="2:18" x14ac:dyDescent="0.25">
      <c r="B4506" s="19" t="s">
        <v>5965</v>
      </c>
      <c r="C4506" s="16"/>
      <c r="D4506" s="16" t="s">
        <v>29</v>
      </c>
      <c r="E4506" s="16"/>
      <c r="F4506" s="5"/>
      <c r="G4506" s="16" t="s">
        <v>35</v>
      </c>
      <c r="H4506" s="16"/>
      <c r="I4506" s="16"/>
      <c r="J4506" s="16"/>
      <c r="K4506" s="16"/>
      <c r="L4506" s="16"/>
      <c r="M4506" s="16"/>
      <c r="N4506" s="16"/>
      <c r="O4506" s="17"/>
      <c r="P4506" s="5" t="str">
        <f t="shared" si="103"/>
        <v>Truncate table SD4303;</v>
      </c>
      <c r="Q4506" s="5"/>
      <c r="R4506" s="5"/>
    </row>
    <row r="4507" spans="2:18" x14ac:dyDescent="0.25">
      <c r="B4507" s="19" t="s">
        <v>5966</v>
      </c>
      <c r="C4507" s="16"/>
      <c r="D4507" s="16" t="s">
        <v>29</v>
      </c>
      <c r="E4507" s="16"/>
      <c r="F4507" s="5"/>
      <c r="G4507" s="16" t="s">
        <v>35</v>
      </c>
      <c r="H4507" s="16"/>
      <c r="I4507" s="16"/>
      <c r="J4507" s="16"/>
      <c r="K4507" s="16"/>
      <c r="L4507" s="16"/>
      <c r="M4507" s="16"/>
      <c r="N4507" s="16"/>
      <c r="O4507" s="17"/>
      <c r="P4507" s="5" t="str">
        <f t="shared" si="103"/>
        <v>Truncate table SD4305;</v>
      </c>
      <c r="Q4507" s="5"/>
      <c r="R4507" s="5"/>
    </row>
    <row r="4508" spans="2:18" x14ac:dyDescent="0.25">
      <c r="B4508" s="19" t="s">
        <v>5967</v>
      </c>
      <c r="C4508" s="16"/>
      <c r="D4508" s="16" t="s">
        <v>29</v>
      </c>
      <c r="E4508" s="16"/>
      <c r="F4508" s="5"/>
      <c r="G4508" s="16" t="s">
        <v>35</v>
      </c>
      <c r="H4508" s="16"/>
      <c r="I4508" s="16"/>
      <c r="J4508" s="16"/>
      <c r="K4508" s="16"/>
      <c r="L4508" s="16"/>
      <c r="M4508" s="16"/>
      <c r="N4508" s="16"/>
      <c r="O4508" s="17"/>
      <c r="P4508" s="5" t="str">
        <f t="shared" si="103"/>
        <v>Truncate table SD4306;</v>
      </c>
      <c r="Q4508" s="5"/>
      <c r="R4508" s="5"/>
    </row>
    <row r="4509" spans="2:18" x14ac:dyDescent="0.25">
      <c r="B4509" s="19" t="s">
        <v>5968</v>
      </c>
      <c r="C4509" s="16"/>
      <c r="D4509" s="16" t="s">
        <v>29</v>
      </c>
      <c r="E4509" s="16"/>
      <c r="F4509" s="5"/>
      <c r="G4509" s="16" t="s">
        <v>35</v>
      </c>
      <c r="H4509" s="16"/>
      <c r="I4509" s="16"/>
      <c r="J4509" s="16"/>
      <c r="K4509" s="16"/>
      <c r="L4509" s="16"/>
      <c r="M4509" s="16"/>
      <c r="N4509" s="16"/>
      <c r="O4509" s="17"/>
      <c r="P4509" s="5" t="str">
        <f t="shared" si="103"/>
        <v>Truncate table SD4307;</v>
      </c>
      <c r="Q4509" s="5"/>
      <c r="R4509" s="5"/>
    </row>
    <row r="4510" spans="2:18" x14ac:dyDescent="0.25">
      <c r="B4510" s="19" t="s">
        <v>5969</v>
      </c>
      <c r="C4510" s="16"/>
      <c r="D4510" s="16" t="s">
        <v>29</v>
      </c>
      <c r="E4510" s="16"/>
      <c r="F4510" s="5"/>
      <c r="G4510" s="16" t="s">
        <v>35</v>
      </c>
      <c r="H4510" s="16"/>
      <c r="I4510" s="16"/>
      <c r="J4510" s="16"/>
      <c r="K4510" s="16"/>
      <c r="L4510" s="16"/>
      <c r="M4510" s="16"/>
      <c r="N4510" s="16"/>
      <c r="O4510" s="17"/>
      <c r="P4510" s="5" t="str">
        <f t="shared" si="103"/>
        <v>Truncate table SD4308;</v>
      </c>
      <c r="Q4510" s="5"/>
      <c r="R4510" s="5"/>
    </row>
    <row r="4511" spans="2:18" x14ac:dyDescent="0.25">
      <c r="B4511" s="19" t="s">
        <v>5970</v>
      </c>
      <c r="C4511" s="16"/>
      <c r="D4511" s="16" t="s">
        <v>29</v>
      </c>
      <c r="E4511" s="16"/>
      <c r="F4511" s="5"/>
      <c r="G4511" s="16" t="s">
        <v>35</v>
      </c>
      <c r="H4511" s="16"/>
      <c r="I4511" s="16"/>
      <c r="J4511" s="16"/>
      <c r="K4511" s="16"/>
      <c r="L4511" s="16"/>
      <c r="M4511" s="16"/>
      <c r="N4511" s="16"/>
      <c r="O4511" s="17"/>
      <c r="P4511" s="5" t="str">
        <f t="shared" si="103"/>
        <v>Truncate table SD4310;</v>
      </c>
      <c r="Q4511" s="5"/>
      <c r="R4511" s="5"/>
    </row>
    <row r="4512" spans="2:18" x14ac:dyDescent="0.25">
      <c r="B4512" s="19" t="s">
        <v>5971</v>
      </c>
      <c r="C4512" s="16"/>
      <c r="D4512" s="16" t="s">
        <v>29</v>
      </c>
      <c r="E4512" s="16"/>
      <c r="F4512" s="5"/>
      <c r="G4512" s="16" t="s">
        <v>35</v>
      </c>
      <c r="H4512" s="16"/>
      <c r="I4512" s="16"/>
      <c r="J4512" s="16"/>
      <c r="K4512" s="16"/>
      <c r="L4512" s="16"/>
      <c r="M4512" s="16"/>
      <c r="N4512" s="16"/>
      <c r="O4512" s="17"/>
      <c r="P4512" s="5" t="str">
        <f t="shared" si="103"/>
        <v>Truncate table SD4316;</v>
      </c>
      <c r="Q4512" s="5"/>
      <c r="R4512" s="5"/>
    </row>
    <row r="4513" spans="2:18" x14ac:dyDescent="0.25">
      <c r="B4513" s="19" t="s">
        <v>5972</v>
      </c>
      <c r="C4513" s="16"/>
      <c r="D4513" s="16" t="s">
        <v>29</v>
      </c>
      <c r="E4513" s="16"/>
      <c r="F4513" s="5"/>
      <c r="G4513" s="16" t="s">
        <v>35</v>
      </c>
      <c r="H4513" s="16"/>
      <c r="I4513" s="16"/>
      <c r="J4513" s="16"/>
      <c r="K4513" s="16"/>
      <c r="L4513" s="16"/>
      <c r="M4513" s="16"/>
      <c r="N4513" s="16"/>
      <c r="O4513" s="17"/>
      <c r="P4513" s="5" t="str">
        <f t="shared" si="103"/>
        <v>Truncate table SD4320;</v>
      </c>
      <c r="Q4513" s="5"/>
      <c r="R4513" s="5"/>
    </row>
    <row r="4514" spans="2:18" x14ac:dyDescent="0.25">
      <c r="B4514" s="19" t="s">
        <v>5973</v>
      </c>
      <c r="C4514" s="16"/>
      <c r="D4514" s="16" t="s">
        <v>29</v>
      </c>
      <c r="E4514" s="16"/>
      <c r="F4514" s="5"/>
      <c r="G4514" s="16" t="s">
        <v>35</v>
      </c>
      <c r="H4514" s="16"/>
      <c r="I4514" s="16"/>
      <c r="J4514" s="16"/>
      <c r="K4514" s="16"/>
      <c r="L4514" s="16"/>
      <c r="M4514" s="16"/>
      <c r="N4514" s="16"/>
      <c r="O4514" s="17"/>
      <c r="P4514" s="5" t="str">
        <f t="shared" si="103"/>
        <v>Truncate table SD4321;</v>
      </c>
      <c r="Q4514" s="5"/>
      <c r="R4514" s="5"/>
    </row>
    <row r="4515" spans="2:18" x14ac:dyDescent="0.25">
      <c r="B4515" s="19" t="s">
        <v>5974</v>
      </c>
      <c r="C4515" s="16"/>
      <c r="D4515" s="16" t="s">
        <v>29</v>
      </c>
      <c r="E4515" s="16"/>
      <c r="F4515" s="5"/>
      <c r="G4515" s="16" t="s">
        <v>35</v>
      </c>
      <c r="H4515" s="16"/>
      <c r="I4515" s="16"/>
      <c r="J4515" s="16"/>
      <c r="K4515" s="16"/>
      <c r="L4515" s="16"/>
      <c r="M4515" s="16"/>
      <c r="N4515" s="16"/>
      <c r="O4515" s="17"/>
      <c r="P4515" s="5" t="str">
        <f t="shared" si="103"/>
        <v>Truncate table SD4330;</v>
      </c>
      <c r="Q4515" s="5"/>
      <c r="R4515" s="5"/>
    </row>
    <row r="4516" spans="2:18" x14ac:dyDescent="0.25">
      <c r="B4516" s="19" t="s">
        <v>5975</v>
      </c>
      <c r="C4516" s="16"/>
      <c r="D4516" s="16" t="s">
        <v>29</v>
      </c>
      <c r="E4516" s="16"/>
      <c r="F4516" s="5"/>
      <c r="G4516" s="16" t="s">
        <v>35</v>
      </c>
      <c r="H4516" s="16"/>
      <c r="I4516" s="16"/>
      <c r="J4516" s="16"/>
      <c r="K4516" s="16"/>
      <c r="L4516" s="16"/>
      <c r="M4516" s="16"/>
      <c r="N4516" s="16"/>
      <c r="O4516" s="17"/>
      <c r="P4516" s="5" t="str">
        <f t="shared" si="103"/>
        <v>Truncate table SD4340;</v>
      </c>
      <c r="Q4516" s="5"/>
      <c r="R4516" s="5"/>
    </row>
    <row r="4517" spans="2:18" x14ac:dyDescent="0.25">
      <c r="B4517" s="19" t="s">
        <v>5976</v>
      </c>
      <c r="C4517" s="16"/>
      <c r="D4517" s="16" t="s">
        <v>29</v>
      </c>
      <c r="E4517" s="16"/>
      <c r="F4517" s="5"/>
      <c r="G4517" s="16" t="s">
        <v>35</v>
      </c>
      <c r="H4517" s="16"/>
      <c r="I4517" s="16"/>
      <c r="J4517" s="16"/>
      <c r="K4517" s="16"/>
      <c r="L4517" s="16"/>
      <c r="M4517" s="16"/>
      <c r="N4517" s="16"/>
      <c r="O4517" s="17"/>
      <c r="P4517" s="5" t="str">
        <f t="shared" si="103"/>
        <v>Truncate table SD4350;</v>
      </c>
      <c r="Q4517" s="5"/>
      <c r="R4517" s="5"/>
    </row>
    <row r="4518" spans="2:18" x14ac:dyDescent="0.25">
      <c r="B4518" s="19" t="s">
        <v>5977</v>
      </c>
      <c r="C4518" s="16"/>
      <c r="D4518" s="16" t="s">
        <v>29</v>
      </c>
      <c r="E4518" s="16"/>
      <c r="F4518" s="5"/>
      <c r="G4518" s="16" t="s">
        <v>35</v>
      </c>
      <c r="H4518" s="16"/>
      <c r="I4518" s="16"/>
      <c r="J4518" s="16"/>
      <c r="K4518" s="16"/>
      <c r="L4518" s="16"/>
      <c r="M4518" s="16"/>
      <c r="N4518" s="16"/>
      <c r="O4518" s="17"/>
      <c r="P4518" s="5" t="str">
        <f t="shared" si="103"/>
        <v>Truncate table SD4355;</v>
      </c>
      <c r="Q4518" s="5"/>
      <c r="R4518" s="5"/>
    </row>
    <row r="4519" spans="2:18" x14ac:dyDescent="0.25">
      <c r="B4519" s="19" t="s">
        <v>5978</v>
      </c>
      <c r="C4519" s="16"/>
      <c r="D4519" s="16" t="s">
        <v>29</v>
      </c>
      <c r="E4519" s="16"/>
      <c r="F4519" s="5"/>
      <c r="G4519" s="16" t="s">
        <v>35</v>
      </c>
      <c r="H4519" s="16"/>
      <c r="I4519" s="16"/>
      <c r="J4519" s="16"/>
      <c r="K4519" s="16"/>
      <c r="L4519" s="16"/>
      <c r="M4519" s="16"/>
      <c r="N4519" s="16"/>
      <c r="O4519" s="17"/>
      <c r="P4519" s="5" t="str">
        <f t="shared" si="103"/>
        <v>Truncate table SD4360;</v>
      </c>
      <c r="Q4519" s="5"/>
      <c r="R4519" s="5"/>
    </row>
    <row r="4520" spans="2:18" x14ac:dyDescent="0.25">
      <c r="B4520" s="19" t="s">
        <v>5979</v>
      </c>
      <c r="C4520" s="16"/>
      <c r="D4520" s="16" t="s">
        <v>29</v>
      </c>
      <c r="E4520" s="16"/>
      <c r="F4520" s="5"/>
      <c r="G4520" s="16" t="s">
        <v>35</v>
      </c>
      <c r="H4520" s="16"/>
      <c r="I4520" s="16"/>
      <c r="J4520" s="16"/>
      <c r="K4520" s="16"/>
      <c r="L4520" s="16"/>
      <c r="M4520" s="16"/>
      <c r="N4520" s="16"/>
      <c r="O4520" s="17"/>
      <c r="P4520" s="5" t="str">
        <f t="shared" si="103"/>
        <v>Truncate table SD4365;</v>
      </c>
      <c r="Q4520" s="5"/>
      <c r="R4520" s="5"/>
    </row>
    <row r="4521" spans="2:18" x14ac:dyDescent="0.25">
      <c r="B4521" s="19" t="s">
        <v>5980</v>
      </c>
      <c r="C4521" s="16"/>
      <c r="D4521" s="16" t="s">
        <v>29</v>
      </c>
      <c r="E4521" s="16"/>
      <c r="F4521" s="5"/>
      <c r="G4521" s="16" t="s">
        <v>35</v>
      </c>
      <c r="H4521" s="16"/>
      <c r="I4521" s="16"/>
      <c r="J4521" s="16"/>
      <c r="K4521" s="16"/>
      <c r="L4521" s="16"/>
      <c r="M4521" s="16"/>
      <c r="N4521" s="16"/>
      <c r="O4521" s="17"/>
      <c r="P4521" s="5" t="str">
        <f t="shared" si="103"/>
        <v>Truncate table SD4380;</v>
      </c>
      <c r="Q4521" s="5"/>
      <c r="R4521" s="5"/>
    </row>
    <row r="4522" spans="2:18" x14ac:dyDescent="0.25">
      <c r="B4522" s="19" t="s">
        <v>5981</v>
      </c>
      <c r="C4522" s="16"/>
      <c r="D4522" s="16" t="s">
        <v>29</v>
      </c>
      <c r="E4522" s="16"/>
      <c r="F4522" s="5"/>
      <c r="G4522" s="16" t="s">
        <v>35</v>
      </c>
      <c r="H4522" s="16"/>
      <c r="I4522" s="16"/>
      <c r="J4522" s="16"/>
      <c r="K4522" s="16"/>
      <c r="L4522" s="16"/>
      <c r="M4522" s="16"/>
      <c r="N4522" s="16"/>
      <c r="O4522" s="17"/>
      <c r="P4522" s="5" t="str">
        <f t="shared" si="103"/>
        <v>Truncate table SD4385;</v>
      </c>
      <c r="Q4522" s="5"/>
      <c r="R4522" s="5"/>
    </row>
    <row r="4523" spans="2:18" x14ac:dyDescent="0.25">
      <c r="B4523" s="19" t="s">
        <v>5982</v>
      </c>
      <c r="C4523" s="16"/>
      <c r="D4523" s="16" t="s">
        <v>29</v>
      </c>
      <c r="E4523" s="16"/>
      <c r="F4523" s="5"/>
      <c r="G4523" s="16" t="s">
        <v>35</v>
      </c>
      <c r="H4523" s="16"/>
      <c r="I4523" s="16"/>
      <c r="J4523" s="16"/>
      <c r="K4523" s="16"/>
      <c r="L4523" s="16"/>
      <c r="M4523" s="16"/>
      <c r="N4523" s="16"/>
      <c r="O4523" s="17"/>
      <c r="P4523" s="5" t="str">
        <f t="shared" si="103"/>
        <v>Truncate table SDN001;</v>
      </c>
      <c r="Q4523" s="5"/>
      <c r="R4523" s="5"/>
    </row>
    <row r="4524" spans="2:18" x14ac:dyDescent="0.25">
      <c r="B4524" s="19" t="s">
        <v>5983</v>
      </c>
      <c r="C4524" s="16"/>
      <c r="D4524" s="16" t="s">
        <v>29</v>
      </c>
      <c r="E4524" s="16"/>
      <c r="F4524" s="5"/>
      <c r="G4524" s="16" t="s">
        <v>35</v>
      </c>
      <c r="H4524" s="16"/>
      <c r="I4524" s="16"/>
      <c r="J4524" s="16"/>
      <c r="K4524" s="16"/>
      <c r="L4524" s="16"/>
      <c r="M4524" s="16"/>
      <c r="N4524" s="16"/>
      <c r="O4524" s="17"/>
      <c r="P4524" s="5" t="str">
        <f t="shared" si="103"/>
        <v>Truncate table SDN002;</v>
      </c>
      <c r="Q4524" s="5"/>
      <c r="R4524" s="5"/>
    </row>
    <row r="4525" spans="2:18" x14ac:dyDescent="0.25">
      <c r="B4525" s="19" t="s">
        <v>5984</v>
      </c>
      <c r="C4525" s="16"/>
      <c r="D4525" s="16" t="s">
        <v>29</v>
      </c>
      <c r="E4525" s="16"/>
      <c r="F4525" s="5"/>
      <c r="G4525" s="16" t="s">
        <v>35</v>
      </c>
      <c r="H4525" s="16"/>
      <c r="I4525" s="16"/>
      <c r="J4525" s="16"/>
      <c r="K4525" s="16"/>
      <c r="L4525" s="16"/>
      <c r="M4525" s="16"/>
      <c r="N4525" s="16"/>
      <c r="O4525" s="17"/>
      <c r="P4525" s="5" t="str">
        <f t="shared" si="103"/>
        <v>Truncate table SDN003;</v>
      </c>
      <c r="Q4525" s="5"/>
      <c r="R4525" s="5"/>
    </row>
    <row r="4526" spans="2:18" x14ac:dyDescent="0.25">
      <c r="B4526" s="19" t="s">
        <v>5985</v>
      </c>
      <c r="C4526" s="16" t="s">
        <v>5986</v>
      </c>
      <c r="D4526" s="16" t="s">
        <v>29</v>
      </c>
      <c r="E4526" s="16" t="s">
        <v>54</v>
      </c>
      <c r="F4526" s="5" t="s">
        <v>74</v>
      </c>
      <c r="G4526" s="16" t="s">
        <v>35</v>
      </c>
      <c r="H4526" s="16"/>
      <c r="I4526" s="16"/>
      <c r="J4526" s="16"/>
      <c r="K4526" s="16"/>
      <c r="L4526" s="16"/>
      <c r="M4526" s="16"/>
      <c r="N4526" s="16"/>
      <c r="O4526" s="17" t="s">
        <v>38</v>
      </c>
      <c r="P4526" s="5" t="str">
        <f t="shared" ref="P4526:P4557" si="104">IF(D4526="Datos","Truncate table "&amp; B4526&amp; ";","")</f>
        <v>Truncate table SEG002;</v>
      </c>
      <c r="Q4526" s="5"/>
      <c r="R4526" s="5"/>
    </row>
    <row r="4527" spans="2:18" x14ac:dyDescent="0.25">
      <c r="B4527" s="19" t="s">
        <v>5987</v>
      </c>
      <c r="C4527" s="16"/>
      <c r="D4527" s="16" t="s">
        <v>29</v>
      </c>
      <c r="E4527" s="16"/>
      <c r="F4527" s="5"/>
      <c r="G4527" s="16" t="s">
        <v>35</v>
      </c>
      <c r="H4527" s="16"/>
      <c r="I4527" s="16"/>
      <c r="J4527" s="16"/>
      <c r="K4527" s="16"/>
      <c r="L4527" s="16"/>
      <c r="M4527" s="16"/>
      <c r="N4527" s="16"/>
      <c r="O4527" s="17"/>
      <c r="P4527" s="5" t="str">
        <f t="shared" si="104"/>
        <v>Truncate table SEG003;</v>
      </c>
      <c r="Q4527" s="5"/>
      <c r="R4527" s="5"/>
    </row>
    <row r="4528" spans="2:18" x14ac:dyDescent="0.25">
      <c r="B4528" s="19" t="s">
        <v>5988</v>
      </c>
      <c r="C4528" s="16"/>
      <c r="D4528" s="16" t="s">
        <v>29</v>
      </c>
      <c r="E4528" s="16"/>
      <c r="F4528" s="5"/>
      <c r="G4528" s="16" t="s">
        <v>35</v>
      </c>
      <c r="H4528" s="16"/>
      <c r="I4528" s="16"/>
      <c r="J4528" s="16"/>
      <c r="K4528" s="16"/>
      <c r="L4528" s="16"/>
      <c r="M4528" s="16"/>
      <c r="N4528" s="16"/>
      <c r="O4528" s="17"/>
      <c r="P4528" s="5" t="str">
        <f t="shared" si="104"/>
        <v>Truncate table SEG004;</v>
      </c>
      <c r="Q4528" s="5"/>
      <c r="R4528" s="5"/>
    </row>
    <row r="4529" spans="2:18" x14ac:dyDescent="0.25">
      <c r="B4529" s="19" t="s">
        <v>5989</v>
      </c>
      <c r="C4529" s="16" t="s">
        <v>5990</v>
      </c>
      <c r="D4529" s="16" t="s">
        <v>29</v>
      </c>
      <c r="E4529" s="16" t="s">
        <v>54</v>
      </c>
      <c r="F4529" s="5" t="s">
        <v>74</v>
      </c>
      <c r="G4529" s="16" t="s">
        <v>35</v>
      </c>
      <c r="H4529" s="16"/>
      <c r="I4529" s="16"/>
      <c r="J4529" s="16"/>
      <c r="K4529" s="16"/>
      <c r="L4529" s="16"/>
      <c r="M4529" s="16"/>
      <c r="N4529" s="16"/>
      <c r="O4529" s="17" t="s">
        <v>38</v>
      </c>
      <c r="P4529" s="5" t="str">
        <f t="shared" si="104"/>
        <v>Truncate table SEG005;</v>
      </c>
      <c r="Q4529" s="5"/>
      <c r="R4529" s="5"/>
    </row>
    <row r="4530" spans="2:18" ht="40.5" x14ac:dyDescent="0.25">
      <c r="B4530" s="4" t="s">
        <v>5991</v>
      </c>
      <c r="C4530" s="5" t="s">
        <v>5992</v>
      </c>
      <c r="D4530" s="16" t="s">
        <v>29</v>
      </c>
      <c r="E4530" s="16" t="s">
        <v>1096</v>
      </c>
      <c r="F4530" s="5" t="s">
        <v>184</v>
      </c>
      <c r="G4530" s="16" t="s">
        <v>503</v>
      </c>
      <c r="H4530" s="16" t="s">
        <v>36</v>
      </c>
      <c r="I4530" s="5" t="s">
        <v>5993</v>
      </c>
      <c r="J4530" s="5" t="s">
        <v>5994</v>
      </c>
      <c r="K4530" s="5" t="s">
        <v>5995</v>
      </c>
      <c r="L4530" s="5" t="s">
        <v>503</v>
      </c>
      <c r="M4530" s="5"/>
      <c r="N4530" s="5" t="s">
        <v>5996</v>
      </c>
      <c r="O4530" s="17"/>
      <c r="P4530" s="5" t="str">
        <f t="shared" si="104"/>
        <v>Truncate table SEG008;</v>
      </c>
      <c r="Q4530" s="5"/>
      <c r="R4530" s="5"/>
    </row>
    <row r="4531" spans="2:18" x14ac:dyDescent="0.25">
      <c r="B4531" s="19" t="s">
        <v>5997</v>
      </c>
      <c r="C4531" s="16"/>
      <c r="D4531" s="25" t="s">
        <v>29</v>
      </c>
      <c r="E4531" s="16"/>
      <c r="F4531" s="5"/>
      <c r="G4531" s="16" t="s">
        <v>35</v>
      </c>
      <c r="H4531" s="16"/>
      <c r="I4531" s="16"/>
      <c r="J4531" s="16"/>
      <c r="K4531" s="16"/>
      <c r="L4531" s="16"/>
      <c r="M4531" s="16"/>
      <c r="N4531" s="16"/>
      <c r="O4531" s="17"/>
      <c r="P4531" s="5" t="str">
        <f t="shared" si="104"/>
        <v>Truncate table SI010;</v>
      </c>
      <c r="Q4531" s="5"/>
      <c r="R4531" s="5"/>
    </row>
    <row r="4532" spans="2:18" x14ac:dyDescent="0.25">
      <c r="B4532" s="19" t="s">
        <v>5998</v>
      </c>
      <c r="C4532" s="16"/>
      <c r="D4532" s="16" t="s">
        <v>29</v>
      </c>
      <c r="E4532" s="16"/>
      <c r="F4532" s="5"/>
      <c r="G4532" s="16" t="s">
        <v>35</v>
      </c>
      <c r="H4532" s="16"/>
      <c r="I4532" s="16"/>
      <c r="J4532" s="16"/>
      <c r="K4532" s="16"/>
      <c r="L4532" s="16"/>
      <c r="M4532" s="16"/>
      <c r="N4532" s="16"/>
      <c r="O4532" s="17"/>
      <c r="P4532" s="5" t="str">
        <f t="shared" si="104"/>
        <v>Truncate table SI011;</v>
      </c>
      <c r="Q4532" s="5"/>
      <c r="R4532" s="5"/>
    </row>
    <row r="4533" spans="2:18" x14ac:dyDescent="0.25">
      <c r="B4533" s="19" t="s">
        <v>5999</v>
      </c>
      <c r="C4533" s="16"/>
      <c r="D4533" s="16" t="s">
        <v>29</v>
      </c>
      <c r="E4533" s="16"/>
      <c r="F4533" s="5"/>
      <c r="G4533" s="16" t="s">
        <v>35</v>
      </c>
      <c r="H4533" s="16"/>
      <c r="I4533" s="16"/>
      <c r="J4533" s="16"/>
      <c r="K4533" s="16"/>
      <c r="L4533" s="16"/>
      <c r="M4533" s="16"/>
      <c r="N4533" s="16"/>
      <c r="O4533" s="17"/>
      <c r="P4533" s="5" t="str">
        <f t="shared" si="104"/>
        <v>Truncate table SIP000;</v>
      </c>
      <c r="Q4533" s="5"/>
      <c r="R4533" s="5"/>
    </row>
    <row r="4534" spans="2:18" x14ac:dyDescent="0.25">
      <c r="B4534" s="19" t="s">
        <v>6000</v>
      </c>
      <c r="C4534" s="16" t="s">
        <v>6001</v>
      </c>
      <c r="D4534" s="16" t="s">
        <v>8152</v>
      </c>
      <c r="E4534" s="16" t="s">
        <v>1096</v>
      </c>
      <c r="F4534" s="5" t="s">
        <v>184</v>
      </c>
      <c r="G4534" s="16" t="s">
        <v>35</v>
      </c>
      <c r="H4534" s="16"/>
      <c r="I4534" s="16"/>
      <c r="J4534" s="16"/>
      <c r="K4534" s="16"/>
      <c r="L4534" s="16"/>
      <c r="M4534" s="16" t="s">
        <v>387</v>
      </c>
      <c r="N4534" s="16"/>
      <c r="O4534" s="17" t="s">
        <v>38</v>
      </c>
      <c r="P4534" s="5" t="str">
        <f t="shared" si="104"/>
        <v/>
      </c>
      <c r="Q4534" s="5"/>
      <c r="R4534" s="5"/>
    </row>
    <row r="4535" spans="2:18" x14ac:dyDescent="0.25">
      <c r="B4535" s="19" t="s">
        <v>6002</v>
      </c>
      <c r="C4535" s="16" t="s">
        <v>6003</v>
      </c>
      <c r="D4535" s="16" t="s">
        <v>8152</v>
      </c>
      <c r="E4535" s="16" t="s">
        <v>1096</v>
      </c>
      <c r="F4535" s="5" t="s">
        <v>184</v>
      </c>
      <c r="G4535" s="16" t="s">
        <v>35</v>
      </c>
      <c r="H4535" s="16"/>
      <c r="I4535" s="16"/>
      <c r="J4535" s="16"/>
      <c r="K4535" s="16"/>
      <c r="L4535" s="16"/>
      <c r="M4535" s="16" t="s">
        <v>387</v>
      </c>
      <c r="N4535" s="16"/>
      <c r="O4535" s="17" t="s">
        <v>38</v>
      </c>
      <c r="P4535" s="5" t="str">
        <f t="shared" si="104"/>
        <v/>
      </c>
      <c r="Q4535" s="5"/>
      <c r="R4535" s="5"/>
    </row>
    <row r="4536" spans="2:18" x14ac:dyDescent="0.25">
      <c r="B4536" s="19" t="s">
        <v>6004</v>
      </c>
      <c r="C4536" s="16" t="s">
        <v>6005</v>
      </c>
      <c r="D4536" s="16" t="s">
        <v>29</v>
      </c>
      <c r="E4536" s="16" t="s">
        <v>1096</v>
      </c>
      <c r="F4536" s="5" t="s">
        <v>184</v>
      </c>
      <c r="G4536" s="16" t="s">
        <v>35</v>
      </c>
      <c r="H4536" s="16"/>
      <c r="I4536" s="16"/>
      <c r="J4536" s="16"/>
      <c r="K4536" s="16"/>
      <c r="L4536" s="16"/>
      <c r="M4536" s="16"/>
      <c r="N4536" s="16"/>
      <c r="O4536" s="17" t="s">
        <v>38</v>
      </c>
      <c r="P4536" s="5" t="str">
        <f t="shared" si="104"/>
        <v>Truncate table SIP003;</v>
      </c>
      <c r="Q4536" s="5"/>
      <c r="R4536" s="5"/>
    </row>
    <row r="4537" spans="2:18" x14ac:dyDescent="0.25">
      <c r="B4537" s="19" t="s">
        <v>6006</v>
      </c>
      <c r="C4537" s="16" t="s">
        <v>6007</v>
      </c>
      <c r="D4537" s="16" t="s">
        <v>8152</v>
      </c>
      <c r="E4537" s="16" t="s">
        <v>1096</v>
      </c>
      <c r="F4537" s="5" t="s">
        <v>184</v>
      </c>
      <c r="G4537" s="16" t="s">
        <v>35</v>
      </c>
      <c r="H4537" s="16"/>
      <c r="I4537" s="16"/>
      <c r="J4537" s="16"/>
      <c r="K4537" s="16"/>
      <c r="L4537" s="16"/>
      <c r="M4537" s="16" t="s">
        <v>387</v>
      </c>
      <c r="N4537" s="16"/>
      <c r="O4537" s="17" t="s">
        <v>38</v>
      </c>
      <c r="P4537" s="5" t="str">
        <f t="shared" si="104"/>
        <v/>
      </c>
      <c r="Q4537" s="5"/>
      <c r="R4537" s="5"/>
    </row>
    <row r="4538" spans="2:18" x14ac:dyDescent="0.25">
      <c r="B4538" s="19" t="s">
        <v>6008</v>
      </c>
      <c r="C4538" s="16" t="s">
        <v>6009</v>
      </c>
      <c r="D4538" s="16" t="s">
        <v>8152</v>
      </c>
      <c r="E4538" s="16" t="s">
        <v>1096</v>
      </c>
      <c r="F4538" s="5" t="s">
        <v>184</v>
      </c>
      <c r="G4538" s="16" t="s">
        <v>35</v>
      </c>
      <c r="H4538" s="16"/>
      <c r="I4538" s="16"/>
      <c r="J4538" s="16"/>
      <c r="K4538" s="16"/>
      <c r="L4538" s="16"/>
      <c r="M4538" s="16"/>
      <c r="N4538" s="16"/>
      <c r="O4538" s="17" t="s">
        <v>38</v>
      </c>
      <c r="P4538" s="5" t="str">
        <f t="shared" si="104"/>
        <v/>
      </c>
      <c r="Q4538" s="5"/>
      <c r="R4538" s="5"/>
    </row>
    <row r="4539" spans="2:18" x14ac:dyDescent="0.25">
      <c r="B4539" s="19" t="s">
        <v>6010</v>
      </c>
      <c r="C4539" s="16"/>
      <c r="D4539" s="16" t="s">
        <v>8152</v>
      </c>
      <c r="E4539" s="16"/>
      <c r="F4539" s="5"/>
      <c r="G4539" s="16" t="s">
        <v>35</v>
      </c>
      <c r="H4539" s="16"/>
      <c r="I4539" s="16"/>
      <c r="J4539" s="16"/>
      <c r="K4539" s="16"/>
      <c r="L4539" s="16"/>
      <c r="M4539" s="229"/>
      <c r="N4539" s="16"/>
      <c r="O4539" s="17"/>
      <c r="P4539" s="5" t="str">
        <f t="shared" si="104"/>
        <v/>
      </c>
      <c r="Q4539" s="5"/>
      <c r="R4539" s="5"/>
    </row>
    <row r="4540" spans="2:18" x14ac:dyDescent="0.25">
      <c r="B4540" s="19" t="s">
        <v>6011</v>
      </c>
      <c r="C4540" s="16" t="s">
        <v>6012</v>
      </c>
      <c r="D4540" s="16" t="s">
        <v>29</v>
      </c>
      <c r="E4540" s="16" t="s">
        <v>54</v>
      </c>
      <c r="F4540" s="5" t="s">
        <v>163</v>
      </c>
      <c r="G4540" s="16" t="s">
        <v>35</v>
      </c>
      <c r="H4540" s="16"/>
      <c r="I4540" s="16"/>
      <c r="J4540" s="16"/>
      <c r="K4540" s="16"/>
      <c r="L4540" s="16"/>
      <c r="M4540" s="16"/>
      <c r="N4540" s="16"/>
      <c r="O4540" s="17" t="s">
        <v>38</v>
      </c>
      <c r="P4540" s="5" t="str">
        <f t="shared" si="104"/>
        <v>Truncate table SNG001;</v>
      </c>
      <c r="Q4540" s="5"/>
      <c r="R4540" s="5"/>
    </row>
    <row r="4541" spans="2:18" x14ac:dyDescent="0.25">
      <c r="B4541" s="19" t="s">
        <v>6013</v>
      </c>
      <c r="C4541" s="203" t="s">
        <v>8408</v>
      </c>
      <c r="D4541" s="16" t="s">
        <v>29</v>
      </c>
      <c r="E4541" s="16"/>
      <c r="F4541" s="5"/>
      <c r="G4541" s="16" t="s">
        <v>35</v>
      </c>
      <c r="H4541" s="16"/>
      <c r="I4541" s="16"/>
      <c r="J4541" s="16"/>
      <c r="K4541" s="16"/>
      <c r="L4541" s="16"/>
      <c r="M4541" s="16"/>
      <c r="N4541" s="16"/>
      <c r="O4541" s="17"/>
      <c r="P4541" s="5" t="str">
        <f t="shared" si="104"/>
        <v>Truncate table SNG002;</v>
      </c>
      <c r="Q4541" s="5"/>
      <c r="R4541" s="5"/>
    </row>
    <row r="4542" spans="2:18" x14ac:dyDescent="0.25">
      <c r="B4542" s="19" t="s">
        <v>6014</v>
      </c>
      <c r="C4542" s="203" t="s">
        <v>8409</v>
      </c>
      <c r="D4542" s="16" t="s">
        <v>29</v>
      </c>
      <c r="E4542" s="16"/>
      <c r="F4542" s="5" t="s">
        <v>219</v>
      </c>
      <c r="G4542" s="16" t="s">
        <v>35</v>
      </c>
      <c r="H4542" s="16"/>
      <c r="I4542" s="16"/>
      <c r="J4542" s="16"/>
      <c r="K4542" s="16"/>
      <c r="L4542" s="16"/>
      <c r="M4542" s="16"/>
      <c r="N4542" s="16"/>
      <c r="O4542" s="17"/>
      <c r="P4542" s="5" t="str">
        <f t="shared" si="104"/>
        <v>Truncate table SNG003;</v>
      </c>
      <c r="Q4542" s="5"/>
      <c r="R4542" s="5"/>
    </row>
    <row r="4543" spans="2:18" x14ac:dyDescent="0.25">
      <c r="B4543" s="19" t="s">
        <v>6015</v>
      </c>
      <c r="C4543" s="203" t="s">
        <v>8410</v>
      </c>
      <c r="D4543" s="16" t="s">
        <v>29</v>
      </c>
      <c r="E4543" s="16"/>
      <c r="F4543" s="5"/>
      <c r="G4543" s="16" t="s">
        <v>35</v>
      </c>
      <c r="H4543" s="16"/>
      <c r="I4543" s="16"/>
      <c r="J4543" s="16"/>
      <c r="K4543" s="16"/>
      <c r="L4543" s="16"/>
      <c r="M4543" s="16"/>
      <c r="N4543" s="16"/>
      <c r="O4543" s="17"/>
      <c r="P4543" s="5" t="str">
        <f t="shared" si="104"/>
        <v>Truncate table SNG004;</v>
      </c>
      <c r="Q4543" s="5"/>
      <c r="R4543" s="5"/>
    </row>
    <row r="4544" spans="2:18" x14ac:dyDescent="0.25">
      <c r="B4544" s="19" t="s">
        <v>6016</v>
      </c>
      <c r="C4544" s="203" t="s">
        <v>8411</v>
      </c>
      <c r="D4544" s="16" t="s">
        <v>29</v>
      </c>
      <c r="E4544" s="16"/>
      <c r="F4544" s="5"/>
      <c r="G4544" s="16" t="s">
        <v>35</v>
      </c>
      <c r="H4544" s="16"/>
      <c r="I4544" s="16"/>
      <c r="J4544" s="16"/>
      <c r="K4544" s="16"/>
      <c r="L4544" s="16"/>
      <c r="M4544" s="16"/>
      <c r="N4544" s="16"/>
      <c r="O4544" s="17"/>
      <c r="P4544" s="5" t="str">
        <f t="shared" si="104"/>
        <v>Truncate table SNG005;</v>
      </c>
      <c r="Q4544" s="5"/>
      <c r="R4544" s="5"/>
    </row>
    <row r="4545" spans="2:18" x14ac:dyDescent="0.25">
      <c r="B4545" s="19" t="s">
        <v>6017</v>
      </c>
      <c r="C4545" s="203" t="s">
        <v>8412</v>
      </c>
      <c r="D4545" s="16" t="s">
        <v>29</v>
      </c>
      <c r="E4545" s="16"/>
      <c r="F4545" s="5"/>
      <c r="G4545" s="16" t="s">
        <v>35</v>
      </c>
      <c r="H4545" s="16"/>
      <c r="I4545" s="16"/>
      <c r="J4545" s="16"/>
      <c r="K4545" s="16"/>
      <c r="L4545" s="16"/>
      <c r="M4545" s="16"/>
      <c r="N4545" s="16"/>
      <c r="O4545" s="17"/>
      <c r="P4545" s="5" t="str">
        <f t="shared" si="104"/>
        <v>Truncate table SNG006;</v>
      </c>
      <c r="Q4545" s="5"/>
      <c r="R4545" s="5"/>
    </row>
    <row r="4546" spans="2:18" x14ac:dyDescent="0.25">
      <c r="B4546" s="19" t="s">
        <v>6018</v>
      </c>
      <c r="C4546" s="203" t="s">
        <v>8413</v>
      </c>
      <c r="D4546" s="16" t="s">
        <v>29</v>
      </c>
      <c r="E4546" s="16"/>
      <c r="F4546" s="5"/>
      <c r="G4546" s="16" t="s">
        <v>35</v>
      </c>
      <c r="H4546" s="16"/>
      <c r="I4546" s="16"/>
      <c r="J4546" s="16"/>
      <c r="K4546" s="16"/>
      <c r="L4546" s="16"/>
      <c r="M4546" s="16"/>
      <c r="N4546" s="16"/>
      <c r="O4546" s="17"/>
      <c r="P4546" s="5" t="str">
        <f t="shared" si="104"/>
        <v>Truncate table SNG007;</v>
      </c>
      <c r="Q4546" s="5"/>
      <c r="R4546" s="5"/>
    </row>
    <row r="4547" spans="2:18" x14ac:dyDescent="0.25">
      <c r="B4547" s="19" t="s">
        <v>6019</v>
      </c>
      <c r="C4547" s="203" t="s">
        <v>8414</v>
      </c>
      <c r="D4547" s="16" t="s">
        <v>29</v>
      </c>
      <c r="E4547" s="16"/>
      <c r="F4547" s="5"/>
      <c r="G4547" s="16" t="s">
        <v>35</v>
      </c>
      <c r="H4547" s="16"/>
      <c r="I4547" s="16"/>
      <c r="J4547" s="16"/>
      <c r="K4547" s="16"/>
      <c r="L4547" s="16"/>
      <c r="M4547" s="16"/>
      <c r="N4547" s="16"/>
      <c r="O4547" s="17"/>
      <c r="P4547" s="5" t="str">
        <f t="shared" si="104"/>
        <v>Truncate table SNG008;</v>
      </c>
      <c r="Q4547" s="5"/>
      <c r="R4547" s="5"/>
    </row>
    <row r="4548" spans="2:18" x14ac:dyDescent="0.25">
      <c r="B4548" s="19" t="s">
        <v>6020</v>
      </c>
      <c r="C4548" s="203" t="s">
        <v>8415</v>
      </c>
      <c r="D4548" s="16" t="s">
        <v>29</v>
      </c>
      <c r="E4548" s="16"/>
      <c r="F4548" s="5"/>
      <c r="G4548" s="16" t="s">
        <v>35</v>
      </c>
      <c r="H4548" s="16"/>
      <c r="I4548" s="16"/>
      <c r="J4548" s="16"/>
      <c r="K4548" s="16"/>
      <c r="L4548" s="16"/>
      <c r="M4548" s="16"/>
      <c r="N4548" s="16"/>
      <c r="O4548" s="17"/>
      <c r="P4548" s="5" t="str">
        <f t="shared" si="104"/>
        <v>Truncate table SNG009;</v>
      </c>
      <c r="Q4548" s="5"/>
      <c r="R4548" s="5"/>
    </row>
    <row r="4549" spans="2:18" x14ac:dyDescent="0.25">
      <c r="B4549" s="19" t="s">
        <v>6021</v>
      </c>
      <c r="C4549" s="203" t="s">
        <v>8416</v>
      </c>
      <c r="D4549" s="16" t="s">
        <v>29</v>
      </c>
      <c r="E4549" s="16"/>
      <c r="F4549" s="5"/>
      <c r="G4549" s="16" t="s">
        <v>35</v>
      </c>
      <c r="H4549" s="16"/>
      <c r="I4549" s="16"/>
      <c r="J4549" s="16"/>
      <c r="K4549" s="16"/>
      <c r="L4549" s="16"/>
      <c r="M4549" s="16"/>
      <c r="N4549" s="16"/>
      <c r="O4549" s="17"/>
      <c r="P4549" s="5" t="str">
        <f t="shared" si="104"/>
        <v>Truncate table SNG010;</v>
      </c>
      <c r="Q4549" s="5"/>
      <c r="R4549" s="5"/>
    </row>
    <row r="4550" spans="2:18" x14ac:dyDescent="0.25">
      <c r="B4550" s="19" t="s">
        <v>6022</v>
      </c>
      <c r="C4550" s="16"/>
      <c r="D4550" s="16" t="s">
        <v>29</v>
      </c>
      <c r="E4550" s="16"/>
      <c r="F4550" s="5"/>
      <c r="G4550" s="16" t="s">
        <v>35</v>
      </c>
      <c r="H4550" s="16"/>
      <c r="I4550" s="16"/>
      <c r="J4550" s="16"/>
      <c r="K4550" s="16"/>
      <c r="L4550" s="16"/>
      <c r="M4550" s="16"/>
      <c r="N4550" s="16"/>
      <c r="O4550" s="17"/>
      <c r="P4550" s="5" t="str">
        <f t="shared" si="104"/>
        <v>Truncate table SNG011;</v>
      </c>
      <c r="Q4550" s="5"/>
      <c r="R4550" s="5"/>
    </row>
    <row r="4551" spans="2:18" x14ac:dyDescent="0.25">
      <c r="B4551" s="19" t="s">
        <v>6023</v>
      </c>
      <c r="C4551" s="16"/>
      <c r="D4551" s="16" t="s">
        <v>29</v>
      </c>
      <c r="E4551" s="16"/>
      <c r="F4551" s="5"/>
      <c r="G4551" s="16" t="s">
        <v>35</v>
      </c>
      <c r="H4551" s="16"/>
      <c r="I4551" s="16"/>
      <c r="J4551" s="16"/>
      <c r="K4551" s="16"/>
      <c r="L4551" s="16"/>
      <c r="M4551" s="16"/>
      <c r="N4551" s="16"/>
      <c r="O4551" s="17"/>
      <c r="P4551" s="5" t="str">
        <f t="shared" si="104"/>
        <v>Truncate table SNG012;</v>
      </c>
      <c r="Q4551" s="5"/>
      <c r="R4551" s="5"/>
    </row>
    <row r="4552" spans="2:18" x14ac:dyDescent="0.25">
      <c r="B4552" s="19" t="s">
        <v>6024</v>
      </c>
      <c r="C4552" s="16"/>
      <c r="D4552" s="16" t="s">
        <v>29</v>
      </c>
      <c r="E4552" s="16"/>
      <c r="F4552" s="5"/>
      <c r="G4552" s="16" t="s">
        <v>35</v>
      </c>
      <c r="H4552" s="16"/>
      <c r="I4552" s="16"/>
      <c r="J4552" s="16"/>
      <c r="K4552" s="16"/>
      <c r="L4552" s="16"/>
      <c r="M4552" s="16"/>
      <c r="N4552" s="16"/>
      <c r="O4552" s="17"/>
      <c r="P4552" s="5" t="str">
        <f t="shared" si="104"/>
        <v>Truncate table SNG013;</v>
      </c>
      <c r="Q4552" s="5"/>
      <c r="R4552" s="5"/>
    </row>
    <row r="4553" spans="2:18" x14ac:dyDescent="0.25">
      <c r="B4553" s="19" t="s">
        <v>6025</v>
      </c>
      <c r="C4553" s="16"/>
      <c r="D4553" s="16" t="s">
        <v>29</v>
      </c>
      <c r="E4553" s="16"/>
      <c r="F4553" s="5"/>
      <c r="G4553" s="16" t="s">
        <v>35</v>
      </c>
      <c r="H4553" s="16"/>
      <c r="I4553" s="16"/>
      <c r="J4553" s="16"/>
      <c r="K4553" s="16"/>
      <c r="L4553" s="16"/>
      <c r="M4553" s="16"/>
      <c r="N4553" s="16"/>
      <c r="O4553" s="17"/>
      <c r="P4553" s="5" t="str">
        <f t="shared" si="104"/>
        <v>Truncate table SNG014;</v>
      </c>
      <c r="Q4553" s="5"/>
      <c r="R4553" s="5"/>
    </row>
    <row r="4554" spans="2:18" x14ac:dyDescent="0.25">
      <c r="B4554" s="19" t="s">
        <v>6026</v>
      </c>
      <c r="C4554" s="16"/>
      <c r="D4554" s="16" t="s">
        <v>29</v>
      </c>
      <c r="E4554" s="16"/>
      <c r="F4554" s="5"/>
      <c r="G4554" s="16" t="s">
        <v>35</v>
      </c>
      <c r="H4554" s="16"/>
      <c r="I4554" s="16"/>
      <c r="J4554" s="16"/>
      <c r="K4554" s="16"/>
      <c r="L4554" s="16"/>
      <c r="M4554" s="16"/>
      <c r="N4554" s="16"/>
      <c r="O4554" s="17"/>
      <c r="P4554" s="5" t="str">
        <f t="shared" si="104"/>
        <v>Truncate table SNG015;</v>
      </c>
      <c r="Q4554" s="5"/>
      <c r="R4554" s="5"/>
    </row>
    <row r="4555" spans="2:18" x14ac:dyDescent="0.25">
      <c r="B4555" s="19" t="s">
        <v>6027</v>
      </c>
      <c r="C4555" s="16"/>
      <c r="D4555" s="16" t="s">
        <v>29</v>
      </c>
      <c r="E4555" s="16"/>
      <c r="F4555" s="5"/>
      <c r="G4555" s="16" t="s">
        <v>35</v>
      </c>
      <c r="H4555" s="16"/>
      <c r="I4555" s="16"/>
      <c r="J4555" s="16"/>
      <c r="K4555" s="16"/>
      <c r="L4555" s="16"/>
      <c r="M4555" s="16"/>
      <c r="N4555" s="16"/>
      <c r="O4555" s="17"/>
      <c r="P4555" s="5" t="str">
        <f t="shared" si="104"/>
        <v>Truncate table SNG016;</v>
      </c>
      <c r="Q4555" s="5"/>
      <c r="R4555" s="5"/>
    </row>
    <row r="4556" spans="2:18" x14ac:dyDescent="0.25">
      <c r="B4556" s="19" t="s">
        <v>6028</v>
      </c>
      <c r="C4556" s="16"/>
      <c r="D4556" s="16" t="s">
        <v>29</v>
      </c>
      <c r="E4556" s="16"/>
      <c r="F4556" s="5"/>
      <c r="G4556" s="16" t="s">
        <v>35</v>
      </c>
      <c r="H4556" s="16"/>
      <c r="I4556" s="16"/>
      <c r="J4556" s="16"/>
      <c r="K4556" s="16"/>
      <c r="L4556" s="16"/>
      <c r="M4556" s="16"/>
      <c r="N4556" s="16"/>
      <c r="O4556" s="17"/>
      <c r="P4556" s="5" t="str">
        <f t="shared" si="104"/>
        <v>Truncate table SNG017;</v>
      </c>
      <c r="Q4556" s="5"/>
      <c r="R4556" s="5"/>
    </row>
    <row r="4557" spans="2:18" x14ac:dyDescent="0.25">
      <c r="B4557" s="19" t="s">
        <v>6029</v>
      </c>
      <c r="C4557" s="16"/>
      <c r="D4557" s="16" t="s">
        <v>29</v>
      </c>
      <c r="E4557" s="16"/>
      <c r="F4557" s="5"/>
      <c r="G4557" s="16" t="s">
        <v>35</v>
      </c>
      <c r="H4557" s="16"/>
      <c r="I4557" s="16"/>
      <c r="J4557" s="16"/>
      <c r="K4557" s="16"/>
      <c r="L4557" s="16"/>
      <c r="M4557" s="16"/>
      <c r="N4557" s="16"/>
      <c r="O4557" s="17"/>
      <c r="P4557" s="5" t="str">
        <f t="shared" si="104"/>
        <v>Truncate table SNG018;</v>
      </c>
      <c r="Q4557" s="5"/>
      <c r="R4557" s="5"/>
    </row>
    <row r="4558" spans="2:18" x14ac:dyDescent="0.25">
      <c r="B4558" s="19" t="s">
        <v>6030</v>
      </c>
      <c r="C4558" s="16"/>
      <c r="D4558" s="16" t="s">
        <v>29</v>
      </c>
      <c r="E4558" s="16"/>
      <c r="F4558" s="5"/>
      <c r="G4558" s="16" t="s">
        <v>35</v>
      </c>
      <c r="H4558" s="16"/>
      <c r="I4558" s="16"/>
      <c r="J4558" s="16"/>
      <c r="K4558" s="16"/>
      <c r="L4558" s="16"/>
      <c r="M4558" s="16"/>
      <c r="N4558" s="16"/>
      <c r="O4558" s="17"/>
      <c r="P4558" s="5" t="str">
        <f t="shared" ref="P4558:P4589" si="105">IF(D4558="Datos","Truncate table "&amp; B4558&amp; ";","")</f>
        <v>Truncate table SNG019;</v>
      </c>
      <c r="Q4558" s="5"/>
      <c r="R4558" s="5"/>
    </row>
    <row r="4559" spans="2:18" x14ac:dyDescent="0.25">
      <c r="B4559" s="19" t="s">
        <v>6031</v>
      </c>
      <c r="C4559" s="16"/>
      <c r="D4559" s="16" t="s">
        <v>29</v>
      </c>
      <c r="E4559" s="16"/>
      <c r="F4559" s="5"/>
      <c r="G4559" s="16" t="s">
        <v>35</v>
      </c>
      <c r="H4559" s="16"/>
      <c r="I4559" s="16"/>
      <c r="J4559" s="16"/>
      <c r="K4559" s="16"/>
      <c r="L4559" s="16"/>
      <c r="M4559" s="16"/>
      <c r="N4559" s="16"/>
      <c r="O4559" s="17"/>
      <c r="P4559" s="5" t="str">
        <f t="shared" si="105"/>
        <v>Truncate table SNG020;</v>
      </c>
      <c r="Q4559" s="5"/>
      <c r="R4559" s="5"/>
    </row>
    <row r="4560" spans="2:18" x14ac:dyDescent="0.25">
      <c r="B4560" s="19" t="s">
        <v>6032</v>
      </c>
      <c r="C4560" s="203" t="s">
        <v>8417</v>
      </c>
      <c r="D4560" s="16" t="s">
        <v>29</v>
      </c>
      <c r="E4560" s="16"/>
      <c r="F4560" s="5"/>
      <c r="G4560" s="16" t="s">
        <v>35</v>
      </c>
      <c r="H4560" s="16"/>
      <c r="I4560" s="16"/>
      <c r="J4560" s="16"/>
      <c r="K4560" s="16"/>
      <c r="L4560" s="16"/>
      <c r="M4560" s="16"/>
      <c r="N4560" s="16"/>
      <c r="O4560" s="17"/>
      <c r="P4560" s="5" t="str">
        <f t="shared" si="105"/>
        <v>Truncate table SNG021;</v>
      </c>
      <c r="Q4560" s="5"/>
      <c r="R4560" s="5"/>
    </row>
    <row r="4561" spans="2:18" x14ac:dyDescent="0.25">
      <c r="B4561" s="19" t="s">
        <v>6033</v>
      </c>
      <c r="C4561" s="203" t="s">
        <v>8418</v>
      </c>
      <c r="D4561" s="16" t="s">
        <v>29</v>
      </c>
      <c r="E4561" s="16"/>
      <c r="F4561" s="5"/>
      <c r="G4561" s="16" t="s">
        <v>35</v>
      </c>
      <c r="H4561" s="16"/>
      <c r="I4561" s="16"/>
      <c r="J4561" s="16"/>
      <c r="K4561" s="16"/>
      <c r="L4561" s="16"/>
      <c r="M4561" s="16"/>
      <c r="N4561" s="16"/>
      <c r="O4561" s="17"/>
      <c r="P4561" s="5" t="str">
        <f t="shared" si="105"/>
        <v>Truncate table SNG022;</v>
      </c>
      <c r="Q4561" s="5"/>
      <c r="R4561" s="5"/>
    </row>
    <row r="4562" spans="2:18" x14ac:dyDescent="0.25">
      <c r="B4562" s="19" t="s">
        <v>6034</v>
      </c>
      <c r="C4562" s="16" t="s">
        <v>6035</v>
      </c>
      <c r="D4562" s="16" t="s">
        <v>29</v>
      </c>
      <c r="E4562" s="16"/>
      <c r="F4562" s="5" t="s">
        <v>219</v>
      </c>
      <c r="G4562" s="16" t="s">
        <v>35</v>
      </c>
      <c r="H4562" s="16"/>
      <c r="I4562" s="16"/>
      <c r="J4562" s="16"/>
      <c r="K4562" s="16"/>
      <c r="L4562" s="16"/>
      <c r="M4562" s="16"/>
      <c r="N4562" s="16"/>
      <c r="O4562" s="17"/>
      <c r="P4562" s="5" t="str">
        <f t="shared" si="105"/>
        <v>Truncate table SNG023;</v>
      </c>
      <c r="Q4562" s="5"/>
      <c r="R4562" s="5"/>
    </row>
    <row r="4563" spans="2:18" x14ac:dyDescent="0.25">
      <c r="B4563" s="19" t="s">
        <v>6036</v>
      </c>
      <c r="C4563" s="203" t="s">
        <v>8419</v>
      </c>
      <c r="D4563" s="16" t="s">
        <v>29</v>
      </c>
      <c r="E4563" s="16"/>
      <c r="F4563" s="5"/>
      <c r="G4563" s="16" t="s">
        <v>35</v>
      </c>
      <c r="H4563" s="16"/>
      <c r="I4563" s="16"/>
      <c r="J4563" s="16"/>
      <c r="K4563" s="16"/>
      <c r="L4563" s="16"/>
      <c r="M4563" s="16"/>
      <c r="N4563" s="16"/>
      <c r="O4563" s="17"/>
      <c r="P4563" s="5" t="str">
        <f t="shared" si="105"/>
        <v>Truncate table SNG024;</v>
      </c>
      <c r="Q4563" s="5"/>
      <c r="R4563" s="5"/>
    </row>
    <row r="4564" spans="2:18" x14ac:dyDescent="0.25">
      <c r="B4564" s="19" t="s">
        <v>6037</v>
      </c>
      <c r="C4564" s="16" t="s">
        <v>8402</v>
      </c>
      <c r="D4564" s="16" t="s">
        <v>8152</v>
      </c>
      <c r="E4564" s="16" t="s">
        <v>1096</v>
      </c>
      <c r="F4564" s="5" t="s">
        <v>8202</v>
      </c>
      <c r="G4564" s="16" t="s">
        <v>35</v>
      </c>
      <c r="H4564" s="16"/>
      <c r="I4564" s="16"/>
      <c r="J4564" s="16"/>
      <c r="K4564" s="16"/>
      <c r="L4564" s="16"/>
      <c r="M4564" s="16"/>
      <c r="N4564" s="16"/>
      <c r="O4564" s="17"/>
      <c r="P4564" s="5" t="str">
        <f t="shared" si="105"/>
        <v/>
      </c>
      <c r="Q4564" s="5"/>
      <c r="R4564" s="5"/>
    </row>
    <row r="4565" spans="2:18" x14ac:dyDescent="0.25">
      <c r="B4565" s="19" t="s">
        <v>6038</v>
      </c>
      <c r="C4565" s="16" t="s">
        <v>8402</v>
      </c>
      <c r="D4565" s="16" t="s">
        <v>8152</v>
      </c>
      <c r="E4565" s="16" t="s">
        <v>1096</v>
      </c>
      <c r="F4565" s="5" t="s">
        <v>8202</v>
      </c>
      <c r="G4565" s="16" t="s">
        <v>35</v>
      </c>
      <c r="H4565" s="16"/>
      <c r="I4565" s="16"/>
      <c r="J4565" s="16"/>
      <c r="K4565" s="16"/>
      <c r="L4565" s="16"/>
      <c r="M4565" s="16"/>
      <c r="N4565" s="16"/>
      <c r="O4565" s="17"/>
      <c r="P4565" s="5" t="str">
        <f t="shared" si="105"/>
        <v/>
      </c>
      <c r="Q4565" s="5"/>
      <c r="R4565" s="5"/>
    </row>
    <row r="4566" spans="2:18" x14ac:dyDescent="0.25">
      <c r="B4566" s="19" t="s">
        <v>6039</v>
      </c>
      <c r="C4566" s="16" t="s">
        <v>8402</v>
      </c>
      <c r="D4566" s="16" t="s">
        <v>8152</v>
      </c>
      <c r="E4566" s="16" t="s">
        <v>1096</v>
      </c>
      <c r="F4566" s="5" t="s">
        <v>8202</v>
      </c>
      <c r="G4566" s="16" t="s">
        <v>35</v>
      </c>
      <c r="H4566" s="16"/>
      <c r="I4566" s="16"/>
      <c r="J4566" s="16"/>
      <c r="K4566" s="16"/>
      <c r="L4566" s="16"/>
      <c r="M4566" s="16"/>
      <c r="N4566" s="16"/>
      <c r="O4566" s="17"/>
      <c r="P4566" s="5" t="str">
        <f t="shared" si="105"/>
        <v/>
      </c>
      <c r="Q4566" s="5"/>
      <c r="R4566" s="5"/>
    </row>
    <row r="4567" spans="2:18" x14ac:dyDescent="0.25">
      <c r="B4567" s="19" t="s">
        <v>6040</v>
      </c>
      <c r="C4567" s="203" t="s">
        <v>8420</v>
      </c>
      <c r="D4567" s="16" t="s">
        <v>29</v>
      </c>
      <c r="E4567" s="16"/>
      <c r="F4567" s="5"/>
      <c r="G4567" s="16" t="s">
        <v>35</v>
      </c>
      <c r="H4567" s="16"/>
      <c r="I4567" s="16"/>
      <c r="J4567" s="16"/>
      <c r="K4567" s="16"/>
      <c r="L4567" s="16"/>
      <c r="M4567" s="16"/>
      <c r="N4567" s="16"/>
      <c r="O4567" s="17"/>
      <c r="P4567" s="5" t="str">
        <f t="shared" si="105"/>
        <v>Truncate table SNG028;</v>
      </c>
      <c r="Q4567" s="5"/>
      <c r="R4567" s="5"/>
    </row>
    <row r="4568" spans="2:18" x14ac:dyDescent="0.25">
      <c r="B4568" s="19" t="s">
        <v>6041</v>
      </c>
      <c r="C4568" s="203" t="s">
        <v>8421</v>
      </c>
      <c r="D4568" s="16" t="s">
        <v>29</v>
      </c>
      <c r="E4568" s="16"/>
      <c r="F4568" s="5"/>
      <c r="G4568" s="16" t="s">
        <v>35</v>
      </c>
      <c r="H4568" s="16"/>
      <c r="I4568" s="16"/>
      <c r="J4568" s="16"/>
      <c r="K4568" s="16"/>
      <c r="L4568" s="16"/>
      <c r="M4568" s="16"/>
      <c r="N4568" s="16"/>
      <c r="O4568" s="17"/>
      <c r="P4568" s="5" t="str">
        <f t="shared" si="105"/>
        <v>Truncate table SNG029;</v>
      </c>
      <c r="Q4568" s="5"/>
      <c r="R4568" s="5"/>
    </row>
    <row r="4569" spans="2:18" x14ac:dyDescent="0.25">
      <c r="B4569" s="19" t="s">
        <v>6042</v>
      </c>
      <c r="C4569" s="16"/>
      <c r="D4569" s="16" t="s">
        <v>29</v>
      </c>
      <c r="E4569" s="16"/>
      <c r="F4569" s="5"/>
      <c r="G4569" s="16" t="s">
        <v>35</v>
      </c>
      <c r="H4569" s="16"/>
      <c r="I4569" s="16"/>
      <c r="J4569" s="16"/>
      <c r="K4569" s="16"/>
      <c r="L4569" s="16"/>
      <c r="M4569" s="16"/>
      <c r="N4569" s="16"/>
      <c r="O4569" s="17"/>
      <c r="P4569" s="5" t="str">
        <f t="shared" si="105"/>
        <v>Truncate table SNG030;</v>
      </c>
      <c r="Q4569" s="5"/>
      <c r="R4569" s="5"/>
    </row>
    <row r="4570" spans="2:18" x14ac:dyDescent="0.25">
      <c r="B4570" s="19" t="s">
        <v>6043</v>
      </c>
      <c r="C4570" s="203" t="s">
        <v>8422</v>
      </c>
      <c r="D4570" s="16" t="s">
        <v>29</v>
      </c>
      <c r="E4570" s="16"/>
      <c r="F4570" s="5"/>
      <c r="G4570" s="16" t="s">
        <v>35</v>
      </c>
      <c r="H4570" s="16"/>
      <c r="I4570" s="16"/>
      <c r="J4570" s="16"/>
      <c r="K4570" s="16"/>
      <c r="L4570" s="16"/>
      <c r="M4570" s="16"/>
      <c r="N4570" s="16"/>
      <c r="O4570" s="17"/>
      <c r="P4570" s="5" t="str">
        <f t="shared" si="105"/>
        <v>Truncate table SNG031;</v>
      </c>
      <c r="Q4570" s="5"/>
      <c r="R4570" s="5"/>
    </row>
    <row r="4571" spans="2:18" x14ac:dyDescent="0.25">
      <c r="B4571" s="19" t="s">
        <v>6044</v>
      </c>
      <c r="C4571" s="16"/>
      <c r="D4571" s="16" t="s">
        <v>29</v>
      </c>
      <c r="E4571" s="16"/>
      <c r="F4571" s="5"/>
      <c r="G4571" s="16" t="s">
        <v>35</v>
      </c>
      <c r="H4571" s="16"/>
      <c r="I4571" s="16"/>
      <c r="J4571" s="16"/>
      <c r="K4571" s="16"/>
      <c r="L4571" s="16"/>
      <c r="M4571" s="16"/>
      <c r="N4571" s="16"/>
      <c r="O4571" s="17"/>
      <c r="P4571" s="5" t="str">
        <f t="shared" si="105"/>
        <v>Truncate table SNG032;</v>
      </c>
      <c r="Q4571" s="5"/>
      <c r="R4571" s="5"/>
    </row>
    <row r="4572" spans="2:18" x14ac:dyDescent="0.25">
      <c r="B4572" s="19" t="s">
        <v>6045</v>
      </c>
      <c r="C4572" s="16"/>
      <c r="D4572" s="16" t="s">
        <v>29</v>
      </c>
      <c r="E4572" s="16"/>
      <c r="F4572" s="5"/>
      <c r="G4572" s="16" t="s">
        <v>35</v>
      </c>
      <c r="H4572" s="16"/>
      <c r="I4572" s="16"/>
      <c r="J4572" s="16"/>
      <c r="K4572" s="16"/>
      <c r="L4572" s="16"/>
      <c r="M4572" s="16"/>
      <c r="N4572" s="16"/>
      <c r="O4572" s="17"/>
      <c r="P4572" s="5" t="str">
        <f t="shared" si="105"/>
        <v>Truncate table SNG033;</v>
      </c>
      <c r="Q4572" s="5"/>
      <c r="R4572" s="5"/>
    </row>
    <row r="4573" spans="2:18" x14ac:dyDescent="0.25">
      <c r="B4573" s="19" t="s">
        <v>6046</v>
      </c>
      <c r="C4573" s="16"/>
      <c r="D4573" s="16" t="s">
        <v>29</v>
      </c>
      <c r="E4573" s="16"/>
      <c r="F4573" s="5"/>
      <c r="G4573" s="16" t="s">
        <v>35</v>
      </c>
      <c r="H4573" s="16"/>
      <c r="I4573" s="16"/>
      <c r="J4573" s="16"/>
      <c r="K4573" s="16"/>
      <c r="L4573" s="16"/>
      <c r="M4573" s="16"/>
      <c r="N4573" s="16"/>
      <c r="O4573" s="17"/>
      <c r="P4573" s="5" t="str">
        <f t="shared" si="105"/>
        <v>Truncate table SNG034;</v>
      </c>
      <c r="Q4573" s="5"/>
      <c r="R4573" s="5"/>
    </row>
    <row r="4574" spans="2:18" x14ac:dyDescent="0.25">
      <c r="B4574" s="19" t="s">
        <v>6047</v>
      </c>
      <c r="C4574" s="16"/>
      <c r="D4574" s="16" t="s">
        <v>29</v>
      </c>
      <c r="E4574" s="16"/>
      <c r="F4574" s="5"/>
      <c r="G4574" s="16" t="s">
        <v>35</v>
      </c>
      <c r="H4574" s="16"/>
      <c r="I4574" s="16"/>
      <c r="J4574" s="16"/>
      <c r="K4574" s="16"/>
      <c r="L4574" s="16"/>
      <c r="M4574" s="16"/>
      <c r="N4574" s="16"/>
      <c r="O4574" s="17"/>
      <c r="P4574" s="5" t="str">
        <f t="shared" si="105"/>
        <v>Truncate table SNG035;</v>
      </c>
      <c r="Q4574" s="5"/>
      <c r="R4574" s="5"/>
    </row>
    <row r="4575" spans="2:18" x14ac:dyDescent="0.25">
      <c r="B4575" s="19" t="s">
        <v>6048</v>
      </c>
      <c r="C4575" s="16" t="s">
        <v>6049</v>
      </c>
      <c r="D4575" s="16" t="s">
        <v>8152</v>
      </c>
      <c r="E4575" s="16" t="s">
        <v>54</v>
      </c>
      <c r="F4575" s="5" t="s">
        <v>163</v>
      </c>
      <c r="G4575" s="16" t="s">
        <v>35</v>
      </c>
      <c r="H4575" s="16"/>
      <c r="I4575" s="16"/>
      <c r="J4575" s="16"/>
      <c r="K4575" s="16"/>
      <c r="L4575" s="16"/>
      <c r="M4575" s="229"/>
      <c r="N4575" s="16"/>
      <c r="O4575" s="17" t="s">
        <v>38</v>
      </c>
      <c r="P4575" s="5" t="str">
        <f t="shared" si="105"/>
        <v/>
      </c>
      <c r="Q4575" s="5"/>
      <c r="R4575" s="5"/>
    </row>
    <row r="4576" spans="2:18" x14ac:dyDescent="0.25">
      <c r="B4576" s="19" t="s">
        <v>6050</v>
      </c>
      <c r="C4576" s="16" t="s">
        <v>6051</v>
      </c>
      <c r="D4576" s="16" t="s">
        <v>8152</v>
      </c>
      <c r="E4576" s="16" t="s">
        <v>54</v>
      </c>
      <c r="F4576" s="5" t="s">
        <v>163</v>
      </c>
      <c r="G4576" s="16" t="s">
        <v>35</v>
      </c>
      <c r="H4576" s="16"/>
      <c r="I4576" s="16"/>
      <c r="J4576" s="16"/>
      <c r="K4576" s="16"/>
      <c r="L4576" s="16"/>
      <c r="M4576" s="229"/>
      <c r="N4576" s="16"/>
      <c r="O4576" s="17" t="s">
        <v>38</v>
      </c>
      <c r="P4576" s="5" t="str">
        <f t="shared" si="105"/>
        <v/>
      </c>
      <c r="Q4576" s="5"/>
      <c r="R4576" s="5"/>
    </row>
    <row r="4577" spans="2:18" x14ac:dyDescent="0.25">
      <c r="B4577" s="19" t="s">
        <v>6052</v>
      </c>
      <c r="C4577" s="16" t="s">
        <v>6053</v>
      </c>
      <c r="D4577" s="16" t="s">
        <v>8152</v>
      </c>
      <c r="E4577" s="16" t="s">
        <v>54</v>
      </c>
      <c r="F4577" s="5" t="s">
        <v>163</v>
      </c>
      <c r="G4577" s="16" t="s">
        <v>35</v>
      </c>
      <c r="H4577" s="16"/>
      <c r="I4577" s="16"/>
      <c r="J4577" s="16"/>
      <c r="K4577" s="16"/>
      <c r="L4577" s="16"/>
      <c r="M4577" s="229"/>
      <c r="N4577" s="16"/>
      <c r="O4577" s="17" t="s">
        <v>38</v>
      </c>
      <c r="P4577" s="5" t="str">
        <f t="shared" si="105"/>
        <v/>
      </c>
      <c r="Q4577" s="5"/>
      <c r="R4577" s="5"/>
    </row>
    <row r="4578" spans="2:18" x14ac:dyDescent="0.25">
      <c r="B4578" s="19" t="s">
        <v>6054</v>
      </c>
      <c r="C4578" s="16" t="s">
        <v>6055</v>
      </c>
      <c r="D4578" s="16" t="s">
        <v>8152</v>
      </c>
      <c r="E4578" s="16" t="s">
        <v>54</v>
      </c>
      <c r="F4578" s="5" t="s">
        <v>163</v>
      </c>
      <c r="G4578" s="16" t="s">
        <v>35</v>
      </c>
      <c r="H4578" s="16"/>
      <c r="I4578" s="16"/>
      <c r="J4578" s="16"/>
      <c r="K4578" s="16"/>
      <c r="L4578" s="16"/>
      <c r="M4578" s="229"/>
      <c r="N4578" s="16"/>
      <c r="O4578" s="17" t="s">
        <v>38</v>
      </c>
      <c r="P4578" s="5" t="str">
        <f t="shared" si="105"/>
        <v/>
      </c>
      <c r="Q4578" s="5"/>
      <c r="R4578" s="5"/>
    </row>
    <row r="4579" spans="2:18" x14ac:dyDescent="0.25">
      <c r="B4579" s="19" t="s">
        <v>6056</v>
      </c>
      <c r="C4579" s="16"/>
      <c r="D4579" s="16" t="s">
        <v>8152</v>
      </c>
      <c r="E4579" s="16"/>
      <c r="F4579" s="5"/>
      <c r="G4579" s="16" t="s">
        <v>35</v>
      </c>
      <c r="H4579" s="16"/>
      <c r="I4579" s="16"/>
      <c r="J4579" s="16"/>
      <c r="K4579" s="16"/>
      <c r="L4579" s="16"/>
      <c r="M4579" s="229"/>
      <c r="N4579" s="16"/>
      <c r="O4579" s="17"/>
      <c r="P4579" s="5" t="str">
        <f t="shared" si="105"/>
        <v/>
      </c>
      <c r="Q4579" s="5"/>
      <c r="R4579" s="5"/>
    </row>
    <row r="4580" spans="2:18" x14ac:dyDescent="0.25">
      <c r="B4580" s="19" t="s">
        <v>6057</v>
      </c>
      <c r="C4580" s="16"/>
      <c r="D4580" s="16" t="s">
        <v>29</v>
      </c>
      <c r="E4580" s="16"/>
      <c r="F4580" s="5"/>
      <c r="G4580" s="16" t="s">
        <v>35</v>
      </c>
      <c r="H4580" s="16"/>
      <c r="I4580" s="16"/>
      <c r="J4580" s="16"/>
      <c r="K4580" s="16"/>
      <c r="L4580" s="16"/>
      <c r="M4580" s="16"/>
      <c r="N4580" s="16"/>
      <c r="O4580" s="17"/>
      <c r="P4580" s="5" t="str">
        <f t="shared" si="105"/>
        <v>Truncate table SNG041;</v>
      </c>
      <c r="Q4580" s="5"/>
      <c r="R4580" s="5"/>
    </row>
    <row r="4581" spans="2:18" x14ac:dyDescent="0.25">
      <c r="B4581" s="19" t="s">
        <v>6058</v>
      </c>
      <c r="C4581" s="16"/>
      <c r="D4581" s="16" t="s">
        <v>29</v>
      </c>
      <c r="E4581" s="16"/>
      <c r="F4581" s="5"/>
      <c r="G4581" s="16" t="s">
        <v>35</v>
      </c>
      <c r="H4581" s="16"/>
      <c r="I4581" s="16"/>
      <c r="J4581" s="16"/>
      <c r="K4581" s="16"/>
      <c r="L4581" s="16"/>
      <c r="M4581" s="16"/>
      <c r="N4581" s="16"/>
      <c r="O4581" s="17"/>
      <c r="P4581" s="5" t="str">
        <f t="shared" si="105"/>
        <v>Truncate table SNG042;</v>
      </c>
      <c r="Q4581" s="5"/>
      <c r="R4581" s="5"/>
    </row>
    <row r="4582" spans="2:18" x14ac:dyDescent="0.25">
      <c r="B4582" s="19" t="s">
        <v>6059</v>
      </c>
      <c r="C4582" s="16"/>
      <c r="D4582" s="16" t="s">
        <v>29</v>
      </c>
      <c r="E4582" s="16"/>
      <c r="F4582" s="5"/>
      <c r="G4582" s="16" t="s">
        <v>35</v>
      </c>
      <c r="H4582" s="16"/>
      <c r="I4582" s="16"/>
      <c r="J4582" s="16"/>
      <c r="K4582" s="16"/>
      <c r="L4582" s="16"/>
      <c r="M4582" s="16"/>
      <c r="N4582" s="16"/>
      <c r="O4582" s="17"/>
      <c r="P4582" s="5" t="str">
        <f t="shared" si="105"/>
        <v>Truncate table SNG043;</v>
      </c>
      <c r="Q4582" s="5"/>
      <c r="R4582" s="5"/>
    </row>
    <row r="4583" spans="2:18" x14ac:dyDescent="0.25">
      <c r="B4583" s="19" t="s">
        <v>6060</v>
      </c>
      <c r="C4583" s="16"/>
      <c r="D4583" s="16" t="s">
        <v>29</v>
      </c>
      <c r="E4583" s="16"/>
      <c r="F4583" s="5"/>
      <c r="G4583" s="16" t="s">
        <v>35</v>
      </c>
      <c r="H4583" s="16"/>
      <c r="I4583" s="16"/>
      <c r="J4583" s="16"/>
      <c r="K4583" s="16"/>
      <c r="L4583" s="16"/>
      <c r="M4583" s="16"/>
      <c r="N4583" s="16"/>
      <c r="O4583" s="17"/>
      <c r="P4583" s="5" t="str">
        <f t="shared" si="105"/>
        <v>Truncate table SNG044;</v>
      </c>
      <c r="Q4583" s="5"/>
      <c r="R4583" s="5"/>
    </row>
    <row r="4584" spans="2:18" x14ac:dyDescent="0.25">
      <c r="B4584" s="19" t="s">
        <v>6061</v>
      </c>
      <c r="C4584" s="16"/>
      <c r="D4584" s="16" t="s">
        <v>29</v>
      </c>
      <c r="E4584" s="16"/>
      <c r="F4584" s="5"/>
      <c r="G4584" s="16" t="s">
        <v>35</v>
      </c>
      <c r="H4584" s="16"/>
      <c r="I4584" s="16"/>
      <c r="J4584" s="16"/>
      <c r="K4584" s="16"/>
      <c r="L4584" s="16"/>
      <c r="M4584" s="16"/>
      <c r="N4584" s="16"/>
      <c r="O4584" s="17"/>
      <c r="P4584" s="5" t="str">
        <f t="shared" si="105"/>
        <v>Truncate table SNG045;</v>
      </c>
      <c r="Q4584" s="5"/>
      <c r="R4584" s="5"/>
    </row>
    <row r="4585" spans="2:18" x14ac:dyDescent="0.25">
      <c r="B4585" s="19" t="s">
        <v>6062</v>
      </c>
      <c r="C4585" s="16"/>
      <c r="D4585" s="16" t="s">
        <v>29</v>
      </c>
      <c r="E4585" s="16"/>
      <c r="F4585" s="5"/>
      <c r="G4585" s="16" t="s">
        <v>35</v>
      </c>
      <c r="H4585" s="16"/>
      <c r="I4585" s="16"/>
      <c r="J4585" s="16"/>
      <c r="K4585" s="16"/>
      <c r="L4585" s="16"/>
      <c r="M4585" s="16"/>
      <c r="N4585" s="16"/>
      <c r="O4585" s="17"/>
      <c r="P4585" s="5" t="str">
        <f t="shared" si="105"/>
        <v>Truncate table SNG046;</v>
      </c>
      <c r="Q4585" s="5"/>
      <c r="R4585" s="5"/>
    </row>
    <row r="4586" spans="2:18" x14ac:dyDescent="0.25">
      <c r="B4586" s="19" t="s">
        <v>6063</v>
      </c>
      <c r="C4586" s="16"/>
      <c r="D4586" s="16" t="s">
        <v>29</v>
      </c>
      <c r="E4586" s="16"/>
      <c r="F4586" s="5"/>
      <c r="G4586" s="16" t="s">
        <v>35</v>
      </c>
      <c r="H4586" s="16"/>
      <c r="I4586" s="16"/>
      <c r="J4586" s="16"/>
      <c r="K4586" s="16"/>
      <c r="L4586" s="16"/>
      <c r="M4586" s="16"/>
      <c r="N4586" s="16"/>
      <c r="O4586" s="17"/>
      <c r="P4586" s="5" t="str">
        <f t="shared" si="105"/>
        <v>Truncate table SNG047;</v>
      </c>
      <c r="Q4586" s="5"/>
      <c r="R4586" s="5"/>
    </row>
    <row r="4587" spans="2:18" x14ac:dyDescent="0.25">
      <c r="B4587" s="19" t="s">
        <v>6064</v>
      </c>
      <c r="C4587" s="16"/>
      <c r="D4587" s="16" t="s">
        <v>29</v>
      </c>
      <c r="E4587" s="16"/>
      <c r="F4587" s="5"/>
      <c r="G4587" s="16" t="s">
        <v>35</v>
      </c>
      <c r="H4587" s="16"/>
      <c r="I4587" s="16"/>
      <c r="J4587" s="16"/>
      <c r="K4587" s="16"/>
      <c r="L4587" s="16"/>
      <c r="M4587" s="16"/>
      <c r="N4587" s="16"/>
      <c r="O4587" s="17"/>
      <c r="P4587" s="5" t="str">
        <f t="shared" si="105"/>
        <v>Truncate table SNG048;</v>
      </c>
      <c r="Q4587" s="5"/>
      <c r="R4587" s="5"/>
    </row>
    <row r="4588" spans="2:18" x14ac:dyDescent="0.25">
      <c r="B4588" s="19" t="s">
        <v>6065</v>
      </c>
      <c r="C4588" s="16"/>
      <c r="D4588" s="16" t="s">
        <v>29</v>
      </c>
      <c r="E4588" s="16"/>
      <c r="F4588" s="5"/>
      <c r="G4588" s="16" t="s">
        <v>35</v>
      </c>
      <c r="H4588" s="16"/>
      <c r="I4588" s="16"/>
      <c r="J4588" s="16"/>
      <c r="K4588" s="16"/>
      <c r="L4588" s="16"/>
      <c r="M4588" s="16"/>
      <c r="N4588" s="16"/>
      <c r="O4588" s="17"/>
      <c r="P4588" s="5" t="str">
        <f t="shared" si="105"/>
        <v>Truncate table SNG049;</v>
      </c>
      <c r="Q4588" s="5"/>
      <c r="R4588" s="5"/>
    </row>
    <row r="4589" spans="2:18" x14ac:dyDescent="0.25">
      <c r="B4589" s="19" t="s">
        <v>6066</v>
      </c>
      <c r="C4589" s="16"/>
      <c r="D4589" s="16" t="s">
        <v>29</v>
      </c>
      <c r="E4589" s="16"/>
      <c r="F4589" s="5"/>
      <c r="G4589" s="16" t="s">
        <v>35</v>
      </c>
      <c r="H4589" s="16"/>
      <c r="I4589" s="16"/>
      <c r="J4589" s="16"/>
      <c r="K4589" s="16"/>
      <c r="L4589" s="16"/>
      <c r="M4589" s="16"/>
      <c r="N4589" s="16"/>
      <c r="O4589" s="17"/>
      <c r="P4589" s="5" t="str">
        <f t="shared" si="105"/>
        <v>Truncate table SNG050;</v>
      </c>
      <c r="Q4589" s="5"/>
      <c r="R4589" s="5"/>
    </row>
    <row r="4590" spans="2:18" x14ac:dyDescent="0.25">
      <c r="B4590" s="19" t="s">
        <v>6067</v>
      </c>
      <c r="C4590" s="16"/>
      <c r="D4590" s="16" t="s">
        <v>29</v>
      </c>
      <c r="E4590" s="16"/>
      <c r="F4590" s="5"/>
      <c r="G4590" s="16" t="s">
        <v>35</v>
      </c>
      <c r="H4590" s="16"/>
      <c r="I4590" s="16"/>
      <c r="J4590" s="16"/>
      <c r="K4590" s="16"/>
      <c r="L4590" s="16"/>
      <c r="M4590" s="16"/>
      <c r="N4590" s="16"/>
      <c r="O4590" s="17"/>
      <c r="P4590" s="5" t="str">
        <f t="shared" ref="P4590:P4621" si="106">IF(D4590="Datos","Truncate table "&amp; B4590&amp; ";","")</f>
        <v>Truncate table SNG051;</v>
      </c>
      <c r="Q4590" s="5"/>
      <c r="R4590" s="5"/>
    </row>
    <row r="4591" spans="2:18" x14ac:dyDescent="0.25">
      <c r="B4591" s="19" t="s">
        <v>6068</v>
      </c>
      <c r="C4591" s="16"/>
      <c r="D4591" s="16" t="s">
        <v>8152</v>
      </c>
      <c r="E4591" s="16"/>
      <c r="F4591" s="5"/>
      <c r="G4591" s="16" t="s">
        <v>35</v>
      </c>
      <c r="H4591" s="16"/>
      <c r="I4591" s="16"/>
      <c r="J4591" s="16"/>
      <c r="K4591" s="16"/>
      <c r="L4591" s="16"/>
      <c r="M4591" s="229"/>
      <c r="N4591" s="16"/>
      <c r="O4591" s="17"/>
      <c r="P4591" s="5" t="str">
        <f t="shared" si="106"/>
        <v/>
      </c>
      <c r="Q4591" s="5"/>
      <c r="R4591" s="5"/>
    </row>
    <row r="4592" spans="2:18" x14ac:dyDescent="0.25">
      <c r="B4592" s="19" t="s">
        <v>6069</v>
      </c>
      <c r="C4592" s="16"/>
      <c r="D4592" s="16" t="s">
        <v>8152</v>
      </c>
      <c r="E4592" s="16"/>
      <c r="F4592" s="5"/>
      <c r="G4592" s="16" t="s">
        <v>35</v>
      </c>
      <c r="H4592" s="16"/>
      <c r="I4592" s="16"/>
      <c r="J4592" s="16"/>
      <c r="K4592" s="16"/>
      <c r="L4592" s="16"/>
      <c r="M4592" s="229"/>
      <c r="N4592" s="16"/>
      <c r="O4592" s="17"/>
      <c r="P4592" s="5" t="str">
        <f t="shared" si="106"/>
        <v/>
      </c>
      <c r="Q4592" s="5"/>
      <c r="R4592" s="5"/>
    </row>
    <row r="4593" spans="2:18" x14ac:dyDescent="0.25">
      <c r="B4593" s="19" t="s">
        <v>6070</v>
      </c>
      <c r="C4593" s="16"/>
      <c r="D4593" s="16" t="s">
        <v>8152</v>
      </c>
      <c r="E4593" s="16"/>
      <c r="F4593" s="5"/>
      <c r="G4593" s="16" t="s">
        <v>35</v>
      </c>
      <c r="H4593" s="16"/>
      <c r="I4593" s="16"/>
      <c r="J4593" s="16"/>
      <c r="K4593" s="16"/>
      <c r="L4593" s="16"/>
      <c r="M4593" s="229"/>
      <c r="N4593" s="16"/>
      <c r="O4593" s="17"/>
      <c r="P4593" s="5" t="str">
        <f t="shared" si="106"/>
        <v/>
      </c>
      <c r="Q4593" s="5"/>
      <c r="R4593" s="5"/>
    </row>
    <row r="4594" spans="2:18" x14ac:dyDescent="0.25">
      <c r="B4594" s="19" t="s">
        <v>6071</v>
      </c>
      <c r="C4594" s="16"/>
      <c r="D4594" s="16" t="s">
        <v>8152</v>
      </c>
      <c r="E4594" s="16"/>
      <c r="F4594" s="5"/>
      <c r="G4594" s="16" t="s">
        <v>35</v>
      </c>
      <c r="H4594" s="16"/>
      <c r="I4594" s="16"/>
      <c r="J4594" s="16"/>
      <c r="K4594" s="16"/>
      <c r="L4594" s="16"/>
      <c r="M4594" s="229"/>
      <c r="N4594" s="16"/>
      <c r="O4594" s="17"/>
      <c r="P4594" s="5" t="str">
        <f t="shared" si="106"/>
        <v/>
      </c>
      <c r="Q4594" s="5"/>
      <c r="R4594" s="5"/>
    </row>
    <row r="4595" spans="2:18" x14ac:dyDescent="0.25">
      <c r="B4595" s="19" t="s">
        <v>6072</v>
      </c>
      <c r="C4595" s="16"/>
      <c r="D4595" s="16" t="s">
        <v>8152</v>
      </c>
      <c r="E4595" s="16"/>
      <c r="F4595" s="5"/>
      <c r="G4595" s="16" t="s">
        <v>35</v>
      </c>
      <c r="H4595" s="16"/>
      <c r="I4595" s="16"/>
      <c r="J4595" s="16"/>
      <c r="K4595" s="16"/>
      <c r="L4595" s="16"/>
      <c r="M4595" s="229"/>
      <c r="N4595" s="16"/>
      <c r="O4595" s="17"/>
      <c r="P4595" s="5" t="str">
        <f t="shared" si="106"/>
        <v/>
      </c>
      <c r="Q4595" s="5"/>
      <c r="R4595" s="5"/>
    </row>
    <row r="4596" spans="2:18" x14ac:dyDescent="0.25">
      <c r="B4596" s="19" t="s">
        <v>6073</v>
      </c>
      <c r="C4596" s="16"/>
      <c r="D4596" s="16" t="s">
        <v>29</v>
      </c>
      <c r="E4596" s="16"/>
      <c r="F4596" s="5"/>
      <c r="G4596" s="16" t="s">
        <v>35</v>
      </c>
      <c r="H4596" s="16"/>
      <c r="I4596" s="16"/>
      <c r="J4596" s="16"/>
      <c r="K4596" s="16"/>
      <c r="L4596" s="16"/>
      <c r="M4596" s="16"/>
      <c r="N4596" s="16"/>
      <c r="O4596" s="17"/>
      <c r="P4596" s="5" t="str">
        <f t="shared" si="106"/>
        <v>Truncate table SNG057;</v>
      </c>
      <c r="Q4596" s="5"/>
      <c r="R4596" s="5"/>
    </row>
    <row r="4597" spans="2:18" x14ac:dyDescent="0.25">
      <c r="B4597" s="19" t="s">
        <v>6074</v>
      </c>
      <c r="C4597" s="16"/>
      <c r="D4597" s="16" t="s">
        <v>8152</v>
      </c>
      <c r="E4597" s="16"/>
      <c r="F4597" s="5"/>
      <c r="G4597" s="16" t="s">
        <v>35</v>
      </c>
      <c r="H4597" s="16"/>
      <c r="I4597" s="16"/>
      <c r="J4597" s="16"/>
      <c r="K4597" s="16"/>
      <c r="L4597" s="16"/>
      <c r="M4597" s="229"/>
      <c r="N4597" s="16"/>
      <c r="O4597" s="17"/>
      <c r="P4597" s="5" t="str">
        <f t="shared" si="106"/>
        <v/>
      </c>
      <c r="Q4597" s="5"/>
      <c r="R4597" s="5"/>
    </row>
    <row r="4598" spans="2:18" x14ac:dyDescent="0.25">
      <c r="B4598" s="19" t="s">
        <v>6075</v>
      </c>
      <c r="C4598" s="16" t="s">
        <v>6076</v>
      </c>
      <c r="D4598" s="16" t="s">
        <v>8152</v>
      </c>
      <c r="E4598" s="16" t="s">
        <v>54</v>
      </c>
      <c r="F4598" s="5" t="s">
        <v>163</v>
      </c>
      <c r="G4598" s="16" t="s">
        <v>35</v>
      </c>
      <c r="H4598" s="16"/>
      <c r="I4598" s="16"/>
      <c r="J4598" s="16"/>
      <c r="K4598" s="16"/>
      <c r="L4598" s="16"/>
      <c r="M4598" s="229"/>
      <c r="N4598" s="16"/>
      <c r="O4598" s="17" t="s">
        <v>38</v>
      </c>
      <c r="P4598" s="5" t="str">
        <f t="shared" si="106"/>
        <v/>
      </c>
      <c r="Q4598" s="5"/>
      <c r="R4598" s="5"/>
    </row>
    <row r="4599" spans="2:18" x14ac:dyDescent="0.25">
      <c r="B4599" s="19" t="s">
        <v>6077</v>
      </c>
      <c r="C4599" s="203" t="s">
        <v>8423</v>
      </c>
      <c r="D4599" s="16" t="s">
        <v>29</v>
      </c>
      <c r="E4599" s="16"/>
      <c r="F4599" s="5"/>
      <c r="G4599" s="16" t="s">
        <v>35</v>
      </c>
      <c r="H4599" s="16"/>
      <c r="I4599" s="16"/>
      <c r="J4599" s="16"/>
      <c r="K4599" s="16"/>
      <c r="L4599" s="16"/>
      <c r="M4599" s="229"/>
      <c r="N4599" s="16"/>
      <c r="O4599" s="17"/>
      <c r="P4599" s="5" t="str">
        <f t="shared" si="106"/>
        <v>Truncate table SNG060;</v>
      </c>
      <c r="Q4599" s="5"/>
      <c r="R4599" s="5"/>
    </row>
    <row r="4600" spans="2:18" x14ac:dyDescent="0.25">
      <c r="B4600" s="19" t="s">
        <v>6078</v>
      </c>
      <c r="C4600" s="203" t="s">
        <v>8424</v>
      </c>
      <c r="D4600" s="16" t="s">
        <v>29</v>
      </c>
      <c r="E4600" s="16"/>
      <c r="F4600" s="5"/>
      <c r="G4600" s="16" t="s">
        <v>35</v>
      </c>
      <c r="H4600" s="16"/>
      <c r="I4600" s="16"/>
      <c r="J4600" s="16"/>
      <c r="K4600" s="16"/>
      <c r="L4600" s="16"/>
      <c r="M4600" s="16"/>
      <c r="N4600" s="16"/>
      <c r="O4600" s="17"/>
      <c r="P4600" s="5" t="str">
        <f t="shared" si="106"/>
        <v>Truncate table SNG061;</v>
      </c>
      <c r="Q4600" s="5"/>
      <c r="R4600" s="5"/>
    </row>
    <row r="4601" spans="2:18" x14ac:dyDescent="0.25">
      <c r="B4601" s="19" t="s">
        <v>6079</v>
      </c>
      <c r="C4601" s="203" t="s">
        <v>8425</v>
      </c>
      <c r="D4601" s="16" t="s">
        <v>29</v>
      </c>
      <c r="E4601" s="16"/>
      <c r="F4601" s="5"/>
      <c r="G4601" s="16" t="s">
        <v>35</v>
      </c>
      <c r="H4601" s="16"/>
      <c r="I4601" s="16"/>
      <c r="J4601" s="16"/>
      <c r="K4601" s="16"/>
      <c r="L4601" s="16"/>
      <c r="M4601" s="16"/>
      <c r="N4601" s="16"/>
      <c r="O4601" s="17"/>
      <c r="P4601" s="5" t="str">
        <f t="shared" si="106"/>
        <v>Truncate table SNG062;</v>
      </c>
      <c r="Q4601" s="5"/>
      <c r="R4601" s="5"/>
    </row>
    <row r="4602" spans="2:18" x14ac:dyDescent="0.25">
      <c r="B4602" s="19" t="s">
        <v>6080</v>
      </c>
      <c r="C4602" s="203" t="s">
        <v>8426</v>
      </c>
      <c r="D4602" s="16" t="s">
        <v>29</v>
      </c>
      <c r="E4602" s="16"/>
      <c r="F4602" s="5"/>
      <c r="G4602" s="16" t="s">
        <v>35</v>
      </c>
      <c r="H4602" s="16"/>
      <c r="I4602" s="16"/>
      <c r="J4602" s="16"/>
      <c r="K4602" s="16"/>
      <c r="L4602" s="16"/>
      <c r="M4602" s="16"/>
      <c r="N4602" s="16"/>
      <c r="O4602" s="17"/>
      <c r="P4602" s="5" t="str">
        <f t="shared" si="106"/>
        <v>Truncate table SNG063;</v>
      </c>
      <c r="Q4602" s="5"/>
      <c r="R4602" s="5"/>
    </row>
    <row r="4603" spans="2:18" x14ac:dyDescent="0.25">
      <c r="B4603" s="19" t="s">
        <v>6081</v>
      </c>
      <c r="D4603" s="16" t="s">
        <v>29</v>
      </c>
      <c r="E4603" s="16"/>
      <c r="F4603" s="5"/>
      <c r="G4603" s="16" t="s">
        <v>35</v>
      </c>
      <c r="H4603" s="16"/>
      <c r="I4603" s="16"/>
      <c r="J4603" s="16"/>
      <c r="K4603" s="16"/>
      <c r="L4603" s="16"/>
      <c r="M4603" s="16"/>
      <c r="N4603" s="16"/>
      <c r="O4603" s="17"/>
      <c r="P4603" s="5" t="str">
        <f t="shared" si="106"/>
        <v>Truncate table SNG064;</v>
      </c>
      <c r="Q4603" s="5"/>
      <c r="R4603" s="5"/>
    </row>
    <row r="4604" spans="2:18" x14ac:dyDescent="0.25">
      <c r="B4604" s="19" t="s">
        <v>6082</v>
      </c>
      <c r="C4604" s="203" t="s">
        <v>8427</v>
      </c>
      <c r="D4604" s="16" t="s">
        <v>29</v>
      </c>
      <c r="E4604" s="16"/>
      <c r="F4604" s="5"/>
      <c r="G4604" s="16" t="s">
        <v>35</v>
      </c>
      <c r="H4604" s="16"/>
      <c r="I4604" s="16"/>
      <c r="J4604" s="16"/>
      <c r="K4604" s="16"/>
      <c r="L4604" s="16"/>
      <c r="M4604" s="16"/>
      <c r="N4604" s="16"/>
      <c r="O4604" s="17"/>
      <c r="P4604" s="5" t="str">
        <f t="shared" si="106"/>
        <v>Truncate table SNG065;</v>
      </c>
      <c r="Q4604" s="5"/>
      <c r="R4604" s="5"/>
    </row>
    <row r="4605" spans="2:18" x14ac:dyDescent="0.25">
      <c r="B4605" s="19" t="s">
        <v>6083</v>
      </c>
      <c r="C4605" s="16"/>
      <c r="D4605" s="16" t="s">
        <v>29</v>
      </c>
      <c r="E4605" s="16"/>
      <c r="F4605" s="5"/>
      <c r="G4605" s="16" t="s">
        <v>35</v>
      </c>
      <c r="H4605" s="16"/>
      <c r="I4605" s="16"/>
      <c r="J4605" s="16"/>
      <c r="K4605" s="16"/>
      <c r="L4605" s="16"/>
      <c r="M4605" s="16"/>
      <c r="N4605" s="16"/>
      <c r="O4605" s="17"/>
      <c r="P4605" s="5" t="str">
        <f t="shared" si="106"/>
        <v>Truncate table SNG066;</v>
      </c>
      <c r="Q4605" s="5"/>
      <c r="R4605" s="5"/>
    </row>
    <row r="4606" spans="2:18" x14ac:dyDescent="0.25">
      <c r="B4606" s="19" t="s">
        <v>6084</v>
      </c>
      <c r="C4606" s="16"/>
      <c r="D4606" s="16" t="s">
        <v>29</v>
      </c>
      <c r="E4606" s="16"/>
      <c r="F4606" s="5"/>
      <c r="G4606" s="16" t="s">
        <v>35</v>
      </c>
      <c r="H4606" s="16"/>
      <c r="I4606" s="16"/>
      <c r="J4606" s="16"/>
      <c r="K4606" s="16"/>
      <c r="L4606" s="16"/>
      <c r="M4606" s="16"/>
      <c r="N4606" s="16"/>
      <c r="O4606" s="17"/>
      <c r="P4606" s="5" t="str">
        <f t="shared" si="106"/>
        <v>Truncate table SNG067;</v>
      </c>
      <c r="Q4606" s="5"/>
      <c r="R4606" s="5"/>
    </row>
    <row r="4607" spans="2:18" x14ac:dyDescent="0.25">
      <c r="B4607" s="19" t="s">
        <v>6085</v>
      </c>
      <c r="C4607" s="16"/>
      <c r="D4607" s="16" t="s">
        <v>29</v>
      </c>
      <c r="E4607" s="16"/>
      <c r="F4607" s="5"/>
      <c r="G4607" s="16" t="s">
        <v>35</v>
      </c>
      <c r="H4607" s="16"/>
      <c r="I4607" s="16"/>
      <c r="J4607" s="16"/>
      <c r="K4607" s="16"/>
      <c r="L4607" s="16"/>
      <c r="M4607" s="16"/>
      <c r="N4607" s="16"/>
      <c r="O4607" s="17"/>
      <c r="P4607" s="5" t="str">
        <f t="shared" si="106"/>
        <v>Truncate table SNG068;</v>
      </c>
      <c r="Q4607" s="5"/>
      <c r="R4607" s="5"/>
    </row>
    <row r="4608" spans="2:18" x14ac:dyDescent="0.25">
      <c r="B4608" s="19" t="s">
        <v>6086</v>
      </c>
      <c r="C4608" s="16"/>
      <c r="D4608" s="16" t="s">
        <v>29</v>
      </c>
      <c r="E4608" s="16"/>
      <c r="F4608" s="5"/>
      <c r="G4608" s="16" t="s">
        <v>35</v>
      </c>
      <c r="H4608" s="16"/>
      <c r="I4608" s="16"/>
      <c r="J4608" s="16"/>
      <c r="K4608" s="16"/>
      <c r="L4608" s="16"/>
      <c r="M4608" s="16"/>
      <c r="N4608" s="16"/>
      <c r="O4608" s="17"/>
      <c r="P4608" s="5" t="str">
        <f t="shared" si="106"/>
        <v>Truncate table SNG069;</v>
      </c>
      <c r="Q4608" s="5"/>
      <c r="R4608" s="5"/>
    </row>
    <row r="4609" spans="2:18" x14ac:dyDescent="0.25">
      <c r="B4609" s="19" t="s">
        <v>6087</v>
      </c>
      <c r="C4609" s="16" t="s">
        <v>6076</v>
      </c>
      <c r="D4609" s="16" t="s">
        <v>8152</v>
      </c>
      <c r="E4609" s="16" t="s">
        <v>54</v>
      </c>
      <c r="F4609" s="5" t="s">
        <v>163</v>
      </c>
      <c r="G4609" s="16" t="s">
        <v>35</v>
      </c>
      <c r="H4609" s="16"/>
      <c r="I4609" s="16"/>
      <c r="J4609" s="16"/>
      <c r="K4609" s="16"/>
      <c r="L4609" s="16"/>
      <c r="M4609" s="229"/>
      <c r="N4609" s="16"/>
      <c r="O4609" s="17" t="s">
        <v>38</v>
      </c>
      <c r="P4609" s="5" t="str">
        <f t="shared" si="106"/>
        <v/>
      </c>
      <c r="Q4609" s="5"/>
      <c r="R4609" s="5"/>
    </row>
    <row r="4610" spans="2:18" x14ac:dyDescent="0.25">
      <c r="B4610" s="19" t="s">
        <v>6088</v>
      </c>
      <c r="C4610" s="16"/>
      <c r="D4610" s="16" t="s">
        <v>8152</v>
      </c>
      <c r="E4610" s="16"/>
      <c r="F4610" s="5"/>
      <c r="G4610" s="16" t="s">
        <v>35</v>
      </c>
      <c r="H4610" s="16"/>
      <c r="I4610" s="16"/>
      <c r="J4610" s="16"/>
      <c r="K4610" s="16"/>
      <c r="L4610" s="16"/>
      <c r="M4610" s="229"/>
      <c r="N4610" s="16"/>
      <c r="O4610" s="17"/>
      <c r="P4610" s="5" t="str">
        <f t="shared" si="106"/>
        <v/>
      </c>
      <c r="Q4610" s="5"/>
      <c r="R4610" s="5"/>
    </row>
    <row r="4611" spans="2:18" x14ac:dyDescent="0.25">
      <c r="B4611" s="19" t="s">
        <v>6089</v>
      </c>
      <c r="C4611" s="16" t="s">
        <v>8402</v>
      </c>
      <c r="D4611" s="16" t="s">
        <v>8152</v>
      </c>
      <c r="E4611" s="16" t="s">
        <v>1096</v>
      </c>
      <c r="F4611" s="5" t="s">
        <v>8202</v>
      </c>
      <c r="G4611" s="16" t="s">
        <v>35</v>
      </c>
      <c r="H4611" s="16" t="s">
        <v>36</v>
      </c>
      <c r="I4611" s="16"/>
      <c r="J4611" s="16"/>
      <c r="K4611" s="16"/>
      <c r="L4611" s="16"/>
      <c r="M4611" s="16"/>
      <c r="N4611" s="16"/>
      <c r="O4611" s="17"/>
      <c r="P4611" s="5" t="str">
        <f t="shared" si="106"/>
        <v/>
      </c>
      <c r="Q4611" s="5"/>
      <c r="R4611" s="5"/>
    </row>
    <row r="4612" spans="2:18" x14ac:dyDescent="0.25">
      <c r="B4612" s="19" t="s">
        <v>6090</v>
      </c>
      <c r="C4612" s="16" t="s">
        <v>8402</v>
      </c>
      <c r="D4612" s="16" t="s">
        <v>8152</v>
      </c>
      <c r="E4612" s="16" t="s">
        <v>1096</v>
      </c>
      <c r="F4612" s="5" t="s">
        <v>8202</v>
      </c>
      <c r="G4612" s="16" t="s">
        <v>35</v>
      </c>
      <c r="H4612" s="16" t="s">
        <v>36</v>
      </c>
      <c r="I4612" s="16"/>
      <c r="J4612" s="16"/>
      <c r="K4612" s="16"/>
      <c r="L4612" s="16"/>
      <c r="M4612" s="16"/>
      <c r="N4612" s="16"/>
      <c r="O4612" s="17"/>
      <c r="P4612" s="5" t="str">
        <f t="shared" si="106"/>
        <v/>
      </c>
      <c r="Q4612" s="5"/>
      <c r="R4612" s="5"/>
    </row>
    <row r="4613" spans="2:18" x14ac:dyDescent="0.25">
      <c r="B4613" s="19" t="s">
        <v>6091</v>
      </c>
      <c r="C4613" s="16" t="s">
        <v>8402</v>
      </c>
      <c r="D4613" s="16" t="s">
        <v>8152</v>
      </c>
      <c r="E4613" s="16" t="s">
        <v>1096</v>
      </c>
      <c r="F4613" s="5" t="s">
        <v>8202</v>
      </c>
      <c r="G4613" s="16" t="s">
        <v>35</v>
      </c>
      <c r="H4613" s="16" t="s">
        <v>36</v>
      </c>
      <c r="I4613" s="16"/>
      <c r="J4613" s="16"/>
      <c r="K4613" s="16"/>
      <c r="L4613" s="16"/>
      <c r="M4613" s="16"/>
      <c r="N4613" s="16"/>
      <c r="O4613" s="17"/>
      <c r="P4613" s="5" t="str">
        <f t="shared" si="106"/>
        <v/>
      </c>
      <c r="Q4613" s="5"/>
      <c r="R4613" s="5"/>
    </row>
    <row r="4614" spans="2:18" x14ac:dyDescent="0.25">
      <c r="B4614" s="19" t="s">
        <v>6092</v>
      </c>
      <c r="C4614" s="16" t="s">
        <v>8402</v>
      </c>
      <c r="D4614" s="16" t="s">
        <v>8152</v>
      </c>
      <c r="E4614" s="16" t="s">
        <v>1096</v>
      </c>
      <c r="F4614" s="5" t="s">
        <v>8202</v>
      </c>
      <c r="G4614" s="16" t="s">
        <v>35</v>
      </c>
      <c r="H4614" s="16" t="s">
        <v>36</v>
      </c>
      <c r="I4614" s="16"/>
      <c r="J4614" s="16"/>
      <c r="K4614" s="16"/>
      <c r="L4614" s="16"/>
      <c r="M4614" s="16"/>
      <c r="N4614" s="16"/>
      <c r="O4614" s="17"/>
      <c r="P4614" s="5" t="str">
        <f t="shared" si="106"/>
        <v/>
      </c>
      <c r="Q4614" s="5"/>
      <c r="R4614" s="5"/>
    </row>
    <row r="4615" spans="2:18" x14ac:dyDescent="0.25">
      <c r="B4615" s="19" t="s">
        <v>6093</v>
      </c>
      <c r="C4615" s="16" t="s">
        <v>8402</v>
      </c>
      <c r="D4615" s="16" t="s">
        <v>8152</v>
      </c>
      <c r="E4615" s="16" t="s">
        <v>1096</v>
      </c>
      <c r="F4615" s="5" t="s">
        <v>8202</v>
      </c>
      <c r="G4615" s="16" t="s">
        <v>35</v>
      </c>
      <c r="H4615" s="16" t="s">
        <v>36</v>
      </c>
      <c r="I4615" s="16"/>
      <c r="J4615" s="16"/>
      <c r="K4615" s="16"/>
      <c r="L4615" s="16"/>
      <c r="M4615" s="16"/>
      <c r="N4615" s="16"/>
      <c r="O4615" s="17"/>
      <c r="P4615" s="5" t="str">
        <f t="shared" si="106"/>
        <v/>
      </c>
      <c r="Q4615" s="5"/>
      <c r="R4615" s="5"/>
    </row>
    <row r="4616" spans="2:18" x14ac:dyDescent="0.25">
      <c r="B4616" s="19" t="s">
        <v>6094</v>
      </c>
      <c r="C4616" s="16" t="s">
        <v>8402</v>
      </c>
      <c r="D4616" s="16" t="s">
        <v>8152</v>
      </c>
      <c r="E4616" s="16" t="s">
        <v>1096</v>
      </c>
      <c r="F4616" s="5" t="s">
        <v>8202</v>
      </c>
      <c r="G4616" s="16" t="s">
        <v>35</v>
      </c>
      <c r="H4616" s="16" t="s">
        <v>36</v>
      </c>
      <c r="I4616" s="16"/>
      <c r="J4616" s="16"/>
      <c r="K4616" s="16"/>
      <c r="L4616" s="16"/>
      <c r="M4616" s="16"/>
      <c r="N4616" s="16"/>
      <c r="O4616" s="17"/>
      <c r="P4616" s="5" t="str">
        <f t="shared" si="106"/>
        <v/>
      </c>
      <c r="Q4616" s="5"/>
      <c r="R4616" s="5"/>
    </row>
    <row r="4617" spans="2:18" x14ac:dyDescent="0.25">
      <c r="B4617" s="19" t="s">
        <v>6095</v>
      </c>
      <c r="C4617" s="16" t="s">
        <v>8402</v>
      </c>
      <c r="D4617" s="16" t="s">
        <v>8152</v>
      </c>
      <c r="E4617" s="16" t="s">
        <v>1096</v>
      </c>
      <c r="F4617" s="5" t="s">
        <v>8202</v>
      </c>
      <c r="G4617" s="16" t="s">
        <v>35</v>
      </c>
      <c r="H4617" s="16" t="s">
        <v>36</v>
      </c>
      <c r="I4617" s="16"/>
      <c r="J4617" s="16"/>
      <c r="K4617" s="16"/>
      <c r="L4617" s="16"/>
      <c r="M4617" s="16"/>
      <c r="N4617" s="16"/>
      <c r="O4617" s="17"/>
      <c r="P4617" s="5" t="str">
        <f t="shared" si="106"/>
        <v/>
      </c>
      <c r="Q4617" s="5"/>
      <c r="R4617" s="5"/>
    </row>
    <row r="4618" spans="2:18" x14ac:dyDescent="0.25">
      <c r="B4618" s="19" t="s">
        <v>6096</v>
      </c>
      <c r="C4618" s="16" t="s">
        <v>8402</v>
      </c>
      <c r="D4618" s="16" t="s">
        <v>29</v>
      </c>
      <c r="E4618" s="16" t="s">
        <v>1096</v>
      </c>
      <c r="F4618" s="5" t="s">
        <v>8202</v>
      </c>
      <c r="G4618" s="16" t="s">
        <v>35</v>
      </c>
      <c r="H4618" s="16"/>
      <c r="I4618" s="16"/>
      <c r="J4618" s="16"/>
      <c r="K4618" s="16"/>
      <c r="L4618" s="16"/>
      <c r="M4618" s="16"/>
      <c r="N4618" s="16"/>
      <c r="O4618" s="17"/>
      <c r="P4618" s="5" t="str">
        <f t="shared" si="106"/>
        <v>Truncate table SNG079;</v>
      </c>
      <c r="Q4618" s="5"/>
      <c r="R4618" s="5"/>
    </row>
    <row r="4619" spans="2:18" x14ac:dyDescent="0.25">
      <c r="B4619" s="19" t="s">
        <v>6097</v>
      </c>
      <c r="C4619" s="16"/>
      <c r="D4619" s="16" t="s">
        <v>29</v>
      </c>
      <c r="E4619" s="16"/>
      <c r="F4619" s="5"/>
      <c r="G4619" s="16" t="s">
        <v>35</v>
      </c>
      <c r="H4619" s="16"/>
      <c r="I4619" s="16"/>
      <c r="J4619" s="16"/>
      <c r="K4619" s="16"/>
      <c r="L4619" s="16"/>
      <c r="M4619" s="16"/>
      <c r="N4619" s="16"/>
      <c r="O4619" s="17"/>
      <c r="P4619" s="5" t="str">
        <f t="shared" si="106"/>
        <v>Truncate table SNG081;</v>
      </c>
      <c r="Q4619" s="5"/>
      <c r="R4619" s="5"/>
    </row>
    <row r="4620" spans="2:18" ht="54" x14ac:dyDescent="0.25">
      <c r="B4620" s="88" t="s">
        <v>6098</v>
      </c>
      <c r="C4620" s="23" t="s">
        <v>6099</v>
      </c>
      <c r="D4620" s="19" t="s">
        <v>8152</v>
      </c>
      <c r="E4620" s="19" t="s">
        <v>54</v>
      </c>
      <c r="F4620" s="5" t="s">
        <v>163</v>
      </c>
      <c r="G4620" s="19" t="s">
        <v>35</v>
      </c>
      <c r="H4620" s="19" t="s">
        <v>36</v>
      </c>
      <c r="I4620" s="23" t="s">
        <v>6100</v>
      </c>
      <c r="J4620" s="23" t="s">
        <v>6101</v>
      </c>
      <c r="K4620" s="23" t="s">
        <v>5923</v>
      </c>
      <c r="L4620" s="23" t="s">
        <v>5911</v>
      </c>
      <c r="M4620" s="229"/>
      <c r="N4620" s="16"/>
      <c r="O4620" s="24" t="s">
        <v>38</v>
      </c>
      <c r="P4620" s="5" t="str">
        <f t="shared" si="106"/>
        <v/>
      </c>
      <c r="Q4620" s="5"/>
      <c r="R4620" s="5"/>
    </row>
    <row r="4621" spans="2:18" x14ac:dyDescent="0.25">
      <c r="B4621" s="19" t="s">
        <v>6102</v>
      </c>
      <c r="C4621" s="204" t="s">
        <v>8404</v>
      </c>
      <c r="D4621" s="16" t="s">
        <v>29</v>
      </c>
      <c r="E4621" s="16"/>
      <c r="F4621" s="5"/>
      <c r="G4621" s="16" t="s">
        <v>35</v>
      </c>
      <c r="H4621" s="16" t="s">
        <v>36</v>
      </c>
      <c r="I4621" s="16"/>
      <c r="J4621" s="16"/>
      <c r="K4621" s="16"/>
      <c r="L4621" s="16"/>
      <c r="M4621" s="16"/>
      <c r="N4621" s="16"/>
      <c r="O4621" s="17"/>
      <c r="P4621" s="5" t="str">
        <f t="shared" si="106"/>
        <v>Truncate table SNG085;</v>
      </c>
      <c r="Q4621" s="5"/>
      <c r="R4621" s="5"/>
    </row>
    <row r="4622" spans="2:18" ht="15.75" thickBot="1" x14ac:dyDescent="0.3">
      <c r="B4622" s="19" t="s">
        <v>6103</v>
      </c>
      <c r="C4622" s="204" t="s">
        <v>8428</v>
      </c>
      <c r="D4622" s="16" t="s">
        <v>29</v>
      </c>
      <c r="E4622" s="16"/>
      <c r="F4622" s="5"/>
      <c r="G4622" s="16" t="s">
        <v>35</v>
      </c>
      <c r="H4622" s="16" t="s">
        <v>36</v>
      </c>
      <c r="I4622" s="16"/>
      <c r="J4622" s="16"/>
      <c r="K4622" s="16"/>
      <c r="L4622" s="16"/>
      <c r="M4622" s="16"/>
      <c r="N4622" s="16"/>
      <c r="O4622" s="17"/>
      <c r="P4622" s="5" t="str">
        <f t="shared" ref="P4622:P4637" si="107">IF(D4622="Datos","Truncate table "&amp; B4622&amp; ";","")</f>
        <v>Truncate table SNG088;</v>
      </c>
      <c r="Q4622" s="5"/>
      <c r="R4622" s="5"/>
    </row>
    <row r="4623" spans="2:18" x14ac:dyDescent="0.25">
      <c r="B4623" s="19" t="s">
        <v>6104</v>
      </c>
      <c r="C4623" s="206" t="s">
        <v>8429</v>
      </c>
      <c r="D4623" s="16" t="s">
        <v>29</v>
      </c>
      <c r="E4623" s="16" t="s">
        <v>54</v>
      </c>
      <c r="F4623" s="5" t="s">
        <v>163</v>
      </c>
      <c r="G4623" s="16" t="s">
        <v>35</v>
      </c>
      <c r="H4623" s="16" t="s">
        <v>36</v>
      </c>
      <c r="I4623" s="16"/>
      <c r="J4623" s="16"/>
      <c r="K4623" s="16"/>
      <c r="L4623" s="16"/>
      <c r="M4623" s="229"/>
      <c r="N4623" s="16"/>
      <c r="O4623" s="17" t="s">
        <v>38</v>
      </c>
      <c r="P4623" s="5" t="str">
        <f t="shared" si="107"/>
        <v>Truncate table SNG090;</v>
      </c>
      <c r="Q4623" s="5"/>
      <c r="R4623" s="5"/>
    </row>
    <row r="4624" spans="2:18" x14ac:dyDescent="0.25">
      <c r="B4624" s="19" t="s">
        <v>6105</v>
      </c>
      <c r="C4624" s="203" t="s">
        <v>8430</v>
      </c>
      <c r="D4624" s="16" t="s">
        <v>29</v>
      </c>
      <c r="E4624" s="16" t="s">
        <v>54</v>
      </c>
      <c r="F4624" s="5" t="s">
        <v>163</v>
      </c>
      <c r="G4624" s="16" t="s">
        <v>35</v>
      </c>
      <c r="H4624" s="16" t="s">
        <v>36</v>
      </c>
      <c r="I4624" s="16"/>
      <c r="J4624" s="16"/>
      <c r="K4624" s="16"/>
      <c r="L4624" s="16"/>
      <c r="M4624" s="229"/>
      <c r="N4624" s="16"/>
      <c r="O4624" s="17" t="s">
        <v>38</v>
      </c>
      <c r="P4624" s="5" t="str">
        <f t="shared" si="107"/>
        <v>Truncate table SNG091;</v>
      </c>
      <c r="Q4624" s="5"/>
      <c r="R4624" s="5"/>
    </row>
    <row r="4625" spans="2:18" x14ac:dyDescent="0.25">
      <c r="B4625" s="19" t="s">
        <v>6106</v>
      </c>
      <c r="C4625" s="203" t="s">
        <v>8431</v>
      </c>
      <c r="D4625" s="16" t="s">
        <v>29</v>
      </c>
      <c r="E4625" s="16"/>
      <c r="F4625" s="5"/>
      <c r="G4625" s="16" t="s">
        <v>35</v>
      </c>
      <c r="H4625" s="16" t="s">
        <v>36</v>
      </c>
      <c r="I4625" s="16"/>
      <c r="J4625" s="16"/>
      <c r="K4625" s="16"/>
      <c r="L4625" s="16"/>
      <c r="M4625" s="229"/>
      <c r="N4625" s="16"/>
      <c r="O4625" s="17"/>
      <c r="P4625" s="5" t="str">
        <f t="shared" si="107"/>
        <v>Truncate table SNG092;</v>
      </c>
      <c r="Q4625" s="5"/>
      <c r="R4625" s="5"/>
    </row>
    <row r="4626" spans="2:18" ht="15.75" thickBot="1" x14ac:dyDescent="0.3">
      <c r="B4626" s="19" t="s">
        <v>6107</v>
      </c>
      <c r="C4626" s="207" t="s">
        <v>8432</v>
      </c>
      <c r="D4626" s="16" t="s">
        <v>29</v>
      </c>
      <c r="E4626" s="16"/>
      <c r="F4626" s="5"/>
      <c r="G4626" s="16" t="s">
        <v>35</v>
      </c>
      <c r="H4626" s="16" t="s">
        <v>36</v>
      </c>
      <c r="I4626" s="16"/>
      <c r="J4626" s="16"/>
      <c r="K4626" s="16"/>
      <c r="L4626" s="16"/>
      <c r="M4626" s="16"/>
      <c r="N4626" s="16"/>
      <c r="O4626" s="17"/>
      <c r="P4626" s="5" t="str">
        <f t="shared" si="107"/>
        <v>Truncate table SNG093;</v>
      </c>
      <c r="Q4626" s="5"/>
      <c r="R4626" s="5"/>
    </row>
    <row r="4627" spans="2:18" x14ac:dyDescent="0.25">
      <c r="B4627" s="19" t="s">
        <v>6108</v>
      </c>
      <c r="C4627" s="208" t="s">
        <v>8433</v>
      </c>
      <c r="D4627" s="16" t="s">
        <v>29</v>
      </c>
      <c r="E4627" s="16"/>
      <c r="F4627" s="5"/>
      <c r="G4627" s="16" t="s">
        <v>35</v>
      </c>
      <c r="H4627" s="16" t="s">
        <v>36</v>
      </c>
      <c r="I4627" s="16"/>
      <c r="J4627" s="16"/>
      <c r="K4627" s="16"/>
      <c r="L4627" s="16"/>
      <c r="M4627" s="16"/>
      <c r="N4627" s="16"/>
      <c r="O4627" s="17"/>
      <c r="P4627" s="5" t="str">
        <f t="shared" si="107"/>
        <v>Truncate table SNG094;</v>
      </c>
      <c r="Q4627" s="5"/>
      <c r="R4627" s="5"/>
    </row>
    <row r="4628" spans="2:18" x14ac:dyDescent="0.25">
      <c r="B4628" s="19" t="s">
        <v>6109</v>
      </c>
      <c r="C4628" s="204" t="s">
        <v>8434</v>
      </c>
      <c r="D4628" s="16" t="s">
        <v>29</v>
      </c>
      <c r="E4628" s="16"/>
      <c r="F4628" s="5"/>
      <c r="G4628" s="16" t="s">
        <v>35</v>
      </c>
      <c r="H4628" s="16" t="s">
        <v>36</v>
      </c>
      <c r="I4628" s="16"/>
      <c r="J4628" s="16"/>
      <c r="K4628" s="16"/>
      <c r="L4628" s="16"/>
      <c r="M4628" s="16"/>
      <c r="N4628" s="16"/>
      <c r="O4628" s="17"/>
      <c r="P4628" s="5" t="str">
        <f t="shared" si="107"/>
        <v>Truncate table SNG095;</v>
      </c>
      <c r="Q4628" s="5"/>
      <c r="R4628" s="5"/>
    </row>
    <row r="4629" spans="2:18" x14ac:dyDescent="0.25">
      <c r="B4629" s="19" t="s">
        <v>6110</v>
      </c>
      <c r="C4629" s="16"/>
      <c r="D4629" s="16" t="s">
        <v>29</v>
      </c>
      <c r="E4629" s="16"/>
      <c r="F4629" s="5"/>
      <c r="G4629" s="16" t="s">
        <v>35</v>
      </c>
      <c r="H4629" s="16" t="s">
        <v>36</v>
      </c>
      <c r="I4629" s="16"/>
      <c r="J4629" s="16"/>
      <c r="K4629" s="16"/>
      <c r="L4629" s="16"/>
      <c r="M4629" s="16"/>
      <c r="N4629" s="16"/>
      <c r="O4629" s="17"/>
      <c r="P4629" s="5" t="str">
        <f t="shared" si="107"/>
        <v>Truncate table SNG096;</v>
      </c>
      <c r="Q4629" s="5"/>
      <c r="R4629" s="5"/>
    </row>
    <row r="4630" spans="2:18" x14ac:dyDescent="0.25">
      <c r="B4630" s="19" t="s">
        <v>6111</v>
      </c>
      <c r="C4630" s="16"/>
      <c r="D4630" s="16" t="s">
        <v>29</v>
      </c>
      <c r="E4630" s="16"/>
      <c r="F4630" s="5"/>
      <c r="G4630" s="16" t="s">
        <v>35</v>
      </c>
      <c r="H4630" s="16" t="s">
        <v>36</v>
      </c>
      <c r="I4630" s="16"/>
      <c r="J4630" s="16"/>
      <c r="K4630" s="16"/>
      <c r="L4630" s="16"/>
      <c r="M4630" s="16"/>
      <c r="N4630" s="16"/>
      <c r="O4630" s="17"/>
      <c r="P4630" s="5" t="str">
        <f t="shared" si="107"/>
        <v>Truncate table SNG097;</v>
      </c>
      <c r="Q4630" s="5"/>
      <c r="R4630" s="5"/>
    </row>
    <row r="4631" spans="2:18" x14ac:dyDescent="0.25">
      <c r="B4631" s="19" t="s">
        <v>6112</v>
      </c>
      <c r="C4631" s="16"/>
      <c r="D4631" s="16" t="s">
        <v>29</v>
      </c>
      <c r="E4631" s="16"/>
      <c r="F4631" s="5"/>
      <c r="G4631" s="16" t="s">
        <v>35</v>
      </c>
      <c r="H4631" s="16" t="s">
        <v>36</v>
      </c>
      <c r="I4631" s="16"/>
      <c r="J4631" s="16"/>
      <c r="K4631" s="16"/>
      <c r="L4631" s="16"/>
      <c r="M4631" s="16"/>
      <c r="N4631" s="16"/>
      <c r="O4631" s="17"/>
      <c r="P4631" s="5" t="str">
        <f t="shared" si="107"/>
        <v>Truncate table SNG098;</v>
      </c>
      <c r="Q4631" s="5"/>
      <c r="R4631" s="5"/>
    </row>
    <row r="4632" spans="2:18" x14ac:dyDescent="0.25">
      <c r="B4632" s="19" t="s">
        <v>6113</v>
      </c>
      <c r="C4632" s="16"/>
      <c r="D4632" s="16" t="s">
        <v>29</v>
      </c>
      <c r="E4632" s="16"/>
      <c r="F4632" s="5"/>
      <c r="G4632" s="16" t="s">
        <v>35</v>
      </c>
      <c r="H4632" s="16" t="s">
        <v>36</v>
      </c>
      <c r="I4632" s="16"/>
      <c r="J4632" s="16"/>
      <c r="K4632" s="16"/>
      <c r="L4632" s="16"/>
      <c r="M4632" s="16"/>
      <c r="N4632" s="16"/>
      <c r="O4632" s="17"/>
      <c r="P4632" s="5" t="str">
        <f t="shared" si="107"/>
        <v>Truncate table SNG099;</v>
      </c>
      <c r="Q4632" s="5"/>
      <c r="R4632" s="5"/>
    </row>
    <row r="4633" spans="2:18" x14ac:dyDescent="0.25">
      <c r="B4633" s="19" t="s">
        <v>6114</v>
      </c>
      <c r="C4633" s="16" t="s">
        <v>8402</v>
      </c>
      <c r="D4633" s="16" t="s">
        <v>8152</v>
      </c>
      <c r="E4633" s="16" t="s">
        <v>1096</v>
      </c>
      <c r="F4633" s="5" t="s">
        <v>8202</v>
      </c>
      <c r="G4633" s="16" t="s">
        <v>35</v>
      </c>
      <c r="H4633" s="16" t="s">
        <v>36</v>
      </c>
      <c r="I4633" s="16"/>
      <c r="J4633" s="16"/>
      <c r="K4633" s="16"/>
      <c r="L4633" s="16"/>
      <c r="M4633" s="16"/>
      <c r="N4633" s="16"/>
      <c r="O4633" s="17"/>
      <c r="P4633" s="5" t="str">
        <f t="shared" si="107"/>
        <v/>
      </c>
      <c r="Q4633" s="5"/>
      <c r="R4633" s="5"/>
    </row>
    <row r="4634" spans="2:18" x14ac:dyDescent="0.25">
      <c r="B4634" s="19" t="s">
        <v>6115</v>
      </c>
      <c r="C4634" s="16" t="s">
        <v>8402</v>
      </c>
      <c r="D4634" s="16" t="s">
        <v>8152</v>
      </c>
      <c r="E4634" s="16" t="s">
        <v>1096</v>
      </c>
      <c r="F4634" s="5" t="s">
        <v>8202</v>
      </c>
      <c r="G4634" s="16" t="s">
        <v>35</v>
      </c>
      <c r="H4634" s="16" t="s">
        <v>36</v>
      </c>
      <c r="I4634" s="16"/>
      <c r="J4634" s="16"/>
      <c r="K4634" s="16"/>
      <c r="L4634" s="16"/>
      <c r="M4634" s="16"/>
      <c r="N4634" s="16"/>
      <c r="O4634" s="17"/>
      <c r="P4634" s="5" t="str">
        <f t="shared" si="107"/>
        <v/>
      </c>
      <c r="Q4634" s="5"/>
      <c r="R4634" s="5"/>
    </row>
    <row r="4635" spans="2:18" x14ac:dyDescent="0.25">
      <c r="B4635" s="19" t="s">
        <v>6116</v>
      </c>
      <c r="C4635" s="203" t="s">
        <v>8405</v>
      </c>
      <c r="D4635" s="16" t="s">
        <v>29</v>
      </c>
      <c r="E4635" s="16" t="s">
        <v>1096</v>
      </c>
      <c r="F4635" s="5" t="s">
        <v>8202</v>
      </c>
      <c r="G4635" s="16" t="s">
        <v>35</v>
      </c>
      <c r="H4635" s="16" t="s">
        <v>36</v>
      </c>
      <c r="I4635" s="16"/>
      <c r="J4635" s="16"/>
      <c r="K4635" s="16"/>
      <c r="L4635" s="16"/>
      <c r="M4635" s="16"/>
      <c r="N4635" s="16"/>
      <c r="O4635" s="17"/>
      <c r="P4635" s="5" t="str">
        <f t="shared" si="107"/>
        <v>Truncate table SNG102;</v>
      </c>
      <c r="Q4635" s="5"/>
      <c r="R4635" s="5"/>
    </row>
    <row r="4636" spans="2:18" x14ac:dyDescent="0.25">
      <c r="B4636" s="19" t="s">
        <v>6117</v>
      </c>
      <c r="C4636" s="203" t="s">
        <v>8406</v>
      </c>
      <c r="D4636" s="16" t="s">
        <v>29</v>
      </c>
      <c r="E4636" s="16" t="s">
        <v>1096</v>
      </c>
      <c r="F4636" s="5" t="s">
        <v>8202</v>
      </c>
      <c r="G4636" s="16" t="s">
        <v>35</v>
      </c>
      <c r="H4636" s="16" t="s">
        <v>36</v>
      </c>
      <c r="I4636" s="16"/>
      <c r="J4636" s="16"/>
      <c r="K4636" s="16"/>
      <c r="L4636" s="16"/>
      <c r="M4636" s="16"/>
      <c r="N4636" s="16"/>
      <c r="O4636" s="17"/>
      <c r="P4636" s="5" t="str">
        <f t="shared" si="107"/>
        <v>Truncate table SNG103;</v>
      </c>
      <c r="Q4636" s="5"/>
      <c r="R4636" s="5"/>
    </row>
    <row r="4637" spans="2:18" x14ac:dyDescent="0.25">
      <c r="B4637" s="19" t="s">
        <v>6118</v>
      </c>
      <c r="C4637" s="16" t="s">
        <v>8402</v>
      </c>
      <c r="D4637" s="16" t="s">
        <v>8152</v>
      </c>
      <c r="E4637" s="16" t="s">
        <v>1096</v>
      </c>
      <c r="F4637" s="5" t="s">
        <v>8202</v>
      </c>
      <c r="G4637" s="16" t="s">
        <v>35</v>
      </c>
      <c r="H4637" s="16" t="s">
        <v>36</v>
      </c>
      <c r="I4637" s="16"/>
      <c r="J4637" s="16"/>
      <c r="K4637" s="16"/>
      <c r="L4637" s="16"/>
      <c r="M4637" s="16"/>
      <c r="N4637" s="16"/>
      <c r="O4637" s="17"/>
      <c r="P4637" s="5" t="str">
        <f t="shared" si="107"/>
        <v/>
      </c>
      <c r="Q4637" s="5"/>
      <c r="R4637" s="5"/>
    </row>
    <row r="4638" spans="2:18" x14ac:dyDescent="0.25">
      <c r="B4638" s="19" t="s">
        <v>8407</v>
      </c>
      <c r="C4638" s="205" t="s">
        <v>8402</v>
      </c>
      <c r="D4638" s="16" t="s">
        <v>8152</v>
      </c>
      <c r="E4638" s="16" t="s">
        <v>1096</v>
      </c>
      <c r="F4638" s="5" t="s">
        <v>8202</v>
      </c>
      <c r="G4638" s="16" t="s">
        <v>35</v>
      </c>
      <c r="H4638" s="16" t="s">
        <v>36</v>
      </c>
      <c r="I4638" s="16"/>
      <c r="J4638" s="16"/>
      <c r="K4638" s="16"/>
      <c r="L4638" s="16"/>
      <c r="M4638" s="16"/>
      <c r="N4638" s="16"/>
      <c r="O4638" s="17"/>
      <c r="P4638" s="5"/>
      <c r="Q4638" s="5"/>
      <c r="R4638" s="5"/>
    </row>
    <row r="4639" spans="2:18" x14ac:dyDescent="0.25">
      <c r="B4639" s="19" t="s">
        <v>6119</v>
      </c>
      <c r="C4639" s="203" t="s">
        <v>8403</v>
      </c>
      <c r="D4639" s="16" t="s">
        <v>29</v>
      </c>
      <c r="E4639" s="16" t="s">
        <v>1096</v>
      </c>
      <c r="F4639" s="5" t="s">
        <v>8202</v>
      </c>
      <c r="G4639" s="16" t="s">
        <v>35</v>
      </c>
      <c r="H4639" s="16" t="s">
        <v>36</v>
      </c>
      <c r="I4639" s="16"/>
      <c r="J4639" s="16"/>
      <c r="K4639" s="16"/>
      <c r="L4639" s="16"/>
      <c r="M4639" s="16"/>
      <c r="N4639" s="16"/>
      <c r="O4639" s="17"/>
      <c r="P4639" s="5" t="str">
        <f t="shared" ref="P4639:P4702" si="108">IF(D4639="Datos","Truncate table "&amp; B4639&amp; ";","")</f>
        <v>Truncate table SNG106;</v>
      </c>
      <c r="Q4639" s="5"/>
      <c r="R4639" s="5"/>
    </row>
    <row r="4640" spans="2:18" x14ac:dyDescent="0.25">
      <c r="B4640" s="19" t="s">
        <v>6120</v>
      </c>
      <c r="C4640" s="16" t="s">
        <v>8402</v>
      </c>
      <c r="D4640" s="16" t="s">
        <v>29</v>
      </c>
      <c r="E4640" s="16" t="s">
        <v>1096</v>
      </c>
      <c r="F4640" s="5" t="s">
        <v>8202</v>
      </c>
      <c r="G4640" s="16" t="s">
        <v>35</v>
      </c>
      <c r="H4640" s="16" t="s">
        <v>36</v>
      </c>
      <c r="I4640" s="16"/>
      <c r="J4640" s="16"/>
      <c r="K4640" s="16"/>
      <c r="L4640" s="16"/>
      <c r="M4640" s="16"/>
      <c r="N4640" s="16"/>
      <c r="O4640" s="17"/>
      <c r="P4640" s="5" t="str">
        <f t="shared" si="108"/>
        <v>Truncate table SNG107;</v>
      </c>
      <c r="Q4640" s="5"/>
      <c r="R4640" s="5"/>
    </row>
    <row r="4641" spans="2:18" x14ac:dyDescent="0.25">
      <c r="B4641" s="19" t="s">
        <v>6121</v>
      </c>
      <c r="C4641" s="209" t="s">
        <v>8435</v>
      </c>
      <c r="D4641" s="16" t="s">
        <v>29</v>
      </c>
      <c r="E4641" s="16"/>
      <c r="F4641" s="5"/>
      <c r="G4641" s="16" t="s">
        <v>35</v>
      </c>
      <c r="H4641" s="16" t="s">
        <v>36</v>
      </c>
      <c r="I4641" s="16"/>
      <c r="J4641" s="16"/>
      <c r="K4641" s="16"/>
      <c r="L4641" s="16"/>
      <c r="M4641" s="16"/>
      <c r="N4641" s="16"/>
      <c r="O4641" s="17"/>
      <c r="P4641" s="5" t="str">
        <f t="shared" si="108"/>
        <v>Truncate table SNG108;</v>
      </c>
      <c r="Q4641" s="5"/>
      <c r="R4641" s="5"/>
    </row>
    <row r="4642" spans="2:18" x14ac:dyDescent="0.25">
      <c r="B4642" s="19" t="s">
        <v>6122</v>
      </c>
      <c r="C4642" s="16"/>
      <c r="D4642" s="16" t="s">
        <v>29</v>
      </c>
      <c r="E4642" s="16"/>
      <c r="F4642" s="5"/>
      <c r="G4642" s="16" t="s">
        <v>35</v>
      </c>
      <c r="H4642" s="16" t="s">
        <v>36</v>
      </c>
      <c r="I4642" s="16"/>
      <c r="J4642" s="16"/>
      <c r="K4642" s="16"/>
      <c r="L4642" s="16"/>
      <c r="M4642" s="16"/>
      <c r="N4642" s="16"/>
      <c r="O4642" s="17"/>
      <c r="P4642" s="5" t="str">
        <f t="shared" si="108"/>
        <v>Truncate table SNG110;</v>
      </c>
      <c r="Q4642" s="5"/>
      <c r="R4642" s="5"/>
    </row>
    <row r="4643" spans="2:18" x14ac:dyDescent="0.25">
      <c r="B4643" s="19" t="s">
        <v>6123</v>
      </c>
      <c r="C4643" s="16"/>
      <c r="D4643" s="16" t="s">
        <v>29</v>
      </c>
      <c r="E4643" s="16"/>
      <c r="F4643" s="5"/>
      <c r="G4643" s="16" t="s">
        <v>35</v>
      </c>
      <c r="H4643" s="16" t="s">
        <v>36</v>
      </c>
      <c r="I4643" s="16"/>
      <c r="J4643" s="16"/>
      <c r="K4643" s="16"/>
      <c r="L4643" s="16"/>
      <c r="M4643" s="16"/>
      <c r="N4643" s="16"/>
      <c r="O4643" s="17"/>
      <c r="P4643" s="5" t="str">
        <f t="shared" si="108"/>
        <v>Truncate table SNG111;</v>
      </c>
      <c r="Q4643" s="5"/>
      <c r="R4643" s="5"/>
    </row>
    <row r="4644" spans="2:18" x14ac:dyDescent="0.25">
      <c r="B4644" s="19" t="s">
        <v>6124</v>
      </c>
      <c r="C4644" s="16"/>
      <c r="D4644" s="16" t="s">
        <v>29</v>
      </c>
      <c r="E4644" s="16"/>
      <c r="F4644" s="5"/>
      <c r="G4644" s="16" t="s">
        <v>35</v>
      </c>
      <c r="H4644" s="16" t="s">
        <v>36</v>
      </c>
      <c r="I4644" s="16"/>
      <c r="J4644" s="16"/>
      <c r="K4644" s="16"/>
      <c r="L4644" s="16"/>
      <c r="M4644" s="16"/>
      <c r="N4644" s="16"/>
      <c r="O4644" s="17"/>
      <c r="P4644" s="5" t="str">
        <f t="shared" si="108"/>
        <v>Truncate table SNG112;</v>
      </c>
      <c r="Q4644" s="5"/>
      <c r="R4644" s="5"/>
    </row>
    <row r="4645" spans="2:18" x14ac:dyDescent="0.25">
      <c r="B4645" s="19" t="s">
        <v>6125</v>
      </c>
      <c r="C4645" s="210" t="s">
        <v>8436</v>
      </c>
      <c r="D4645" s="16" t="s">
        <v>29</v>
      </c>
      <c r="E4645" s="16"/>
      <c r="F4645" s="5"/>
      <c r="G4645" s="16" t="s">
        <v>35</v>
      </c>
      <c r="H4645" s="16" t="s">
        <v>36</v>
      </c>
      <c r="I4645" s="16"/>
      <c r="J4645" s="16"/>
      <c r="K4645" s="16"/>
      <c r="L4645" s="16"/>
      <c r="M4645" s="16"/>
      <c r="N4645" s="16"/>
      <c r="O4645" s="17"/>
      <c r="P4645" s="5" t="str">
        <f t="shared" si="108"/>
        <v>Truncate table SNG113;</v>
      </c>
      <c r="Q4645" s="5"/>
      <c r="R4645" s="5"/>
    </row>
    <row r="4646" spans="2:18" x14ac:dyDescent="0.25">
      <c r="B4646" s="19" t="s">
        <v>6126</v>
      </c>
      <c r="C4646" s="251" t="s">
        <v>8437</v>
      </c>
      <c r="D4646" s="16" t="s">
        <v>29</v>
      </c>
      <c r="E4646" s="16"/>
      <c r="F4646" s="5"/>
      <c r="G4646" s="16" t="s">
        <v>35</v>
      </c>
      <c r="H4646" s="16" t="s">
        <v>36</v>
      </c>
      <c r="I4646" s="16"/>
      <c r="J4646" s="16"/>
      <c r="K4646" s="16"/>
      <c r="L4646" s="16"/>
      <c r="M4646" s="16"/>
      <c r="N4646" s="16"/>
      <c r="O4646" s="17"/>
      <c r="P4646" s="5" t="str">
        <f t="shared" si="108"/>
        <v>Truncate table SNG114;</v>
      </c>
      <c r="Q4646" s="5"/>
      <c r="R4646" s="5"/>
    </row>
    <row r="4647" spans="2:18" ht="15.75" thickBot="1" x14ac:dyDescent="0.3">
      <c r="B4647" s="19" t="s">
        <v>6127</v>
      </c>
      <c r="C4647" s="252" t="s">
        <v>8438</v>
      </c>
      <c r="D4647" s="16" t="s">
        <v>29</v>
      </c>
      <c r="E4647" s="16"/>
      <c r="F4647" s="5"/>
      <c r="G4647" s="16" t="s">
        <v>35</v>
      </c>
      <c r="H4647" s="16" t="s">
        <v>36</v>
      </c>
      <c r="I4647" s="16"/>
      <c r="J4647" s="16"/>
      <c r="K4647" s="16"/>
      <c r="L4647" s="16"/>
      <c r="M4647" s="16"/>
      <c r="N4647" s="16"/>
      <c r="O4647" s="17"/>
      <c r="P4647" s="5" t="str">
        <f t="shared" si="108"/>
        <v>Truncate table SNG115;</v>
      </c>
      <c r="Q4647" s="5"/>
      <c r="R4647" s="5"/>
    </row>
    <row r="4648" spans="2:18" x14ac:dyDescent="0.25">
      <c r="B4648" s="19" t="s">
        <v>6128</v>
      </c>
      <c r="C4648" s="208" t="s">
        <v>8439</v>
      </c>
      <c r="D4648" s="16" t="s">
        <v>29</v>
      </c>
      <c r="E4648" s="16" t="s">
        <v>1096</v>
      </c>
      <c r="F4648" s="5" t="s">
        <v>6129</v>
      </c>
      <c r="G4648" s="16" t="s">
        <v>35</v>
      </c>
      <c r="H4648" s="16" t="s">
        <v>36</v>
      </c>
      <c r="I4648" s="16"/>
      <c r="J4648" s="16"/>
      <c r="K4648" s="16"/>
      <c r="L4648" s="16"/>
      <c r="M4648" s="16"/>
      <c r="N4648" s="16"/>
      <c r="O4648" s="17" t="s">
        <v>38</v>
      </c>
      <c r="P4648" s="5" t="str">
        <f t="shared" si="108"/>
        <v>Truncate table SNG120;</v>
      </c>
      <c r="Q4648" s="5"/>
      <c r="R4648" s="5"/>
    </row>
    <row r="4649" spans="2:18" x14ac:dyDescent="0.25">
      <c r="B4649" s="19" t="s">
        <v>6130</v>
      </c>
      <c r="C4649" s="203" t="s">
        <v>8440</v>
      </c>
      <c r="D4649" s="16" t="s">
        <v>29</v>
      </c>
      <c r="E4649" s="16"/>
      <c r="F4649" s="5"/>
      <c r="G4649" s="16" t="s">
        <v>35</v>
      </c>
      <c r="H4649" s="16" t="s">
        <v>36</v>
      </c>
      <c r="I4649" s="16"/>
      <c r="J4649" s="16"/>
      <c r="K4649" s="16"/>
      <c r="L4649" s="16"/>
      <c r="M4649" s="16"/>
      <c r="N4649" s="16"/>
      <c r="O4649" s="17"/>
      <c r="P4649" s="5" t="str">
        <f t="shared" si="108"/>
        <v>Truncate table SNG122;</v>
      </c>
      <c r="Q4649" s="5"/>
      <c r="R4649" s="5"/>
    </row>
    <row r="4650" spans="2:18" x14ac:dyDescent="0.25">
      <c r="B4650" s="19" t="s">
        <v>6131</v>
      </c>
      <c r="C4650" s="203" t="s">
        <v>8441</v>
      </c>
      <c r="D4650" s="16" t="s">
        <v>29</v>
      </c>
      <c r="E4650" s="16"/>
      <c r="F4650" s="5"/>
      <c r="G4650" s="16" t="s">
        <v>35</v>
      </c>
      <c r="H4650" s="16" t="s">
        <v>36</v>
      </c>
      <c r="I4650" s="16"/>
      <c r="J4650" s="16"/>
      <c r="K4650" s="16"/>
      <c r="L4650" s="16"/>
      <c r="M4650" s="16"/>
      <c r="N4650" s="16"/>
      <c r="O4650" s="17"/>
      <c r="P4650" s="5" t="str">
        <f t="shared" si="108"/>
        <v>Truncate table SNG125;</v>
      </c>
      <c r="Q4650" s="5"/>
      <c r="R4650" s="5"/>
    </row>
    <row r="4651" spans="2:18" x14ac:dyDescent="0.25">
      <c r="B4651" s="19" t="s">
        <v>6132</v>
      </c>
      <c r="C4651" s="16"/>
      <c r="D4651" s="16" t="s">
        <v>29</v>
      </c>
      <c r="E4651" s="16"/>
      <c r="F4651" s="5"/>
      <c r="G4651" s="16" t="s">
        <v>35</v>
      </c>
      <c r="H4651" s="16" t="s">
        <v>36</v>
      </c>
      <c r="I4651" s="16"/>
      <c r="J4651" s="16"/>
      <c r="K4651" s="16"/>
      <c r="L4651" s="16"/>
      <c r="M4651" s="16"/>
      <c r="N4651" s="16"/>
      <c r="O4651" s="17"/>
      <c r="P4651" s="5" t="str">
        <f t="shared" si="108"/>
        <v>Truncate table SNG201;</v>
      </c>
      <c r="Q4651" s="5"/>
      <c r="R4651" s="5"/>
    </row>
    <row r="4652" spans="2:18" x14ac:dyDescent="0.25">
      <c r="B4652" s="19" t="s">
        <v>6133</v>
      </c>
      <c r="C4652" s="211" t="s">
        <v>8442</v>
      </c>
      <c r="D4652" s="16" t="s">
        <v>29</v>
      </c>
      <c r="E4652" s="16"/>
      <c r="F4652" s="5"/>
      <c r="G4652" s="16" t="s">
        <v>35</v>
      </c>
      <c r="H4652" s="16" t="s">
        <v>36</v>
      </c>
      <c r="I4652" s="16"/>
      <c r="J4652" s="16"/>
      <c r="K4652" s="16"/>
      <c r="L4652" s="16"/>
      <c r="M4652" s="16"/>
      <c r="N4652" s="16"/>
      <c r="O4652" s="17"/>
      <c r="P4652" s="5" t="str">
        <f t="shared" si="108"/>
        <v>Truncate table SNG202;</v>
      </c>
      <c r="Q4652" s="5"/>
      <c r="R4652" s="5"/>
    </row>
    <row r="4653" spans="2:18" x14ac:dyDescent="0.25">
      <c r="B4653" s="19" t="s">
        <v>6134</v>
      </c>
      <c r="C4653" s="211" t="s">
        <v>8442</v>
      </c>
      <c r="D4653" s="16" t="s">
        <v>29</v>
      </c>
      <c r="E4653" s="16"/>
      <c r="F4653" s="5"/>
      <c r="G4653" s="16" t="s">
        <v>35</v>
      </c>
      <c r="H4653" s="16" t="s">
        <v>36</v>
      </c>
      <c r="I4653" s="16"/>
      <c r="J4653" s="16"/>
      <c r="K4653" s="16"/>
      <c r="L4653" s="16"/>
      <c r="M4653" s="16"/>
      <c r="N4653" s="16"/>
      <c r="O4653" s="17"/>
      <c r="P4653" s="5" t="str">
        <f t="shared" si="108"/>
        <v>Truncate table SNG203;</v>
      </c>
      <c r="Q4653" s="5"/>
      <c r="R4653" s="5"/>
    </row>
    <row r="4654" spans="2:18" x14ac:dyDescent="0.25">
      <c r="B4654" s="19" t="s">
        <v>6135</v>
      </c>
      <c r="C4654" s="211" t="s">
        <v>8442</v>
      </c>
      <c r="D4654" s="16" t="s">
        <v>29</v>
      </c>
      <c r="E4654" s="16"/>
      <c r="F4654" s="5"/>
      <c r="G4654" s="16" t="s">
        <v>35</v>
      </c>
      <c r="H4654" s="16" t="s">
        <v>36</v>
      </c>
      <c r="I4654" s="16"/>
      <c r="J4654" s="16"/>
      <c r="K4654" s="16"/>
      <c r="L4654" s="16"/>
      <c r="M4654" s="16"/>
      <c r="N4654" s="16"/>
      <c r="O4654" s="17"/>
      <c r="P4654" s="5" t="str">
        <f t="shared" si="108"/>
        <v>Truncate table SNG204;</v>
      </c>
      <c r="Q4654" s="5"/>
      <c r="R4654" s="5"/>
    </row>
    <row r="4655" spans="2:18" x14ac:dyDescent="0.25">
      <c r="B4655" s="19" t="s">
        <v>6136</v>
      </c>
      <c r="C4655" s="211" t="s">
        <v>8442</v>
      </c>
      <c r="D4655" s="16" t="s">
        <v>29</v>
      </c>
      <c r="E4655" s="16"/>
      <c r="F4655" s="5"/>
      <c r="G4655" s="16" t="s">
        <v>35</v>
      </c>
      <c r="H4655" s="16" t="s">
        <v>36</v>
      </c>
      <c r="I4655" s="16"/>
      <c r="J4655" s="16"/>
      <c r="K4655" s="16"/>
      <c r="L4655" s="16"/>
      <c r="M4655" s="16"/>
      <c r="N4655" s="16"/>
      <c r="O4655" s="17"/>
      <c r="P4655" s="5" t="str">
        <f t="shared" si="108"/>
        <v>Truncate table SNG205;</v>
      </c>
      <c r="Q4655" s="5"/>
      <c r="R4655" s="5"/>
    </row>
    <row r="4656" spans="2:18" x14ac:dyDescent="0.25">
      <c r="B4656" s="19" t="s">
        <v>6137</v>
      </c>
      <c r="C4656" s="211" t="s">
        <v>8442</v>
      </c>
      <c r="D4656" s="16" t="s">
        <v>29</v>
      </c>
      <c r="E4656" s="16"/>
      <c r="F4656" s="5"/>
      <c r="G4656" s="16" t="s">
        <v>35</v>
      </c>
      <c r="H4656" s="16" t="s">
        <v>36</v>
      </c>
      <c r="I4656" s="16"/>
      <c r="J4656" s="16"/>
      <c r="K4656" s="16"/>
      <c r="L4656" s="16"/>
      <c r="M4656" s="16"/>
      <c r="N4656" s="16"/>
      <c r="O4656" s="17"/>
      <c r="P4656" s="5" t="str">
        <f t="shared" si="108"/>
        <v>Truncate table SNG206;</v>
      </c>
      <c r="Q4656" s="5"/>
      <c r="R4656" s="5"/>
    </row>
    <row r="4657" spans="2:18" x14ac:dyDescent="0.25">
      <c r="B4657" s="19" t="s">
        <v>6138</v>
      </c>
      <c r="C4657" s="211" t="s">
        <v>8442</v>
      </c>
      <c r="D4657" s="16" t="s">
        <v>29</v>
      </c>
      <c r="E4657" s="16"/>
      <c r="F4657" s="5"/>
      <c r="G4657" s="16" t="s">
        <v>35</v>
      </c>
      <c r="H4657" s="16" t="s">
        <v>36</v>
      </c>
      <c r="I4657" s="16"/>
      <c r="J4657" s="16"/>
      <c r="K4657" s="16"/>
      <c r="L4657" s="16"/>
      <c r="M4657" s="16"/>
      <c r="N4657" s="16"/>
      <c r="O4657" s="17"/>
      <c r="P4657" s="5" t="str">
        <f t="shared" si="108"/>
        <v>Truncate table SNG209;</v>
      </c>
      <c r="Q4657" s="5"/>
      <c r="R4657" s="5"/>
    </row>
    <row r="4658" spans="2:18" x14ac:dyDescent="0.25">
      <c r="B4658" s="19" t="s">
        <v>6139</v>
      </c>
      <c r="C4658" s="211" t="s">
        <v>8442</v>
      </c>
      <c r="D4658" s="16" t="s">
        <v>29</v>
      </c>
      <c r="E4658" s="16"/>
      <c r="F4658" s="5"/>
      <c r="G4658" s="16" t="s">
        <v>35</v>
      </c>
      <c r="H4658" s="16" t="s">
        <v>36</v>
      </c>
      <c r="I4658" s="16"/>
      <c r="J4658" s="16"/>
      <c r="K4658" s="16"/>
      <c r="L4658" s="16"/>
      <c r="M4658" s="16"/>
      <c r="N4658" s="16"/>
      <c r="O4658" s="17"/>
      <c r="P4658" s="5" t="str">
        <f t="shared" si="108"/>
        <v>Truncate table SNG210;</v>
      </c>
      <c r="Q4658" s="5"/>
      <c r="R4658" s="5"/>
    </row>
    <row r="4659" spans="2:18" x14ac:dyDescent="0.25">
      <c r="B4659" s="19" t="s">
        <v>6140</v>
      </c>
      <c r="C4659" s="16"/>
      <c r="D4659" s="16" t="s">
        <v>29</v>
      </c>
      <c r="E4659" s="16"/>
      <c r="F4659" s="5"/>
      <c r="G4659" s="16" t="s">
        <v>35</v>
      </c>
      <c r="H4659" s="16" t="s">
        <v>36</v>
      </c>
      <c r="I4659" s="16"/>
      <c r="J4659" s="16"/>
      <c r="K4659" s="16"/>
      <c r="L4659" s="16"/>
      <c r="M4659" s="16"/>
      <c r="N4659" s="16"/>
      <c r="O4659" s="17"/>
      <c r="P4659" s="5" t="str">
        <f t="shared" si="108"/>
        <v>Truncate table SNG213;</v>
      </c>
      <c r="Q4659" s="5"/>
      <c r="R4659" s="5"/>
    </row>
    <row r="4660" spans="2:18" ht="54" x14ac:dyDescent="0.25">
      <c r="B4660" s="19" t="s">
        <v>6141</v>
      </c>
      <c r="C4660" s="16" t="s">
        <v>8393</v>
      </c>
      <c r="D4660" s="16" t="s">
        <v>8152</v>
      </c>
      <c r="E4660" s="16" t="s">
        <v>1096</v>
      </c>
      <c r="F4660" s="5" t="s">
        <v>6142</v>
      </c>
      <c r="G4660" s="16" t="s">
        <v>35</v>
      </c>
      <c r="H4660" s="16" t="s">
        <v>36</v>
      </c>
      <c r="I4660" s="16"/>
      <c r="J4660" s="16"/>
      <c r="K4660" s="16"/>
      <c r="L4660" s="20" t="s">
        <v>6143</v>
      </c>
      <c r="M4660" s="20"/>
      <c r="N4660" s="16"/>
      <c r="O4660" s="17" t="s">
        <v>38</v>
      </c>
      <c r="P4660" s="5" t="str">
        <f t="shared" si="108"/>
        <v/>
      </c>
      <c r="Q4660" s="5"/>
      <c r="R4660" s="5"/>
    </row>
    <row r="4661" spans="2:18" ht="54" x14ac:dyDescent="0.25">
      <c r="B4661" s="19" t="s">
        <v>6144</v>
      </c>
      <c r="C4661" s="16" t="s">
        <v>6145</v>
      </c>
      <c r="D4661" s="16" t="s">
        <v>8152</v>
      </c>
      <c r="E4661" s="16" t="s">
        <v>1096</v>
      </c>
      <c r="F4661" s="5" t="s">
        <v>6142</v>
      </c>
      <c r="G4661" s="16" t="s">
        <v>35</v>
      </c>
      <c r="H4661" s="16" t="s">
        <v>36</v>
      </c>
      <c r="I4661" s="16"/>
      <c r="J4661" s="16"/>
      <c r="K4661" s="16"/>
      <c r="L4661" s="20" t="s">
        <v>6143</v>
      </c>
      <c r="M4661" s="20"/>
      <c r="N4661" s="16"/>
      <c r="O4661" s="17" t="s">
        <v>38</v>
      </c>
      <c r="P4661" s="5" t="str">
        <f t="shared" si="108"/>
        <v/>
      </c>
      <c r="Q4661" s="5"/>
      <c r="R4661" s="5"/>
    </row>
    <row r="4662" spans="2:18" ht="54" x14ac:dyDescent="0.25">
      <c r="B4662" s="19" t="s">
        <v>6146</v>
      </c>
      <c r="C4662" s="16" t="s">
        <v>6147</v>
      </c>
      <c r="D4662" s="16" t="s">
        <v>8152</v>
      </c>
      <c r="E4662" s="16" t="s">
        <v>1096</v>
      </c>
      <c r="F4662" s="5" t="s">
        <v>6142</v>
      </c>
      <c r="G4662" s="16" t="s">
        <v>35</v>
      </c>
      <c r="H4662" s="16" t="s">
        <v>36</v>
      </c>
      <c r="I4662" s="16"/>
      <c r="J4662" s="16"/>
      <c r="K4662" s="16"/>
      <c r="L4662" s="20" t="s">
        <v>6143</v>
      </c>
      <c r="M4662" s="20"/>
      <c r="N4662" s="16"/>
      <c r="O4662" s="17" t="s">
        <v>38</v>
      </c>
      <c r="P4662" s="5" t="str">
        <f t="shared" si="108"/>
        <v/>
      </c>
      <c r="Q4662" s="5"/>
      <c r="R4662" s="5"/>
    </row>
    <row r="4663" spans="2:18" ht="54" x14ac:dyDescent="0.25">
      <c r="B4663" s="19" t="s">
        <v>6148</v>
      </c>
      <c r="C4663" s="16" t="s">
        <v>6149</v>
      </c>
      <c r="D4663" s="16" t="s">
        <v>8152</v>
      </c>
      <c r="E4663" s="16" t="s">
        <v>1096</v>
      </c>
      <c r="F4663" s="5" t="s">
        <v>6142</v>
      </c>
      <c r="G4663" s="16" t="s">
        <v>35</v>
      </c>
      <c r="H4663" s="16" t="s">
        <v>36</v>
      </c>
      <c r="I4663" s="16"/>
      <c r="J4663" s="16"/>
      <c r="K4663" s="16"/>
      <c r="L4663" s="20" t="s">
        <v>6143</v>
      </c>
      <c r="M4663" s="20"/>
      <c r="N4663" s="16"/>
      <c r="O4663" s="17" t="s">
        <v>38</v>
      </c>
      <c r="P4663" s="5" t="str">
        <f t="shared" si="108"/>
        <v/>
      </c>
      <c r="Q4663" s="5"/>
      <c r="R4663" s="5"/>
    </row>
    <row r="4664" spans="2:18" ht="54" x14ac:dyDescent="0.25">
      <c r="B4664" s="19" t="s">
        <v>6150</v>
      </c>
      <c r="C4664" s="16" t="s">
        <v>6151</v>
      </c>
      <c r="D4664" s="16" t="s">
        <v>8152</v>
      </c>
      <c r="E4664" s="16" t="s">
        <v>1096</v>
      </c>
      <c r="F4664" s="5" t="s">
        <v>6142</v>
      </c>
      <c r="G4664" s="16" t="s">
        <v>35</v>
      </c>
      <c r="H4664" s="16" t="s">
        <v>36</v>
      </c>
      <c r="I4664" s="16"/>
      <c r="J4664" s="16"/>
      <c r="K4664" s="16"/>
      <c r="L4664" s="20" t="s">
        <v>6143</v>
      </c>
      <c r="M4664" s="20"/>
      <c r="N4664" s="16"/>
      <c r="O4664" s="17" t="s">
        <v>38</v>
      </c>
      <c r="P4664" s="5" t="str">
        <f t="shared" si="108"/>
        <v/>
      </c>
      <c r="Q4664" s="5"/>
      <c r="R4664" s="5"/>
    </row>
    <row r="4665" spans="2:18" x14ac:dyDescent="0.25">
      <c r="B4665" s="19" t="s">
        <v>6152</v>
      </c>
      <c r="C4665" s="16" t="s">
        <v>8394</v>
      </c>
      <c r="D4665" s="16" t="s">
        <v>8152</v>
      </c>
      <c r="E4665" s="16" t="s">
        <v>1096</v>
      </c>
      <c r="F4665" s="5" t="s">
        <v>6142</v>
      </c>
      <c r="G4665" s="16" t="s">
        <v>35</v>
      </c>
      <c r="H4665" s="16" t="s">
        <v>36</v>
      </c>
      <c r="I4665" s="16"/>
      <c r="J4665" s="16"/>
      <c r="K4665" s="16"/>
      <c r="L4665" s="16"/>
      <c r="M4665" s="16"/>
      <c r="N4665" s="16"/>
      <c r="O4665" s="17"/>
      <c r="P4665" s="5" t="str">
        <f t="shared" si="108"/>
        <v/>
      </c>
      <c r="Q4665" s="5"/>
      <c r="R4665" s="5"/>
    </row>
    <row r="4666" spans="2:18" x14ac:dyDescent="0.25">
      <c r="B4666" s="19" t="s">
        <v>6153</v>
      </c>
      <c r="C4666" s="16" t="s">
        <v>8395</v>
      </c>
      <c r="D4666" s="16" t="s">
        <v>8152</v>
      </c>
      <c r="E4666" s="16" t="s">
        <v>1096</v>
      </c>
      <c r="F4666" s="5" t="s">
        <v>6142</v>
      </c>
      <c r="G4666" s="16" t="s">
        <v>35</v>
      </c>
      <c r="H4666" s="16" t="s">
        <v>36</v>
      </c>
      <c r="I4666" s="16"/>
      <c r="J4666" s="16"/>
      <c r="K4666" s="16"/>
      <c r="L4666" s="16"/>
      <c r="M4666" s="16"/>
      <c r="N4666" s="16"/>
      <c r="O4666" s="17"/>
      <c r="P4666" s="5" t="str">
        <f t="shared" si="108"/>
        <v/>
      </c>
      <c r="Q4666" s="5"/>
      <c r="R4666" s="5"/>
    </row>
    <row r="4667" spans="2:18" x14ac:dyDescent="0.25">
      <c r="B4667" s="19" t="s">
        <v>6154</v>
      </c>
      <c r="C4667" s="203" t="s">
        <v>8443</v>
      </c>
      <c r="D4667" s="16" t="s">
        <v>29</v>
      </c>
      <c r="E4667" s="16" t="s">
        <v>1096</v>
      </c>
      <c r="F4667" s="5" t="s">
        <v>6129</v>
      </c>
      <c r="G4667" s="16" t="s">
        <v>35</v>
      </c>
      <c r="H4667" s="16" t="s">
        <v>36</v>
      </c>
      <c r="I4667" s="16"/>
      <c r="J4667" s="16"/>
      <c r="K4667" s="16"/>
      <c r="L4667" s="16"/>
      <c r="M4667" s="16" t="s">
        <v>38</v>
      </c>
      <c r="N4667" s="16"/>
      <c r="O4667" s="17" t="s">
        <v>38</v>
      </c>
      <c r="P4667" s="5" t="str">
        <f t="shared" si="108"/>
        <v>Truncate table SNG229;</v>
      </c>
      <c r="Q4667" s="5"/>
      <c r="R4667" s="5"/>
    </row>
    <row r="4668" spans="2:18" x14ac:dyDescent="0.25">
      <c r="B4668" s="19" t="s">
        <v>6155</v>
      </c>
      <c r="C4668" s="203" t="s">
        <v>8444</v>
      </c>
      <c r="D4668" s="16" t="s">
        <v>29</v>
      </c>
      <c r="E4668" s="16" t="s">
        <v>1096</v>
      </c>
      <c r="F4668" s="5" t="s">
        <v>6142</v>
      </c>
      <c r="G4668" s="16" t="s">
        <v>35</v>
      </c>
      <c r="H4668" s="16" t="s">
        <v>36</v>
      </c>
      <c r="I4668" s="16"/>
      <c r="J4668" s="16"/>
      <c r="K4668" s="16"/>
      <c r="L4668" s="16"/>
      <c r="M4668" s="16"/>
      <c r="N4668" s="16"/>
      <c r="O4668" s="17" t="s">
        <v>38</v>
      </c>
      <c r="P4668" s="5" t="str">
        <f t="shared" si="108"/>
        <v>Truncate table SNG230;</v>
      </c>
      <c r="Q4668" s="5"/>
      <c r="R4668" s="5"/>
    </row>
    <row r="4669" spans="2:18" x14ac:dyDescent="0.25">
      <c r="B4669" s="19" t="s">
        <v>6156</v>
      </c>
      <c r="C4669" s="203" t="s">
        <v>8396</v>
      </c>
      <c r="D4669" s="16" t="s">
        <v>8152</v>
      </c>
      <c r="E4669" s="16" t="s">
        <v>1096</v>
      </c>
      <c r="F4669" s="5" t="s">
        <v>6142</v>
      </c>
      <c r="G4669" s="16" t="s">
        <v>35</v>
      </c>
      <c r="H4669" s="16" t="s">
        <v>36</v>
      </c>
      <c r="I4669" s="16"/>
      <c r="J4669" s="16"/>
      <c r="K4669" s="16"/>
      <c r="L4669" s="16"/>
      <c r="M4669" s="16"/>
      <c r="N4669" s="16"/>
      <c r="O4669" s="17" t="s">
        <v>38</v>
      </c>
      <c r="P4669" s="5" t="str">
        <f t="shared" si="108"/>
        <v/>
      </c>
      <c r="Q4669" s="5"/>
      <c r="R4669" s="5"/>
    </row>
    <row r="4670" spans="2:18" ht="27" x14ac:dyDescent="0.25">
      <c r="B4670" s="19" t="s">
        <v>6157</v>
      </c>
      <c r="C4670" s="203" t="s">
        <v>8475</v>
      </c>
      <c r="D4670" s="16" t="s">
        <v>8152</v>
      </c>
      <c r="E4670" s="16" t="s">
        <v>1096</v>
      </c>
      <c r="F4670" s="5" t="s">
        <v>8202</v>
      </c>
      <c r="G4670" s="16" t="s">
        <v>35</v>
      </c>
      <c r="H4670" s="16" t="s">
        <v>36</v>
      </c>
      <c r="I4670" s="16"/>
      <c r="J4670" s="16"/>
      <c r="K4670" s="16"/>
      <c r="L4670" s="16" t="s">
        <v>8476</v>
      </c>
      <c r="M4670" s="16"/>
      <c r="N4670" s="16"/>
      <c r="O4670" s="17" t="s">
        <v>38</v>
      </c>
      <c r="P4670" s="5" t="str">
        <f t="shared" si="108"/>
        <v/>
      </c>
      <c r="Q4670" s="5"/>
      <c r="R4670" s="5"/>
    </row>
    <row r="4671" spans="2:18" ht="54" x14ac:dyDescent="0.25">
      <c r="B4671" s="19" t="s">
        <v>6158</v>
      </c>
      <c r="C4671" s="275" t="s">
        <v>8398</v>
      </c>
      <c r="D4671" s="16" t="s">
        <v>8152</v>
      </c>
      <c r="E4671" s="16" t="s">
        <v>1096</v>
      </c>
      <c r="F4671" s="5" t="s">
        <v>6142</v>
      </c>
      <c r="G4671" s="16" t="s">
        <v>35</v>
      </c>
      <c r="H4671" s="16" t="s">
        <v>36</v>
      </c>
      <c r="I4671" s="16"/>
      <c r="J4671" s="16"/>
      <c r="K4671" s="16"/>
      <c r="L4671" s="20" t="s">
        <v>6143</v>
      </c>
      <c r="M4671" s="20"/>
      <c r="N4671" s="16"/>
      <c r="O4671" s="17"/>
      <c r="P4671" s="5" t="str">
        <f t="shared" si="108"/>
        <v/>
      </c>
      <c r="Q4671" s="5"/>
      <c r="R4671" s="5"/>
    </row>
    <row r="4672" spans="2:18" x14ac:dyDescent="0.25">
      <c r="B4672" s="19" t="s">
        <v>6159</v>
      </c>
      <c r="C4672" s="16" t="s">
        <v>8397</v>
      </c>
      <c r="D4672" s="16" t="s">
        <v>8152</v>
      </c>
      <c r="E4672" s="16" t="s">
        <v>1096</v>
      </c>
      <c r="F4672" s="5" t="s">
        <v>6142</v>
      </c>
      <c r="G4672" s="16" t="s">
        <v>35</v>
      </c>
      <c r="H4672" s="16" t="s">
        <v>36</v>
      </c>
      <c r="I4672" s="16"/>
      <c r="J4672" s="16"/>
      <c r="K4672" s="16"/>
      <c r="L4672" s="16"/>
      <c r="M4672" s="16"/>
      <c r="N4672" s="16"/>
      <c r="O4672" s="17"/>
      <c r="P4672" s="5" t="str">
        <f t="shared" si="108"/>
        <v/>
      </c>
      <c r="Q4672" s="5"/>
      <c r="R4672" s="5"/>
    </row>
    <row r="4673" spans="2:18" x14ac:dyDescent="0.25">
      <c r="B4673" s="19" t="s">
        <v>6160</v>
      </c>
      <c r="C4673" s="16"/>
      <c r="D4673" s="16" t="s">
        <v>29</v>
      </c>
      <c r="E4673" s="16"/>
      <c r="F4673" s="5"/>
      <c r="G4673" s="16" t="s">
        <v>35</v>
      </c>
      <c r="H4673" s="16" t="s">
        <v>36</v>
      </c>
      <c r="I4673" s="16"/>
      <c r="J4673" s="16"/>
      <c r="K4673" s="16"/>
      <c r="L4673" s="16"/>
      <c r="M4673" s="16"/>
      <c r="N4673" s="16"/>
      <c r="O4673" s="17"/>
      <c r="P4673" s="5" t="str">
        <f t="shared" si="108"/>
        <v>Truncate table SNG235;</v>
      </c>
      <c r="Q4673" s="5"/>
      <c r="R4673" s="5"/>
    </row>
    <row r="4674" spans="2:18" x14ac:dyDescent="0.25">
      <c r="B4674" s="19" t="s">
        <v>6161</v>
      </c>
      <c r="C4674" s="203" t="s">
        <v>8445</v>
      </c>
      <c r="D4674" s="16" t="s">
        <v>29</v>
      </c>
      <c r="E4674" s="16"/>
      <c r="F4674" s="5"/>
      <c r="G4674" s="16" t="s">
        <v>35</v>
      </c>
      <c r="H4674" s="16" t="s">
        <v>36</v>
      </c>
      <c r="I4674" s="16"/>
      <c r="J4674" s="16"/>
      <c r="K4674" s="16"/>
      <c r="L4674" s="16"/>
      <c r="M4674" s="16"/>
      <c r="N4674" s="16"/>
      <c r="O4674" s="17"/>
      <c r="P4674" s="5" t="str">
        <f t="shared" si="108"/>
        <v>Truncate table SNG236;</v>
      </c>
      <c r="Q4674" s="5"/>
      <c r="R4674" s="5"/>
    </row>
    <row r="4675" spans="2:18" x14ac:dyDescent="0.25">
      <c r="B4675" s="19" t="s">
        <v>6162</v>
      </c>
      <c r="C4675" s="203" t="s">
        <v>8446</v>
      </c>
      <c r="D4675" s="16" t="s">
        <v>29</v>
      </c>
      <c r="E4675" s="16"/>
      <c r="F4675" s="5"/>
      <c r="G4675" s="16" t="s">
        <v>35</v>
      </c>
      <c r="H4675" s="16" t="s">
        <v>36</v>
      </c>
      <c r="I4675" s="16"/>
      <c r="J4675" s="16"/>
      <c r="K4675" s="16"/>
      <c r="L4675" s="16"/>
      <c r="M4675" s="16"/>
      <c r="N4675" s="16"/>
      <c r="O4675" s="17"/>
      <c r="P4675" s="5" t="str">
        <f t="shared" si="108"/>
        <v>Truncate table SNG237;</v>
      </c>
      <c r="Q4675" s="5"/>
      <c r="R4675" s="5"/>
    </row>
    <row r="4676" spans="2:18" x14ac:dyDescent="0.25">
      <c r="B4676" s="19" t="s">
        <v>6163</v>
      </c>
      <c r="C4676" s="16" t="s">
        <v>6076</v>
      </c>
      <c r="D4676" s="16" t="s">
        <v>8152</v>
      </c>
      <c r="E4676" s="16" t="s">
        <v>54</v>
      </c>
      <c r="F4676" s="5" t="s">
        <v>163</v>
      </c>
      <c r="G4676" s="16" t="s">
        <v>35</v>
      </c>
      <c r="H4676" s="16" t="s">
        <v>36</v>
      </c>
      <c r="I4676" s="16"/>
      <c r="J4676" s="16"/>
      <c r="K4676" s="16"/>
      <c r="L4676" s="16"/>
      <c r="M4676" s="229"/>
      <c r="N4676" s="16"/>
      <c r="O4676" s="17" t="s">
        <v>38</v>
      </c>
      <c r="P4676" s="5" t="str">
        <f t="shared" si="108"/>
        <v/>
      </c>
      <c r="Q4676" s="5"/>
      <c r="R4676" s="5"/>
    </row>
    <row r="4677" spans="2:18" x14ac:dyDescent="0.25">
      <c r="B4677" s="19" t="s">
        <v>6164</v>
      </c>
      <c r="C4677" s="16"/>
      <c r="D4677" s="16" t="s">
        <v>8152</v>
      </c>
      <c r="E4677" s="16"/>
      <c r="F4677" s="5"/>
      <c r="G4677" s="16" t="s">
        <v>35</v>
      </c>
      <c r="H4677" s="16" t="s">
        <v>36</v>
      </c>
      <c r="I4677" s="16"/>
      <c r="J4677" s="16"/>
      <c r="K4677" s="16"/>
      <c r="L4677" s="16"/>
      <c r="M4677" s="229"/>
      <c r="N4677" s="16"/>
      <c r="O4677" s="17"/>
      <c r="P4677" s="5" t="str">
        <f t="shared" si="108"/>
        <v/>
      </c>
      <c r="Q4677" s="5"/>
      <c r="R4677" s="5"/>
    </row>
    <row r="4678" spans="2:18" x14ac:dyDescent="0.25">
      <c r="B4678" s="19" t="s">
        <v>6165</v>
      </c>
      <c r="C4678" s="16"/>
      <c r="D4678" s="16" t="s">
        <v>29</v>
      </c>
      <c r="E4678" s="16"/>
      <c r="F4678" s="5"/>
      <c r="G4678" s="16" t="s">
        <v>35</v>
      </c>
      <c r="H4678" s="16" t="s">
        <v>36</v>
      </c>
      <c r="I4678" s="16"/>
      <c r="J4678" s="16"/>
      <c r="K4678" s="16"/>
      <c r="L4678" s="16"/>
      <c r="M4678" s="16"/>
      <c r="N4678" s="16"/>
      <c r="O4678" s="17"/>
      <c r="P4678" s="5" t="str">
        <f t="shared" si="108"/>
        <v>Truncate table SNG302;</v>
      </c>
      <c r="Q4678" s="5"/>
      <c r="R4678" s="5"/>
    </row>
    <row r="4679" spans="2:18" x14ac:dyDescent="0.25">
      <c r="B4679" s="19" t="s">
        <v>6166</v>
      </c>
      <c r="C4679" s="16"/>
      <c r="D4679" s="16" t="s">
        <v>29</v>
      </c>
      <c r="E4679" s="16"/>
      <c r="F4679" s="5"/>
      <c r="G4679" s="16" t="s">
        <v>35</v>
      </c>
      <c r="H4679" s="16" t="s">
        <v>36</v>
      </c>
      <c r="I4679" s="16"/>
      <c r="J4679" s="16"/>
      <c r="K4679" s="16"/>
      <c r="L4679" s="16"/>
      <c r="M4679" s="16"/>
      <c r="N4679" s="16"/>
      <c r="O4679" s="17"/>
      <c r="P4679" s="5" t="str">
        <f t="shared" si="108"/>
        <v>Truncate table SNG303;</v>
      </c>
      <c r="Q4679" s="5"/>
      <c r="R4679" s="5"/>
    </row>
    <row r="4680" spans="2:18" x14ac:dyDescent="0.25">
      <c r="B4680" s="19" t="s">
        <v>6167</v>
      </c>
      <c r="C4680" s="203" t="s">
        <v>8447</v>
      </c>
      <c r="D4680" s="16" t="s">
        <v>29</v>
      </c>
      <c r="E4680" s="16"/>
      <c r="F4680" s="5"/>
      <c r="G4680" s="16" t="s">
        <v>35</v>
      </c>
      <c r="H4680" s="16" t="s">
        <v>36</v>
      </c>
      <c r="I4680" s="16"/>
      <c r="J4680" s="16"/>
      <c r="K4680" s="16"/>
      <c r="L4680" s="16"/>
      <c r="M4680" s="16"/>
      <c r="N4680" s="16"/>
      <c r="O4680" s="17"/>
      <c r="P4680" s="5" t="str">
        <f t="shared" si="108"/>
        <v>Truncate table SNG304;</v>
      </c>
      <c r="Q4680" s="5"/>
      <c r="R4680" s="5"/>
    </row>
    <row r="4681" spans="2:18" x14ac:dyDescent="0.25">
      <c r="B4681" s="19" t="s">
        <v>6168</v>
      </c>
      <c r="C4681" s="16"/>
      <c r="D4681" s="16" t="s">
        <v>29</v>
      </c>
      <c r="E4681" s="16"/>
      <c r="F4681" s="5"/>
      <c r="G4681" s="16" t="s">
        <v>35</v>
      </c>
      <c r="H4681" s="16" t="s">
        <v>36</v>
      </c>
      <c r="I4681" s="16"/>
      <c r="J4681" s="16"/>
      <c r="K4681" s="16"/>
      <c r="L4681" s="16"/>
      <c r="M4681" s="16"/>
      <c r="N4681" s="16"/>
      <c r="O4681" s="17"/>
      <c r="P4681" s="5" t="str">
        <f t="shared" si="108"/>
        <v>Truncate table SNG305;</v>
      </c>
      <c r="Q4681" s="5"/>
      <c r="R4681" s="5"/>
    </row>
    <row r="4682" spans="2:18" x14ac:dyDescent="0.25">
      <c r="B4682" s="19" t="s">
        <v>6169</v>
      </c>
      <c r="C4682" s="16"/>
      <c r="D4682" s="16" t="s">
        <v>29</v>
      </c>
      <c r="E4682" s="16"/>
      <c r="F4682" s="5"/>
      <c r="G4682" s="16" t="s">
        <v>35</v>
      </c>
      <c r="H4682" s="16" t="s">
        <v>36</v>
      </c>
      <c r="I4682" s="16"/>
      <c r="J4682" s="16"/>
      <c r="K4682" s="16"/>
      <c r="L4682" s="16"/>
      <c r="M4682" s="16"/>
      <c r="N4682" s="16"/>
      <c r="O4682" s="17"/>
      <c r="P4682" s="5" t="str">
        <f t="shared" si="108"/>
        <v>Truncate table SNG306;</v>
      </c>
      <c r="Q4682" s="5"/>
      <c r="R4682" s="5"/>
    </row>
    <row r="4683" spans="2:18" x14ac:dyDescent="0.25">
      <c r="B4683" s="19" t="s">
        <v>6170</v>
      </c>
      <c r="C4683" s="16"/>
      <c r="D4683" s="16" t="s">
        <v>29</v>
      </c>
      <c r="E4683" s="16"/>
      <c r="F4683" s="5"/>
      <c r="G4683" s="16" t="s">
        <v>35</v>
      </c>
      <c r="H4683" s="16" t="s">
        <v>36</v>
      </c>
      <c r="I4683" s="16"/>
      <c r="J4683" s="16"/>
      <c r="K4683" s="16"/>
      <c r="L4683" s="16"/>
      <c r="M4683" s="16"/>
      <c r="N4683" s="16"/>
      <c r="O4683" s="17"/>
      <c r="P4683" s="5" t="str">
        <f t="shared" si="108"/>
        <v>Truncate table SNG307;</v>
      </c>
      <c r="Q4683" s="5"/>
      <c r="R4683" s="5"/>
    </row>
    <row r="4684" spans="2:18" x14ac:dyDescent="0.25">
      <c r="B4684" s="19" t="s">
        <v>6171</v>
      </c>
      <c r="C4684" s="203" t="s">
        <v>8448</v>
      </c>
      <c r="D4684" s="16" t="s">
        <v>29</v>
      </c>
      <c r="E4684" s="16" t="s">
        <v>54</v>
      </c>
      <c r="F4684" s="5" t="s">
        <v>163</v>
      </c>
      <c r="G4684" s="16" t="s">
        <v>35</v>
      </c>
      <c r="H4684" s="16" t="s">
        <v>36</v>
      </c>
      <c r="I4684" s="16"/>
      <c r="J4684" s="16"/>
      <c r="K4684" s="16"/>
      <c r="L4684" s="16"/>
      <c r="M4684" s="229"/>
      <c r="N4684" s="16"/>
      <c r="O4684" s="17" t="s">
        <v>38</v>
      </c>
      <c r="P4684" s="5" t="str">
        <f t="shared" si="108"/>
        <v>Truncate table SNG308;</v>
      </c>
      <c r="Q4684" s="5"/>
      <c r="R4684" s="5"/>
    </row>
    <row r="4685" spans="2:18" x14ac:dyDescent="0.25">
      <c r="B4685" s="19" t="s">
        <v>6172</v>
      </c>
      <c r="C4685" s="203" t="s">
        <v>8449</v>
      </c>
      <c r="D4685" s="16" t="s">
        <v>29</v>
      </c>
      <c r="E4685" s="16"/>
      <c r="F4685" s="5"/>
      <c r="G4685" s="16" t="s">
        <v>35</v>
      </c>
      <c r="H4685" s="16" t="s">
        <v>36</v>
      </c>
      <c r="I4685" s="16"/>
      <c r="J4685" s="16"/>
      <c r="K4685" s="16"/>
      <c r="L4685" s="16"/>
      <c r="M4685" s="229"/>
      <c r="N4685" s="16"/>
      <c r="O4685" s="17"/>
      <c r="P4685" s="5" t="str">
        <f t="shared" si="108"/>
        <v>Truncate table SNG309;</v>
      </c>
      <c r="Q4685" s="5"/>
      <c r="R4685" s="5"/>
    </row>
    <row r="4686" spans="2:18" x14ac:dyDescent="0.25">
      <c r="B4686" s="19" t="s">
        <v>6173</v>
      </c>
      <c r="C4686" s="203" t="s">
        <v>8450</v>
      </c>
      <c r="D4686" s="16" t="s">
        <v>29</v>
      </c>
      <c r="E4686" s="16"/>
      <c r="F4686" s="5"/>
      <c r="G4686" s="16" t="s">
        <v>35</v>
      </c>
      <c r="H4686" s="16" t="s">
        <v>36</v>
      </c>
      <c r="I4686" s="16"/>
      <c r="J4686" s="16"/>
      <c r="K4686" s="16"/>
      <c r="L4686" s="16"/>
      <c r="M4686" s="16"/>
      <c r="N4686" s="16"/>
      <c r="O4686" s="17"/>
      <c r="P4686" s="5" t="str">
        <f t="shared" si="108"/>
        <v>Truncate table SNG310;</v>
      </c>
      <c r="Q4686" s="5"/>
      <c r="R4686" s="5"/>
    </row>
    <row r="4687" spans="2:18" x14ac:dyDescent="0.25">
      <c r="B4687" s="19" t="s">
        <v>6174</v>
      </c>
      <c r="C4687" s="203" t="s">
        <v>8451</v>
      </c>
      <c r="D4687" s="16" t="s">
        <v>29</v>
      </c>
      <c r="E4687" s="16"/>
      <c r="F4687" s="5"/>
      <c r="G4687" s="16" t="s">
        <v>35</v>
      </c>
      <c r="H4687" s="16" t="s">
        <v>36</v>
      </c>
      <c r="I4687" s="16"/>
      <c r="J4687" s="16"/>
      <c r="K4687" s="16"/>
      <c r="L4687" s="16"/>
      <c r="M4687" s="16"/>
      <c r="N4687" s="16"/>
      <c r="O4687" s="17"/>
      <c r="P4687" s="5" t="str">
        <f t="shared" si="108"/>
        <v>Truncate table SNG315;</v>
      </c>
      <c r="Q4687" s="5"/>
      <c r="R4687" s="5"/>
    </row>
    <row r="4688" spans="2:18" x14ac:dyDescent="0.25">
      <c r="B4688" s="19" t="s">
        <v>6175</v>
      </c>
      <c r="C4688" s="16"/>
      <c r="D4688" s="16" t="s">
        <v>29</v>
      </c>
      <c r="E4688" s="16"/>
      <c r="F4688" s="5"/>
      <c r="G4688" s="16" t="s">
        <v>35</v>
      </c>
      <c r="H4688" s="16" t="s">
        <v>36</v>
      </c>
      <c r="I4688" s="16"/>
      <c r="J4688" s="16"/>
      <c r="K4688" s="16"/>
      <c r="L4688" s="16"/>
      <c r="M4688" s="16"/>
      <c r="N4688" s="16"/>
      <c r="O4688" s="17"/>
      <c r="P4688" s="5" t="str">
        <f t="shared" si="108"/>
        <v>Truncate table SNG320;</v>
      </c>
      <c r="Q4688" s="5"/>
      <c r="R4688" s="5"/>
    </row>
    <row r="4689" spans="2:18" x14ac:dyDescent="0.25">
      <c r="B4689" s="19" t="s">
        <v>6176</v>
      </c>
      <c r="C4689" s="16"/>
      <c r="D4689" s="16" t="s">
        <v>29</v>
      </c>
      <c r="E4689" s="16"/>
      <c r="F4689" s="5"/>
      <c r="G4689" s="16" t="s">
        <v>35</v>
      </c>
      <c r="H4689" s="16" t="s">
        <v>36</v>
      </c>
      <c r="I4689" s="16"/>
      <c r="J4689" s="16"/>
      <c r="K4689" s="16"/>
      <c r="L4689" s="16"/>
      <c r="M4689" s="16"/>
      <c r="N4689" s="16"/>
      <c r="O4689" s="17"/>
      <c r="P4689" s="5" t="str">
        <f t="shared" si="108"/>
        <v>Truncate table SNG321;</v>
      </c>
      <c r="Q4689" s="5"/>
      <c r="R4689" s="5"/>
    </row>
    <row r="4690" spans="2:18" x14ac:dyDescent="0.25">
      <c r="B4690" s="19" t="s">
        <v>6177</v>
      </c>
      <c r="C4690" s="16"/>
      <c r="D4690" s="16" t="s">
        <v>29</v>
      </c>
      <c r="E4690" s="16"/>
      <c r="F4690" s="5"/>
      <c r="G4690" s="16" t="s">
        <v>35</v>
      </c>
      <c r="H4690" s="16" t="s">
        <v>36</v>
      </c>
      <c r="I4690" s="16"/>
      <c r="J4690" s="16"/>
      <c r="K4690" s="16"/>
      <c r="L4690" s="16"/>
      <c r="M4690" s="16"/>
      <c r="N4690" s="16"/>
      <c r="O4690" s="17"/>
      <c r="P4690" s="5" t="str">
        <f t="shared" si="108"/>
        <v>Truncate table SNG322;</v>
      </c>
      <c r="Q4690" s="5"/>
      <c r="R4690" s="5"/>
    </row>
    <row r="4691" spans="2:18" x14ac:dyDescent="0.25">
      <c r="B4691" s="19" t="s">
        <v>6178</v>
      </c>
      <c r="C4691" s="16"/>
      <c r="D4691" s="16" t="s">
        <v>29</v>
      </c>
      <c r="E4691" s="16"/>
      <c r="F4691" s="5"/>
      <c r="G4691" s="16" t="s">
        <v>35</v>
      </c>
      <c r="H4691" s="16" t="s">
        <v>36</v>
      </c>
      <c r="I4691" s="16"/>
      <c r="J4691" s="16"/>
      <c r="K4691" s="16"/>
      <c r="L4691" s="16"/>
      <c r="M4691" s="16"/>
      <c r="N4691" s="16"/>
      <c r="O4691" s="17"/>
      <c r="P4691" s="5" t="str">
        <f t="shared" si="108"/>
        <v>Truncate table SNG323;</v>
      </c>
      <c r="Q4691" s="5"/>
      <c r="R4691" s="5"/>
    </row>
    <row r="4692" spans="2:18" x14ac:dyDescent="0.25">
      <c r="B4692" s="19" t="s">
        <v>6179</v>
      </c>
      <c r="C4692" s="16"/>
      <c r="D4692" s="16" t="s">
        <v>29</v>
      </c>
      <c r="E4692" s="16"/>
      <c r="F4692" s="5"/>
      <c r="G4692" s="16" t="s">
        <v>35</v>
      </c>
      <c r="H4692" s="16" t="s">
        <v>36</v>
      </c>
      <c r="I4692" s="16"/>
      <c r="J4692" s="16"/>
      <c r="K4692" s="16"/>
      <c r="L4692" s="16"/>
      <c r="M4692" s="16"/>
      <c r="N4692" s="16"/>
      <c r="O4692" s="17"/>
      <c r="P4692" s="5" t="str">
        <f t="shared" si="108"/>
        <v>Truncate table SNG324;</v>
      </c>
      <c r="Q4692" s="5"/>
      <c r="R4692" s="5"/>
    </row>
    <row r="4693" spans="2:18" x14ac:dyDescent="0.25">
      <c r="B4693" s="19" t="s">
        <v>6180</v>
      </c>
      <c r="C4693" s="16" t="s">
        <v>6181</v>
      </c>
      <c r="D4693" s="16" t="s">
        <v>8152</v>
      </c>
      <c r="E4693" s="16" t="s">
        <v>54</v>
      </c>
      <c r="F4693" s="5" t="s">
        <v>386</v>
      </c>
      <c r="G4693" s="16" t="s">
        <v>35</v>
      </c>
      <c r="H4693" s="16" t="s">
        <v>36</v>
      </c>
      <c r="I4693" s="16"/>
      <c r="J4693" s="16"/>
      <c r="K4693" s="16"/>
      <c r="L4693" s="16"/>
      <c r="M4693" s="229"/>
      <c r="N4693" s="16"/>
      <c r="O4693" s="17" t="s">
        <v>38</v>
      </c>
      <c r="P4693" s="5" t="str">
        <f t="shared" si="108"/>
        <v/>
      </c>
      <c r="Q4693" s="5"/>
      <c r="R4693" s="5"/>
    </row>
    <row r="4694" spans="2:18" x14ac:dyDescent="0.25">
      <c r="B4694" s="19" t="s">
        <v>6182</v>
      </c>
      <c r="C4694" s="16" t="s">
        <v>8389</v>
      </c>
      <c r="D4694" s="16" t="s">
        <v>8152</v>
      </c>
      <c r="E4694" s="16"/>
      <c r="F4694" s="5" t="s">
        <v>8202</v>
      </c>
      <c r="G4694" s="16" t="s">
        <v>35</v>
      </c>
      <c r="H4694" s="16" t="s">
        <v>36</v>
      </c>
      <c r="I4694" s="16"/>
      <c r="J4694" s="16"/>
      <c r="K4694" s="16"/>
      <c r="L4694" s="16"/>
      <c r="M4694" s="16"/>
      <c r="N4694" s="16"/>
      <c r="O4694" s="17"/>
      <c r="P4694" s="5" t="str">
        <f t="shared" si="108"/>
        <v/>
      </c>
      <c r="Q4694" s="5"/>
      <c r="R4694" s="5"/>
    </row>
    <row r="4695" spans="2:18" x14ac:dyDescent="0.25">
      <c r="B4695" s="19" t="s">
        <v>6183</v>
      </c>
      <c r="C4695" s="16" t="s">
        <v>6076</v>
      </c>
      <c r="D4695" s="16" t="s">
        <v>8152</v>
      </c>
      <c r="E4695" s="16" t="s">
        <v>1096</v>
      </c>
      <c r="F4695" s="5" t="s">
        <v>6142</v>
      </c>
      <c r="G4695" s="16" t="s">
        <v>35</v>
      </c>
      <c r="H4695" s="16" t="s">
        <v>36</v>
      </c>
      <c r="I4695" s="16"/>
      <c r="J4695" s="16"/>
      <c r="K4695" s="16"/>
      <c r="L4695" s="16"/>
      <c r="M4695" s="16"/>
      <c r="N4695" s="16"/>
      <c r="O4695" s="17" t="s">
        <v>38</v>
      </c>
      <c r="P4695" s="5" t="str">
        <f t="shared" si="108"/>
        <v/>
      </c>
      <c r="Q4695" s="5"/>
      <c r="R4695" s="5"/>
    </row>
    <row r="4696" spans="2:18" x14ac:dyDescent="0.25">
      <c r="B4696" s="19" t="s">
        <v>6184</v>
      </c>
      <c r="C4696" s="16" t="s">
        <v>6076</v>
      </c>
      <c r="D4696" s="16" t="s">
        <v>8152</v>
      </c>
      <c r="E4696" s="16" t="s">
        <v>1096</v>
      </c>
      <c r="F4696" s="5" t="s">
        <v>6142</v>
      </c>
      <c r="G4696" s="16" t="s">
        <v>35</v>
      </c>
      <c r="H4696" s="16" t="s">
        <v>36</v>
      </c>
      <c r="I4696" s="16"/>
      <c r="J4696" s="16"/>
      <c r="K4696" s="16"/>
      <c r="L4696" s="16"/>
      <c r="M4696" s="16"/>
      <c r="N4696" s="16"/>
      <c r="O4696" s="17" t="s">
        <v>38</v>
      </c>
      <c r="P4696" s="5" t="str">
        <f t="shared" si="108"/>
        <v/>
      </c>
      <c r="Q4696" s="5"/>
      <c r="R4696" s="5"/>
    </row>
    <row r="4697" spans="2:18" x14ac:dyDescent="0.25">
      <c r="B4697" s="19" t="s">
        <v>6185</v>
      </c>
      <c r="C4697" s="16" t="s">
        <v>8391</v>
      </c>
      <c r="D4697" s="16" t="s">
        <v>8152</v>
      </c>
      <c r="E4697" s="16" t="s">
        <v>1096</v>
      </c>
      <c r="F4697" s="5" t="s">
        <v>8208</v>
      </c>
      <c r="G4697" s="16" t="s">
        <v>35</v>
      </c>
      <c r="H4697" s="16" t="s">
        <v>36</v>
      </c>
      <c r="I4697" s="16"/>
      <c r="J4697" s="16"/>
      <c r="K4697" s="16"/>
      <c r="L4697" s="16"/>
      <c r="M4697" s="16"/>
      <c r="N4697" s="16"/>
      <c r="O4697" s="17"/>
      <c r="P4697" s="5" t="str">
        <f t="shared" si="108"/>
        <v/>
      </c>
      <c r="Q4697" s="5"/>
      <c r="R4697" s="5"/>
    </row>
    <row r="4698" spans="2:18" x14ac:dyDescent="0.25">
      <c r="B4698" s="19" t="s">
        <v>6186</v>
      </c>
      <c r="C4698" s="16" t="s">
        <v>8390</v>
      </c>
      <c r="D4698" s="16" t="s">
        <v>8152</v>
      </c>
      <c r="E4698" s="16" t="s">
        <v>1096</v>
      </c>
      <c r="F4698" s="5" t="s">
        <v>8208</v>
      </c>
      <c r="G4698" s="16" t="s">
        <v>35</v>
      </c>
      <c r="H4698" s="16" t="s">
        <v>36</v>
      </c>
      <c r="I4698" s="16"/>
      <c r="J4698" s="16"/>
      <c r="K4698" s="16"/>
      <c r="L4698" s="16"/>
      <c r="M4698" s="16"/>
      <c r="N4698" s="16"/>
      <c r="O4698" s="17"/>
      <c r="P4698" s="5" t="str">
        <f t="shared" si="108"/>
        <v/>
      </c>
      <c r="Q4698" s="5"/>
      <c r="R4698" s="5"/>
    </row>
    <row r="4699" spans="2:18" x14ac:dyDescent="0.25">
      <c r="B4699" s="19" t="s">
        <v>6187</v>
      </c>
      <c r="C4699" s="16" t="s">
        <v>6076</v>
      </c>
      <c r="D4699" s="16" t="s">
        <v>8152</v>
      </c>
      <c r="E4699" s="16" t="s">
        <v>1096</v>
      </c>
      <c r="F4699" s="5" t="s">
        <v>6142</v>
      </c>
      <c r="G4699" s="16" t="s">
        <v>35</v>
      </c>
      <c r="H4699" s="16" t="s">
        <v>36</v>
      </c>
      <c r="I4699" s="16"/>
      <c r="J4699" s="16"/>
      <c r="K4699" s="16"/>
      <c r="L4699" s="16"/>
      <c r="M4699" s="16"/>
      <c r="N4699" s="16"/>
      <c r="O4699" s="17" t="s">
        <v>38</v>
      </c>
      <c r="P4699" s="5" t="str">
        <f t="shared" si="108"/>
        <v/>
      </c>
      <c r="Q4699" s="5"/>
      <c r="R4699" s="5"/>
    </row>
    <row r="4700" spans="2:18" x14ac:dyDescent="0.25">
      <c r="B4700" s="19" t="s">
        <v>6188</v>
      </c>
      <c r="C4700" s="16"/>
      <c r="D4700" s="16" t="s">
        <v>8152</v>
      </c>
      <c r="E4700" s="16" t="s">
        <v>1096</v>
      </c>
      <c r="F4700" s="5" t="s">
        <v>6142</v>
      </c>
      <c r="G4700" s="16" t="s">
        <v>35</v>
      </c>
      <c r="H4700" s="16" t="s">
        <v>36</v>
      </c>
      <c r="I4700" s="16"/>
      <c r="J4700" s="16"/>
      <c r="K4700" s="16"/>
      <c r="L4700" s="16"/>
      <c r="M4700" s="16"/>
      <c r="N4700" s="16"/>
      <c r="O4700" s="17"/>
      <c r="P4700" s="5" t="str">
        <f t="shared" si="108"/>
        <v/>
      </c>
      <c r="Q4700" s="5"/>
      <c r="R4700" s="5"/>
    </row>
    <row r="4701" spans="2:18" x14ac:dyDescent="0.25">
      <c r="B4701" s="19" t="s">
        <v>6189</v>
      </c>
      <c r="C4701" s="16" t="s">
        <v>8392</v>
      </c>
      <c r="D4701" s="16" t="s">
        <v>8152</v>
      </c>
      <c r="E4701" s="16" t="s">
        <v>1096</v>
      </c>
      <c r="F4701" s="5" t="s">
        <v>6142</v>
      </c>
      <c r="G4701" s="16" t="s">
        <v>35</v>
      </c>
      <c r="H4701" s="16" t="s">
        <v>36</v>
      </c>
      <c r="I4701" s="16"/>
      <c r="J4701" s="16"/>
      <c r="K4701" s="16"/>
      <c r="L4701" s="16"/>
      <c r="M4701" s="16"/>
      <c r="N4701" s="16"/>
      <c r="O4701" s="17"/>
      <c r="P4701" s="5" t="str">
        <f t="shared" si="108"/>
        <v/>
      </c>
      <c r="Q4701" s="5"/>
      <c r="R4701" s="5"/>
    </row>
    <row r="4702" spans="2:18" x14ac:dyDescent="0.25">
      <c r="B4702" s="19" t="s">
        <v>6190</v>
      </c>
      <c r="C4702" s="16"/>
      <c r="D4702" s="16" t="s">
        <v>29</v>
      </c>
      <c r="E4702" s="16"/>
      <c r="F4702" s="5"/>
      <c r="G4702" s="16" t="s">
        <v>35</v>
      </c>
      <c r="H4702" s="16" t="s">
        <v>36</v>
      </c>
      <c r="I4702" s="16"/>
      <c r="J4702" s="16"/>
      <c r="K4702" s="16"/>
      <c r="L4702" s="16"/>
      <c r="M4702" s="16"/>
      <c r="N4702" s="16"/>
      <c r="O4702" s="17"/>
      <c r="P4702" s="5" t="str">
        <f t="shared" si="108"/>
        <v>Truncate table SNG409;</v>
      </c>
      <c r="Q4702" s="5"/>
      <c r="R4702" s="5"/>
    </row>
    <row r="4703" spans="2:18" ht="54" x14ac:dyDescent="0.25">
      <c r="B4703" s="15" t="s">
        <v>6191</v>
      </c>
      <c r="C4703" s="26" t="s">
        <v>6192</v>
      </c>
      <c r="D4703" s="16" t="s">
        <v>29</v>
      </c>
      <c r="E4703" s="16" t="s">
        <v>1096</v>
      </c>
      <c r="F4703" s="5" t="s">
        <v>6142</v>
      </c>
      <c r="G4703" s="16" t="s">
        <v>35</v>
      </c>
      <c r="H4703" s="16" t="s">
        <v>36</v>
      </c>
      <c r="I4703" s="16"/>
      <c r="J4703" s="16"/>
      <c r="K4703" s="16"/>
      <c r="L4703" s="275" t="s">
        <v>6143</v>
      </c>
      <c r="M4703" s="275"/>
      <c r="N4703" s="16"/>
      <c r="O4703" s="17" t="s">
        <v>38</v>
      </c>
      <c r="P4703" s="5" t="str">
        <f t="shared" ref="P4703:P4766" si="109">IF(D4703="Datos","Truncate table "&amp; B4703&amp; ";","")</f>
        <v>Truncate table SNG410;</v>
      </c>
      <c r="Q4703" s="5"/>
      <c r="R4703" s="5"/>
    </row>
    <row r="4704" spans="2:18" x14ac:dyDescent="0.25">
      <c r="B4704" s="19" t="s">
        <v>6193</v>
      </c>
      <c r="C4704" s="16" t="s">
        <v>9690</v>
      </c>
      <c r="D4704" s="16" t="s">
        <v>29</v>
      </c>
      <c r="E4704" s="16" t="s">
        <v>1096</v>
      </c>
      <c r="F4704" s="5" t="s">
        <v>6142</v>
      </c>
      <c r="G4704" s="16" t="s">
        <v>35</v>
      </c>
      <c r="H4704" s="16" t="s">
        <v>36</v>
      </c>
      <c r="I4704" s="16"/>
      <c r="J4704" s="16"/>
      <c r="K4704" s="16"/>
      <c r="L4704" s="16"/>
      <c r="M4704" s="16" t="s">
        <v>38</v>
      </c>
      <c r="N4704" s="16"/>
      <c r="O4704" s="17" t="s">
        <v>38</v>
      </c>
      <c r="P4704" s="5" t="str">
        <f t="shared" si="109"/>
        <v>Truncate table SNG411;</v>
      </c>
      <c r="Q4704" s="5"/>
      <c r="R4704" s="5"/>
    </row>
    <row r="4705" spans="2:18" ht="54" x14ac:dyDescent="0.25">
      <c r="B4705" s="19" t="s">
        <v>6194</v>
      </c>
      <c r="C4705" s="16" t="s">
        <v>9691</v>
      </c>
      <c r="D4705" s="16" t="s">
        <v>29</v>
      </c>
      <c r="E4705" s="16" t="s">
        <v>1096</v>
      </c>
      <c r="F4705" s="5" t="s">
        <v>6142</v>
      </c>
      <c r="G4705" s="16" t="s">
        <v>35</v>
      </c>
      <c r="H4705" s="16" t="s">
        <v>36</v>
      </c>
      <c r="I4705" s="16"/>
      <c r="J4705" s="16"/>
      <c r="K4705" s="16"/>
      <c r="L4705" s="275" t="s">
        <v>6143</v>
      </c>
      <c r="M4705" s="229" t="s">
        <v>38</v>
      </c>
      <c r="N4705" s="16"/>
      <c r="O4705" s="17" t="s">
        <v>38</v>
      </c>
      <c r="P4705" s="5" t="str">
        <f t="shared" si="109"/>
        <v>Truncate table SNG412;</v>
      </c>
      <c r="Q4705" s="5"/>
      <c r="R4705" s="5"/>
    </row>
    <row r="4706" spans="2:18" x14ac:dyDescent="0.25">
      <c r="B4706" s="19" t="s">
        <v>6195</v>
      </c>
      <c r="C4706" s="16" t="s">
        <v>6012</v>
      </c>
      <c r="D4706" s="16" t="s">
        <v>29</v>
      </c>
      <c r="E4706" s="16" t="s">
        <v>1096</v>
      </c>
      <c r="F4706" s="5" t="s">
        <v>6142</v>
      </c>
      <c r="G4706" s="16" t="s">
        <v>35</v>
      </c>
      <c r="H4706" s="16" t="s">
        <v>36</v>
      </c>
      <c r="I4706" s="16"/>
      <c r="J4706" s="16"/>
      <c r="K4706" s="16"/>
      <c r="L4706" s="16"/>
      <c r="M4706" s="16"/>
      <c r="N4706" s="16"/>
      <c r="O4706" s="17" t="s">
        <v>38</v>
      </c>
      <c r="P4706" s="5" t="str">
        <f t="shared" si="109"/>
        <v>Truncate table SNG413;</v>
      </c>
      <c r="Q4706" s="5"/>
      <c r="R4706" s="5"/>
    </row>
    <row r="4707" spans="2:18" x14ac:dyDescent="0.25">
      <c r="B4707" s="19" t="s">
        <v>6196</v>
      </c>
      <c r="C4707" s="203" t="s">
        <v>8452</v>
      </c>
      <c r="D4707" s="16" t="s">
        <v>29</v>
      </c>
      <c r="E4707" s="16"/>
      <c r="F4707" s="5"/>
      <c r="G4707" s="16" t="s">
        <v>35</v>
      </c>
      <c r="H4707" s="16" t="s">
        <v>36</v>
      </c>
      <c r="I4707" s="16"/>
      <c r="J4707" s="16"/>
      <c r="K4707" s="16"/>
      <c r="L4707" s="16"/>
      <c r="M4707" s="16"/>
      <c r="N4707" s="16"/>
      <c r="O4707" s="17"/>
      <c r="P4707" s="5" t="str">
        <f t="shared" si="109"/>
        <v>Truncate table SNG414;</v>
      </c>
      <c r="Q4707" s="5"/>
      <c r="R4707" s="5"/>
    </row>
    <row r="4708" spans="2:18" x14ac:dyDescent="0.25">
      <c r="B4708" s="19" t="s">
        <v>6197</v>
      </c>
      <c r="C4708" s="16"/>
      <c r="D4708" s="16" t="s">
        <v>29</v>
      </c>
      <c r="E4708" s="16"/>
      <c r="F4708" s="5"/>
      <c r="G4708" s="16" t="s">
        <v>35</v>
      </c>
      <c r="H4708" s="16" t="s">
        <v>36</v>
      </c>
      <c r="I4708" s="16"/>
      <c r="J4708" s="16"/>
      <c r="K4708" s="16"/>
      <c r="L4708" s="16"/>
      <c r="M4708" s="16"/>
      <c r="N4708" s="16"/>
      <c r="O4708" s="17"/>
      <c r="P4708" s="5" t="str">
        <f t="shared" si="109"/>
        <v>Truncate table SNG415;</v>
      </c>
      <c r="Q4708" s="5"/>
      <c r="R4708" s="5"/>
    </row>
    <row r="4709" spans="2:18" x14ac:dyDescent="0.25">
      <c r="B4709" s="19" t="s">
        <v>6198</v>
      </c>
      <c r="C4709" s="203" t="s">
        <v>8453</v>
      </c>
      <c r="D4709" s="16" t="s">
        <v>29</v>
      </c>
      <c r="E4709" s="16"/>
      <c r="F4709" s="5"/>
      <c r="G4709" s="16" t="s">
        <v>35</v>
      </c>
      <c r="H4709" s="16" t="s">
        <v>36</v>
      </c>
      <c r="I4709" s="16"/>
      <c r="J4709" s="16"/>
      <c r="K4709" s="16"/>
      <c r="L4709" s="16"/>
      <c r="M4709" s="16"/>
      <c r="N4709" s="16"/>
      <c r="O4709" s="17"/>
      <c r="P4709" s="5" t="str">
        <f t="shared" si="109"/>
        <v>Truncate table SNG416;</v>
      </c>
      <c r="Q4709" s="5"/>
      <c r="R4709" s="5"/>
    </row>
    <row r="4710" spans="2:18" x14ac:dyDescent="0.25">
      <c r="B4710" s="19" t="s">
        <v>6199</v>
      </c>
      <c r="C4710" s="16"/>
      <c r="D4710" s="16" t="s">
        <v>29</v>
      </c>
      <c r="E4710" s="16"/>
      <c r="F4710" s="5"/>
      <c r="G4710" s="16" t="s">
        <v>35</v>
      </c>
      <c r="H4710" s="16" t="s">
        <v>36</v>
      </c>
      <c r="I4710" s="16"/>
      <c r="J4710" s="16"/>
      <c r="K4710" s="16"/>
      <c r="L4710" s="16"/>
      <c r="M4710" s="16"/>
      <c r="N4710" s="16"/>
      <c r="O4710" s="17"/>
      <c r="P4710" s="5" t="str">
        <f t="shared" si="109"/>
        <v>Truncate table SNG418;</v>
      </c>
      <c r="Q4710" s="5"/>
      <c r="R4710" s="5"/>
    </row>
    <row r="4711" spans="2:18" x14ac:dyDescent="0.25">
      <c r="B4711" s="19" t="s">
        <v>6200</v>
      </c>
      <c r="C4711" s="16"/>
      <c r="D4711" s="16" t="s">
        <v>29</v>
      </c>
      <c r="E4711" s="16"/>
      <c r="F4711" s="5"/>
      <c r="G4711" s="16" t="s">
        <v>35</v>
      </c>
      <c r="H4711" s="16" t="s">
        <v>36</v>
      </c>
      <c r="I4711" s="16"/>
      <c r="J4711" s="16"/>
      <c r="K4711" s="16"/>
      <c r="L4711" s="16"/>
      <c r="M4711" s="16"/>
      <c r="N4711" s="16"/>
      <c r="O4711" s="17"/>
      <c r="P4711" s="5" t="str">
        <f t="shared" si="109"/>
        <v>Truncate table SNG419;</v>
      </c>
      <c r="Q4711" s="5"/>
      <c r="R4711" s="5"/>
    </row>
    <row r="4712" spans="2:18" x14ac:dyDescent="0.25">
      <c r="B4712" s="19" t="s">
        <v>6201</v>
      </c>
      <c r="C4712" s="204" t="s">
        <v>8454</v>
      </c>
      <c r="D4712" s="16" t="s">
        <v>29</v>
      </c>
      <c r="E4712" s="20" t="s">
        <v>1096</v>
      </c>
      <c r="F4712" s="22" t="s">
        <v>163</v>
      </c>
      <c r="G4712" s="16" t="s">
        <v>35</v>
      </c>
      <c r="H4712" s="16" t="s">
        <v>36</v>
      </c>
      <c r="I4712" s="16"/>
      <c r="J4712" s="16"/>
      <c r="K4712" s="16"/>
      <c r="L4712" s="16"/>
      <c r="M4712" s="16"/>
      <c r="N4712" s="16"/>
      <c r="O4712" s="17"/>
      <c r="P4712" s="5" t="str">
        <f t="shared" si="109"/>
        <v>Truncate table SNG420;</v>
      </c>
      <c r="Q4712" s="5"/>
      <c r="R4712" s="5"/>
    </row>
    <row r="4713" spans="2:18" x14ac:dyDescent="0.25">
      <c r="B4713" s="19" t="s">
        <v>6202</v>
      </c>
      <c r="C4713" s="203" t="s">
        <v>8455</v>
      </c>
      <c r="D4713" s="16" t="s">
        <v>29</v>
      </c>
      <c r="E4713" s="20" t="s">
        <v>1096</v>
      </c>
      <c r="F4713" s="22" t="s">
        <v>163</v>
      </c>
      <c r="G4713" s="16" t="s">
        <v>35</v>
      </c>
      <c r="H4713" s="16" t="s">
        <v>36</v>
      </c>
      <c r="I4713" s="16"/>
      <c r="J4713" s="16"/>
      <c r="K4713" s="16"/>
      <c r="L4713" s="16"/>
      <c r="M4713" s="16"/>
      <c r="N4713" s="16"/>
      <c r="O4713" s="17"/>
      <c r="P4713" s="5" t="str">
        <f t="shared" si="109"/>
        <v>Truncate table SNG421;</v>
      </c>
      <c r="Q4713" s="5"/>
      <c r="R4713" s="5"/>
    </row>
    <row r="4714" spans="2:18" x14ac:dyDescent="0.25">
      <c r="B4714" s="19" t="s">
        <v>6203</v>
      </c>
      <c r="C4714" s="203" t="s">
        <v>8456</v>
      </c>
      <c r="D4714" s="16" t="s">
        <v>29</v>
      </c>
      <c r="E4714" s="20" t="s">
        <v>1096</v>
      </c>
      <c r="F4714" s="22" t="s">
        <v>163</v>
      </c>
      <c r="G4714" s="16" t="s">
        <v>35</v>
      </c>
      <c r="H4714" s="16" t="s">
        <v>36</v>
      </c>
      <c r="I4714" s="16"/>
      <c r="J4714" s="16"/>
      <c r="K4714" s="16"/>
      <c r="L4714" s="16"/>
      <c r="M4714" s="16"/>
      <c r="N4714" s="16"/>
      <c r="O4714" s="17"/>
      <c r="P4714" s="5" t="str">
        <f t="shared" si="109"/>
        <v>Truncate table SNG422;</v>
      </c>
      <c r="Q4714" s="5"/>
      <c r="R4714" s="5"/>
    </row>
    <row r="4715" spans="2:18" x14ac:dyDescent="0.25">
      <c r="B4715" s="19" t="s">
        <v>6204</v>
      </c>
      <c r="C4715" s="203" t="s">
        <v>8457</v>
      </c>
      <c r="D4715" s="16" t="s">
        <v>29</v>
      </c>
      <c r="E4715" s="20" t="s">
        <v>1096</v>
      </c>
      <c r="F4715" s="22" t="s">
        <v>163</v>
      </c>
      <c r="G4715" s="16" t="s">
        <v>35</v>
      </c>
      <c r="H4715" s="16" t="s">
        <v>36</v>
      </c>
      <c r="I4715" s="16"/>
      <c r="J4715" s="16"/>
      <c r="K4715" s="16"/>
      <c r="L4715" s="16"/>
      <c r="M4715" s="16"/>
      <c r="N4715" s="16"/>
      <c r="O4715" s="17"/>
      <c r="P4715" s="5" t="str">
        <f t="shared" si="109"/>
        <v>Truncate table SNG423;</v>
      </c>
      <c r="Q4715" s="5"/>
      <c r="R4715" s="5"/>
    </row>
    <row r="4716" spans="2:18" x14ac:dyDescent="0.25">
      <c r="B4716" s="19" t="s">
        <v>6205</v>
      </c>
      <c r="C4716" s="16"/>
      <c r="D4716" s="16" t="s">
        <v>29</v>
      </c>
      <c r="E4716" s="16"/>
      <c r="F4716" s="5"/>
      <c r="G4716" s="16" t="s">
        <v>35</v>
      </c>
      <c r="H4716" s="16" t="s">
        <v>36</v>
      </c>
      <c r="I4716" s="16"/>
      <c r="J4716" s="16"/>
      <c r="K4716" s="16"/>
      <c r="L4716" s="16"/>
      <c r="M4716" s="16"/>
      <c r="N4716" s="16"/>
      <c r="O4716" s="17"/>
      <c r="P4716" s="5" t="str">
        <f t="shared" si="109"/>
        <v>Truncate table SNG424;</v>
      </c>
      <c r="Q4716" s="5"/>
      <c r="R4716" s="5"/>
    </row>
    <row r="4717" spans="2:18" x14ac:dyDescent="0.25">
      <c r="B4717" s="19" t="s">
        <v>6206</v>
      </c>
      <c r="C4717" s="21"/>
      <c r="D4717" s="21" t="s">
        <v>29</v>
      </c>
      <c r="E4717" s="21"/>
      <c r="F4717" s="4"/>
      <c r="G4717" s="21" t="s">
        <v>35</v>
      </c>
      <c r="H4717" s="21" t="s">
        <v>36</v>
      </c>
      <c r="I4717" s="21"/>
      <c r="J4717" s="21"/>
      <c r="K4717" s="21"/>
      <c r="L4717" s="21"/>
      <c r="M4717" s="21"/>
      <c r="N4717" s="21"/>
      <c r="O4717" s="78"/>
      <c r="P4717" s="4" t="str">
        <f t="shared" si="109"/>
        <v>Truncate table SNG425;</v>
      </c>
      <c r="Q4717" s="4"/>
      <c r="R4717" s="4"/>
    </row>
    <row r="4718" spans="2:18" ht="54" x14ac:dyDescent="0.25">
      <c r="B4718" s="43" t="s">
        <v>6207</v>
      </c>
      <c r="C4718" s="20" t="s">
        <v>6208</v>
      </c>
      <c r="D4718" s="20" t="s">
        <v>8152</v>
      </c>
      <c r="E4718" s="20" t="s">
        <v>1096</v>
      </c>
      <c r="F4718" s="22" t="s">
        <v>163</v>
      </c>
      <c r="G4718" s="20" t="s">
        <v>35</v>
      </c>
      <c r="H4718" s="20" t="s">
        <v>36</v>
      </c>
      <c r="I4718" s="20" t="s">
        <v>6209</v>
      </c>
      <c r="J4718" s="20" t="s">
        <v>6210</v>
      </c>
      <c r="K4718" s="20" t="s">
        <v>2789</v>
      </c>
      <c r="L4718" s="20" t="s">
        <v>6211</v>
      </c>
      <c r="M4718" s="230"/>
      <c r="N4718" s="20"/>
      <c r="O4718" s="44" t="s">
        <v>38</v>
      </c>
      <c r="P4718" s="22" t="str">
        <f t="shared" si="109"/>
        <v/>
      </c>
      <c r="Q4718" s="22"/>
      <c r="R4718" s="22"/>
    </row>
    <row r="4719" spans="2:18" x14ac:dyDescent="0.25">
      <c r="B4719" s="19" t="s">
        <v>6212</v>
      </c>
      <c r="C4719" s="16" t="s">
        <v>6076</v>
      </c>
      <c r="D4719" s="16" t="s">
        <v>8152</v>
      </c>
      <c r="E4719" s="16" t="s">
        <v>1096</v>
      </c>
      <c r="F4719" s="5" t="s">
        <v>163</v>
      </c>
      <c r="G4719" s="16" t="s">
        <v>35</v>
      </c>
      <c r="H4719" s="16" t="s">
        <v>36</v>
      </c>
      <c r="I4719" s="16"/>
      <c r="J4719" s="16"/>
      <c r="K4719" s="16"/>
      <c r="L4719" s="16"/>
      <c r="M4719" s="229"/>
      <c r="N4719" s="16"/>
      <c r="O4719" s="17" t="s">
        <v>38</v>
      </c>
      <c r="P4719" s="5" t="str">
        <f t="shared" si="109"/>
        <v/>
      </c>
      <c r="Q4719" s="5"/>
      <c r="R4719" s="5"/>
    </row>
    <row r="4720" spans="2:18" ht="12.75" customHeight="1" x14ac:dyDescent="0.25">
      <c r="B4720" s="19" t="s">
        <v>6213</v>
      </c>
      <c r="C4720" s="16" t="s">
        <v>6076</v>
      </c>
      <c r="D4720" s="16" t="s">
        <v>8152</v>
      </c>
      <c r="E4720" s="16" t="s">
        <v>1096</v>
      </c>
      <c r="F4720" s="5" t="s">
        <v>163</v>
      </c>
      <c r="G4720" s="16" t="s">
        <v>35</v>
      </c>
      <c r="H4720" s="16" t="s">
        <v>36</v>
      </c>
      <c r="I4720" s="16"/>
      <c r="J4720" s="16"/>
      <c r="K4720" s="16"/>
      <c r="L4720" s="16"/>
      <c r="M4720" s="229"/>
      <c r="N4720" s="16"/>
      <c r="O4720" s="17" t="s">
        <v>38</v>
      </c>
      <c r="P4720" s="5" t="str">
        <f t="shared" si="109"/>
        <v/>
      </c>
      <c r="Q4720" s="5"/>
      <c r="R4720" s="5"/>
    </row>
    <row r="4721" spans="2:18" ht="54" x14ac:dyDescent="0.25">
      <c r="B4721" s="15" t="s">
        <v>6214</v>
      </c>
      <c r="C4721" s="16" t="s">
        <v>6215</v>
      </c>
      <c r="D4721" s="16" t="s">
        <v>8152</v>
      </c>
      <c r="E4721" s="16" t="s">
        <v>1096</v>
      </c>
      <c r="F4721" s="5" t="s">
        <v>8208</v>
      </c>
      <c r="G4721" s="16" t="s">
        <v>35</v>
      </c>
      <c r="H4721" s="16" t="s">
        <v>36</v>
      </c>
      <c r="I4721" s="16" t="s">
        <v>6216</v>
      </c>
      <c r="J4721" s="16" t="s">
        <v>6217</v>
      </c>
      <c r="K4721" s="16" t="s">
        <v>2789</v>
      </c>
      <c r="L4721" s="20" t="s">
        <v>6211</v>
      </c>
      <c r="M4721" s="229" t="s">
        <v>387</v>
      </c>
      <c r="N4721" s="16"/>
      <c r="O4721" s="17" t="s">
        <v>38</v>
      </c>
      <c r="P4721" s="5" t="str">
        <f t="shared" si="109"/>
        <v/>
      </c>
      <c r="Q4721" s="5"/>
      <c r="R4721" s="5"/>
    </row>
    <row r="4722" spans="2:18" ht="40.5" x14ac:dyDescent="0.25">
      <c r="B4722" s="19" t="s">
        <v>6218</v>
      </c>
      <c r="C4722" s="16" t="s">
        <v>8587</v>
      </c>
      <c r="D4722" s="16" t="s">
        <v>8152</v>
      </c>
      <c r="E4722" s="16" t="s">
        <v>1096</v>
      </c>
      <c r="F4722" s="5" t="s">
        <v>8208</v>
      </c>
      <c r="G4722" s="16" t="s">
        <v>35</v>
      </c>
      <c r="H4722" s="16" t="s">
        <v>36</v>
      </c>
      <c r="I4722" s="16"/>
      <c r="J4722" s="16"/>
      <c r="K4722" s="16"/>
      <c r="L4722" s="21"/>
      <c r="M4722" s="239" t="s">
        <v>8577</v>
      </c>
      <c r="N4722" s="16" t="s">
        <v>8622</v>
      </c>
      <c r="O4722" s="17" t="s">
        <v>38</v>
      </c>
      <c r="P4722" s="5" t="str">
        <f t="shared" si="109"/>
        <v/>
      </c>
      <c r="Q4722" s="5"/>
      <c r="R4722" s="5"/>
    </row>
    <row r="4723" spans="2:18" x14ac:dyDescent="0.25">
      <c r="B4723" s="19" t="s">
        <v>6220</v>
      </c>
      <c r="C4723" s="20" t="s">
        <v>6221</v>
      </c>
      <c r="D4723" s="16" t="s">
        <v>8152</v>
      </c>
      <c r="E4723" s="16" t="s">
        <v>1096</v>
      </c>
      <c r="F4723" s="5" t="s">
        <v>8208</v>
      </c>
      <c r="G4723" s="16" t="s">
        <v>35</v>
      </c>
      <c r="H4723" s="16" t="s">
        <v>36</v>
      </c>
      <c r="I4723" s="16"/>
      <c r="J4723" s="16"/>
      <c r="K4723" s="16"/>
      <c r="L4723" s="21"/>
      <c r="M4723" s="231"/>
      <c r="N4723" s="16"/>
      <c r="O4723" s="17" t="s">
        <v>38</v>
      </c>
      <c r="P4723" s="5" t="str">
        <f t="shared" si="109"/>
        <v/>
      </c>
      <c r="Q4723" s="5"/>
      <c r="R4723" s="5"/>
    </row>
    <row r="4724" spans="2:18" ht="54" x14ac:dyDescent="0.25">
      <c r="B4724" s="43" t="s">
        <v>6222</v>
      </c>
      <c r="C4724" s="20" t="s">
        <v>6223</v>
      </c>
      <c r="D4724" s="20" t="s">
        <v>8152</v>
      </c>
      <c r="E4724" s="16" t="s">
        <v>1096</v>
      </c>
      <c r="F4724" s="5" t="s">
        <v>8208</v>
      </c>
      <c r="G4724" s="20" t="s">
        <v>35</v>
      </c>
      <c r="H4724" s="20" t="s">
        <v>36</v>
      </c>
      <c r="I4724" s="16"/>
      <c r="J4724" s="16"/>
      <c r="K4724" s="16"/>
      <c r="L4724" s="21" t="s">
        <v>6219</v>
      </c>
      <c r="M4724" s="231"/>
      <c r="N4724" s="16"/>
      <c r="O4724" s="17" t="s">
        <v>38</v>
      </c>
      <c r="P4724" s="5" t="str">
        <f t="shared" si="109"/>
        <v/>
      </c>
      <c r="Q4724" s="5"/>
      <c r="R4724" s="5"/>
    </row>
    <row r="4725" spans="2:18" x14ac:dyDescent="0.25">
      <c r="B4725" s="19" t="s">
        <v>6224</v>
      </c>
      <c r="C4725" s="16"/>
      <c r="D4725" s="16" t="s">
        <v>8152</v>
      </c>
      <c r="E4725" s="16"/>
      <c r="F4725" s="5"/>
      <c r="G4725" s="16" t="s">
        <v>35</v>
      </c>
      <c r="H4725" s="16" t="s">
        <v>36</v>
      </c>
      <c r="I4725" s="16"/>
      <c r="J4725" s="16"/>
      <c r="K4725" s="16"/>
      <c r="L4725" s="16"/>
      <c r="M4725" s="229"/>
      <c r="N4725" s="16"/>
      <c r="O4725" s="17"/>
      <c r="P4725" s="5" t="str">
        <f t="shared" si="109"/>
        <v/>
      </c>
      <c r="Q4725" s="5"/>
      <c r="R4725" s="5"/>
    </row>
    <row r="4726" spans="2:18" x14ac:dyDescent="0.25">
      <c r="B4726" s="19" t="s">
        <v>6225</v>
      </c>
      <c r="C4726" s="16"/>
      <c r="D4726" s="16" t="s">
        <v>29</v>
      </c>
      <c r="E4726" s="16"/>
      <c r="F4726" s="5"/>
      <c r="G4726" s="16" t="s">
        <v>35</v>
      </c>
      <c r="H4726" s="16" t="s">
        <v>36</v>
      </c>
      <c r="I4726" s="16"/>
      <c r="J4726" s="16"/>
      <c r="K4726" s="16"/>
      <c r="L4726" s="16"/>
      <c r="M4726" s="16"/>
      <c r="N4726" s="16"/>
      <c r="O4726" s="17"/>
      <c r="P4726" s="5" t="str">
        <f t="shared" si="109"/>
        <v>Truncate table SNG501;</v>
      </c>
      <c r="Q4726" s="5"/>
      <c r="R4726" s="5"/>
    </row>
    <row r="4727" spans="2:18" x14ac:dyDescent="0.25">
      <c r="B4727" s="19" t="s">
        <v>6226</v>
      </c>
      <c r="C4727" s="16"/>
      <c r="D4727" s="16" t="s">
        <v>29</v>
      </c>
      <c r="E4727" s="16"/>
      <c r="F4727" s="5"/>
      <c r="G4727" s="16" t="s">
        <v>35</v>
      </c>
      <c r="H4727" s="16" t="s">
        <v>36</v>
      </c>
      <c r="I4727" s="16"/>
      <c r="J4727" s="16"/>
      <c r="K4727" s="16"/>
      <c r="L4727" s="16"/>
      <c r="M4727" s="16"/>
      <c r="N4727" s="16"/>
      <c r="O4727" s="17"/>
      <c r="P4727" s="5" t="str">
        <f t="shared" si="109"/>
        <v>Truncate table SNG502;</v>
      </c>
      <c r="Q4727" s="5"/>
      <c r="R4727" s="5"/>
    </row>
    <row r="4728" spans="2:18" x14ac:dyDescent="0.25">
      <c r="B4728" s="19" t="s">
        <v>6227</v>
      </c>
      <c r="C4728" s="16"/>
      <c r="D4728" s="16" t="s">
        <v>29</v>
      </c>
      <c r="E4728" s="16"/>
      <c r="F4728" s="5"/>
      <c r="G4728" s="16" t="s">
        <v>35</v>
      </c>
      <c r="H4728" s="16" t="s">
        <v>36</v>
      </c>
      <c r="I4728" s="16"/>
      <c r="J4728" s="16"/>
      <c r="K4728" s="16"/>
      <c r="L4728" s="16"/>
      <c r="M4728" s="16"/>
      <c r="N4728" s="16"/>
      <c r="O4728" s="17"/>
      <c r="P4728" s="5" t="str">
        <f t="shared" si="109"/>
        <v>Truncate table SNG503;</v>
      </c>
      <c r="Q4728" s="5"/>
      <c r="R4728" s="5"/>
    </row>
    <row r="4729" spans="2:18" x14ac:dyDescent="0.25">
      <c r="B4729" s="19" t="s">
        <v>6228</v>
      </c>
      <c r="C4729" s="16"/>
      <c r="D4729" s="16" t="s">
        <v>29</v>
      </c>
      <c r="E4729" s="16"/>
      <c r="F4729" s="5"/>
      <c r="G4729" s="16" t="s">
        <v>35</v>
      </c>
      <c r="H4729" s="16" t="s">
        <v>36</v>
      </c>
      <c r="I4729" s="16"/>
      <c r="J4729" s="16"/>
      <c r="K4729" s="16"/>
      <c r="L4729" s="16"/>
      <c r="M4729" s="16"/>
      <c r="N4729" s="16"/>
      <c r="O4729" s="17"/>
      <c r="P4729" s="5" t="str">
        <f t="shared" si="109"/>
        <v>Truncate table SNG504;</v>
      </c>
      <c r="Q4729" s="5"/>
      <c r="R4729" s="5"/>
    </row>
    <row r="4730" spans="2:18" x14ac:dyDescent="0.25">
      <c r="B4730" s="19" t="s">
        <v>6229</v>
      </c>
      <c r="C4730" s="16"/>
      <c r="D4730" s="16" t="s">
        <v>29</v>
      </c>
      <c r="E4730" s="16"/>
      <c r="F4730" s="5"/>
      <c r="G4730" s="16" t="s">
        <v>35</v>
      </c>
      <c r="H4730" s="16" t="s">
        <v>36</v>
      </c>
      <c r="I4730" s="16"/>
      <c r="J4730" s="16"/>
      <c r="K4730" s="16"/>
      <c r="L4730" s="16"/>
      <c r="M4730" s="16"/>
      <c r="N4730" s="16"/>
      <c r="O4730" s="17"/>
      <c r="P4730" s="5" t="str">
        <f t="shared" si="109"/>
        <v>Truncate table SNG508;</v>
      </c>
      <c r="Q4730" s="5"/>
      <c r="R4730" s="5"/>
    </row>
    <row r="4731" spans="2:18" x14ac:dyDescent="0.25">
      <c r="B4731" s="19" t="s">
        <v>6230</v>
      </c>
      <c r="C4731" s="16"/>
      <c r="D4731" s="16" t="s">
        <v>29</v>
      </c>
      <c r="E4731" s="16"/>
      <c r="F4731" s="5"/>
      <c r="G4731" s="16" t="s">
        <v>35</v>
      </c>
      <c r="H4731" s="16" t="s">
        <v>36</v>
      </c>
      <c r="I4731" s="16"/>
      <c r="J4731" s="16"/>
      <c r="K4731" s="16"/>
      <c r="L4731" s="16"/>
      <c r="M4731" s="16"/>
      <c r="N4731" s="16"/>
      <c r="O4731" s="17"/>
      <c r="P4731" s="5" t="str">
        <f t="shared" si="109"/>
        <v>Truncate table SNG515;</v>
      </c>
      <c r="Q4731" s="5"/>
      <c r="R4731" s="5"/>
    </row>
    <row r="4732" spans="2:18" x14ac:dyDescent="0.25">
      <c r="B4732" s="19" t="s">
        <v>6231</v>
      </c>
      <c r="C4732" s="16"/>
      <c r="D4732" s="16" t="s">
        <v>29</v>
      </c>
      <c r="E4732" s="16"/>
      <c r="F4732" s="5"/>
      <c r="G4732" s="16" t="s">
        <v>35</v>
      </c>
      <c r="H4732" s="16" t="s">
        <v>36</v>
      </c>
      <c r="I4732" s="16"/>
      <c r="J4732" s="16"/>
      <c r="K4732" s="16"/>
      <c r="L4732" s="16"/>
      <c r="M4732" s="16"/>
      <c r="N4732" s="16"/>
      <c r="O4732" s="17"/>
      <c r="P4732" s="5" t="str">
        <f t="shared" si="109"/>
        <v>Truncate table SNG516;</v>
      </c>
      <c r="Q4732" s="5"/>
      <c r="R4732" s="5"/>
    </row>
    <row r="4733" spans="2:18" x14ac:dyDescent="0.25">
      <c r="B4733" s="19" t="s">
        <v>6232</v>
      </c>
      <c r="C4733" s="16"/>
      <c r="D4733" s="16" t="s">
        <v>29</v>
      </c>
      <c r="E4733" s="16"/>
      <c r="F4733" s="5"/>
      <c r="G4733" s="16" t="s">
        <v>35</v>
      </c>
      <c r="H4733" s="16" t="s">
        <v>36</v>
      </c>
      <c r="I4733" s="16"/>
      <c r="J4733" s="16"/>
      <c r="K4733" s="16"/>
      <c r="L4733" s="16"/>
      <c r="M4733" s="16"/>
      <c r="N4733" s="16"/>
      <c r="O4733" s="17"/>
      <c r="P4733" s="5" t="str">
        <f t="shared" si="109"/>
        <v>Truncate table SNG517;</v>
      </c>
      <c r="Q4733" s="5"/>
      <c r="R4733" s="5"/>
    </row>
    <row r="4734" spans="2:18" x14ac:dyDescent="0.25">
      <c r="B4734" s="19" t="s">
        <v>6233</v>
      </c>
      <c r="C4734" s="16"/>
      <c r="D4734" s="16" t="s">
        <v>29</v>
      </c>
      <c r="E4734" s="16"/>
      <c r="F4734" s="5"/>
      <c r="G4734" s="16" t="s">
        <v>35</v>
      </c>
      <c r="H4734" s="16" t="s">
        <v>36</v>
      </c>
      <c r="I4734" s="16"/>
      <c r="J4734" s="16"/>
      <c r="K4734" s="16"/>
      <c r="L4734" s="16"/>
      <c r="M4734" s="16"/>
      <c r="N4734" s="16"/>
      <c r="O4734" s="17"/>
      <c r="P4734" s="5" t="str">
        <f t="shared" si="109"/>
        <v>Truncate table SNG518;</v>
      </c>
      <c r="Q4734" s="5"/>
      <c r="R4734" s="5"/>
    </row>
    <row r="4735" spans="2:18" x14ac:dyDescent="0.25">
      <c r="B4735" s="19" t="s">
        <v>6234</v>
      </c>
      <c r="C4735" s="16"/>
      <c r="D4735" s="16" t="s">
        <v>29</v>
      </c>
      <c r="E4735" s="16"/>
      <c r="F4735" s="5"/>
      <c r="G4735" s="16" t="s">
        <v>35</v>
      </c>
      <c r="H4735" s="16" t="s">
        <v>36</v>
      </c>
      <c r="I4735" s="16"/>
      <c r="J4735" s="16"/>
      <c r="K4735" s="16"/>
      <c r="L4735" s="16"/>
      <c r="M4735" s="16"/>
      <c r="N4735" s="16"/>
      <c r="O4735" s="17"/>
      <c r="P4735" s="5" t="str">
        <f t="shared" si="109"/>
        <v>Truncate table SNG523;</v>
      </c>
      <c r="Q4735" s="5"/>
      <c r="R4735" s="5"/>
    </row>
    <row r="4736" spans="2:18" x14ac:dyDescent="0.25">
      <c r="B4736" s="19" t="s">
        <v>6235</v>
      </c>
      <c r="C4736" s="16"/>
      <c r="D4736" s="16" t="s">
        <v>29</v>
      </c>
      <c r="E4736" s="16"/>
      <c r="F4736" s="5"/>
      <c r="G4736" s="16" t="s">
        <v>35</v>
      </c>
      <c r="H4736" s="16" t="s">
        <v>36</v>
      </c>
      <c r="I4736" s="16"/>
      <c r="J4736" s="16"/>
      <c r="K4736" s="16"/>
      <c r="L4736" s="16"/>
      <c r="M4736" s="16"/>
      <c r="N4736" s="16"/>
      <c r="O4736" s="17"/>
      <c r="P4736" s="5" t="str">
        <f t="shared" si="109"/>
        <v>Truncate table SNG524;</v>
      </c>
      <c r="Q4736" s="5"/>
      <c r="R4736" s="5"/>
    </row>
    <row r="4737" spans="2:18" x14ac:dyDescent="0.25">
      <c r="B4737" s="19" t="s">
        <v>6236</v>
      </c>
      <c r="C4737" s="16"/>
      <c r="D4737" s="16" t="s">
        <v>29</v>
      </c>
      <c r="E4737" s="16"/>
      <c r="F4737" s="5"/>
      <c r="G4737" s="16" t="s">
        <v>35</v>
      </c>
      <c r="H4737" s="16" t="s">
        <v>36</v>
      </c>
      <c r="I4737" s="16"/>
      <c r="J4737" s="16"/>
      <c r="K4737" s="16"/>
      <c r="L4737" s="16"/>
      <c r="M4737" s="16"/>
      <c r="N4737" s="16"/>
      <c r="O4737" s="17"/>
      <c r="P4737" s="5" t="str">
        <f t="shared" si="109"/>
        <v>Truncate table SNG525;</v>
      </c>
      <c r="Q4737" s="5"/>
      <c r="R4737" s="5"/>
    </row>
    <row r="4738" spans="2:18" x14ac:dyDescent="0.25">
      <c r="B4738" s="19" t="s">
        <v>6237</v>
      </c>
      <c r="C4738" s="16"/>
      <c r="D4738" s="16" t="s">
        <v>29</v>
      </c>
      <c r="E4738" s="16"/>
      <c r="F4738" s="5"/>
      <c r="G4738" s="16" t="s">
        <v>35</v>
      </c>
      <c r="H4738" s="16" t="s">
        <v>36</v>
      </c>
      <c r="I4738" s="16"/>
      <c r="J4738" s="16"/>
      <c r="K4738" s="16"/>
      <c r="L4738" s="16"/>
      <c r="M4738" s="16"/>
      <c r="N4738" s="16"/>
      <c r="O4738" s="17"/>
      <c r="P4738" s="5" t="str">
        <f t="shared" si="109"/>
        <v>Truncate table SNG526;</v>
      </c>
      <c r="Q4738" s="5"/>
      <c r="R4738" s="5"/>
    </row>
    <row r="4739" spans="2:18" x14ac:dyDescent="0.25">
      <c r="B4739" s="19" t="s">
        <v>6238</v>
      </c>
      <c r="C4739" s="16"/>
      <c r="D4739" s="16" t="s">
        <v>29</v>
      </c>
      <c r="E4739" s="16"/>
      <c r="F4739" s="5"/>
      <c r="G4739" s="16" t="s">
        <v>35</v>
      </c>
      <c r="H4739" s="16" t="s">
        <v>36</v>
      </c>
      <c r="I4739" s="16"/>
      <c r="J4739" s="16"/>
      <c r="K4739" s="16"/>
      <c r="L4739" s="16"/>
      <c r="M4739" s="16"/>
      <c r="N4739" s="16"/>
      <c r="O4739" s="17"/>
      <c r="P4739" s="5" t="str">
        <f t="shared" si="109"/>
        <v>Truncate table SNG527;</v>
      </c>
      <c r="Q4739" s="5"/>
      <c r="R4739" s="5"/>
    </row>
    <row r="4740" spans="2:18" x14ac:dyDescent="0.25">
      <c r="B4740" s="19" t="s">
        <v>6239</v>
      </c>
      <c r="C4740" s="16"/>
      <c r="D4740" s="16" t="s">
        <v>29</v>
      </c>
      <c r="E4740" s="16"/>
      <c r="F4740" s="5"/>
      <c r="G4740" s="16" t="s">
        <v>35</v>
      </c>
      <c r="H4740" s="16" t="s">
        <v>36</v>
      </c>
      <c r="I4740" s="16"/>
      <c r="J4740" s="16"/>
      <c r="K4740" s="16"/>
      <c r="L4740" s="16"/>
      <c r="M4740" s="16"/>
      <c r="N4740" s="16"/>
      <c r="O4740" s="17"/>
      <c r="P4740" s="5" t="str">
        <f t="shared" si="109"/>
        <v>Truncate table SNG528;</v>
      </c>
      <c r="Q4740" s="5"/>
      <c r="R4740" s="5"/>
    </row>
    <row r="4741" spans="2:18" x14ac:dyDescent="0.25">
      <c r="B4741" s="19" t="s">
        <v>6240</v>
      </c>
      <c r="C4741" s="16"/>
      <c r="D4741" s="16" t="s">
        <v>29</v>
      </c>
      <c r="E4741" s="16"/>
      <c r="F4741" s="5"/>
      <c r="G4741" s="16" t="s">
        <v>35</v>
      </c>
      <c r="H4741" s="16" t="s">
        <v>36</v>
      </c>
      <c r="I4741" s="16"/>
      <c r="J4741" s="16"/>
      <c r="K4741" s="16"/>
      <c r="L4741" s="16"/>
      <c r="M4741" s="16"/>
      <c r="N4741" s="16"/>
      <c r="O4741" s="17"/>
      <c r="P4741" s="5" t="str">
        <f t="shared" si="109"/>
        <v>Truncate table SNG529;</v>
      </c>
      <c r="Q4741" s="5"/>
      <c r="R4741" s="5"/>
    </row>
    <row r="4742" spans="2:18" x14ac:dyDescent="0.25">
      <c r="B4742" s="19" t="s">
        <v>6241</v>
      </c>
      <c r="C4742" s="16"/>
      <c r="D4742" s="16" t="s">
        <v>29</v>
      </c>
      <c r="E4742" s="16"/>
      <c r="F4742" s="5"/>
      <c r="G4742" s="16" t="s">
        <v>35</v>
      </c>
      <c r="H4742" s="16" t="s">
        <v>36</v>
      </c>
      <c r="I4742" s="16"/>
      <c r="J4742" s="16"/>
      <c r="K4742" s="16"/>
      <c r="L4742" s="16"/>
      <c r="M4742" s="16"/>
      <c r="N4742" s="16"/>
      <c r="O4742" s="17"/>
      <c r="P4742" s="5" t="str">
        <f t="shared" si="109"/>
        <v>Truncate table SNG530;</v>
      </c>
      <c r="Q4742" s="5"/>
      <c r="R4742" s="5"/>
    </row>
    <row r="4743" spans="2:18" x14ac:dyDescent="0.25">
      <c r="B4743" s="19" t="s">
        <v>6242</v>
      </c>
      <c r="C4743" s="16"/>
      <c r="D4743" s="16" t="s">
        <v>29</v>
      </c>
      <c r="E4743" s="16"/>
      <c r="F4743" s="5"/>
      <c r="G4743" s="16" t="s">
        <v>35</v>
      </c>
      <c r="H4743" s="16" t="s">
        <v>36</v>
      </c>
      <c r="I4743" s="16"/>
      <c r="J4743" s="16"/>
      <c r="K4743" s="16"/>
      <c r="L4743" s="16"/>
      <c r="M4743" s="16"/>
      <c r="N4743" s="16"/>
      <c r="O4743" s="17"/>
      <c r="P4743" s="5" t="str">
        <f t="shared" si="109"/>
        <v>Truncate table SNG531;</v>
      </c>
      <c r="Q4743" s="5"/>
      <c r="R4743" s="5"/>
    </row>
    <row r="4744" spans="2:18" x14ac:dyDescent="0.25">
      <c r="B4744" s="19" t="s">
        <v>6243</v>
      </c>
      <c r="C4744" s="16" t="s">
        <v>9729</v>
      </c>
      <c r="D4744" s="16" t="s">
        <v>8152</v>
      </c>
      <c r="E4744" s="16" t="s">
        <v>1096</v>
      </c>
      <c r="F4744" s="5" t="s">
        <v>8202</v>
      </c>
      <c r="G4744" s="16" t="s">
        <v>35</v>
      </c>
      <c r="H4744" s="16" t="s">
        <v>36</v>
      </c>
      <c r="I4744" s="16"/>
      <c r="J4744" s="16"/>
      <c r="K4744" s="16"/>
      <c r="L4744" s="16"/>
      <c r="M4744" s="16"/>
      <c r="N4744" s="16"/>
      <c r="O4744" s="17"/>
      <c r="P4744" s="5" t="str">
        <f t="shared" si="109"/>
        <v/>
      </c>
      <c r="Q4744" s="5"/>
      <c r="R4744" s="5"/>
    </row>
    <row r="4745" spans="2:18" x14ac:dyDescent="0.25">
      <c r="B4745" s="19" t="s">
        <v>6244</v>
      </c>
      <c r="C4745" s="16"/>
      <c r="D4745" s="16" t="s">
        <v>29</v>
      </c>
      <c r="E4745" s="16"/>
      <c r="F4745" s="5"/>
      <c r="G4745" s="16" t="s">
        <v>35</v>
      </c>
      <c r="H4745" s="16" t="s">
        <v>36</v>
      </c>
      <c r="I4745" s="16"/>
      <c r="J4745" s="16"/>
      <c r="K4745" s="16"/>
      <c r="L4745" s="16"/>
      <c r="M4745" s="16"/>
      <c r="N4745" s="16"/>
      <c r="O4745" s="17"/>
      <c r="P4745" s="5" t="str">
        <f t="shared" si="109"/>
        <v>Truncate table SNG533;</v>
      </c>
      <c r="Q4745" s="5"/>
      <c r="R4745" s="5"/>
    </row>
    <row r="4746" spans="2:18" x14ac:dyDescent="0.25">
      <c r="B4746" s="19" t="s">
        <v>6245</v>
      </c>
      <c r="C4746" s="16"/>
      <c r="D4746" s="16" t="s">
        <v>29</v>
      </c>
      <c r="E4746" s="16"/>
      <c r="F4746" s="5"/>
      <c r="G4746" s="16" t="s">
        <v>35</v>
      </c>
      <c r="H4746" s="16" t="s">
        <v>36</v>
      </c>
      <c r="I4746" s="16"/>
      <c r="J4746" s="16"/>
      <c r="K4746" s="16"/>
      <c r="L4746" s="16"/>
      <c r="M4746" s="16"/>
      <c r="N4746" s="16"/>
      <c r="O4746" s="17"/>
      <c r="P4746" s="5" t="str">
        <f t="shared" si="109"/>
        <v>Truncate table SNG534;</v>
      </c>
      <c r="Q4746" s="5"/>
      <c r="R4746" s="5"/>
    </row>
    <row r="4747" spans="2:18" x14ac:dyDescent="0.25">
      <c r="B4747" s="19" t="s">
        <v>6246</v>
      </c>
      <c r="C4747" s="16"/>
      <c r="D4747" s="16" t="s">
        <v>29</v>
      </c>
      <c r="E4747" s="16"/>
      <c r="F4747" s="5"/>
      <c r="G4747" s="16" t="s">
        <v>35</v>
      </c>
      <c r="H4747" s="16" t="s">
        <v>36</v>
      </c>
      <c r="I4747" s="16"/>
      <c r="J4747" s="16"/>
      <c r="K4747" s="16"/>
      <c r="L4747" s="16"/>
      <c r="M4747" s="16"/>
      <c r="N4747" s="16"/>
      <c r="O4747" s="17"/>
      <c r="P4747" s="5" t="str">
        <f t="shared" si="109"/>
        <v>Truncate table SNG535;</v>
      </c>
      <c r="Q4747" s="5"/>
      <c r="R4747" s="5"/>
    </row>
    <row r="4748" spans="2:18" x14ac:dyDescent="0.25">
      <c r="B4748" s="19" t="s">
        <v>6247</v>
      </c>
      <c r="C4748" s="16"/>
      <c r="D4748" s="16" t="s">
        <v>29</v>
      </c>
      <c r="E4748" s="16"/>
      <c r="F4748" s="5"/>
      <c r="G4748" s="16" t="s">
        <v>35</v>
      </c>
      <c r="H4748" s="16" t="s">
        <v>36</v>
      </c>
      <c r="I4748" s="16"/>
      <c r="J4748" s="16"/>
      <c r="K4748" s="16"/>
      <c r="L4748" s="16"/>
      <c r="M4748" s="16"/>
      <c r="N4748" s="16"/>
      <c r="O4748" s="17"/>
      <c r="P4748" s="5" t="str">
        <f t="shared" si="109"/>
        <v>Truncate table SNG536;</v>
      </c>
      <c r="Q4748" s="5"/>
      <c r="R4748" s="5"/>
    </row>
    <row r="4749" spans="2:18" x14ac:dyDescent="0.25">
      <c r="B4749" s="19" t="s">
        <v>6248</v>
      </c>
      <c r="C4749" s="16"/>
      <c r="D4749" s="16" t="s">
        <v>29</v>
      </c>
      <c r="E4749" s="16"/>
      <c r="F4749" s="5"/>
      <c r="G4749" s="16" t="s">
        <v>35</v>
      </c>
      <c r="H4749" s="16" t="s">
        <v>36</v>
      </c>
      <c r="I4749" s="16"/>
      <c r="J4749" s="16"/>
      <c r="K4749" s="16"/>
      <c r="L4749" s="16"/>
      <c r="M4749" s="16"/>
      <c r="N4749" s="16"/>
      <c r="O4749" s="17"/>
      <c r="P4749" s="5" t="str">
        <f t="shared" si="109"/>
        <v>Truncate table SNG537;</v>
      </c>
      <c r="Q4749" s="5"/>
      <c r="R4749" s="5"/>
    </row>
    <row r="4750" spans="2:18" x14ac:dyDescent="0.25">
      <c r="B4750" s="19" t="s">
        <v>6249</v>
      </c>
      <c r="C4750" s="16"/>
      <c r="D4750" s="16" t="s">
        <v>29</v>
      </c>
      <c r="E4750" s="16"/>
      <c r="F4750" s="5"/>
      <c r="G4750" s="16" t="s">
        <v>35</v>
      </c>
      <c r="H4750" s="16" t="s">
        <v>36</v>
      </c>
      <c r="I4750" s="16"/>
      <c r="J4750" s="16"/>
      <c r="K4750" s="16"/>
      <c r="L4750" s="16"/>
      <c r="M4750" s="16"/>
      <c r="N4750" s="16"/>
      <c r="O4750" s="17"/>
      <c r="P4750" s="5" t="str">
        <f t="shared" si="109"/>
        <v>Truncate table SNG538;</v>
      </c>
      <c r="Q4750" s="5"/>
      <c r="R4750" s="5"/>
    </row>
    <row r="4751" spans="2:18" x14ac:dyDescent="0.25">
      <c r="B4751" s="19" t="s">
        <v>6250</v>
      </c>
      <c r="C4751" s="16"/>
      <c r="D4751" s="16" t="s">
        <v>29</v>
      </c>
      <c r="E4751" s="16"/>
      <c r="F4751" s="5"/>
      <c r="G4751" s="16" t="s">
        <v>35</v>
      </c>
      <c r="H4751" s="16" t="s">
        <v>36</v>
      </c>
      <c r="I4751" s="16"/>
      <c r="J4751" s="16"/>
      <c r="K4751" s="16"/>
      <c r="L4751" s="16"/>
      <c r="M4751" s="16"/>
      <c r="N4751" s="16"/>
      <c r="O4751" s="17"/>
      <c r="P4751" s="5" t="str">
        <f t="shared" si="109"/>
        <v>Truncate table SNG573;</v>
      </c>
      <c r="Q4751" s="5"/>
      <c r="R4751" s="5"/>
    </row>
    <row r="4752" spans="2:18" x14ac:dyDescent="0.25">
      <c r="B4752" s="19" t="s">
        <v>6251</v>
      </c>
      <c r="C4752" s="16"/>
      <c r="D4752" s="16" t="s">
        <v>29</v>
      </c>
      <c r="E4752" s="16"/>
      <c r="F4752" s="5"/>
      <c r="G4752" s="16" t="s">
        <v>35</v>
      </c>
      <c r="H4752" s="16" t="s">
        <v>36</v>
      </c>
      <c r="I4752" s="16"/>
      <c r="J4752" s="16"/>
      <c r="K4752" s="16"/>
      <c r="L4752" s="16"/>
      <c r="M4752" s="16"/>
      <c r="N4752" s="16"/>
      <c r="O4752" s="17"/>
      <c r="P4752" s="5" t="str">
        <f t="shared" si="109"/>
        <v>Truncate table SNG577;</v>
      </c>
      <c r="Q4752" s="5"/>
      <c r="R4752" s="5"/>
    </row>
    <row r="4753" spans="2:18" x14ac:dyDescent="0.25">
      <c r="B4753" s="19" t="s">
        <v>6252</v>
      </c>
      <c r="C4753" s="16"/>
      <c r="D4753" s="16" t="s">
        <v>29</v>
      </c>
      <c r="E4753" s="16"/>
      <c r="F4753" s="5"/>
      <c r="G4753" s="16" t="s">
        <v>35</v>
      </c>
      <c r="H4753" s="16" t="s">
        <v>36</v>
      </c>
      <c r="I4753" s="16"/>
      <c r="J4753" s="16"/>
      <c r="K4753" s="16"/>
      <c r="L4753" s="16"/>
      <c r="M4753" s="16"/>
      <c r="N4753" s="16"/>
      <c r="O4753" s="17"/>
      <c r="P4753" s="5" t="str">
        <f t="shared" si="109"/>
        <v>Truncate table SNG578;</v>
      </c>
      <c r="Q4753" s="5"/>
      <c r="R4753" s="5"/>
    </row>
    <row r="4754" spans="2:18" x14ac:dyDescent="0.25">
      <c r="B4754" s="19" t="s">
        <v>6253</v>
      </c>
      <c r="C4754" s="16"/>
      <c r="D4754" s="16" t="s">
        <v>29</v>
      </c>
      <c r="E4754" s="16"/>
      <c r="F4754" s="5"/>
      <c r="G4754" s="16" t="s">
        <v>35</v>
      </c>
      <c r="H4754" s="16" t="s">
        <v>36</v>
      </c>
      <c r="I4754" s="16"/>
      <c r="J4754" s="16"/>
      <c r="K4754" s="16"/>
      <c r="L4754" s="16"/>
      <c r="M4754" s="16"/>
      <c r="N4754" s="16"/>
      <c r="O4754" s="17"/>
      <c r="P4754" s="5" t="str">
        <f t="shared" si="109"/>
        <v>Truncate table SNG579;</v>
      </c>
      <c r="Q4754" s="5"/>
      <c r="R4754" s="5"/>
    </row>
    <row r="4755" spans="2:18" x14ac:dyDescent="0.25">
      <c r="B4755" s="19" t="s">
        <v>6254</v>
      </c>
      <c r="C4755" s="16"/>
      <c r="D4755" s="16" t="s">
        <v>29</v>
      </c>
      <c r="E4755" s="16"/>
      <c r="F4755" s="5"/>
      <c r="G4755" s="16" t="s">
        <v>35</v>
      </c>
      <c r="H4755" s="16" t="s">
        <v>36</v>
      </c>
      <c r="I4755" s="16"/>
      <c r="J4755" s="16"/>
      <c r="K4755" s="16"/>
      <c r="L4755" s="16"/>
      <c r="M4755" s="16"/>
      <c r="N4755" s="16"/>
      <c r="O4755" s="17"/>
      <c r="P4755" s="5" t="str">
        <f t="shared" si="109"/>
        <v>Truncate table SNG580;</v>
      </c>
      <c r="Q4755" s="5"/>
      <c r="R4755" s="5"/>
    </row>
    <row r="4756" spans="2:18" x14ac:dyDescent="0.25">
      <c r="B4756" s="19" t="s">
        <v>6255</v>
      </c>
      <c r="C4756" s="16"/>
      <c r="D4756" s="16" t="s">
        <v>29</v>
      </c>
      <c r="E4756" s="16"/>
      <c r="F4756" s="5"/>
      <c r="G4756" s="16" t="s">
        <v>35</v>
      </c>
      <c r="H4756" s="16" t="s">
        <v>36</v>
      </c>
      <c r="I4756" s="16"/>
      <c r="J4756" s="16"/>
      <c r="K4756" s="16"/>
      <c r="L4756" s="16"/>
      <c r="M4756" s="16"/>
      <c r="N4756" s="16"/>
      <c r="O4756" s="17"/>
      <c r="P4756" s="5" t="str">
        <f t="shared" si="109"/>
        <v>Truncate table SNG600;</v>
      </c>
      <c r="Q4756" s="5"/>
      <c r="R4756" s="5"/>
    </row>
    <row r="4757" spans="2:18" x14ac:dyDescent="0.25">
      <c r="B4757" s="19" t="s">
        <v>6256</v>
      </c>
      <c r="C4757" s="16"/>
      <c r="D4757" s="16" t="s">
        <v>29</v>
      </c>
      <c r="E4757" s="16"/>
      <c r="F4757" s="5"/>
      <c r="G4757" s="16" t="s">
        <v>35</v>
      </c>
      <c r="H4757" s="16" t="s">
        <v>36</v>
      </c>
      <c r="I4757" s="16"/>
      <c r="J4757" s="16"/>
      <c r="K4757" s="16"/>
      <c r="L4757" s="16"/>
      <c r="M4757" s="16"/>
      <c r="N4757" s="16"/>
      <c r="O4757" s="17"/>
      <c r="P4757" s="5" t="str">
        <f t="shared" si="109"/>
        <v>Truncate table SNG601;</v>
      </c>
      <c r="Q4757" s="5"/>
      <c r="R4757" s="5"/>
    </row>
    <row r="4758" spans="2:18" x14ac:dyDescent="0.25">
      <c r="B4758" s="19" t="s">
        <v>6257</v>
      </c>
      <c r="C4758" s="16"/>
      <c r="D4758" s="16" t="s">
        <v>29</v>
      </c>
      <c r="E4758" s="16"/>
      <c r="F4758" s="5"/>
      <c r="G4758" s="16" t="s">
        <v>35</v>
      </c>
      <c r="H4758" s="16" t="s">
        <v>36</v>
      </c>
      <c r="I4758" s="16"/>
      <c r="J4758" s="16"/>
      <c r="K4758" s="16"/>
      <c r="L4758" s="16"/>
      <c r="M4758" s="16"/>
      <c r="N4758" s="16"/>
      <c r="O4758" s="17"/>
      <c r="P4758" s="5" t="str">
        <f t="shared" si="109"/>
        <v>Truncate table SNG602;</v>
      </c>
      <c r="Q4758" s="5"/>
      <c r="R4758" s="5"/>
    </row>
    <row r="4759" spans="2:18" x14ac:dyDescent="0.25">
      <c r="B4759" s="19" t="s">
        <v>6258</v>
      </c>
      <c r="C4759" s="16"/>
      <c r="D4759" s="16" t="s">
        <v>29</v>
      </c>
      <c r="E4759" s="16"/>
      <c r="F4759" s="5"/>
      <c r="G4759" s="16" t="s">
        <v>35</v>
      </c>
      <c r="H4759" s="16" t="s">
        <v>36</v>
      </c>
      <c r="I4759" s="16"/>
      <c r="J4759" s="16"/>
      <c r="K4759" s="16"/>
      <c r="L4759" s="16"/>
      <c r="M4759" s="16"/>
      <c r="N4759" s="16"/>
      <c r="O4759" s="17"/>
      <c r="P4759" s="5" t="str">
        <f t="shared" si="109"/>
        <v>Truncate table SNG900;</v>
      </c>
      <c r="Q4759" s="5"/>
      <c r="R4759" s="5"/>
    </row>
    <row r="4760" spans="2:18" x14ac:dyDescent="0.25">
      <c r="B4760" s="19" t="s">
        <v>6259</v>
      </c>
      <c r="C4760" s="16"/>
      <c r="D4760" s="16" t="s">
        <v>29</v>
      </c>
      <c r="E4760" s="16"/>
      <c r="F4760" s="5"/>
      <c r="G4760" s="16" t="s">
        <v>35</v>
      </c>
      <c r="H4760" s="16" t="s">
        <v>36</v>
      </c>
      <c r="I4760" s="16"/>
      <c r="J4760" s="16"/>
      <c r="K4760" s="16"/>
      <c r="L4760" s="16"/>
      <c r="M4760" s="16"/>
      <c r="N4760" s="16"/>
      <c r="O4760" s="17"/>
      <c r="P4760" s="5" t="str">
        <f t="shared" si="109"/>
        <v>Truncate table SNG901;</v>
      </c>
      <c r="Q4760" s="5"/>
      <c r="R4760" s="5"/>
    </row>
    <row r="4761" spans="2:18" x14ac:dyDescent="0.25">
      <c r="B4761" s="19" t="s">
        <v>6260</v>
      </c>
      <c r="C4761" s="16"/>
      <c r="D4761" s="16" t="s">
        <v>29</v>
      </c>
      <c r="E4761" s="16"/>
      <c r="F4761" s="5"/>
      <c r="G4761" s="16" t="s">
        <v>35</v>
      </c>
      <c r="H4761" s="16" t="s">
        <v>36</v>
      </c>
      <c r="I4761" s="16"/>
      <c r="J4761" s="16"/>
      <c r="K4761" s="16"/>
      <c r="L4761" s="16"/>
      <c r="M4761" s="16"/>
      <c r="N4761" s="16"/>
      <c r="O4761" s="17"/>
      <c r="P4761" s="5" t="str">
        <f t="shared" si="109"/>
        <v>Truncate table SNG902;</v>
      </c>
      <c r="Q4761" s="5"/>
      <c r="R4761" s="5"/>
    </row>
    <row r="4762" spans="2:18" x14ac:dyDescent="0.25">
      <c r="B4762" s="19" t="s">
        <v>6261</v>
      </c>
      <c r="C4762" s="16"/>
      <c r="D4762" s="16" t="s">
        <v>29</v>
      </c>
      <c r="E4762" s="16"/>
      <c r="F4762" s="5"/>
      <c r="G4762" s="16" t="s">
        <v>35</v>
      </c>
      <c r="H4762" s="16" t="s">
        <v>36</v>
      </c>
      <c r="I4762" s="16"/>
      <c r="J4762" s="16"/>
      <c r="K4762" s="16"/>
      <c r="L4762" s="16"/>
      <c r="M4762" s="16"/>
      <c r="N4762" s="16"/>
      <c r="O4762" s="17"/>
      <c r="P4762" s="5" t="str">
        <f t="shared" si="109"/>
        <v>Truncate table SNG903;</v>
      </c>
      <c r="Q4762" s="5"/>
      <c r="R4762" s="5"/>
    </row>
    <row r="4763" spans="2:18" x14ac:dyDescent="0.25">
      <c r="B4763" s="19" t="s">
        <v>6262</v>
      </c>
      <c r="C4763" s="16"/>
      <c r="D4763" s="16" t="s">
        <v>29</v>
      </c>
      <c r="E4763" s="16"/>
      <c r="F4763" s="5"/>
      <c r="G4763" s="16" t="s">
        <v>35</v>
      </c>
      <c r="H4763" s="16" t="s">
        <v>36</v>
      </c>
      <c r="I4763" s="16"/>
      <c r="J4763" s="16"/>
      <c r="K4763" s="16"/>
      <c r="L4763" s="16"/>
      <c r="M4763" s="16"/>
      <c r="N4763" s="16"/>
      <c r="O4763" s="17"/>
      <c r="P4763" s="5" t="str">
        <f t="shared" si="109"/>
        <v>Truncate table SNG904;</v>
      </c>
      <c r="Q4763" s="5"/>
      <c r="R4763" s="5"/>
    </row>
    <row r="4764" spans="2:18" x14ac:dyDescent="0.25">
      <c r="B4764" s="19" t="s">
        <v>6263</v>
      </c>
      <c r="C4764" s="16"/>
      <c r="D4764" s="16" t="s">
        <v>29</v>
      </c>
      <c r="E4764" s="16"/>
      <c r="F4764" s="5"/>
      <c r="G4764" s="16" t="s">
        <v>35</v>
      </c>
      <c r="H4764" s="16" t="s">
        <v>36</v>
      </c>
      <c r="I4764" s="16"/>
      <c r="J4764" s="16"/>
      <c r="K4764" s="16"/>
      <c r="L4764" s="16"/>
      <c r="M4764" s="16"/>
      <c r="N4764" s="16"/>
      <c r="O4764" s="17"/>
      <c r="P4764" s="5" t="str">
        <f t="shared" si="109"/>
        <v>Truncate table SNG905;</v>
      </c>
      <c r="Q4764" s="5"/>
      <c r="R4764" s="5"/>
    </row>
    <row r="4765" spans="2:18" x14ac:dyDescent="0.25">
      <c r="B4765" s="19" t="s">
        <v>6264</v>
      </c>
      <c r="C4765" s="16"/>
      <c r="D4765" s="16" t="s">
        <v>29</v>
      </c>
      <c r="E4765" s="16"/>
      <c r="F4765" s="5"/>
      <c r="G4765" s="16" t="s">
        <v>35</v>
      </c>
      <c r="H4765" s="16" t="s">
        <v>36</v>
      </c>
      <c r="I4765" s="16"/>
      <c r="J4765" s="16"/>
      <c r="K4765" s="16"/>
      <c r="L4765" s="16"/>
      <c r="M4765" s="16"/>
      <c r="N4765" s="16"/>
      <c r="O4765" s="17"/>
      <c r="P4765" s="5" t="str">
        <f t="shared" si="109"/>
        <v>Truncate table SNG906;</v>
      </c>
      <c r="Q4765" s="5"/>
      <c r="R4765" s="5"/>
    </row>
    <row r="4766" spans="2:18" x14ac:dyDescent="0.25">
      <c r="B4766" s="19" t="s">
        <v>6265</v>
      </c>
      <c r="C4766" s="16"/>
      <c r="D4766" s="16" t="s">
        <v>29</v>
      </c>
      <c r="E4766" s="16"/>
      <c r="F4766" s="5"/>
      <c r="G4766" s="16" t="s">
        <v>35</v>
      </c>
      <c r="H4766" s="16" t="s">
        <v>36</v>
      </c>
      <c r="I4766" s="16"/>
      <c r="J4766" s="16"/>
      <c r="K4766" s="16"/>
      <c r="L4766" s="16"/>
      <c r="M4766" s="16"/>
      <c r="N4766" s="16"/>
      <c r="O4766" s="17"/>
      <c r="P4766" s="5" t="str">
        <f t="shared" si="109"/>
        <v>Truncate table SNG907;</v>
      </c>
      <c r="Q4766" s="5"/>
      <c r="R4766" s="5"/>
    </row>
    <row r="4767" spans="2:18" x14ac:dyDescent="0.25">
      <c r="B4767" s="19" t="s">
        <v>6266</v>
      </c>
      <c r="C4767" s="16"/>
      <c r="D4767" s="16" t="s">
        <v>29</v>
      </c>
      <c r="E4767" s="16"/>
      <c r="F4767" s="5"/>
      <c r="G4767" s="16" t="s">
        <v>35</v>
      </c>
      <c r="H4767" s="16" t="s">
        <v>36</v>
      </c>
      <c r="I4767" s="16"/>
      <c r="J4767" s="16"/>
      <c r="K4767" s="16"/>
      <c r="L4767" s="16"/>
      <c r="M4767" s="16"/>
      <c r="N4767" s="16"/>
      <c r="O4767" s="17"/>
      <c r="P4767" s="5" t="str">
        <f t="shared" ref="P4767:P4830" si="110">IF(D4767="Datos","Truncate table "&amp; B4767&amp; ";","")</f>
        <v>Truncate table SNG908;</v>
      </c>
      <c r="Q4767" s="5"/>
      <c r="R4767" s="5"/>
    </row>
    <row r="4768" spans="2:18" ht="54" x14ac:dyDescent="0.25">
      <c r="B4768" s="19" t="s">
        <v>6267</v>
      </c>
      <c r="C4768" s="16" t="s">
        <v>6268</v>
      </c>
      <c r="D4768" s="16" t="s">
        <v>29</v>
      </c>
      <c r="E4768" s="16" t="s">
        <v>1096</v>
      </c>
      <c r="F4768" s="5" t="s">
        <v>2407</v>
      </c>
      <c r="G4768" s="16" t="s">
        <v>35</v>
      </c>
      <c r="H4768" s="16" t="s">
        <v>36</v>
      </c>
      <c r="I4768" s="16"/>
      <c r="J4768" s="16"/>
      <c r="K4768" s="16"/>
      <c r="L4768" s="21" t="s">
        <v>6143</v>
      </c>
      <c r="M4768" s="21"/>
      <c r="N4768" s="16"/>
      <c r="O4768" s="17" t="s">
        <v>38</v>
      </c>
      <c r="P4768" s="5" t="str">
        <f t="shared" si="110"/>
        <v>Truncate table SNG909;</v>
      </c>
      <c r="Q4768" s="5"/>
      <c r="R4768" s="5"/>
    </row>
    <row r="4769" spans="2:18" ht="54" x14ac:dyDescent="0.25">
      <c r="B4769" s="19" t="s">
        <v>6269</v>
      </c>
      <c r="C4769" s="16" t="s">
        <v>6270</v>
      </c>
      <c r="D4769" s="16" t="s">
        <v>29</v>
      </c>
      <c r="E4769" s="16"/>
      <c r="F4769" s="5" t="s">
        <v>6142</v>
      </c>
      <c r="G4769" s="16" t="s">
        <v>35</v>
      </c>
      <c r="H4769" s="16" t="s">
        <v>36</v>
      </c>
      <c r="I4769" s="16"/>
      <c r="J4769" s="16"/>
      <c r="K4769" s="16"/>
      <c r="L4769" s="21" t="s">
        <v>6143</v>
      </c>
      <c r="M4769" s="21"/>
      <c r="N4769" s="16"/>
      <c r="O4769" s="17"/>
      <c r="P4769" s="5" t="str">
        <f t="shared" si="110"/>
        <v>Truncate table SNG910;</v>
      </c>
      <c r="Q4769" s="5"/>
      <c r="R4769" s="5"/>
    </row>
    <row r="4770" spans="2:18" x14ac:dyDescent="0.25">
      <c r="B4770" s="19" t="s">
        <v>6271</v>
      </c>
      <c r="C4770" s="16"/>
      <c r="D4770" s="16" t="s">
        <v>29</v>
      </c>
      <c r="E4770" s="16"/>
      <c r="F4770" s="5"/>
      <c r="G4770" s="16" t="s">
        <v>35</v>
      </c>
      <c r="H4770" s="16" t="s">
        <v>36</v>
      </c>
      <c r="I4770" s="16"/>
      <c r="J4770" s="16"/>
      <c r="K4770" s="16"/>
      <c r="L4770" s="16"/>
      <c r="M4770" s="16"/>
      <c r="N4770" s="16"/>
      <c r="O4770" s="17"/>
      <c r="P4770" s="5" t="str">
        <f t="shared" si="110"/>
        <v>Truncate table SNG911;</v>
      </c>
      <c r="Q4770" s="5"/>
      <c r="R4770" s="5"/>
    </row>
    <row r="4771" spans="2:18" ht="54" x14ac:dyDescent="0.25">
      <c r="B4771" s="19" t="s">
        <v>6272</v>
      </c>
      <c r="C4771" s="21" t="s">
        <v>6273</v>
      </c>
      <c r="D4771" s="21" t="s">
        <v>29</v>
      </c>
      <c r="E4771" s="21"/>
      <c r="F4771" s="4" t="s">
        <v>6142</v>
      </c>
      <c r="G4771" s="21" t="s">
        <v>35</v>
      </c>
      <c r="H4771" s="21" t="s">
        <v>36</v>
      </c>
      <c r="I4771" s="16" t="s">
        <v>6274</v>
      </c>
      <c r="J4771" s="16" t="s">
        <v>6275</v>
      </c>
      <c r="K4771" s="227" t="s">
        <v>2789</v>
      </c>
      <c r="L4771" s="21" t="s">
        <v>6143</v>
      </c>
      <c r="M4771" s="225"/>
      <c r="N4771" s="45"/>
      <c r="O4771" s="17"/>
      <c r="P4771" s="5" t="str">
        <f t="shared" si="110"/>
        <v>Truncate table SNG912;</v>
      </c>
      <c r="Q4771" s="5"/>
      <c r="R4771" s="5"/>
    </row>
    <row r="4772" spans="2:18" ht="54" x14ac:dyDescent="0.25">
      <c r="B4772" s="15" t="s">
        <v>6276</v>
      </c>
      <c r="C4772" s="16" t="s">
        <v>6277</v>
      </c>
      <c r="D4772" s="16" t="s">
        <v>29</v>
      </c>
      <c r="E4772" s="16"/>
      <c r="F4772" s="5" t="s">
        <v>6142</v>
      </c>
      <c r="G4772" s="16" t="s">
        <v>35</v>
      </c>
      <c r="H4772" s="16" t="s">
        <v>36</v>
      </c>
      <c r="I4772" s="16" t="s">
        <v>6278</v>
      </c>
      <c r="J4772" s="16" t="s">
        <v>6279</v>
      </c>
      <c r="K4772" s="16" t="s">
        <v>6280</v>
      </c>
      <c r="L4772" s="16" t="s">
        <v>6143</v>
      </c>
      <c r="M4772" s="16"/>
      <c r="N4772" s="16"/>
      <c r="O4772" s="17"/>
      <c r="P4772" s="5" t="str">
        <f t="shared" si="110"/>
        <v>Truncate table SNG913;</v>
      </c>
      <c r="Q4772" s="5"/>
      <c r="R4772" s="5"/>
    </row>
    <row r="4773" spans="2:18" x14ac:dyDescent="0.25">
      <c r="B4773" s="19" t="s">
        <v>6281</v>
      </c>
      <c r="C4773" s="16"/>
      <c r="D4773" s="16" t="s">
        <v>29</v>
      </c>
      <c r="E4773" s="16"/>
      <c r="F4773" s="5"/>
      <c r="G4773" s="16" t="s">
        <v>35</v>
      </c>
      <c r="H4773" s="16" t="s">
        <v>36</v>
      </c>
      <c r="I4773" s="16"/>
      <c r="J4773" s="16"/>
      <c r="K4773" s="16"/>
      <c r="L4773" s="16"/>
      <c r="M4773" s="16"/>
      <c r="N4773" s="16"/>
      <c r="O4773" s="17"/>
      <c r="P4773" s="5" t="str">
        <f t="shared" si="110"/>
        <v>Truncate table SNG914;</v>
      </c>
      <c r="Q4773" s="5"/>
      <c r="R4773" s="5"/>
    </row>
    <row r="4774" spans="2:18" ht="54" x14ac:dyDescent="0.25">
      <c r="B4774" s="19" t="s">
        <v>6282</v>
      </c>
      <c r="C4774" s="16" t="s">
        <v>6283</v>
      </c>
      <c r="D4774" s="16" t="s">
        <v>29</v>
      </c>
      <c r="E4774" s="16"/>
      <c r="F4774" s="5" t="s">
        <v>6142</v>
      </c>
      <c r="G4774" s="16" t="s">
        <v>35</v>
      </c>
      <c r="H4774" s="16" t="s">
        <v>36</v>
      </c>
      <c r="I4774" s="16"/>
      <c r="J4774" s="16"/>
      <c r="K4774" s="16"/>
      <c r="L4774" s="21" t="s">
        <v>6143</v>
      </c>
      <c r="M4774" s="21"/>
      <c r="N4774" s="16"/>
      <c r="O4774" s="17"/>
      <c r="P4774" s="5" t="str">
        <f t="shared" si="110"/>
        <v>Truncate table SNG915;</v>
      </c>
      <c r="Q4774" s="5"/>
      <c r="R4774" s="5"/>
    </row>
    <row r="4775" spans="2:18" ht="40.5" x14ac:dyDescent="0.25">
      <c r="B4775" s="19" t="s">
        <v>6284</v>
      </c>
      <c r="C4775" s="16" t="s">
        <v>6285</v>
      </c>
      <c r="D4775" s="16" t="s">
        <v>8152</v>
      </c>
      <c r="E4775" s="16" t="s">
        <v>1096</v>
      </c>
      <c r="F4775" s="5" t="s">
        <v>2407</v>
      </c>
      <c r="G4775" s="16" t="s">
        <v>35</v>
      </c>
      <c r="H4775" s="16" t="s">
        <v>36</v>
      </c>
      <c r="I4775" s="16"/>
      <c r="J4775" s="5" t="s">
        <v>6286</v>
      </c>
      <c r="K4775" s="16"/>
      <c r="L4775" s="16"/>
      <c r="M4775" s="16"/>
      <c r="N4775" s="16"/>
      <c r="O4775" s="17" t="s">
        <v>38</v>
      </c>
      <c r="P4775" s="5" t="str">
        <f t="shared" si="110"/>
        <v/>
      </c>
      <c r="Q4775" s="5"/>
      <c r="R4775" s="5"/>
    </row>
    <row r="4776" spans="2:18" x14ac:dyDescent="0.25">
      <c r="B4776" s="19" t="s">
        <v>6287</v>
      </c>
      <c r="C4776" s="16"/>
      <c r="D4776" s="16" t="s">
        <v>29</v>
      </c>
      <c r="E4776" s="16"/>
      <c r="F4776" s="5"/>
      <c r="G4776" s="16" t="s">
        <v>35</v>
      </c>
      <c r="H4776" s="16" t="s">
        <v>36</v>
      </c>
      <c r="I4776" s="16"/>
      <c r="J4776" s="16"/>
      <c r="K4776" s="16"/>
      <c r="L4776" s="16"/>
      <c r="M4776" s="16"/>
      <c r="N4776" s="16"/>
      <c r="O4776" s="17"/>
      <c r="P4776" s="5" t="str">
        <f t="shared" si="110"/>
        <v>Truncate table SNGAS1;</v>
      </c>
      <c r="Q4776" s="5"/>
      <c r="R4776" s="5"/>
    </row>
    <row r="4777" spans="2:18" x14ac:dyDescent="0.25">
      <c r="B4777" s="19" t="s">
        <v>6288</v>
      </c>
      <c r="C4777" s="16" t="s">
        <v>6076</v>
      </c>
      <c r="D4777" s="16" t="s">
        <v>8152</v>
      </c>
      <c r="E4777" s="16" t="s">
        <v>54</v>
      </c>
      <c r="F4777" s="5" t="s">
        <v>163</v>
      </c>
      <c r="G4777" s="16" t="s">
        <v>35</v>
      </c>
      <c r="H4777" s="16" t="s">
        <v>36</v>
      </c>
      <c r="I4777" s="16"/>
      <c r="J4777" s="16"/>
      <c r="K4777" s="16"/>
      <c r="L4777" s="16"/>
      <c r="M4777" s="229"/>
      <c r="N4777" s="16"/>
      <c r="O4777" s="17" t="s">
        <v>38</v>
      </c>
      <c r="P4777" s="5" t="str">
        <f t="shared" si="110"/>
        <v/>
      </c>
      <c r="Q4777" s="5"/>
      <c r="R4777" s="5"/>
    </row>
    <row r="4778" spans="2:18" x14ac:dyDescent="0.25">
      <c r="B4778" s="19" t="s">
        <v>6289</v>
      </c>
      <c r="C4778" s="203" t="s">
        <v>8458</v>
      </c>
      <c r="D4778" s="16" t="s">
        <v>29</v>
      </c>
      <c r="E4778" s="16"/>
      <c r="F4778" s="5"/>
      <c r="G4778" s="16" t="s">
        <v>35</v>
      </c>
      <c r="H4778" s="16" t="s">
        <v>36</v>
      </c>
      <c r="I4778" s="16"/>
      <c r="J4778" s="16"/>
      <c r="K4778" s="16"/>
      <c r="L4778" s="16"/>
      <c r="M4778" s="229"/>
      <c r="N4778" s="16"/>
      <c r="O4778" s="17"/>
      <c r="P4778" s="5" t="str">
        <f t="shared" si="110"/>
        <v>Truncate table SNGAS3;</v>
      </c>
      <c r="Q4778" s="5"/>
      <c r="R4778" s="5"/>
    </row>
    <row r="4779" spans="2:18" x14ac:dyDescent="0.25">
      <c r="B4779" s="19" t="s">
        <v>6290</v>
      </c>
      <c r="C4779" s="203" t="s">
        <v>8459</v>
      </c>
      <c r="D4779" s="16" t="s">
        <v>29</v>
      </c>
      <c r="E4779" s="16"/>
      <c r="F4779" s="5"/>
      <c r="G4779" s="16" t="s">
        <v>35</v>
      </c>
      <c r="H4779" s="16" t="s">
        <v>36</v>
      </c>
      <c r="I4779" s="16"/>
      <c r="J4779" s="16"/>
      <c r="K4779" s="16"/>
      <c r="L4779" s="16"/>
      <c r="M4779" s="16"/>
      <c r="N4779" s="16"/>
      <c r="O4779" s="17"/>
      <c r="P4779" s="5" t="str">
        <f t="shared" si="110"/>
        <v>Truncate table SNGAS4;</v>
      </c>
      <c r="Q4779" s="5"/>
      <c r="R4779" s="5"/>
    </row>
    <row r="4780" spans="2:18" x14ac:dyDescent="0.25">
      <c r="B4780" s="19" t="s">
        <v>6291</v>
      </c>
      <c r="C4780" s="16" t="s">
        <v>8484</v>
      </c>
      <c r="D4780" s="16" t="s">
        <v>8152</v>
      </c>
      <c r="E4780" s="16" t="s">
        <v>54</v>
      </c>
      <c r="F4780" s="5" t="s">
        <v>163</v>
      </c>
      <c r="G4780" s="16" t="s">
        <v>35</v>
      </c>
      <c r="H4780" s="16" t="s">
        <v>36</v>
      </c>
      <c r="I4780" s="16"/>
      <c r="J4780" s="16"/>
      <c r="K4780" s="16"/>
      <c r="L4780" s="16"/>
      <c r="M4780" s="229"/>
      <c r="N4780" s="16"/>
      <c r="O4780" s="17" t="s">
        <v>38</v>
      </c>
      <c r="P4780" s="5" t="str">
        <f t="shared" si="110"/>
        <v/>
      </c>
      <c r="Q4780" s="5"/>
      <c r="R4780" s="5"/>
    </row>
    <row r="4781" spans="2:18" x14ac:dyDescent="0.25">
      <c r="B4781" s="19" t="s">
        <v>6292</v>
      </c>
      <c r="C4781" s="16" t="s">
        <v>8485</v>
      </c>
      <c r="D4781" s="16" t="s">
        <v>8152</v>
      </c>
      <c r="E4781" s="16" t="s">
        <v>54</v>
      </c>
      <c r="F4781" s="5" t="s">
        <v>163</v>
      </c>
      <c r="G4781" s="16" t="s">
        <v>35</v>
      </c>
      <c r="H4781" s="16" t="s">
        <v>36</v>
      </c>
      <c r="I4781" s="16"/>
      <c r="J4781" s="16"/>
      <c r="K4781" s="16"/>
      <c r="L4781" s="16"/>
      <c r="M4781" s="229"/>
      <c r="N4781" s="16"/>
      <c r="O4781" s="17" t="s">
        <v>38</v>
      </c>
      <c r="P4781" s="5" t="str">
        <f t="shared" si="110"/>
        <v/>
      </c>
      <c r="Q4781" s="5"/>
      <c r="R4781" s="5"/>
    </row>
    <row r="4782" spans="2:18" x14ac:dyDescent="0.25">
      <c r="B4782" s="19" t="s">
        <v>6293</v>
      </c>
      <c r="C4782" s="16" t="s">
        <v>8486</v>
      </c>
      <c r="D4782" s="16" t="s">
        <v>8152</v>
      </c>
      <c r="E4782" s="16" t="s">
        <v>54</v>
      </c>
      <c r="F4782" s="5" t="s">
        <v>163</v>
      </c>
      <c r="G4782" s="16" t="s">
        <v>35</v>
      </c>
      <c r="H4782" s="16" t="s">
        <v>36</v>
      </c>
      <c r="I4782" s="16"/>
      <c r="J4782" s="16"/>
      <c r="K4782" s="16"/>
      <c r="L4782" s="16"/>
      <c r="M4782" s="229"/>
      <c r="N4782" s="16"/>
      <c r="O4782" s="17" t="s">
        <v>38</v>
      </c>
      <c r="P4782" s="5" t="str">
        <f t="shared" si="110"/>
        <v/>
      </c>
      <c r="Q4782" s="5"/>
      <c r="R4782" s="5"/>
    </row>
    <row r="4783" spans="2:18" x14ac:dyDescent="0.25">
      <c r="B4783" s="19" t="s">
        <v>6294</v>
      </c>
      <c r="C4783" s="16" t="s">
        <v>8487</v>
      </c>
      <c r="D4783" s="16" t="s">
        <v>8152</v>
      </c>
      <c r="E4783" s="16" t="s">
        <v>54</v>
      </c>
      <c r="F4783" s="5" t="s">
        <v>163</v>
      </c>
      <c r="G4783" s="16" t="s">
        <v>35</v>
      </c>
      <c r="H4783" s="16" t="s">
        <v>36</v>
      </c>
      <c r="I4783" s="16"/>
      <c r="J4783" s="16"/>
      <c r="K4783" s="16"/>
      <c r="L4783" s="16"/>
      <c r="M4783" s="229"/>
      <c r="N4783" s="16"/>
      <c r="O4783" s="17" t="s">
        <v>38</v>
      </c>
      <c r="P4783" s="5" t="str">
        <f t="shared" si="110"/>
        <v/>
      </c>
      <c r="Q4783" s="5"/>
      <c r="R4783" s="5"/>
    </row>
    <row r="4784" spans="2:18" x14ac:dyDescent="0.25">
      <c r="B4784" s="19" t="s">
        <v>6295</v>
      </c>
      <c r="C4784" s="385" t="s">
        <v>8488</v>
      </c>
      <c r="D4784" s="16" t="s">
        <v>8152</v>
      </c>
      <c r="E4784" s="16" t="s">
        <v>54</v>
      </c>
      <c r="F4784" s="5" t="s">
        <v>163</v>
      </c>
      <c r="G4784" s="16" t="s">
        <v>35</v>
      </c>
      <c r="H4784" s="16" t="s">
        <v>36</v>
      </c>
      <c r="I4784" s="16"/>
      <c r="J4784" s="16"/>
      <c r="K4784" s="16"/>
      <c r="L4784" s="16"/>
      <c r="M4784" s="229"/>
      <c r="N4784" s="16"/>
      <c r="O4784" s="17"/>
      <c r="P4784" s="5" t="str">
        <f t="shared" si="110"/>
        <v/>
      </c>
      <c r="Q4784" s="5"/>
      <c r="R4784" s="5"/>
    </row>
    <row r="4785" spans="2:18" x14ac:dyDescent="0.25">
      <c r="B4785" s="19" t="s">
        <v>6296</v>
      </c>
      <c r="C4785" s="16" t="s">
        <v>8489</v>
      </c>
      <c r="D4785" s="16" t="s">
        <v>8152</v>
      </c>
      <c r="E4785" s="16" t="s">
        <v>54</v>
      </c>
      <c r="F4785" s="5" t="s">
        <v>163</v>
      </c>
      <c r="G4785" s="16" t="s">
        <v>35</v>
      </c>
      <c r="H4785" s="16" t="s">
        <v>36</v>
      </c>
      <c r="I4785" s="16"/>
      <c r="J4785" s="16"/>
      <c r="K4785" s="16"/>
      <c r="L4785" s="16"/>
      <c r="M4785" s="229"/>
      <c r="N4785" s="16"/>
      <c r="O4785" s="17"/>
      <c r="P4785" s="5" t="str">
        <f t="shared" si="110"/>
        <v/>
      </c>
      <c r="Q4785" s="5"/>
      <c r="R4785" s="5"/>
    </row>
    <row r="4786" spans="2:18" x14ac:dyDescent="0.25">
      <c r="B4786" s="19" t="s">
        <v>6297</v>
      </c>
      <c r="C4786" s="385" t="s">
        <v>8490</v>
      </c>
      <c r="D4786" s="16" t="s">
        <v>8152</v>
      </c>
      <c r="E4786" s="16" t="s">
        <v>54</v>
      </c>
      <c r="F4786" s="5" t="s">
        <v>163</v>
      </c>
      <c r="G4786" s="16" t="s">
        <v>35</v>
      </c>
      <c r="H4786" s="16" t="s">
        <v>36</v>
      </c>
      <c r="I4786" s="16"/>
      <c r="J4786" s="16"/>
      <c r="K4786" s="16"/>
      <c r="L4786" s="16"/>
      <c r="M4786" s="229"/>
      <c r="N4786" s="16"/>
      <c r="O4786" s="17" t="s">
        <v>38</v>
      </c>
      <c r="P4786" s="5" t="str">
        <f t="shared" si="110"/>
        <v/>
      </c>
      <c r="Q4786" s="5"/>
      <c r="R4786" s="5"/>
    </row>
    <row r="4787" spans="2:18" x14ac:dyDescent="0.25">
      <c r="B4787" s="19" t="s">
        <v>6298</v>
      </c>
      <c r="C4787" s="16" t="s">
        <v>8491</v>
      </c>
      <c r="D4787" s="16" t="s">
        <v>8152</v>
      </c>
      <c r="E4787" s="16" t="s">
        <v>54</v>
      </c>
      <c r="F4787" s="5" t="s">
        <v>163</v>
      </c>
      <c r="G4787" s="16" t="s">
        <v>35</v>
      </c>
      <c r="H4787" s="16" t="s">
        <v>36</v>
      </c>
      <c r="I4787" s="16"/>
      <c r="J4787" s="16"/>
      <c r="K4787" s="16"/>
      <c r="L4787" s="16"/>
      <c r="M4787" s="229"/>
      <c r="N4787" s="16"/>
      <c r="O4787" s="17" t="s">
        <v>38</v>
      </c>
      <c r="P4787" s="5" t="str">
        <f t="shared" si="110"/>
        <v/>
      </c>
      <c r="Q4787" s="5"/>
      <c r="R4787" s="5"/>
    </row>
    <row r="4788" spans="2:18" x14ac:dyDescent="0.25">
      <c r="B4788" s="19" t="s">
        <v>6299</v>
      </c>
      <c r="C4788" s="16" t="s">
        <v>6300</v>
      </c>
      <c r="D4788" s="16" t="s">
        <v>29</v>
      </c>
      <c r="E4788" s="16" t="s">
        <v>54</v>
      </c>
      <c r="F4788" s="5" t="s">
        <v>163</v>
      </c>
      <c r="G4788" s="16" t="s">
        <v>35</v>
      </c>
      <c r="H4788" s="16" t="s">
        <v>36</v>
      </c>
      <c r="I4788" s="16"/>
      <c r="J4788" s="16"/>
      <c r="K4788" s="16"/>
      <c r="L4788" s="16"/>
      <c r="M4788" s="16"/>
      <c r="N4788" s="16"/>
      <c r="O4788" s="17" t="s">
        <v>38</v>
      </c>
      <c r="P4788" s="5" t="str">
        <f t="shared" si="110"/>
        <v>Truncate table SNGC10;</v>
      </c>
      <c r="Q4788" s="5"/>
      <c r="R4788" s="5"/>
    </row>
    <row r="4789" spans="2:18" x14ac:dyDescent="0.25">
      <c r="B4789" s="19" t="s">
        <v>6301</v>
      </c>
      <c r="C4789" s="16" t="s">
        <v>6302</v>
      </c>
      <c r="D4789" s="16" t="s">
        <v>29</v>
      </c>
      <c r="E4789" s="16" t="s">
        <v>54</v>
      </c>
      <c r="F4789" s="5" t="s">
        <v>163</v>
      </c>
      <c r="G4789" s="16" t="s">
        <v>35</v>
      </c>
      <c r="H4789" s="16" t="s">
        <v>36</v>
      </c>
      <c r="I4789" s="16"/>
      <c r="J4789" s="16"/>
      <c r="K4789" s="16"/>
      <c r="L4789" s="16"/>
      <c r="M4789" s="16"/>
      <c r="N4789" s="16"/>
      <c r="O4789" s="17" t="s">
        <v>38</v>
      </c>
      <c r="P4789" s="5" t="str">
        <f t="shared" si="110"/>
        <v>Truncate table SNGC11;</v>
      </c>
      <c r="Q4789" s="5"/>
      <c r="R4789" s="5"/>
    </row>
    <row r="4790" spans="2:18" x14ac:dyDescent="0.25">
      <c r="B4790" s="19" t="s">
        <v>6303</v>
      </c>
      <c r="C4790" s="16" t="s">
        <v>8492</v>
      </c>
      <c r="D4790" s="16" t="s">
        <v>8152</v>
      </c>
      <c r="E4790" s="16" t="s">
        <v>54</v>
      </c>
      <c r="F4790" s="5" t="s">
        <v>163</v>
      </c>
      <c r="G4790" s="16" t="s">
        <v>35</v>
      </c>
      <c r="H4790" s="16" t="s">
        <v>36</v>
      </c>
      <c r="I4790" s="16"/>
      <c r="J4790" s="16"/>
      <c r="K4790" s="16"/>
      <c r="L4790" s="16"/>
      <c r="M4790" s="229"/>
      <c r="N4790" s="16"/>
      <c r="O4790" s="17" t="s">
        <v>38</v>
      </c>
      <c r="P4790" s="5" t="str">
        <f t="shared" si="110"/>
        <v/>
      </c>
      <c r="Q4790" s="5"/>
      <c r="R4790" s="5"/>
    </row>
    <row r="4791" spans="2:18" x14ac:dyDescent="0.25">
      <c r="B4791" s="19" t="s">
        <v>6304</v>
      </c>
      <c r="C4791" s="16" t="s">
        <v>6305</v>
      </c>
      <c r="D4791" s="16" t="s">
        <v>29</v>
      </c>
      <c r="E4791" s="16" t="s">
        <v>54</v>
      </c>
      <c r="F4791" s="5" t="s">
        <v>163</v>
      </c>
      <c r="G4791" s="16" t="s">
        <v>35</v>
      </c>
      <c r="H4791" s="16" t="s">
        <v>36</v>
      </c>
      <c r="I4791" s="16"/>
      <c r="J4791" s="16"/>
      <c r="K4791" s="16"/>
      <c r="L4791" s="16"/>
      <c r="M4791" s="16"/>
      <c r="N4791" s="16"/>
      <c r="O4791" s="17" t="s">
        <v>38</v>
      </c>
      <c r="P4791" s="5" t="str">
        <f t="shared" si="110"/>
        <v>Truncate table SNGC13;</v>
      </c>
      <c r="Q4791" s="5"/>
      <c r="R4791" s="5"/>
    </row>
    <row r="4792" spans="2:18" x14ac:dyDescent="0.25">
      <c r="B4792" s="19" t="s">
        <v>6306</v>
      </c>
      <c r="C4792" s="16" t="s">
        <v>8493</v>
      </c>
      <c r="D4792" s="16" t="s">
        <v>8152</v>
      </c>
      <c r="E4792" s="16" t="s">
        <v>54</v>
      </c>
      <c r="F4792" s="5" t="s">
        <v>163</v>
      </c>
      <c r="G4792" s="16" t="s">
        <v>35</v>
      </c>
      <c r="H4792" s="16" t="s">
        <v>36</v>
      </c>
      <c r="I4792" s="16"/>
      <c r="J4792" s="16"/>
      <c r="K4792" s="16"/>
      <c r="L4792" s="16"/>
      <c r="M4792" s="229"/>
      <c r="N4792" s="16"/>
      <c r="O4792" s="17"/>
      <c r="P4792" s="5" t="str">
        <f t="shared" si="110"/>
        <v/>
      </c>
      <c r="Q4792" s="5"/>
      <c r="R4792" s="5"/>
    </row>
    <row r="4793" spans="2:18" x14ac:dyDescent="0.25">
      <c r="B4793" s="19" t="s">
        <v>6307</v>
      </c>
      <c r="C4793" s="16" t="s">
        <v>6308</v>
      </c>
      <c r="D4793" s="16" t="s">
        <v>8152</v>
      </c>
      <c r="E4793" s="16" t="s">
        <v>54</v>
      </c>
      <c r="F4793" s="5" t="s">
        <v>163</v>
      </c>
      <c r="G4793" s="16" t="s">
        <v>35</v>
      </c>
      <c r="H4793" s="16" t="s">
        <v>36</v>
      </c>
      <c r="I4793" s="16"/>
      <c r="J4793" s="16"/>
      <c r="K4793" s="16"/>
      <c r="L4793" s="16"/>
      <c r="M4793" s="229"/>
      <c r="N4793" s="16"/>
      <c r="O4793" s="17"/>
      <c r="P4793" s="5" t="str">
        <f t="shared" si="110"/>
        <v/>
      </c>
      <c r="Q4793" s="5"/>
      <c r="R4793" s="5"/>
    </row>
    <row r="4794" spans="2:18" x14ac:dyDescent="0.25">
      <c r="B4794" s="19" t="s">
        <v>6309</v>
      </c>
      <c r="C4794" s="16" t="s">
        <v>8494</v>
      </c>
      <c r="D4794" s="16" t="s">
        <v>8152</v>
      </c>
      <c r="E4794" s="16" t="s">
        <v>54</v>
      </c>
      <c r="F4794" s="5" t="s">
        <v>163</v>
      </c>
      <c r="G4794" s="16" t="s">
        <v>35</v>
      </c>
      <c r="H4794" s="16" t="s">
        <v>36</v>
      </c>
      <c r="I4794" s="16"/>
      <c r="J4794" s="16"/>
      <c r="K4794" s="16"/>
      <c r="L4794" s="16"/>
      <c r="M4794" s="229"/>
      <c r="N4794" s="16"/>
      <c r="O4794" s="17" t="s">
        <v>38</v>
      </c>
      <c r="P4794" s="5" t="str">
        <f t="shared" si="110"/>
        <v/>
      </c>
      <c r="Q4794" s="5"/>
      <c r="R4794" s="5"/>
    </row>
    <row r="4795" spans="2:18" x14ac:dyDescent="0.25">
      <c r="B4795" s="19" t="s">
        <v>6310</v>
      </c>
      <c r="C4795" s="16" t="s">
        <v>6311</v>
      </c>
      <c r="D4795" s="16" t="s">
        <v>29</v>
      </c>
      <c r="E4795" s="16" t="s">
        <v>54</v>
      </c>
      <c r="F4795" s="5" t="s">
        <v>163</v>
      </c>
      <c r="G4795" s="16" t="s">
        <v>35</v>
      </c>
      <c r="H4795" s="16" t="s">
        <v>36</v>
      </c>
      <c r="I4795" s="16"/>
      <c r="J4795" s="16"/>
      <c r="K4795" s="16"/>
      <c r="L4795" s="16"/>
      <c r="M4795" s="16"/>
      <c r="N4795" s="16"/>
      <c r="O4795" s="17" t="s">
        <v>38</v>
      </c>
      <c r="P4795" s="5" t="str">
        <f t="shared" si="110"/>
        <v>Truncate table SNGC17;</v>
      </c>
      <c r="Q4795" s="5"/>
      <c r="R4795" s="5"/>
    </row>
    <row r="4796" spans="2:18" x14ac:dyDescent="0.25">
      <c r="B4796" s="19" t="s">
        <v>6312</v>
      </c>
      <c r="C4796" s="16" t="s">
        <v>6313</v>
      </c>
      <c r="D4796" s="16" t="s">
        <v>8152</v>
      </c>
      <c r="E4796" s="16" t="s">
        <v>54</v>
      </c>
      <c r="F4796" s="5" t="s">
        <v>163</v>
      </c>
      <c r="G4796" s="16" t="s">
        <v>35</v>
      </c>
      <c r="H4796" s="16" t="s">
        <v>36</v>
      </c>
      <c r="I4796" s="16"/>
      <c r="J4796" s="16"/>
      <c r="K4796" s="16"/>
      <c r="L4796" s="16"/>
      <c r="M4796" s="229"/>
      <c r="N4796" s="16"/>
      <c r="O4796" s="17"/>
      <c r="P4796" s="5" t="str">
        <f t="shared" si="110"/>
        <v/>
      </c>
      <c r="Q4796" s="5"/>
      <c r="R4796" s="5"/>
    </row>
    <row r="4797" spans="2:18" x14ac:dyDescent="0.25">
      <c r="B4797" s="19" t="s">
        <v>6314</v>
      </c>
      <c r="C4797" s="16" t="s">
        <v>6315</v>
      </c>
      <c r="D4797" s="16" t="s">
        <v>29</v>
      </c>
      <c r="E4797" s="16" t="s">
        <v>54</v>
      </c>
      <c r="F4797" s="5" t="s">
        <v>163</v>
      </c>
      <c r="G4797" s="16" t="s">
        <v>35</v>
      </c>
      <c r="H4797" s="16" t="s">
        <v>36</v>
      </c>
      <c r="I4797" s="16"/>
      <c r="J4797" s="16"/>
      <c r="K4797" s="16"/>
      <c r="L4797" s="16"/>
      <c r="M4797" s="16"/>
      <c r="N4797" s="16"/>
      <c r="O4797" s="17"/>
      <c r="P4797" s="5" t="str">
        <f t="shared" si="110"/>
        <v>Truncate table SNGC19;</v>
      </c>
      <c r="Q4797" s="5"/>
      <c r="R4797" s="5"/>
    </row>
    <row r="4798" spans="2:18" x14ac:dyDescent="0.25">
      <c r="B4798" s="19" t="s">
        <v>6316</v>
      </c>
      <c r="C4798" s="16" t="s">
        <v>6317</v>
      </c>
      <c r="D4798" s="16" t="s">
        <v>29</v>
      </c>
      <c r="E4798" s="16" t="s">
        <v>54</v>
      </c>
      <c r="F4798" s="5" t="s">
        <v>163</v>
      </c>
      <c r="G4798" s="16" t="s">
        <v>35</v>
      </c>
      <c r="H4798" s="16" t="s">
        <v>36</v>
      </c>
      <c r="I4798" s="16"/>
      <c r="J4798" s="16"/>
      <c r="K4798" s="16"/>
      <c r="L4798" s="16"/>
      <c r="M4798" s="16"/>
      <c r="N4798" s="16"/>
      <c r="O4798" s="17"/>
      <c r="P4798" s="5" t="str">
        <f t="shared" si="110"/>
        <v>Truncate table SNGC20;</v>
      </c>
      <c r="Q4798" s="5"/>
      <c r="R4798" s="5"/>
    </row>
    <row r="4799" spans="2:18" x14ac:dyDescent="0.25">
      <c r="B4799" s="19" t="s">
        <v>6318</v>
      </c>
      <c r="C4799" s="16" t="s">
        <v>8495</v>
      </c>
      <c r="D4799" s="16" t="s">
        <v>8152</v>
      </c>
      <c r="E4799" s="16" t="s">
        <v>54</v>
      </c>
      <c r="F4799" s="5" t="s">
        <v>163</v>
      </c>
      <c r="G4799" s="16" t="s">
        <v>35</v>
      </c>
      <c r="H4799" s="16" t="s">
        <v>36</v>
      </c>
      <c r="I4799" s="16"/>
      <c r="J4799" s="16"/>
      <c r="K4799" s="16"/>
      <c r="L4799" s="16"/>
      <c r="M4799" s="229"/>
      <c r="N4799" s="16"/>
      <c r="O4799" s="17"/>
      <c r="P4799" s="5" t="str">
        <f t="shared" si="110"/>
        <v/>
      </c>
      <c r="Q4799" s="5"/>
      <c r="R4799" s="5"/>
    </row>
    <row r="4800" spans="2:18" x14ac:dyDescent="0.25">
      <c r="B4800" s="19" t="s">
        <v>6319</v>
      </c>
      <c r="C4800" s="16" t="s">
        <v>6320</v>
      </c>
      <c r="D4800" s="16" t="s">
        <v>29</v>
      </c>
      <c r="E4800" s="16" t="s">
        <v>54</v>
      </c>
      <c r="F4800" s="5" t="s">
        <v>163</v>
      </c>
      <c r="G4800" s="16" t="s">
        <v>35</v>
      </c>
      <c r="H4800" s="16" t="s">
        <v>36</v>
      </c>
      <c r="I4800" s="16"/>
      <c r="J4800" s="16"/>
      <c r="K4800" s="16"/>
      <c r="L4800" s="16"/>
      <c r="M4800" s="16"/>
      <c r="N4800" s="16"/>
      <c r="O4800" s="17"/>
      <c r="P4800" s="5" t="str">
        <f t="shared" si="110"/>
        <v>Truncate table SNGC22;</v>
      </c>
      <c r="Q4800" s="5"/>
      <c r="R4800" s="5"/>
    </row>
    <row r="4801" spans="2:18" ht="40.5" x14ac:dyDescent="0.25">
      <c r="B4801" s="4" t="s">
        <v>6321</v>
      </c>
      <c r="C4801" s="16" t="s">
        <v>6322</v>
      </c>
      <c r="D4801" s="16" t="s">
        <v>29</v>
      </c>
      <c r="E4801" s="16" t="s">
        <v>54</v>
      </c>
      <c r="F4801" s="5" t="s">
        <v>163</v>
      </c>
      <c r="G4801" s="16" t="s">
        <v>35</v>
      </c>
      <c r="H4801" s="16" t="s">
        <v>36</v>
      </c>
      <c r="I4801" s="5" t="s">
        <v>6323</v>
      </c>
      <c r="J4801" s="5" t="s">
        <v>6324</v>
      </c>
      <c r="K4801" s="5" t="s">
        <v>1068</v>
      </c>
      <c r="L4801" s="5" t="s">
        <v>6325</v>
      </c>
      <c r="M4801" s="5"/>
      <c r="N4801" s="5"/>
      <c r="O4801" s="17" t="s">
        <v>38</v>
      </c>
      <c r="P4801" s="5" t="str">
        <f t="shared" si="110"/>
        <v>Truncate table SNGC23;</v>
      </c>
      <c r="Q4801" s="5"/>
      <c r="R4801" s="5"/>
    </row>
    <row r="4802" spans="2:18" x14ac:dyDescent="0.25">
      <c r="B4802" s="19" t="s">
        <v>6326</v>
      </c>
      <c r="C4802" s="16" t="s">
        <v>8496</v>
      </c>
      <c r="D4802" s="16" t="s">
        <v>8152</v>
      </c>
      <c r="E4802" s="16" t="s">
        <v>54</v>
      </c>
      <c r="F4802" s="5" t="s">
        <v>163</v>
      </c>
      <c r="G4802" s="16" t="s">
        <v>35</v>
      </c>
      <c r="H4802" s="16" t="s">
        <v>36</v>
      </c>
      <c r="I4802" s="16"/>
      <c r="J4802" s="16"/>
      <c r="K4802" s="16"/>
      <c r="L4802" s="16"/>
      <c r="M4802" s="229"/>
      <c r="N4802" s="16"/>
      <c r="O4802" s="17"/>
      <c r="P4802" s="5" t="str">
        <f t="shared" si="110"/>
        <v/>
      </c>
      <c r="Q4802" s="5"/>
      <c r="R4802" s="5"/>
    </row>
    <row r="4803" spans="2:18" x14ac:dyDescent="0.25">
      <c r="B4803" s="19" t="s">
        <v>6327</v>
      </c>
      <c r="C4803" s="16"/>
      <c r="D4803" s="16" t="s">
        <v>29</v>
      </c>
      <c r="E4803" s="16"/>
      <c r="F4803" s="5"/>
      <c r="G4803" s="16" t="s">
        <v>35</v>
      </c>
      <c r="H4803" s="16" t="s">
        <v>36</v>
      </c>
      <c r="I4803" s="16"/>
      <c r="J4803" s="16"/>
      <c r="K4803" s="16"/>
      <c r="L4803" s="16"/>
      <c r="M4803" s="16"/>
      <c r="N4803" s="16"/>
      <c r="O4803" s="17"/>
      <c r="P4803" s="5" t="str">
        <f t="shared" si="110"/>
        <v>Truncate table SNGC31;</v>
      </c>
      <c r="Q4803" s="5"/>
      <c r="R4803" s="5"/>
    </row>
    <row r="4804" spans="2:18" x14ac:dyDescent="0.25">
      <c r="B4804" s="19" t="s">
        <v>6328</v>
      </c>
      <c r="C4804" s="16" t="s">
        <v>6329</v>
      </c>
      <c r="D4804" s="16" t="s">
        <v>29</v>
      </c>
      <c r="E4804" s="16" t="s">
        <v>54</v>
      </c>
      <c r="F4804" s="5" t="s">
        <v>163</v>
      </c>
      <c r="G4804" s="16" t="s">
        <v>35</v>
      </c>
      <c r="H4804" s="16" t="s">
        <v>36</v>
      </c>
      <c r="I4804" s="16"/>
      <c r="J4804" s="16"/>
      <c r="K4804" s="16"/>
      <c r="L4804" s="16"/>
      <c r="M4804" s="16"/>
      <c r="N4804" s="16"/>
      <c r="O4804" s="17" t="s">
        <v>38</v>
      </c>
      <c r="P4804" s="5" t="str">
        <f t="shared" si="110"/>
        <v>Truncate table SNGC32;</v>
      </c>
      <c r="Q4804" s="5"/>
      <c r="R4804" s="5"/>
    </row>
    <row r="4805" spans="2:18" x14ac:dyDescent="0.25">
      <c r="B4805" s="19" t="s">
        <v>6330</v>
      </c>
      <c r="C4805" s="16" t="s">
        <v>6012</v>
      </c>
      <c r="D4805" s="16" t="s">
        <v>29</v>
      </c>
      <c r="E4805" s="16" t="s">
        <v>54</v>
      </c>
      <c r="F4805" s="5" t="s">
        <v>163</v>
      </c>
      <c r="G4805" s="16" t="s">
        <v>35</v>
      </c>
      <c r="H4805" s="16" t="s">
        <v>36</v>
      </c>
      <c r="I4805" s="16"/>
      <c r="J4805" s="16"/>
      <c r="K4805" s="16"/>
      <c r="L4805" s="16"/>
      <c r="M4805" s="16"/>
      <c r="N4805" s="16"/>
      <c r="O4805" s="17" t="s">
        <v>38</v>
      </c>
      <c r="P4805" s="5" t="str">
        <f t="shared" si="110"/>
        <v>Truncate table SNGC33;</v>
      </c>
      <c r="Q4805" s="5"/>
      <c r="R4805" s="5"/>
    </row>
    <row r="4806" spans="2:18" x14ac:dyDescent="0.25">
      <c r="B4806" s="19" t="s">
        <v>6331</v>
      </c>
      <c r="C4806" s="16" t="s">
        <v>6332</v>
      </c>
      <c r="D4806" s="16" t="s">
        <v>29</v>
      </c>
      <c r="E4806" s="16" t="s">
        <v>54</v>
      </c>
      <c r="F4806" s="5" t="s">
        <v>163</v>
      </c>
      <c r="G4806" s="16" t="s">
        <v>35</v>
      </c>
      <c r="H4806" s="16" t="s">
        <v>36</v>
      </c>
      <c r="I4806" s="16"/>
      <c r="J4806" s="16"/>
      <c r="K4806" s="16"/>
      <c r="L4806" s="16"/>
      <c r="M4806" s="16"/>
      <c r="N4806" s="16"/>
      <c r="O4806" s="17" t="s">
        <v>38</v>
      </c>
      <c r="P4806" s="5" t="str">
        <f t="shared" si="110"/>
        <v>Truncate table SNGC40;</v>
      </c>
      <c r="Q4806" s="5"/>
      <c r="R4806" s="5"/>
    </row>
    <row r="4807" spans="2:18" x14ac:dyDescent="0.25">
      <c r="B4807" s="19" t="s">
        <v>6333</v>
      </c>
      <c r="C4807" s="212" t="s">
        <v>3048</v>
      </c>
      <c r="D4807" s="16" t="s">
        <v>29</v>
      </c>
      <c r="E4807" s="16" t="s">
        <v>54</v>
      </c>
      <c r="F4807" s="5" t="s">
        <v>163</v>
      </c>
      <c r="G4807" s="16" t="s">
        <v>35</v>
      </c>
      <c r="H4807" s="16" t="s">
        <v>36</v>
      </c>
      <c r="I4807" s="16"/>
      <c r="J4807" s="16"/>
      <c r="K4807" s="16"/>
      <c r="L4807" s="16"/>
      <c r="M4807" s="16"/>
      <c r="N4807" s="16"/>
      <c r="O4807" s="17"/>
      <c r="P4807" s="5" t="str">
        <f t="shared" si="110"/>
        <v>Truncate table SNGC41;</v>
      </c>
      <c r="Q4807" s="5"/>
      <c r="R4807" s="5"/>
    </row>
    <row r="4808" spans="2:18" x14ac:dyDescent="0.25">
      <c r="B4808" s="19" t="s">
        <v>6334</v>
      </c>
      <c r="C4808" s="16" t="s">
        <v>6335</v>
      </c>
      <c r="D4808" s="16" t="s">
        <v>29</v>
      </c>
      <c r="E4808" s="16" t="s">
        <v>54</v>
      </c>
      <c r="F4808" s="5" t="s">
        <v>163</v>
      </c>
      <c r="G4808" s="16" t="s">
        <v>35</v>
      </c>
      <c r="H4808" s="16" t="s">
        <v>36</v>
      </c>
      <c r="I4808" s="16"/>
      <c r="J4808" s="16"/>
      <c r="K4808" s="16"/>
      <c r="L4808" s="16"/>
      <c r="M4808" s="16"/>
      <c r="N4808" s="16"/>
      <c r="O4808" s="17" t="s">
        <v>38</v>
      </c>
      <c r="P4808" s="5" t="str">
        <f t="shared" si="110"/>
        <v>Truncate table SNGC60;</v>
      </c>
      <c r="Q4808" s="5"/>
      <c r="R4808" s="5"/>
    </row>
    <row r="4809" spans="2:18" x14ac:dyDescent="0.25">
      <c r="B4809" s="19" t="s">
        <v>6336</v>
      </c>
      <c r="C4809" s="16" t="s">
        <v>6337</v>
      </c>
      <c r="D4809" s="16" t="s">
        <v>29</v>
      </c>
      <c r="E4809" s="16" t="s">
        <v>54</v>
      </c>
      <c r="F4809" s="5" t="s">
        <v>163</v>
      </c>
      <c r="G4809" s="16" t="s">
        <v>35</v>
      </c>
      <c r="H4809" s="16" t="s">
        <v>36</v>
      </c>
      <c r="I4809" s="16"/>
      <c r="J4809" s="16"/>
      <c r="K4809" s="16"/>
      <c r="L4809" s="16"/>
      <c r="M4809" s="16"/>
      <c r="N4809" s="16"/>
      <c r="O4809" s="17" t="s">
        <v>38</v>
      </c>
      <c r="P4809" s="5" t="str">
        <f t="shared" si="110"/>
        <v>Truncate table SNGC70;</v>
      </c>
      <c r="Q4809" s="5"/>
      <c r="R4809" s="5"/>
    </row>
    <row r="4810" spans="2:18" x14ac:dyDescent="0.25">
      <c r="B4810" s="19" t="s">
        <v>6338</v>
      </c>
      <c r="C4810" s="16"/>
      <c r="D4810" s="16" t="s">
        <v>29</v>
      </c>
      <c r="E4810" s="16"/>
      <c r="F4810" s="5"/>
      <c r="G4810" s="16" t="s">
        <v>35</v>
      </c>
      <c r="H4810" s="16" t="s">
        <v>36</v>
      </c>
      <c r="I4810" s="16"/>
      <c r="J4810" s="16"/>
      <c r="K4810" s="16"/>
      <c r="L4810" s="16"/>
      <c r="M4810" s="16"/>
      <c r="N4810" s="16"/>
      <c r="O4810" s="17"/>
      <c r="P4810" s="5" t="str">
        <f t="shared" si="110"/>
        <v>Truncate table SNGC71;</v>
      </c>
      <c r="Q4810" s="5"/>
      <c r="R4810" s="5"/>
    </row>
    <row r="4811" spans="2:18" ht="175.5" x14ac:dyDescent="0.25">
      <c r="B4811" s="23" t="s">
        <v>6339</v>
      </c>
      <c r="C4811" s="23" t="s">
        <v>6340</v>
      </c>
      <c r="D4811" s="19" t="s">
        <v>29</v>
      </c>
      <c r="E4811" s="19" t="s">
        <v>54</v>
      </c>
      <c r="F4811" s="23" t="s">
        <v>163</v>
      </c>
      <c r="G4811" s="19" t="s">
        <v>35</v>
      </c>
      <c r="H4811" s="19" t="s">
        <v>36</v>
      </c>
      <c r="I4811" s="23" t="s">
        <v>6341</v>
      </c>
      <c r="J4811" s="23" t="s">
        <v>6342</v>
      </c>
      <c r="K4811" s="23" t="s">
        <v>1201</v>
      </c>
      <c r="L4811" s="20" t="s">
        <v>6343</v>
      </c>
      <c r="M4811" s="20"/>
      <c r="N4811" s="23" t="s">
        <v>6344</v>
      </c>
      <c r="O4811" s="24" t="s">
        <v>38</v>
      </c>
      <c r="P4811" s="5" t="str">
        <f t="shared" si="110"/>
        <v>Truncate table SNGC72;</v>
      </c>
      <c r="Q4811" s="5"/>
      <c r="R4811" s="5"/>
    </row>
    <row r="4812" spans="2:18" ht="40.5" x14ac:dyDescent="0.25">
      <c r="B4812" s="29" t="s">
        <v>6345</v>
      </c>
      <c r="C4812" s="21" t="s">
        <v>6346</v>
      </c>
      <c r="D4812" s="19" t="s">
        <v>29</v>
      </c>
      <c r="E4812" s="19"/>
      <c r="F4812" s="29" t="s">
        <v>163</v>
      </c>
      <c r="G4812" s="19"/>
      <c r="H4812" s="19"/>
      <c r="I4812" s="23"/>
      <c r="J4812" s="23"/>
      <c r="K4812" s="23"/>
      <c r="L4812" s="21" t="s">
        <v>1249</v>
      </c>
      <c r="M4812" s="21"/>
      <c r="N4812" s="23"/>
      <c r="O4812" s="24"/>
      <c r="P4812" s="5" t="str">
        <f t="shared" si="110"/>
        <v>Truncate table SNGC73;</v>
      </c>
      <c r="Q4812" s="5"/>
      <c r="R4812" s="5"/>
    </row>
    <row r="4813" spans="2:18" ht="40.5" x14ac:dyDescent="0.25">
      <c r="B4813" s="29" t="s">
        <v>6347</v>
      </c>
      <c r="C4813" s="21" t="s">
        <v>6348</v>
      </c>
      <c r="D4813" s="19" t="s">
        <v>29</v>
      </c>
      <c r="E4813" s="19"/>
      <c r="F4813" s="29" t="s">
        <v>163</v>
      </c>
      <c r="G4813" s="19"/>
      <c r="H4813" s="19"/>
      <c r="I4813" s="23"/>
      <c r="J4813" s="23"/>
      <c r="K4813" s="23"/>
      <c r="L4813" s="21" t="s">
        <v>1249</v>
      </c>
      <c r="M4813" s="21"/>
      <c r="N4813" s="23"/>
      <c r="O4813" s="24"/>
      <c r="P4813" s="5" t="str">
        <f t="shared" si="110"/>
        <v>Truncate table SNGC74;</v>
      </c>
      <c r="Q4813" s="5"/>
      <c r="R4813" s="5"/>
    </row>
    <row r="4814" spans="2:18" x14ac:dyDescent="0.25">
      <c r="B4814" s="270" t="s">
        <v>9673</v>
      </c>
      <c r="C4814" s="201" t="s">
        <v>9675</v>
      </c>
      <c r="D4814" s="19" t="s">
        <v>29</v>
      </c>
      <c r="E4814" s="19" t="s">
        <v>54</v>
      </c>
      <c r="F4814" s="29" t="s">
        <v>163</v>
      </c>
      <c r="G4814" s="19" t="s">
        <v>35</v>
      </c>
      <c r="H4814" s="19"/>
      <c r="I4814" s="23"/>
      <c r="J4814" s="23"/>
      <c r="K4814" s="23" t="s">
        <v>9677</v>
      </c>
      <c r="L4814" s="21"/>
      <c r="M4814" s="21"/>
      <c r="N4814" s="270" t="s">
        <v>9672</v>
      </c>
      <c r="O4814" s="24"/>
      <c r="P4814" s="5" t="str">
        <f t="shared" si="110"/>
        <v>Truncate table SNGCOF;</v>
      </c>
      <c r="Q4814" s="5"/>
      <c r="R4814" s="5"/>
    </row>
    <row r="4815" spans="2:18" x14ac:dyDescent="0.25">
      <c r="B4815" s="270" t="s">
        <v>9674</v>
      </c>
      <c r="C4815" s="201" t="s">
        <v>9676</v>
      </c>
      <c r="D4815" s="19" t="s">
        <v>29</v>
      </c>
      <c r="E4815" s="19" t="s">
        <v>54</v>
      </c>
      <c r="F4815" s="29" t="s">
        <v>163</v>
      </c>
      <c r="G4815" s="19" t="s">
        <v>35</v>
      </c>
      <c r="H4815" s="19"/>
      <c r="I4815" s="23"/>
      <c r="J4815" s="23"/>
      <c r="K4815" s="23" t="s">
        <v>9677</v>
      </c>
      <c r="L4815" s="21"/>
      <c r="M4815" s="21"/>
      <c r="N4815" s="270" t="s">
        <v>9672</v>
      </c>
      <c r="O4815" s="24"/>
      <c r="P4815" s="5" t="str">
        <f t="shared" si="110"/>
        <v>Truncate table SNGCOJ ;</v>
      </c>
      <c r="Q4815" s="5"/>
      <c r="R4815" s="5"/>
    </row>
    <row r="4816" spans="2:18" x14ac:dyDescent="0.25">
      <c r="B4816" s="19" t="s">
        <v>6349</v>
      </c>
      <c r="C4816" s="16"/>
      <c r="D4816" s="16" t="s">
        <v>29</v>
      </c>
      <c r="E4816" s="16"/>
      <c r="F4816" s="5"/>
      <c r="G4816" s="16" t="s">
        <v>35</v>
      </c>
      <c r="H4816" s="16"/>
      <c r="I4816" s="16"/>
      <c r="J4816" s="16"/>
      <c r="K4816" s="16"/>
      <c r="L4816" s="16"/>
      <c r="M4816" s="16"/>
      <c r="N4816" s="16"/>
      <c r="O4816" s="17"/>
      <c r="P4816" s="5" t="str">
        <f t="shared" si="110"/>
        <v>Truncate table SNGCART;</v>
      </c>
      <c r="Q4816" s="5"/>
      <c r="R4816" s="5"/>
    </row>
    <row r="4817" spans="2:18" x14ac:dyDescent="0.25">
      <c r="B4817" s="19" t="s">
        <v>6350</v>
      </c>
      <c r="C4817" s="16" t="s">
        <v>6076</v>
      </c>
      <c r="D4817" s="16" t="s">
        <v>8152</v>
      </c>
      <c r="E4817" s="16" t="s">
        <v>54</v>
      </c>
      <c r="F4817" s="5" t="s">
        <v>163</v>
      </c>
      <c r="G4817" s="16" t="s">
        <v>35</v>
      </c>
      <c r="H4817" s="16"/>
      <c r="I4817" s="16"/>
      <c r="J4817" s="16"/>
      <c r="K4817" s="16"/>
      <c r="L4817" s="16"/>
      <c r="M4817" s="229"/>
      <c r="N4817" s="16"/>
      <c r="O4817" s="17" t="s">
        <v>38</v>
      </c>
      <c r="P4817" s="5" t="str">
        <f t="shared" si="110"/>
        <v/>
      </c>
      <c r="Q4817" s="5"/>
      <c r="R4817" s="5"/>
    </row>
    <row r="4818" spans="2:18" ht="40.5" x14ac:dyDescent="0.25">
      <c r="B4818" s="4" t="s">
        <v>6351</v>
      </c>
      <c r="C4818" s="5" t="s">
        <v>6352</v>
      </c>
      <c r="D4818" s="16" t="s">
        <v>8152</v>
      </c>
      <c r="E4818" s="16" t="s">
        <v>54</v>
      </c>
      <c r="F4818" s="5" t="s">
        <v>163</v>
      </c>
      <c r="G4818" s="16" t="s">
        <v>35</v>
      </c>
      <c r="H4818" s="16" t="s">
        <v>36</v>
      </c>
      <c r="I4818" s="5" t="s">
        <v>6353</v>
      </c>
      <c r="J4818" s="5" t="s">
        <v>6354</v>
      </c>
      <c r="K4818" s="5" t="s">
        <v>2789</v>
      </c>
      <c r="L4818" s="5" t="s">
        <v>6355</v>
      </c>
      <c r="M4818" s="229"/>
      <c r="N4818" s="5"/>
      <c r="O4818" s="17"/>
      <c r="P4818" s="5" t="str">
        <f t="shared" si="110"/>
        <v/>
      </c>
      <c r="Q4818" s="5"/>
      <c r="R4818" s="5"/>
    </row>
    <row r="4819" spans="2:18" x14ac:dyDescent="0.25">
      <c r="B4819" s="19" t="s">
        <v>6356</v>
      </c>
      <c r="C4819" s="16"/>
      <c r="D4819" s="25" t="s">
        <v>29</v>
      </c>
      <c r="E4819" s="16"/>
      <c r="F4819" s="5"/>
      <c r="G4819" s="16" t="s">
        <v>35</v>
      </c>
      <c r="H4819" s="16"/>
      <c r="I4819" s="16"/>
      <c r="J4819" s="16"/>
      <c r="K4819" s="16"/>
      <c r="L4819" s="16"/>
      <c r="M4819" s="16"/>
      <c r="N4819" s="16"/>
      <c r="O4819" s="17"/>
      <c r="P4819" s="5" t="str">
        <f t="shared" si="110"/>
        <v>Truncate table SNGCXW1;</v>
      </c>
      <c r="Q4819" s="5"/>
      <c r="R4819" s="5"/>
    </row>
    <row r="4820" spans="2:18" x14ac:dyDescent="0.25">
      <c r="B4820" s="19" t="s">
        <v>6357</v>
      </c>
      <c r="C4820" s="16" t="s">
        <v>6076</v>
      </c>
      <c r="D4820" s="16" t="s">
        <v>29</v>
      </c>
      <c r="E4820" s="16" t="s">
        <v>54</v>
      </c>
      <c r="F4820" s="5" t="s">
        <v>163</v>
      </c>
      <c r="G4820" s="16" t="s">
        <v>35</v>
      </c>
      <c r="H4820" s="16"/>
      <c r="I4820" s="16"/>
      <c r="J4820" s="16"/>
      <c r="K4820" s="16"/>
      <c r="L4820" s="16"/>
      <c r="M4820" s="229"/>
      <c r="N4820" s="16"/>
      <c r="O4820" s="17" t="s">
        <v>38</v>
      </c>
      <c r="P4820" s="5" t="str">
        <f t="shared" si="110"/>
        <v>Truncate table SNGE01;</v>
      </c>
      <c r="Q4820" s="5"/>
      <c r="R4820" s="5"/>
    </row>
    <row r="4821" spans="2:18" x14ac:dyDescent="0.25">
      <c r="B4821" s="19" t="s">
        <v>6358</v>
      </c>
      <c r="C4821" s="215" t="s">
        <v>9</v>
      </c>
      <c r="D4821" s="16" t="s">
        <v>29</v>
      </c>
      <c r="E4821" s="16"/>
      <c r="F4821" s="5"/>
      <c r="G4821" s="16" t="s">
        <v>35</v>
      </c>
      <c r="H4821" s="16"/>
      <c r="I4821" s="16"/>
      <c r="J4821" s="16"/>
      <c r="K4821" s="16"/>
      <c r="L4821" s="16"/>
      <c r="M4821" s="16"/>
      <c r="N4821" s="16"/>
      <c r="O4821" s="17"/>
      <c r="P4821" s="5" t="str">
        <f t="shared" si="110"/>
        <v>Truncate table SNGE02;</v>
      </c>
      <c r="Q4821" s="5"/>
      <c r="R4821" s="5"/>
    </row>
    <row r="4822" spans="2:18" x14ac:dyDescent="0.25">
      <c r="B4822" s="19" t="s">
        <v>6359</v>
      </c>
      <c r="C4822" s="215" t="s">
        <v>8470</v>
      </c>
      <c r="D4822" s="16" t="s">
        <v>29</v>
      </c>
      <c r="E4822" s="16"/>
      <c r="F4822" s="5"/>
      <c r="G4822" s="16" t="s">
        <v>35</v>
      </c>
      <c r="H4822" s="16"/>
      <c r="I4822" s="16"/>
      <c r="J4822" s="16"/>
      <c r="K4822" s="16"/>
      <c r="L4822" s="16"/>
      <c r="M4822" s="16"/>
      <c r="N4822" s="16"/>
      <c r="O4822" s="17"/>
      <c r="P4822" s="5" t="str">
        <f t="shared" si="110"/>
        <v>Truncate table SNGE03;</v>
      </c>
      <c r="Q4822" s="5"/>
      <c r="R4822" s="5"/>
    </row>
    <row r="4823" spans="2:18" x14ac:dyDescent="0.25">
      <c r="B4823" s="19" t="s">
        <v>6360</v>
      </c>
      <c r="C4823" s="203" t="s">
        <v>8471</v>
      </c>
      <c r="D4823" s="16" t="s">
        <v>29</v>
      </c>
      <c r="E4823" s="16"/>
      <c r="F4823" s="5"/>
      <c r="G4823" s="16" t="s">
        <v>35</v>
      </c>
      <c r="H4823" s="16"/>
      <c r="I4823" s="16"/>
      <c r="J4823" s="16"/>
      <c r="K4823" s="16"/>
      <c r="L4823" s="16"/>
      <c r="M4823" s="16"/>
      <c r="N4823" s="16"/>
      <c r="O4823" s="17"/>
      <c r="P4823" s="5" t="str">
        <f t="shared" si="110"/>
        <v>Truncate table SNGE28;</v>
      </c>
      <c r="Q4823" s="5"/>
      <c r="R4823" s="5"/>
    </row>
    <row r="4824" spans="2:18" x14ac:dyDescent="0.25">
      <c r="B4824" s="19" t="s">
        <v>6361</v>
      </c>
      <c r="C4824" s="214" t="s">
        <v>8469</v>
      </c>
      <c r="D4824" s="16" t="s">
        <v>29</v>
      </c>
      <c r="E4824" s="16"/>
      <c r="F4824" s="5"/>
      <c r="G4824" s="16" t="s">
        <v>35</v>
      </c>
      <c r="H4824" s="16"/>
      <c r="I4824" s="16"/>
      <c r="J4824" s="16"/>
      <c r="K4824" s="16"/>
      <c r="L4824" s="16"/>
      <c r="M4824" s="16"/>
      <c r="N4824" s="16"/>
      <c r="O4824" s="17"/>
      <c r="P4824" s="5" t="str">
        <f t="shared" si="110"/>
        <v>Truncate table SNGEG1;</v>
      </c>
      <c r="Q4824" s="5"/>
      <c r="R4824" s="5"/>
    </row>
    <row r="4825" spans="2:18" x14ac:dyDescent="0.25">
      <c r="B4825" s="19" t="s">
        <v>6362</v>
      </c>
      <c r="C4825" s="214" t="s">
        <v>8468</v>
      </c>
      <c r="D4825" s="16" t="s">
        <v>29</v>
      </c>
      <c r="E4825" s="16"/>
      <c r="F4825" s="5"/>
      <c r="G4825" s="16" t="s">
        <v>35</v>
      </c>
      <c r="H4825" s="16"/>
      <c r="I4825" s="16"/>
      <c r="J4825" s="16"/>
      <c r="K4825" s="16"/>
      <c r="L4825" s="16"/>
      <c r="M4825" s="16"/>
      <c r="N4825" s="16"/>
      <c r="O4825" s="17"/>
      <c r="P4825" s="5" t="str">
        <f t="shared" si="110"/>
        <v>Truncate table SNGEG2;</v>
      </c>
      <c r="Q4825" s="5"/>
      <c r="R4825" s="5"/>
    </row>
    <row r="4826" spans="2:18" x14ac:dyDescent="0.25">
      <c r="B4826" s="19" t="s">
        <v>6363</v>
      </c>
      <c r="C4826" s="214" t="s">
        <v>8467</v>
      </c>
      <c r="D4826" s="16" t="s">
        <v>29</v>
      </c>
      <c r="E4826" s="16"/>
      <c r="F4826" s="5"/>
      <c r="G4826" s="16" t="s">
        <v>35</v>
      </c>
      <c r="H4826" s="16"/>
      <c r="I4826" s="16"/>
      <c r="J4826" s="16"/>
      <c r="K4826" s="16"/>
      <c r="L4826" s="16"/>
      <c r="M4826" s="16"/>
      <c r="N4826" s="16"/>
      <c r="O4826" s="17"/>
      <c r="P4826" s="5" t="str">
        <f t="shared" si="110"/>
        <v>Truncate table SNGEP1;</v>
      </c>
      <c r="Q4826" s="5"/>
      <c r="R4826" s="5"/>
    </row>
    <row r="4827" spans="2:18" x14ac:dyDescent="0.25">
      <c r="B4827" s="19" t="s">
        <v>6364</v>
      </c>
      <c r="C4827" s="214" t="s">
        <v>8466</v>
      </c>
      <c r="D4827" s="16" t="s">
        <v>29</v>
      </c>
      <c r="E4827" s="16"/>
      <c r="F4827" s="5"/>
      <c r="G4827" s="16" t="s">
        <v>35</v>
      </c>
      <c r="H4827" s="16"/>
      <c r="I4827" s="16"/>
      <c r="J4827" s="16"/>
      <c r="K4827" s="16"/>
      <c r="L4827" s="16"/>
      <c r="M4827" s="16"/>
      <c r="N4827" s="16"/>
      <c r="O4827" s="17"/>
      <c r="P4827" s="5" t="str">
        <f t="shared" si="110"/>
        <v>Truncate table SNGEP2;</v>
      </c>
      <c r="Q4827" s="5"/>
      <c r="R4827" s="5"/>
    </row>
    <row r="4828" spans="2:18" x14ac:dyDescent="0.25">
      <c r="B4828" s="19" t="s">
        <v>6365</v>
      </c>
      <c r="C4828" s="214" t="s">
        <v>8465</v>
      </c>
      <c r="D4828" s="16" t="s">
        <v>29</v>
      </c>
      <c r="E4828" s="16"/>
      <c r="F4828" s="5"/>
      <c r="G4828" s="16" t="s">
        <v>35</v>
      </c>
      <c r="H4828" s="16"/>
      <c r="I4828" s="16"/>
      <c r="J4828" s="16"/>
      <c r="K4828" s="16"/>
      <c r="L4828" s="16"/>
      <c r="M4828" s="16"/>
      <c r="N4828" s="16"/>
      <c r="O4828" s="17"/>
      <c r="P4828" s="5" t="str">
        <f t="shared" si="110"/>
        <v>Truncate table SNGEP3;</v>
      </c>
      <c r="Q4828" s="5"/>
      <c r="R4828" s="5"/>
    </row>
    <row r="4829" spans="2:18" x14ac:dyDescent="0.25">
      <c r="B4829" s="19" t="s">
        <v>6366</v>
      </c>
      <c r="C4829" s="16"/>
      <c r="D4829" s="16" t="s">
        <v>29</v>
      </c>
      <c r="E4829" s="16"/>
      <c r="F4829" s="5"/>
      <c r="G4829" s="16" t="s">
        <v>35</v>
      </c>
      <c r="H4829" s="16"/>
      <c r="I4829" s="16"/>
      <c r="J4829" s="16"/>
      <c r="K4829" s="16"/>
      <c r="L4829" s="16"/>
      <c r="M4829" s="16"/>
      <c r="N4829" s="16"/>
      <c r="O4829" s="17"/>
      <c r="P4829" s="5" t="str">
        <f t="shared" si="110"/>
        <v>Truncate table SNGF01;</v>
      </c>
      <c r="Q4829" s="5"/>
      <c r="R4829" s="5"/>
    </row>
    <row r="4830" spans="2:18" x14ac:dyDescent="0.25">
      <c r="B4830" s="19" t="s">
        <v>6367</v>
      </c>
      <c r="C4830" s="16"/>
      <c r="D4830" s="16" t="s">
        <v>29</v>
      </c>
      <c r="E4830" s="16"/>
      <c r="F4830" s="5"/>
      <c r="G4830" s="16" t="s">
        <v>35</v>
      </c>
      <c r="H4830" s="16"/>
      <c r="I4830" s="16"/>
      <c r="J4830" s="16"/>
      <c r="K4830" s="16"/>
      <c r="L4830" s="16"/>
      <c r="M4830" s="16"/>
      <c r="N4830" s="16"/>
      <c r="O4830" s="17"/>
      <c r="P4830" s="5" t="str">
        <f t="shared" si="110"/>
        <v>Truncate table SNGG00;</v>
      </c>
      <c r="Q4830" s="5"/>
      <c r="R4830" s="5"/>
    </row>
    <row r="4831" spans="2:18" x14ac:dyDescent="0.25">
      <c r="B4831" s="19" t="s">
        <v>6368</v>
      </c>
      <c r="C4831" s="16"/>
      <c r="D4831" s="16" t="s">
        <v>29</v>
      </c>
      <c r="E4831" s="16"/>
      <c r="F4831" s="5"/>
      <c r="G4831" s="16" t="s">
        <v>35</v>
      </c>
      <c r="H4831" s="16"/>
      <c r="I4831" s="16"/>
      <c r="J4831" s="16"/>
      <c r="K4831" s="16"/>
      <c r="L4831" s="16"/>
      <c r="M4831" s="16"/>
      <c r="N4831" s="16"/>
      <c r="O4831" s="17"/>
      <c r="P4831" s="5" t="str">
        <f t="shared" ref="P4831:P4884" si="111">IF(D4831="Datos","Truncate table "&amp; B4831&amp; ";","")</f>
        <v>Truncate table SNGG01;</v>
      </c>
      <c r="Q4831" s="5"/>
      <c r="R4831" s="5"/>
    </row>
    <row r="4832" spans="2:18" x14ac:dyDescent="0.25">
      <c r="B4832" s="19" t="s">
        <v>6369</v>
      </c>
      <c r="C4832" s="16"/>
      <c r="D4832" s="16" t="s">
        <v>29</v>
      </c>
      <c r="E4832" s="16"/>
      <c r="F4832" s="5"/>
      <c r="G4832" s="16" t="s">
        <v>35</v>
      </c>
      <c r="H4832" s="16"/>
      <c r="I4832" s="16"/>
      <c r="J4832" s="16"/>
      <c r="K4832" s="16"/>
      <c r="L4832" s="16"/>
      <c r="M4832" s="16"/>
      <c r="N4832" s="16"/>
      <c r="O4832" s="17"/>
      <c r="P4832" s="5" t="str">
        <f t="shared" si="111"/>
        <v>Truncate table SNGG10;</v>
      </c>
      <c r="Q4832" s="5"/>
      <c r="R4832" s="5"/>
    </row>
    <row r="4833" spans="1:18" x14ac:dyDescent="0.25">
      <c r="A4833" s="240"/>
      <c r="B4833" s="19" t="s">
        <v>6370</v>
      </c>
      <c r="C4833" s="16"/>
      <c r="D4833" s="16" t="s">
        <v>29</v>
      </c>
      <c r="E4833" s="16"/>
      <c r="F4833" s="5"/>
      <c r="G4833" s="16" t="s">
        <v>35</v>
      </c>
      <c r="H4833" s="16"/>
      <c r="I4833" s="16"/>
      <c r="J4833" s="16"/>
      <c r="K4833" s="16"/>
      <c r="L4833" s="16"/>
      <c r="M4833" s="16"/>
      <c r="N4833" s="16"/>
      <c r="O4833" s="17"/>
      <c r="P4833" s="5" t="str">
        <f t="shared" si="111"/>
        <v>Truncate table SNGG11;</v>
      </c>
      <c r="Q4833" s="5"/>
      <c r="R4833" s="5"/>
    </row>
    <row r="4834" spans="1:18" x14ac:dyDescent="0.25">
      <c r="A4834" s="240"/>
      <c r="B4834" s="19" t="s">
        <v>6371</v>
      </c>
      <c r="C4834" s="16"/>
      <c r="D4834" s="16" t="s">
        <v>8152</v>
      </c>
      <c r="E4834" s="16"/>
      <c r="F4834" s="5"/>
      <c r="G4834" s="16" t="s">
        <v>35</v>
      </c>
      <c r="H4834" s="16"/>
      <c r="I4834" s="16"/>
      <c r="J4834" s="16"/>
      <c r="K4834" s="16"/>
      <c r="L4834" s="16"/>
      <c r="M4834" s="16"/>
      <c r="N4834" s="16"/>
      <c r="O4834" s="17"/>
      <c r="P4834" s="5" t="str">
        <f t="shared" si="111"/>
        <v/>
      </c>
      <c r="Q4834" s="5"/>
      <c r="R4834" s="5"/>
    </row>
    <row r="4835" spans="1:18" x14ac:dyDescent="0.25">
      <c r="B4835" s="19" t="s">
        <v>6372</v>
      </c>
      <c r="C4835" s="203" t="s">
        <v>8472</v>
      </c>
      <c r="D4835" s="16" t="s">
        <v>29</v>
      </c>
      <c r="E4835" s="16"/>
      <c r="F4835" s="5"/>
      <c r="G4835" s="16" t="s">
        <v>35</v>
      </c>
      <c r="H4835" s="16"/>
      <c r="I4835" s="16"/>
      <c r="J4835" s="16"/>
      <c r="K4835" s="16"/>
      <c r="L4835" s="16"/>
      <c r="M4835" s="16"/>
      <c r="N4835" s="16"/>
      <c r="O4835" s="17"/>
      <c r="P4835" s="5" t="str">
        <f t="shared" si="111"/>
        <v>Truncate table SNGH62;</v>
      </c>
      <c r="Q4835" s="5"/>
      <c r="R4835" s="5"/>
    </row>
    <row r="4836" spans="1:18" x14ac:dyDescent="0.25">
      <c r="B4836" s="19" t="s">
        <v>6373</v>
      </c>
      <c r="C4836" s="203" t="s">
        <v>8473</v>
      </c>
      <c r="D4836" s="16" t="s">
        <v>29</v>
      </c>
      <c r="E4836" s="16"/>
      <c r="F4836" s="5"/>
      <c r="G4836" s="16" t="s">
        <v>35</v>
      </c>
      <c r="H4836" s="16"/>
      <c r="I4836" s="16"/>
      <c r="J4836" s="16"/>
      <c r="K4836" s="16"/>
      <c r="L4836" s="16"/>
      <c r="M4836" s="16"/>
      <c r="N4836" s="16"/>
      <c r="O4836" s="17"/>
      <c r="P4836" s="5" t="str">
        <f t="shared" si="111"/>
        <v>Truncate table SNGH63;</v>
      </c>
      <c r="Q4836" s="5"/>
      <c r="R4836" s="5"/>
    </row>
    <row r="4837" spans="1:18" x14ac:dyDescent="0.25">
      <c r="B4837" s="19" t="s">
        <v>6374</v>
      </c>
      <c r="C4837" s="203" t="s">
        <v>8472</v>
      </c>
      <c r="D4837" s="16" t="s">
        <v>29</v>
      </c>
      <c r="E4837" s="16"/>
      <c r="F4837" s="5"/>
      <c r="G4837" s="16" t="s">
        <v>35</v>
      </c>
      <c r="H4837" s="16"/>
      <c r="I4837" s="16"/>
      <c r="J4837" s="16"/>
      <c r="K4837" s="16"/>
      <c r="L4837" s="16"/>
      <c r="M4837" s="16"/>
      <c r="N4837" s="16"/>
      <c r="O4837" s="17"/>
      <c r="P4837" s="5" t="str">
        <f t="shared" si="111"/>
        <v>Truncate table SNGH65;</v>
      </c>
      <c r="Q4837" s="5"/>
      <c r="R4837" s="5"/>
    </row>
    <row r="4838" spans="1:18" x14ac:dyDescent="0.25">
      <c r="B4838" s="19" t="s">
        <v>6375</v>
      </c>
      <c r="C4838" s="203" t="s">
        <v>8471</v>
      </c>
      <c r="D4838" s="16" t="s">
        <v>29</v>
      </c>
      <c r="E4838" s="16"/>
      <c r="F4838" s="5"/>
      <c r="G4838" s="16" t="s">
        <v>35</v>
      </c>
      <c r="H4838" s="16"/>
      <c r="I4838" s="16"/>
      <c r="J4838" s="16"/>
      <c r="K4838" s="16"/>
      <c r="L4838" s="16"/>
      <c r="M4838" s="16"/>
      <c r="N4838" s="16"/>
      <c r="O4838" s="17"/>
      <c r="P4838" s="5" t="str">
        <f t="shared" si="111"/>
        <v>Truncate table SNGI28;</v>
      </c>
      <c r="Q4838" s="5"/>
      <c r="R4838" s="5"/>
    </row>
    <row r="4839" spans="1:18" x14ac:dyDescent="0.25">
      <c r="B4839" s="19" t="s">
        <v>6376</v>
      </c>
      <c r="C4839" s="214" t="s">
        <v>8464</v>
      </c>
      <c r="D4839" s="16" t="s">
        <v>29</v>
      </c>
      <c r="E4839" s="16"/>
      <c r="F4839" s="5"/>
      <c r="G4839" s="16" t="s">
        <v>35</v>
      </c>
      <c r="H4839" s="16"/>
      <c r="I4839" s="16"/>
      <c r="J4839" s="16"/>
      <c r="K4839" s="16"/>
      <c r="L4839" s="16"/>
      <c r="M4839" s="16"/>
      <c r="N4839" s="16"/>
      <c r="O4839" s="17"/>
      <c r="P4839" s="5" t="str">
        <f t="shared" si="111"/>
        <v>Truncate table SNGIC1;</v>
      </c>
      <c r="Q4839" s="5"/>
      <c r="R4839" s="5"/>
    </row>
    <row r="4840" spans="1:18" x14ac:dyDescent="0.25">
      <c r="B4840" s="19" t="s">
        <v>6377</v>
      </c>
      <c r="C4840" s="214" t="s">
        <v>8463</v>
      </c>
      <c r="D4840" s="16" t="s">
        <v>29</v>
      </c>
      <c r="E4840" s="16"/>
      <c r="F4840" s="5"/>
      <c r="G4840" s="16" t="s">
        <v>35</v>
      </c>
      <c r="H4840" s="16"/>
      <c r="I4840" s="16"/>
      <c r="J4840" s="16"/>
      <c r="K4840" s="16"/>
      <c r="L4840" s="16"/>
      <c r="M4840" s="16"/>
      <c r="N4840" s="16"/>
      <c r="O4840" s="17"/>
      <c r="P4840" s="5" t="str">
        <f t="shared" si="111"/>
        <v>Truncate table SNGIC2;</v>
      </c>
      <c r="Q4840" s="5"/>
      <c r="R4840" s="5"/>
    </row>
    <row r="4841" spans="1:18" x14ac:dyDescent="0.25">
      <c r="B4841" s="19" t="s">
        <v>6378</v>
      </c>
      <c r="C4841" s="16" t="s">
        <v>8474</v>
      </c>
      <c r="D4841" s="16" t="s">
        <v>8152</v>
      </c>
      <c r="E4841" s="16" t="s">
        <v>1096</v>
      </c>
      <c r="F4841" s="5" t="s">
        <v>8202</v>
      </c>
      <c r="G4841" s="16" t="s">
        <v>35</v>
      </c>
      <c r="H4841" s="16"/>
      <c r="I4841" s="16"/>
      <c r="J4841" s="16"/>
      <c r="K4841" s="16"/>
      <c r="L4841" s="16"/>
      <c r="M4841" s="16"/>
      <c r="N4841" s="16"/>
      <c r="O4841" s="17"/>
      <c r="P4841" s="5" t="str">
        <f t="shared" si="111"/>
        <v/>
      </c>
      <c r="Q4841" s="5"/>
      <c r="R4841" s="5"/>
    </row>
    <row r="4842" spans="1:18" x14ac:dyDescent="0.25">
      <c r="B4842" s="19" t="s">
        <v>6379</v>
      </c>
      <c r="C4842" s="16" t="s">
        <v>8474</v>
      </c>
      <c r="D4842" s="16" t="s">
        <v>8152</v>
      </c>
      <c r="E4842" s="5" t="s">
        <v>8202</v>
      </c>
      <c r="F4842" s="5" t="s">
        <v>8202</v>
      </c>
      <c r="G4842" s="16" t="s">
        <v>35</v>
      </c>
      <c r="H4842" s="16"/>
      <c r="I4842" s="16"/>
      <c r="J4842" s="16"/>
      <c r="K4842" s="16"/>
      <c r="L4842" s="16"/>
      <c r="M4842" s="16"/>
      <c r="N4842" s="16"/>
      <c r="O4842" s="17"/>
      <c r="P4842" s="5" t="str">
        <f t="shared" si="111"/>
        <v/>
      </c>
      <c r="Q4842" s="5"/>
      <c r="R4842" s="5"/>
    </row>
    <row r="4843" spans="1:18" x14ac:dyDescent="0.25">
      <c r="B4843" s="19" t="s">
        <v>6380</v>
      </c>
      <c r="C4843" s="214" t="s">
        <v>8462</v>
      </c>
      <c r="D4843" s="16" t="s">
        <v>29</v>
      </c>
      <c r="E4843" s="16"/>
      <c r="F4843" s="5"/>
      <c r="G4843" s="16" t="s">
        <v>35</v>
      </c>
      <c r="H4843" s="16"/>
      <c r="I4843" s="16"/>
      <c r="J4843" s="16"/>
      <c r="K4843" s="16"/>
      <c r="L4843" s="16"/>
      <c r="M4843" s="16"/>
      <c r="N4843" s="16"/>
      <c r="O4843" s="17"/>
      <c r="P4843" s="5" t="str">
        <f t="shared" si="111"/>
        <v>Truncate table SNGM10;</v>
      </c>
      <c r="Q4843" s="5"/>
      <c r="R4843" s="5"/>
    </row>
    <row r="4844" spans="1:18" x14ac:dyDescent="0.25">
      <c r="B4844" s="19" t="s">
        <v>6381</v>
      </c>
      <c r="C4844" s="16" t="s">
        <v>6076</v>
      </c>
      <c r="D4844" s="16" t="s">
        <v>8152</v>
      </c>
      <c r="E4844" s="16" t="s">
        <v>54</v>
      </c>
      <c r="F4844" s="5" t="s">
        <v>163</v>
      </c>
      <c r="G4844" s="16" t="s">
        <v>35</v>
      </c>
      <c r="H4844" s="16"/>
      <c r="I4844" s="16"/>
      <c r="J4844" s="16"/>
      <c r="K4844" s="16"/>
      <c r="L4844" s="16"/>
      <c r="M4844" s="229"/>
      <c r="N4844" s="16"/>
      <c r="O4844" s="17" t="s">
        <v>38</v>
      </c>
      <c r="P4844" s="5" t="str">
        <f t="shared" si="111"/>
        <v/>
      </c>
      <c r="Q4844" s="5"/>
      <c r="R4844" s="5"/>
    </row>
    <row r="4845" spans="1:18" x14ac:dyDescent="0.25">
      <c r="B4845" s="19" t="s">
        <v>6382</v>
      </c>
      <c r="C4845" s="16" t="s">
        <v>6076</v>
      </c>
      <c r="D4845" s="16" t="s">
        <v>8152</v>
      </c>
      <c r="E4845" s="16" t="s">
        <v>54</v>
      </c>
      <c r="F4845" s="5" t="s">
        <v>163</v>
      </c>
      <c r="G4845" s="16" t="s">
        <v>35</v>
      </c>
      <c r="H4845" s="16"/>
      <c r="I4845" s="16"/>
      <c r="J4845" s="16"/>
      <c r="K4845" s="16"/>
      <c r="L4845" s="16"/>
      <c r="M4845" s="229"/>
      <c r="N4845" s="16"/>
      <c r="O4845" s="17" t="s">
        <v>38</v>
      </c>
      <c r="P4845" s="5" t="str">
        <f t="shared" si="111"/>
        <v/>
      </c>
      <c r="Q4845" s="5"/>
      <c r="R4845" s="5"/>
    </row>
    <row r="4846" spans="1:18" x14ac:dyDescent="0.25">
      <c r="B4846" s="19" t="s">
        <v>6383</v>
      </c>
      <c r="C4846" s="16" t="s">
        <v>6076</v>
      </c>
      <c r="D4846" s="16" t="s">
        <v>8152</v>
      </c>
      <c r="E4846" s="16" t="s">
        <v>54</v>
      </c>
      <c r="F4846" s="5" t="s">
        <v>163</v>
      </c>
      <c r="G4846" s="16" t="s">
        <v>35</v>
      </c>
      <c r="H4846" s="16"/>
      <c r="I4846" s="16"/>
      <c r="J4846" s="16"/>
      <c r="K4846" s="16"/>
      <c r="L4846" s="16"/>
      <c r="M4846" s="229"/>
      <c r="N4846" s="16"/>
      <c r="O4846" s="17" t="s">
        <v>38</v>
      </c>
      <c r="P4846" s="5" t="str">
        <f t="shared" si="111"/>
        <v/>
      </c>
      <c r="Q4846" s="5"/>
      <c r="R4846" s="5"/>
    </row>
    <row r="4847" spans="1:18" x14ac:dyDescent="0.25">
      <c r="B4847" s="19" t="s">
        <v>6384</v>
      </c>
      <c r="C4847" s="16" t="s">
        <v>6076</v>
      </c>
      <c r="D4847" s="16" t="s">
        <v>8152</v>
      </c>
      <c r="E4847" s="16" t="s">
        <v>54</v>
      </c>
      <c r="F4847" s="5" t="s">
        <v>163</v>
      </c>
      <c r="G4847" s="16" t="s">
        <v>35</v>
      </c>
      <c r="H4847" s="16"/>
      <c r="I4847" s="16"/>
      <c r="J4847" s="16"/>
      <c r="K4847" s="16"/>
      <c r="L4847" s="16"/>
      <c r="M4847" s="229"/>
      <c r="N4847" s="16"/>
      <c r="O4847" s="17" t="s">
        <v>38</v>
      </c>
      <c r="P4847" s="5" t="str">
        <f t="shared" si="111"/>
        <v/>
      </c>
      <c r="Q4847" s="5"/>
      <c r="R4847" s="5"/>
    </row>
    <row r="4848" spans="1:18" x14ac:dyDescent="0.25">
      <c r="B4848" s="19" t="s">
        <v>6385</v>
      </c>
      <c r="C4848" s="16" t="s">
        <v>6076</v>
      </c>
      <c r="D4848" s="16" t="s">
        <v>8152</v>
      </c>
      <c r="E4848" s="16" t="s">
        <v>54</v>
      </c>
      <c r="F4848" s="5" t="s">
        <v>163</v>
      </c>
      <c r="G4848" s="16" t="s">
        <v>35</v>
      </c>
      <c r="H4848" s="16"/>
      <c r="I4848" s="16"/>
      <c r="J4848" s="16"/>
      <c r="K4848" s="16"/>
      <c r="L4848" s="16"/>
      <c r="M4848" s="229"/>
      <c r="N4848" s="16"/>
      <c r="O4848" s="17" t="s">
        <v>38</v>
      </c>
      <c r="P4848" s="5" t="str">
        <f t="shared" si="111"/>
        <v/>
      </c>
      <c r="Q4848" s="5"/>
      <c r="R4848" s="5"/>
    </row>
    <row r="4849" spans="1:18" x14ac:dyDescent="0.25">
      <c r="B4849" s="19" t="s">
        <v>6386</v>
      </c>
      <c r="C4849" s="16" t="s">
        <v>6076</v>
      </c>
      <c r="D4849" s="16" t="s">
        <v>8152</v>
      </c>
      <c r="E4849" s="16" t="s">
        <v>54</v>
      </c>
      <c r="F4849" s="5" t="s">
        <v>163</v>
      </c>
      <c r="G4849" s="16" t="s">
        <v>35</v>
      </c>
      <c r="H4849" s="16"/>
      <c r="I4849" s="16"/>
      <c r="J4849" s="16"/>
      <c r="K4849" s="16"/>
      <c r="L4849" s="16"/>
      <c r="M4849" s="229"/>
      <c r="N4849" s="16"/>
      <c r="O4849" s="17" t="s">
        <v>38</v>
      </c>
      <c r="P4849" s="5" t="str">
        <f t="shared" si="111"/>
        <v/>
      </c>
      <c r="Q4849" s="5"/>
      <c r="R4849" s="5"/>
    </row>
    <row r="4850" spans="1:18" x14ac:dyDescent="0.25">
      <c r="B4850" s="19" t="s">
        <v>6387</v>
      </c>
      <c r="C4850" s="16"/>
      <c r="D4850" s="16" t="s">
        <v>29</v>
      </c>
      <c r="E4850" s="16"/>
      <c r="F4850" s="5"/>
      <c r="G4850" s="16" t="s">
        <v>35</v>
      </c>
      <c r="H4850" s="16"/>
      <c r="I4850" s="16"/>
      <c r="J4850" s="16"/>
      <c r="K4850" s="16"/>
      <c r="L4850" s="16"/>
      <c r="M4850" s="16"/>
      <c r="N4850" s="16"/>
      <c r="O4850" s="17"/>
      <c r="P4850" s="5" t="str">
        <f t="shared" si="111"/>
        <v>Truncate table SNGP14;</v>
      </c>
      <c r="Q4850" s="5"/>
      <c r="R4850" s="5"/>
    </row>
    <row r="4851" spans="1:18" x14ac:dyDescent="0.25">
      <c r="B4851" s="19" t="s">
        <v>6388</v>
      </c>
      <c r="C4851" s="16"/>
      <c r="D4851" s="16" t="s">
        <v>29</v>
      </c>
      <c r="E4851" s="16"/>
      <c r="F4851" s="5"/>
      <c r="G4851" s="16" t="s">
        <v>35</v>
      </c>
      <c r="H4851" s="16"/>
      <c r="I4851" s="16"/>
      <c r="J4851" s="16"/>
      <c r="K4851" s="16"/>
      <c r="L4851" s="16"/>
      <c r="M4851" s="16"/>
      <c r="N4851" s="16"/>
      <c r="O4851" s="17"/>
      <c r="P4851" s="5" t="str">
        <f t="shared" si="111"/>
        <v>Truncate table SNGR01;</v>
      </c>
      <c r="Q4851" s="5"/>
      <c r="R4851" s="5"/>
    </row>
    <row r="4852" spans="1:18" x14ac:dyDescent="0.25">
      <c r="B4852" s="19" t="s">
        <v>6389</v>
      </c>
      <c r="C4852" s="253" t="s">
        <v>8460</v>
      </c>
      <c r="D4852" s="16" t="s">
        <v>29</v>
      </c>
      <c r="E4852" s="16"/>
      <c r="F4852" s="5"/>
      <c r="G4852" s="16" t="s">
        <v>35</v>
      </c>
      <c r="H4852" s="16"/>
      <c r="I4852" s="16"/>
      <c r="J4852" s="16"/>
      <c r="K4852" s="16"/>
      <c r="L4852" s="16"/>
      <c r="M4852" s="16"/>
      <c r="N4852" s="16"/>
      <c r="O4852" s="17"/>
      <c r="P4852" s="5" t="str">
        <f t="shared" si="111"/>
        <v>Truncate table SNGR20;</v>
      </c>
      <c r="Q4852" s="5"/>
      <c r="R4852" s="5"/>
    </row>
    <row r="4853" spans="1:18" x14ac:dyDescent="0.25">
      <c r="B4853" s="19" t="s">
        <v>6390</v>
      </c>
      <c r="C4853" s="16"/>
      <c r="D4853" s="16" t="s">
        <v>29</v>
      </c>
      <c r="E4853" s="16"/>
      <c r="F4853" s="5"/>
      <c r="G4853" s="16" t="s">
        <v>35</v>
      </c>
      <c r="H4853" s="16"/>
      <c r="I4853" s="16"/>
      <c r="J4853" s="16"/>
      <c r="K4853" s="16"/>
      <c r="L4853" s="16"/>
      <c r="M4853" s="16"/>
      <c r="N4853" s="16"/>
      <c r="O4853" s="17"/>
      <c r="P4853" s="5" t="str">
        <f t="shared" si="111"/>
        <v>Truncate table SNGR22;</v>
      </c>
      <c r="Q4853" s="5"/>
      <c r="R4853" s="5"/>
    </row>
    <row r="4854" spans="1:18" x14ac:dyDescent="0.25">
      <c r="B4854" s="19" t="s">
        <v>6391</v>
      </c>
      <c r="C4854" s="16"/>
      <c r="D4854" s="16" t="s">
        <v>29</v>
      </c>
      <c r="E4854" s="16"/>
      <c r="F4854" s="5"/>
      <c r="G4854" s="16" t="s">
        <v>35</v>
      </c>
      <c r="H4854" s="16"/>
      <c r="I4854" s="16"/>
      <c r="J4854" s="16"/>
      <c r="K4854" s="16"/>
      <c r="L4854" s="16"/>
      <c r="M4854" s="16"/>
      <c r="N4854" s="16"/>
      <c r="O4854" s="17"/>
      <c r="P4854" s="5" t="str">
        <f t="shared" si="111"/>
        <v>Truncate table SNGR25;</v>
      </c>
      <c r="Q4854" s="5"/>
      <c r="R4854" s="5"/>
    </row>
    <row r="4855" spans="1:18" x14ac:dyDescent="0.25">
      <c r="B4855" s="19" t="s">
        <v>6392</v>
      </c>
      <c r="C4855" s="16"/>
      <c r="D4855" s="16" t="s">
        <v>29</v>
      </c>
      <c r="E4855" s="16"/>
      <c r="F4855" s="5"/>
      <c r="G4855" s="16" t="s">
        <v>35</v>
      </c>
      <c r="H4855" s="16"/>
      <c r="I4855" s="16"/>
      <c r="J4855" s="16"/>
      <c r="K4855" s="16"/>
      <c r="L4855" s="16"/>
      <c r="M4855" s="16"/>
      <c r="N4855" s="16"/>
      <c r="O4855" s="17"/>
      <c r="P4855" s="5" t="str">
        <f t="shared" si="111"/>
        <v>Truncate table SNGR26;</v>
      </c>
      <c r="Q4855" s="5"/>
      <c r="R4855" s="5"/>
    </row>
    <row r="4856" spans="1:18" x14ac:dyDescent="0.25">
      <c r="B4856" s="19" t="s">
        <v>6393</v>
      </c>
      <c r="C4856" s="16"/>
      <c r="D4856" s="16" t="s">
        <v>29</v>
      </c>
      <c r="E4856" s="16"/>
      <c r="F4856" s="5"/>
      <c r="G4856" s="16" t="s">
        <v>35</v>
      </c>
      <c r="H4856" s="16"/>
      <c r="I4856" s="16"/>
      <c r="J4856" s="16"/>
      <c r="K4856" s="16"/>
      <c r="L4856" s="16"/>
      <c r="M4856" s="16"/>
      <c r="N4856" s="16"/>
      <c r="O4856" s="17"/>
      <c r="P4856" s="5" t="str">
        <f t="shared" si="111"/>
        <v>Truncate table SNGR27;</v>
      </c>
      <c r="Q4856" s="5"/>
      <c r="R4856" s="5"/>
    </row>
    <row r="4857" spans="1:18" x14ac:dyDescent="0.25">
      <c r="B4857" s="19" t="s">
        <v>6394</v>
      </c>
      <c r="C4857" s="16"/>
      <c r="D4857" s="16" t="s">
        <v>29</v>
      </c>
      <c r="E4857" s="16"/>
      <c r="F4857" s="5"/>
      <c r="G4857" s="16" t="s">
        <v>35</v>
      </c>
      <c r="H4857" s="16"/>
      <c r="I4857" s="16"/>
      <c r="J4857" s="16"/>
      <c r="K4857" s="16"/>
      <c r="L4857" s="16"/>
      <c r="M4857" s="16"/>
      <c r="N4857" s="16"/>
      <c r="O4857" s="17"/>
      <c r="P4857" s="5" t="str">
        <f t="shared" si="111"/>
        <v>Truncate table SNGR28;</v>
      </c>
      <c r="Q4857" s="5"/>
      <c r="R4857" s="5"/>
    </row>
    <row r="4858" spans="1:18" x14ac:dyDescent="0.25">
      <c r="B4858" s="19" t="s">
        <v>6395</v>
      </c>
      <c r="C4858" s="16"/>
      <c r="D4858" s="16" t="s">
        <v>29</v>
      </c>
      <c r="E4858" s="16"/>
      <c r="F4858" s="5"/>
      <c r="G4858" s="16" t="s">
        <v>35</v>
      </c>
      <c r="H4858" s="16"/>
      <c r="I4858" s="16"/>
      <c r="J4858" s="16"/>
      <c r="K4858" s="16"/>
      <c r="L4858" s="16"/>
      <c r="M4858" s="16"/>
      <c r="N4858" s="16"/>
      <c r="O4858" s="17"/>
      <c r="P4858" s="5" t="str">
        <f t="shared" si="111"/>
        <v>Truncate table SNGR29;</v>
      </c>
      <c r="Q4858" s="5"/>
      <c r="R4858" s="5"/>
    </row>
    <row r="4859" spans="1:18" x14ac:dyDescent="0.25">
      <c r="B4859" s="19" t="s">
        <v>6396</v>
      </c>
      <c r="C4859" s="16"/>
      <c r="D4859" s="16" t="s">
        <v>29</v>
      </c>
      <c r="E4859" s="16"/>
      <c r="F4859" s="5"/>
      <c r="G4859" s="16" t="s">
        <v>35</v>
      </c>
      <c r="H4859" s="16"/>
      <c r="I4859" s="16"/>
      <c r="J4859" s="16"/>
      <c r="K4859" s="16"/>
      <c r="L4859" s="16"/>
      <c r="M4859" s="16"/>
      <c r="N4859" s="16"/>
      <c r="O4859" s="17"/>
      <c r="P4859" s="5" t="str">
        <f t="shared" si="111"/>
        <v>Truncate table SNGR30;</v>
      </c>
      <c r="Q4859" s="5"/>
      <c r="R4859" s="5"/>
    </row>
    <row r="4860" spans="1:18" x14ac:dyDescent="0.25">
      <c r="B4860" s="19" t="s">
        <v>6397</v>
      </c>
      <c r="C4860" s="16"/>
      <c r="D4860" s="16" t="s">
        <v>29</v>
      </c>
      <c r="E4860" s="16"/>
      <c r="F4860" s="5"/>
      <c r="G4860" s="16" t="s">
        <v>35</v>
      </c>
      <c r="H4860" s="16"/>
      <c r="I4860" s="16"/>
      <c r="J4860" s="16"/>
      <c r="K4860" s="16"/>
      <c r="L4860" s="16"/>
      <c r="M4860" s="16"/>
      <c r="N4860" s="16"/>
      <c r="O4860" s="17"/>
      <c r="P4860" s="5" t="str">
        <f t="shared" si="111"/>
        <v>Truncate table SNGR31;</v>
      </c>
      <c r="Q4860" s="5"/>
      <c r="R4860" s="5"/>
    </row>
    <row r="4861" spans="1:18" x14ac:dyDescent="0.25">
      <c r="B4861" s="19" t="s">
        <v>6398</v>
      </c>
      <c r="C4861" s="16"/>
      <c r="D4861" s="16" t="s">
        <v>29</v>
      </c>
      <c r="E4861" s="16"/>
      <c r="F4861" s="5"/>
      <c r="G4861" s="16" t="s">
        <v>35</v>
      </c>
      <c r="H4861" s="16"/>
      <c r="I4861" s="16"/>
      <c r="J4861" s="16"/>
      <c r="K4861" s="16"/>
      <c r="L4861" s="16"/>
      <c r="M4861" s="16"/>
      <c r="N4861" s="16"/>
      <c r="O4861" s="17"/>
      <c r="P4861" s="5" t="str">
        <f t="shared" si="111"/>
        <v>Truncate table SNGR32;</v>
      </c>
      <c r="Q4861" s="5"/>
      <c r="R4861" s="5"/>
    </row>
    <row r="4862" spans="1:18" x14ac:dyDescent="0.25">
      <c r="B4862" s="19" t="s">
        <v>6399</v>
      </c>
      <c r="C4862" s="16"/>
      <c r="D4862" s="16" t="s">
        <v>29</v>
      </c>
      <c r="E4862" s="16"/>
      <c r="F4862" s="5"/>
      <c r="G4862" s="16" t="s">
        <v>35</v>
      </c>
      <c r="H4862" s="16"/>
      <c r="I4862" s="16"/>
      <c r="J4862" s="16"/>
      <c r="K4862" s="16"/>
      <c r="L4862" s="16"/>
      <c r="M4862" s="16"/>
      <c r="N4862" s="16"/>
      <c r="O4862" s="17"/>
      <c r="P4862" s="5" t="str">
        <f t="shared" si="111"/>
        <v>Truncate table SNGR33;</v>
      </c>
      <c r="Q4862" s="5"/>
      <c r="R4862" s="5"/>
    </row>
    <row r="4863" spans="1:18" x14ac:dyDescent="0.25">
      <c r="B4863" s="19" t="s">
        <v>6400</v>
      </c>
      <c r="C4863" s="16"/>
      <c r="D4863" s="16" t="s">
        <v>29</v>
      </c>
      <c r="E4863" s="16"/>
      <c r="F4863" s="5"/>
      <c r="G4863" s="16" t="s">
        <v>35</v>
      </c>
      <c r="H4863" s="16"/>
      <c r="I4863" s="16"/>
      <c r="J4863" s="16"/>
      <c r="K4863" s="16"/>
      <c r="L4863" s="16"/>
      <c r="M4863" s="16"/>
      <c r="N4863" s="16"/>
      <c r="O4863" s="17"/>
      <c r="P4863" s="5" t="str">
        <f t="shared" si="111"/>
        <v>Truncate table SNGR34;</v>
      </c>
      <c r="Q4863" s="5"/>
      <c r="R4863" s="5"/>
    </row>
    <row r="4864" spans="1:18" x14ac:dyDescent="0.25">
      <c r="A4864" s="240"/>
      <c r="B4864" s="19" t="s">
        <v>9534</v>
      </c>
      <c r="C4864" s="16"/>
      <c r="D4864" s="16" t="s">
        <v>8152</v>
      </c>
      <c r="E4864" s="16"/>
      <c r="F4864" s="5"/>
      <c r="G4864" s="16"/>
      <c r="H4864" s="16"/>
      <c r="I4864" s="16"/>
      <c r="J4864" s="16"/>
      <c r="K4864" s="16"/>
      <c r="L4864" s="16"/>
      <c r="M4864" s="16"/>
      <c r="N4864" s="16"/>
      <c r="O4864" s="17"/>
      <c r="P4864" s="5" t="str">
        <f t="shared" si="111"/>
        <v/>
      </c>
      <c r="Q4864" s="5"/>
      <c r="R4864" s="5"/>
    </row>
    <row r="4865" spans="2:18" x14ac:dyDescent="0.25">
      <c r="B4865" s="19" t="s">
        <v>6401</v>
      </c>
      <c r="C4865" s="16"/>
      <c r="D4865" s="16" t="s">
        <v>29</v>
      </c>
      <c r="E4865" s="16"/>
      <c r="F4865" s="5"/>
      <c r="G4865" s="16" t="s">
        <v>35</v>
      </c>
      <c r="H4865" s="16"/>
      <c r="I4865" s="16"/>
      <c r="J4865" s="16"/>
      <c r="K4865" s="16"/>
      <c r="L4865" s="16"/>
      <c r="M4865" s="16"/>
      <c r="N4865" s="16"/>
      <c r="O4865" s="17"/>
      <c r="P4865" s="5" t="str">
        <f t="shared" si="111"/>
        <v>Truncate table SNGR60;</v>
      </c>
      <c r="Q4865" s="5"/>
      <c r="R4865" s="5"/>
    </row>
    <row r="4866" spans="2:18" x14ac:dyDescent="0.25">
      <c r="B4866" s="19" t="s">
        <v>6402</v>
      </c>
      <c r="C4866" s="16"/>
      <c r="D4866" s="16" t="s">
        <v>29</v>
      </c>
      <c r="E4866" s="16"/>
      <c r="F4866" s="5"/>
      <c r="G4866" s="16" t="s">
        <v>35</v>
      </c>
      <c r="H4866" s="16"/>
      <c r="I4866" s="16"/>
      <c r="J4866" s="16"/>
      <c r="K4866" s="16"/>
      <c r="L4866" s="16"/>
      <c r="M4866" s="16"/>
      <c r="N4866" s="16"/>
      <c r="O4866" s="17"/>
      <c r="P4866" s="5" t="str">
        <f t="shared" si="111"/>
        <v>Truncate table SNGR61;</v>
      </c>
      <c r="Q4866" s="5"/>
      <c r="R4866" s="5"/>
    </row>
    <row r="4867" spans="2:18" ht="15.75" thickBot="1" x14ac:dyDescent="0.3">
      <c r="B4867" s="19" t="s">
        <v>6403</v>
      </c>
      <c r="C4867" s="213" t="s">
        <v>8461</v>
      </c>
      <c r="D4867" s="16" t="s">
        <v>29</v>
      </c>
      <c r="E4867" s="16"/>
      <c r="F4867" s="5"/>
      <c r="G4867" s="16" t="s">
        <v>35</v>
      </c>
      <c r="H4867" s="16"/>
      <c r="I4867" s="16"/>
      <c r="J4867" s="16"/>
      <c r="K4867" s="16"/>
      <c r="L4867" s="16"/>
      <c r="M4867" s="16"/>
      <c r="N4867" s="16"/>
      <c r="O4867" s="17"/>
      <c r="P4867" s="5" t="str">
        <f t="shared" si="111"/>
        <v>Truncate table SNGRIC;</v>
      </c>
      <c r="Q4867" s="5"/>
      <c r="R4867" s="5"/>
    </row>
    <row r="4868" spans="2:18" x14ac:dyDescent="0.25">
      <c r="B4868" s="19" t="s">
        <v>6404</v>
      </c>
      <c r="C4868" s="16" t="s">
        <v>6076</v>
      </c>
      <c r="D4868" s="16" t="s">
        <v>8152</v>
      </c>
      <c r="E4868" s="16" t="s">
        <v>54</v>
      </c>
      <c r="F4868" s="5" t="s">
        <v>163</v>
      </c>
      <c r="G4868" s="16" t="s">
        <v>35</v>
      </c>
      <c r="H4868" s="16"/>
      <c r="I4868" s="16"/>
      <c r="J4868" s="16"/>
      <c r="K4868" s="16"/>
      <c r="L4868" s="16"/>
      <c r="M4868" s="229"/>
      <c r="N4868" s="16"/>
      <c r="O4868" s="17" t="s">
        <v>38</v>
      </c>
      <c r="P4868" s="5" t="str">
        <f t="shared" si="111"/>
        <v/>
      </c>
      <c r="Q4868" s="5"/>
      <c r="R4868" s="5"/>
    </row>
    <row r="4869" spans="2:18" x14ac:dyDescent="0.25">
      <c r="B4869" s="19" t="s">
        <v>6405</v>
      </c>
      <c r="C4869" s="16" t="s">
        <v>6076</v>
      </c>
      <c r="D4869" s="16" t="s">
        <v>8152</v>
      </c>
      <c r="E4869" s="16" t="s">
        <v>54</v>
      </c>
      <c r="F4869" s="5" t="s">
        <v>163</v>
      </c>
      <c r="G4869" s="16" t="s">
        <v>35</v>
      </c>
      <c r="H4869" s="16"/>
      <c r="I4869" s="16"/>
      <c r="J4869" s="16"/>
      <c r="K4869" s="16"/>
      <c r="L4869" s="16"/>
      <c r="M4869" s="229"/>
      <c r="N4869" s="16"/>
      <c r="O4869" s="17" t="s">
        <v>38</v>
      </c>
      <c r="P4869" s="5" t="str">
        <f t="shared" si="111"/>
        <v/>
      </c>
      <c r="Q4869" s="5"/>
      <c r="R4869" s="5"/>
    </row>
    <row r="4870" spans="2:18" x14ac:dyDescent="0.25">
      <c r="B4870" s="19" t="s">
        <v>6406</v>
      </c>
      <c r="C4870" s="16"/>
      <c r="D4870" s="16" t="s">
        <v>29</v>
      </c>
      <c r="E4870" s="16"/>
      <c r="F4870" s="5"/>
      <c r="G4870" s="16" t="s">
        <v>35</v>
      </c>
      <c r="H4870" s="16"/>
      <c r="I4870" s="16"/>
      <c r="J4870" s="16"/>
      <c r="K4870" s="16"/>
      <c r="L4870" s="16"/>
      <c r="M4870" s="16"/>
      <c r="N4870" s="16"/>
      <c r="O4870" s="17"/>
      <c r="P4870" s="5" t="str">
        <f t="shared" si="111"/>
        <v>Truncate table SNGU03;</v>
      </c>
      <c r="Q4870" s="5"/>
      <c r="R4870" s="5"/>
    </row>
    <row r="4871" spans="2:18" x14ac:dyDescent="0.25">
      <c r="B4871" s="19" t="s">
        <v>6407</v>
      </c>
      <c r="C4871" s="16"/>
      <c r="D4871" s="16" t="s">
        <v>29</v>
      </c>
      <c r="E4871" s="16"/>
      <c r="F4871" s="5"/>
      <c r="G4871" s="16" t="s">
        <v>35</v>
      </c>
      <c r="H4871" s="16"/>
      <c r="I4871" s="16"/>
      <c r="J4871" s="16"/>
      <c r="K4871" s="16"/>
      <c r="L4871" s="16"/>
      <c r="M4871" s="16"/>
      <c r="N4871" s="16"/>
      <c r="O4871" s="17"/>
      <c r="P4871" s="5" t="str">
        <f t="shared" si="111"/>
        <v>Truncate table SNGU04;</v>
      </c>
      <c r="Q4871" s="5"/>
      <c r="R4871" s="5"/>
    </row>
    <row r="4872" spans="2:18" x14ac:dyDescent="0.25">
      <c r="B4872" s="19" t="s">
        <v>6408</v>
      </c>
      <c r="C4872" s="16"/>
      <c r="D4872" s="16" t="s">
        <v>29</v>
      </c>
      <c r="E4872" s="16"/>
      <c r="F4872" s="5"/>
      <c r="G4872" s="16" t="s">
        <v>35</v>
      </c>
      <c r="H4872" s="16"/>
      <c r="I4872" s="16"/>
      <c r="J4872" s="16"/>
      <c r="K4872" s="16"/>
      <c r="L4872" s="16"/>
      <c r="M4872" s="16"/>
      <c r="N4872" s="16"/>
      <c r="O4872" s="17"/>
      <c r="P4872" s="5" t="str">
        <f t="shared" si="111"/>
        <v>Truncate table SNGU06;</v>
      </c>
      <c r="Q4872" s="5"/>
      <c r="R4872" s="5"/>
    </row>
    <row r="4873" spans="2:18" x14ac:dyDescent="0.25">
      <c r="B4873" s="19" t="s">
        <v>6409</v>
      </c>
      <c r="C4873" s="16"/>
      <c r="D4873" s="16" t="s">
        <v>29</v>
      </c>
      <c r="E4873" s="16"/>
      <c r="F4873" s="5"/>
      <c r="G4873" s="16" t="s">
        <v>35</v>
      </c>
      <c r="H4873" s="16"/>
      <c r="I4873" s="16"/>
      <c r="J4873" s="16"/>
      <c r="K4873" s="16"/>
      <c r="L4873" s="16"/>
      <c r="M4873" s="16"/>
      <c r="N4873" s="16"/>
      <c r="O4873" s="17"/>
      <c r="P4873" s="5" t="str">
        <f t="shared" si="111"/>
        <v>Truncate table SNW001;</v>
      </c>
      <c r="Q4873" s="5"/>
      <c r="R4873" s="5"/>
    </row>
    <row r="4874" spans="2:18" x14ac:dyDescent="0.25">
      <c r="B4874" s="19" t="s">
        <v>6410</v>
      </c>
      <c r="C4874" s="16"/>
      <c r="D4874" s="16" t="s">
        <v>29</v>
      </c>
      <c r="E4874" s="16"/>
      <c r="F4874" s="5"/>
      <c r="G4874" s="16" t="s">
        <v>35</v>
      </c>
      <c r="H4874" s="16"/>
      <c r="I4874" s="16"/>
      <c r="J4874" s="16"/>
      <c r="K4874" s="16"/>
      <c r="L4874" s="16"/>
      <c r="M4874" s="16"/>
      <c r="N4874" s="16"/>
      <c r="O4874" s="17"/>
      <c r="P4874" s="5" t="str">
        <f t="shared" si="111"/>
        <v>Truncate table SNW002;</v>
      </c>
      <c r="Q4874" s="5"/>
      <c r="R4874" s="5"/>
    </row>
    <row r="4875" spans="2:18" x14ac:dyDescent="0.25">
      <c r="B4875" s="19" t="s">
        <v>6411</v>
      </c>
      <c r="C4875" s="16"/>
      <c r="D4875" s="16" t="s">
        <v>29</v>
      </c>
      <c r="E4875" s="16"/>
      <c r="F4875" s="5"/>
      <c r="G4875" s="16" t="s">
        <v>35</v>
      </c>
      <c r="H4875" s="16"/>
      <c r="I4875" s="16"/>
      <c r="J4875" s="16"/>
      <c r="K4875" s="16"/>
      <c r="L4875" s="16"/>
      <c r="M4875" s="16"/>
      <c r="N4875" s="16"/>
      <c r="O4875" s="17"/>
      <c r="P4875" s="5" t="str">
        <f t="shared" si="111"/>
        <v>Truncate table SNW003;</v>
      </c>
      <c r="Q4875" s="5"/>
      <c r="R4875" s="5"/>
    </row>
    <row r="4876" spans="2:18" x14ac:dyDescent="0.25">
      <c r="B4876" s="19" t="s">
        <v>6412</v>
      </c>
      <c r="C4876" s="16"/>
      <c r="D4876" s="16" t="s">
        <v>29</v>
      </c>
      <c r="E4876" s="16"/>
      <c r="F4876" s="5"/>
      <c r="G4876" s="16" t="s">
        <v>35</v>
      </c>
      <c r="H4876" s="16"/>
      <c r="I4876" s="16"/>
      <c r="J4876" s="16"/>
      <c r="K4876" s="16"/>
      <c r="L4876" s="16"/>
      <c r="M4876" s="16"/>
      <c r="N4876" s="16"/>
      <c r="O4876" s="17"/>
      <c r="P4876" s="5" t="str">
        <f t="shared" si="111"/>
        <v>Truncate table SNW004;</v>
      </c>
      <c r="Q4876" s="5"/>
      <c r="R4876" s="5"/>
    </row>
    <row r="4877" spans="2:18" x14ac:dyDescent="0.25">
      <c r="B4877" s="19" t="s">
        <v>6413</v>
      </c>
      <c r="C4877" s="16"/>
      <c r="D4877" s="16" t="s">
        <v>29</v>
      </c>
      <c r="E4877" s="16"/>
      <c r="F4877" s="5"/>
      <c r="G4877" s="16" t="s">
        <v>35</v>
      </c>
      <c r="H4877" s="16"/>
      <c r="I4877" s="16"/>
      <c r="J4877" s="16"/>
      <c r="K4877" s="16"/>
      <c r="L4877" s="16"/>
      <c r="M4877" s="16"/>
      <c r="N4877" s="16"/>
      <c r="O4877" s="17"/>
      <c r="P4877" s="5" t="str">
        <f t="shared" si="111"/>
        <v>Truncate table SNW005;</v>
      </c>
      <c r="Q4877" s="5"/>
      <c r="R4877" s="5"/>
    </row>
    <row r="4878" spans="2:18" x14ac:dyDescent="0.25">
      <c r="B4878" s="19" t="s">
        <v>6414</v>
      </c>
      <c r="C4878" s="16"/>
      <c r="D4878" s="16" t="s">
        <v>29</v>
      </c>
      <c r="E4878" s="16"/>
      <c r="F4878" s="5"/>
      <c r="G4878" s="16" t="s">
        <v>35</v>
      </c>
      <c r="H4878" s="16"/>
      <c r="I4878" s="16"/>
      <c r="J4878" s="16"/>
      <c r="K4878" s="16"/>
      <c r="L4878" s="16"/>
      <c r="M4878" s="16"/>
      <c r="N4878" s="16"/>
      <c r="O4878" s="17"/>
      <c r="P4878" s="5" t="str">
        <f t="shared" si="111"/>
        <v>Truncate table SNW006;</v>
      </c>
      <c r="Q4878" s="5"/>
      <c r="R4878" s="5"/>
    </row>
    <row r="4879" spans="2:18" x14ac:dyDescent="0.25">
      <c r="B4879" s="19" t="s">
        <v>6415</v>
      </c>
      <c r="C4879" s="16"/>
      <c r="D4879" s="16" t="s">
        <v>29</v>
      </c>
      <c r="E4879" s="16"/>
      <c r="F4879" s="5"/>
      <c r="G4879" s="16" t="s">
        <v>35</v>
      </c>
      <c r="H4879" s="16"/>
      <c r="I4879" s="16"/>
      <c r="J4879" s="16"/>
      <c r="K4879" s="16"/>
      <c r="L4879" s="16"/>
      <c r="M4879" s="16"/>
      <c r="N4879" s="16"/>
      <c r="O4879" s="17"/>
      <c r="P4879" s="5" t="str">
        <f t="shared" si="111"/>
        <v>Truncate table SNW007;</v>
      </c>
      <c r="Q4879" s="5"/>
      <c r="R4879" s="5"/>
    </row>
    <row r="4880" spans="2:18" x14ac:dyDescent="0.25">
      <c r="B4880" s="19" t="s">
        <v>6416</v>
      </c>
      <c r="C4880" s="16"/>
      <c r="D4880" s="16" t="s">
        <v>29</v>
      </c>
      <c r="E4880" s="16"/>
      <c r="F4880" s="5"/>
      <c r="G4880" s="16" t="s">
        <v>35</v>
      </c>
      <c r="H4880" s="16"/>
      <c r="I4880" s="16"/>
      <c r="J4880" s="16"/>
      <c r="K4880" s="16"/>
      <c r="L4880" s="16"/>
      <c r="M4880" s="16"/>
      <c r="N4880" s="16"/>
      <c r="O4880" s="17"/>
      <c r="P4880" s="5" t="str">
        <f t="shared" si="111"/>
        <v>Truncate table SNW008;</v>
      </c>
      <c r="Q4880" s="5"/>
      <c r="R4880" s="5"/>
    </row>
    <row r="4881" spans="1:18" x14ac:dyDescent="0.25">
      <c r="B4881" s="19" t="s">
        <v>6417</v>
      </c>
      <c r="C4881" s="16"/>
      <c r="D4881" s="16" t="s">
        <v>29</v>
      </c>
      <c r="E4881" s="16"/>
      <c r="F4881" s="5"/>
      <c r="G4881" s="16" t="s">
        <v>35</v>
      </c>
      <c r="H4881" s="16"/>
      <c r="I4881" s="16"/>
      <c r="J4881" s="16"/>
      <c r="K4881" s="16"/>
      <c r="L4881" s="16"/>
      <c r="M4881" s="16"/>
      <c r="N4881" s="16"/>
      <c r="O4881" s="17"/>
      <c r="P4881" s="5" t="str">
        <f t="shared" si="111"/>
        <v>Truncate table SNW009;</v>
      </c>
      <c r="Q4881" s="5"/>
      <c r="R4881" s="5"/>
    </row>
    <row r="4882" spans="1:18" x14ac:dyDescent="0.25">
      <c r="B4882" s="19" t="s">
        <v>6418</v>
      </c>
      <c r="C4882" s="16"/>
      <c r="D4882" s="16" t="s">
        <v>29</v>
      </c>
      <c r="E4882" s="16"/>
      <c r="F4882" s="5"/>
      <c r="G4882" s="16" t="s">
        <v>35</v>
      </c>
      <c r="H4882" s="16"/>
      <c r="I4882" s="16"/>
      <c r="J4882" s="16"/>
      <c r="K4882" s="16"/>
      <c r="L4882" s="16"/>
      <c r="M4882" s="16"/>
      <c r="N4882" s="16"/>
      <c r="O4882" s="17"/>
      <c r="P4882" s="5" t="str">
        <f t="shared" si="111"/>
        <v>Truncate table SNW010;</v>
      </c>
      <c r="Q4882" s="5"/>
      <c r="R4882" s="5"/>
    </row>
    <row r="4883" spans="1:18" x14ac:dyDescent="0.25">
      <c r="B4883" s="19" t="s">
        <v>6419</v>
      </c>
      <c r="C4883" s="16"/>
      <c r="D4883" s="16" t="s">
        <v>29</v>
      </c>
      <c r="E4883" s="16"/>
      <c r="F4883" s="5"/>
      <c r="G4883" s="16" t="s">
        <v>35</v>
      </c>
      <c r="H4883" s="16"/>
      <c r="I4883" s="16"/>
      <c r="J4883" s="16"/>
      <c r="K4883" s="16"/>
      <c r="L4883" s="16"/>
      <c r="M4883" s="16"/>
      <c r="N4883" s="16"/>
      <c r="O4883" s="17"/>
      <c r="P4883" s="5" t="str">
        <f t="shared" si="111"/>
        <v>Truncate table SNW011;</v>
      </c>
      <c r="Q4883" s="5"/>
      <c r="R4883" s="5"/>
    </row>
    <row r="4884" spans="1:18" x14ac:dyDescent="0.25">
      <c r="B4884" s="19" t="s">
        <v>6420</v>
      </c>
      <c r="C4884" s="16"/>
      <c r="D4884" s="16" t="s">
        <v>29</v>
      </c>
      <c r="E4884" s="16"/>
      <c r="F4884" s="5"/>
      <c r="G4884" s="16" t="s">
        <v>35</v>
      </c>
      <c r="H4884" s="16"/>
      <c r="I4884" s="16"/>
      <c r="J4884" s="16"/>
      <c r="K4884" s="16"/>
      <c r="L4884" s="16"/>
      <c r="M4884" s="16"/>
      <c r="N4884" s="16"/>
      <c r="O4884" s="17"/>
      <c r="P4884" s="5" t="str">
        <f t="shared" si="111"/>
        <v>Truncate table SNW012;</v>
      </c>
      <c r="Q4884" s="5"/>
      <c r="R4884" s="5"/>
    </row>
    <row r="4885" spans="1:18" x14ac:dyDescent="0.25">
      <c r="A4885" s="240"/>
      <c r="B4885" s="19" t="s">
        <v>9513</v>
      </c>
      <c r="C4885" s="16"/>
      <c r="D4885" s="16" t="s">
        <v>8152</v>
      </c>
      <c r="E4885" s="16"/>
      <c r="F4885" s="5"/>
      <c r="G4885" s="16"/>
      <c r="H4885" s="16"/>
      <c r="I4885" s="16"/>
      <c r="J4885" s="16"/>
      <c r="K4885" s="16"/>
      <c r="L4885" s="16"/>
      <c r="M4885" s="16"/>
      <c r="N4885" s="16"/>
      <c r="O4885" s="17"/>
      <c r="P4885" s="5"/>
      <c r="Q4885" s="5"/>
      <c r="R4885" s="5"/>
    </row>
    <row r="4886" spans="1:18" x14ac:dyDescent="0.25">
      <c r="B4886" s="19" t="s">
        <v>6421</v>
      </c>
      <c r="C4886" s="16" t="s">
        <v>6422</v>
      </c>
      <c r="D4886" s="16" t="s">
        <v>29</v>
      </c>
      <c r="E4886" s="16" t="s">
        <v>151</v>
      </c>
      <c r="F4886" s="5" t="s">
        <v>4752</v>
      </c>
      <c r="G4886" s="16" t="s">
        <v>35</v>
      </c>
      <c r="H4886" s="16" t="s">
        <v>36</v>
      </c>
      <c r="I4886" s="16"/>
      <c r="J4886" s="16"/>
      <c r="K4886" s="16"/>
      <c r="L4886" s="16"/>
      <c r="M4886" s="16"/>
      <c r="N4886" s="16"/>
      <c r="O4886" s="17" t="s">
        <v>38</v>
      </c>
      <c r="P4886" s="5" t="str">
        <f t="shared" ref="P4886:P4949" si="112">IF(D4886="Datos","Truncate table "&amp; B4886&amp; ";","")</f>
        <v>Truncate table STDE03;</v>
      </c>
      <c r="Q4886" s="5"/>
      <c r="R4886" s="5"/>
    </row>
    <row r="4887" spans="1:18" x14ac:dyDescent="0.25">
      <c r="B4887" s="19" t="s">
        <v>6423</v>
      </c>
      <c r="C4887" s="16"/>
      <c r="D4887" s="16" t="s">
        <v>29</v>
      </c>
      <c r="E4887" s="16"/>
      <c r="F4887" s="5"/>
      <c r="G4887" s="16" t="s">
        <v>35</v>
      </c>
      <c r="H4887" s="16"/>
      <c r="I4887" s="16"/>
      <c r="J4887" s="16"/>
      <c r="K4887" s="16"/>
      <c r="L4887" s="16"/>
      <c r="M4887" s="16"/>
      <c r="N4887" s="16"/>
      <c r="O4887" s="17"/>
      <c r="P4887" s="5" t="str">
        <f t="shared" si="112"/>
        <v>Truncate table SWTPCC;</v>
      </c>
      <c r="Q4887" s="5"/>
      <c r="R4887" s="5"/>
    </row>
    <row r="4888" spans="1:18" x14ac:dyDescent="0.25">
      <c r="B4888" s="19" t="s">
        <v>6424</v>
      </c>
      <c r="C4888" s="16"/>
      <c r="D4888" s="16" t="s">
        <v>29</v>
      </c>
      <c r="E4888" s="16"/>
      <c r="F4888" s="5"/>
      <c r="G4888" s="16" t="s">
        <v>35</v>
      </c>
      <c r="H4888" s="16"/>
      <c r="I4888" s="16"/>
      <c r="J4888" s="16"/>
      <c r="K4888" s="16"/>
      <c r="L4888" s="16"/>
      <c r="M4888" s="16"/>
      <c r="N4888" s="16"/>
      <c r="O4888" s="17"/>
      <c r="P4888" s="5" t="str">
        <f t="shared" si="112"/>
        <v>Truncate table T53C02;</v>
      </c>
      <c r="Q4888" s="5"/>
      <c r="R4888" s="5"/>
    </row>
    <row r="4889" spans="1:18" x14ac:dyDescent="0.25">
      <c r="B4889" s="19" t="s">
        <v>6425</v>
      </c>
      <c r="C4889" s="16"/>
      <c r="D4889" s="16" t="s">
        <v>29</v>
      </c>
      <c r="E4889" s="16"/>
      <c r="F4889" s="5"/>
      <c r="G4889" s="16" t="s">
        <v>35</v>
      </c>
      <c r="H4889" s="16"/>
      <c r="I4889" s="16"/>
      <c r="J4889" s="16"/>
      <c r="K4889" s="16"/>
      <c r="L4889" s="16"/>
      <c r="M4889" s="16"/>
      <c r="N4889" s="16"/>
      <c r="O4889" s="17"/>
      <c r="P4889" s="5" t="str">
        <f t="shared" si="112"/>
        <v>Truncate table TABLE1;</v>
      </c>
      <c r="Q4889" s="5"/>
      <c r="R4889" s="5"/>
    </row>
    <row r="4890" spans="1:18" x14ac:dyDescent="0.25">
      <c r="B4890" s="19" t="s">
        <v>6426</v>
      </c>
      <c r="C4890" s="16"/>
      <c r="D4890" s="16" t="s">
        <v>29</v>
      </c>
      <c r="E4890" s="16"/>
      <c r="F4890" s="5"/>
      <c r="G4890" s="16" t="s">
        <v>35</v>
      </c>
      <c r="H4890" s="16"/>
      <c r="I4890" s="16"/>
      <c r="J4890" s="16"/>
      <c r="K4890" s="16"/>
      <c r="L4890" s="16"/>
      <c r="M4890" s="16"/>
      <c r="N4890" s="16"/>
      <c r="O4890" s="17"/>
      <c r="P4890" s="5" t="str">
        <f t="shared" si="112"/>
        <v>Truncate table TABLE2;</v>
      </c>
      <c r="Q4890" s="5"/>
      <c r="R4890" s="5"/>
    </row>
    <row r="4891" spans="1:18" x14ac:dyDescent="0.25">
      <c r="B4891" s="19" t="s">
        <v>6427</v>
      </c>
      <c r="C4891" s="16"/>
      <c r="D4891" s="16" t="s">
        <v>29</v>
      </c>
      <c r="E4891" s="16"/>
      <c r="F4891" s="5"/>
      <c r="G4891" s="16" t="s">
        <v>35</v>
      </c>
      <c r="H4891" s="16"/>
      <c r="I4891" s="16"/>
      <c r="J4891" s="16"/>
      <c r="K4891" s="16"/>
      <c r="L4891" s="16"/>
      <c r="M4891" s="16"/>
      <c r="N4891" s="16"/>
      <c r="O4891" s="17"/>
      <c r="P4891" s="5" t="str">
        <f t="shared" si="112"/>
        <v>Truncate table TDB001;</v>
      </c>
      <c r="Q4891" s="5"/>
      <c r="R4891" s="5"/>
    </row>
    <row r="4892" spans="1:18" x14ac:dyDescent="0.25">
      <c r="B4892" s="19" t="s">
        <v>6428</v>
      </c>
      <c r="C4892" s="16"/>
      <c r="D4892" s="16" t="s">
        <v>29</v>
      </c>
      <c r="E4892" s="16"/>
      <c r="F4892" s="5"/>
      <c r="G4892" s="16" t="s">
        <v>35</v>
      </c>
      <c r="H4892" s="16"/>
      <c r="I4892" s="16"/>
      <c r="J4892" s="16"/>
      <c r="K4892" s="16"/>
      <c r="L4892" s="16"/>
      <c r="M4892" s="16"/>
      <c r="N4892" s="16"/>
      <c r="O4892" s="17"/>
      <c r="P4892" s="5" t="str">
        <f t="shared" si="112"/>
        <v>Truncate table TDB002;</v>
      </c>
      <c r="Q4892" s="5"/>
      <c r="R4892" s="5"/>
    </row>
    <row r="4893" spans="1:18" x14ac:dyDescent="0.25">
      <c r="B4893" s="19" t="s">
        <v>6429</v>
      </c>
      <c r="C4893" s="16"/>
      <c r="D4893" s="16" t="s">
        <v>29</v>
      </c>
      <c r="E4893" s="16"/>
      <c r="F4893" s="5"/>
      <c r="G4893" s="16" t="s">
        <v>35</v>
      </c>
      <c r="H4893" s="16"/>
      <c r="I4893" s="16"/>
      <c r="J4893" s="16"/>
      <c r="K4893" s="16"/>
      <c r="L4893" s="16"/>
      <c r="M4893" s="16"/>
      <c r="N4893" s="16"/>
      <c r="O4893" s="17"/>
      <c r="P4893" s="5" t="str">
        <f t="shared" si="112"/>
        <v>Truncate table TDB679;</v>
      </c>
      <c r="Q4893" s="5"/>
      <c r="R4893" s="5"/>
    </row>
    <row r="4894" spans="1:18" x14ac:dyDescent="0.25">
      <c r="B4894" s="19" t="s">
        <v>6430</v>
      </c>
      <c r="C4894" s="16"/>
      <c r="D4894" s="16" t="s">
        <v>29</v>
      </c>
      <c r="E4894" s="16"/>
      <c r="F4894" s="5"/>
      <c r="G4894" s="16" t="s">
        <v>35</v>
      </c>
      <c r="H4894" s="16"/>
      <c r="I4894" s="16"/>
      <c r="J4894" s="16"/>
      <c r="K4894" s="16"/>
      <c r="L4894" s="16"/>
      <c r="M4894" s="16"/>
      <c r="N4894" s="16"/>
      <c r="O4894" s="17"/>
      <c r="P4894" s="5" t="str">
        <f t="shared" si="112"/>
        <v>Truncate table TDB682;</v>
      </c>
      <c r="Q4894" s="5"/>
      <c r="R4894" s="5"/>
    </row>
    <row r="4895" spans="1:18" x14ac:dyDescent="0.25">
      <c r="B4895" s="19" t="s">
        <v>6431</v>
      </c>
      <c r="C4895" s="16"/>
      <c r="D4895" s="16" t="s">
        <v>29</v>
      </c>
      <c r="E4895" s="16"/>
      <c r="F4895" s="5"/>
      <c r="G4895" s="16" t="s">
        <v>35</v>
      </c>
      <c r="H4895" s="16"/>
      <c r="I4895" s="16"/>
      <c r="J4895" s="16"/>
      <c r="K4895" s="16"/>
      <c r="L4895" s="16"/>
      <c r="M4895" s="16"/>
      <c r="N4895" s="16"/>
      <c r="O4895" s="17"/>
      <c r="P4895" s="5" t="str">
        <f t="shared" si="112"/>
        <v>Truncate table TDLK01;</v>
      </c>
      <c r="Q4895" s="5"/>
      <c r="R4895" s="5"/>
    </row>
    <row r="4896" spans="1:18" x14ac:dyDescent="0.25">
      <c r="B4896" s="19" t="s">
        <v>6432</v>
      </c>
      <c r="C4896" s="16"/>
      <c r="D4896" s="16" t="s">
        <v>29</v>
      </c>
      <c r="E4896" s="16"/>
      <c r="F4896" s="5"/>
      <c r="G4896" s="16" t="s">
        <v>35</v>
      </c>
      <c r="H4896" s="16"/>
      <c r="I4896" s="16"/>
      <c r="J4896" s="16"/>
      <c r="K4896" s="16"/>
      <c r="L4896" s="16"/>
      <c r="M4896" s="16"/>
      <c r="N4896" s="16"/>
      <c r="O4896" s="17"/>
      <c r="P4896" s="5" t="str">
        <f t="shared" si="112"/>
        <v>Truncate table TDW001;</v>
      </c>
      <c r="Q4896" s="5"/>
      <c r="R4896" s="5"/>
    </row>
    <row r="4897" spans="2:18" x14ac:dyDescent="0.25">
      <c r="B4897" s="19" t="s">
        <v>6433</v>
      </c>
      <c r="C4897" s="16"/>
      <c r="D4897" s="16" t="s">
        <v>29</v>
      </c>
      <c r="E4897" s="16"/>
      <c r="F4897" s="5"/>
      <c r="G4897" s="16" t="s">
        <v>35</v>
      </c>
      <c r="H4897" s="16"/>
      <c r="I4897" s="16"/>
      <c r="J4897" s="16"/>
      <c r="K4897" s="16"/>
      <c r="L4897" s="16"/>
      <c r="M4897" s="16"/>
      <c r="N4897" s="16"/>
      <c r="O4897" s="17"/>
      <c r="P4897" s="5" t="str">
        <f t="shared" si="112"/>
        <v>Truncate table TDW002;</v>
      </c>
      <c r="Q4897" s="5"/>
      <c r="R4897" s="5"/>
    </row>
    <row r="4898" spans="2:18" x14ac:dyDescent="0.25">
      <c r="B4898" s="19" t="s">
        <v>6434</v>
      </c>
      <c r="C4898" s="16"/>
      <c r="D4898" s="16" t="s">
        <v>29</v>
      </c>
      <c r="E4898" s="16"/>
      <c r="F4898" s="5"/>
      <c r="G4898" s="16" t="s">
        <v>35</v>
      </c>
      <c r="H4898" s="16"/>
      <c r="I4898" s="16"/>
      <c r="J4898" s="16"/>
      <c r="K4898" s="16"/>
      <c r="L4898" s="16"/>
      <c r="M4898" s="16"/>
      <c r="N4898" s="16"/>
      <c r="O4898" s="17"/>
      <c r="P4898" s="5" t="str">
        <f t="shared" si="112"/>
        <v>Truncate table TDW003;</v>
      </c>
      <c r="Q4898" s="5"/>
      <c r="R4898" s="5"/>
    </row>
    <row r="4899" spans="2:18" x14ac:dyDescent="0.25">
      <c r="B4899" s="19" t="s">
        <v>6435</v>
      </c>
      <c r="C4899" s="16"/>
      <c r="D4899" s="16" t="s">
        <v>29</v>
      </c>
      <c r="E4899" s="16"/>
      <c r="F4899" s="5"/>
      <c r="G4899" s="16" t="s">
        <v>35</v>
      </c>
      <c r="H4899" s="16"/>
      <c r="I4899" s="16"/>
      <c r="J4899" s="16"/>
      <c r="K4899" s="16"/>
      <c r="L4899" s="16"/>
      <c r="M4899" s="16"/>
      <c r="N4899" s="16"/>
      <c r="O4899" s="17"/>
      <c r="P4899" s="5" t="str">
        <f t="shared" si="112"/>
        <v>Truncate table TDW004;</v>
      </c>
      <c r="Q4899" s="5"/>
      <c r="R4899" s="5"/>
    </row>
    <row r="4900" spans="2:18" x14ac:dyDescent="0.25">
      <c r="B4900" s="19" t="s">
        <v>6436</v>
      </c>
      <c r="C4900" s="16"/>
      <c r="D4900" s="16" t="s">
        <v>29</v>
      </c>
      <c r="E4900" s="16"/>
      <c r="F4900" s="5"/>
      <c r="G4900" s="16" t="s">
        <v>35</v>
      </c>
      <c r="H4900" s="16"/>
      <c r="I4900" s="16"/>
      <c r="J4900" s="16"/>
      <c r="K4900" s="16"/>
      <c r="L4900" s="16"/>
      <c r="M4900" s="16"/>
      <c r="N4900" s="16"/>
      <c r="O4900" s="17"/>
      <c r="P4900" s="5" t="str">
        <f t="shared" si="112"/>
        <v>Truncate table TDW005;</v>
      </c>
      <c r="Q4900" s="5"/>
      <c r="R4900" s="5"/>
    </row>
    <row r="4901" spans="2:18" x14ac:dyDescent="0.25">
      <c r="B4901" s="19" t="s">
        <v>6437</v>
      </c>
      <c r="C4901" s="16"/>
      <c r="D4901" s="16" t="s">
        <v>29</v>
      </c>
      <c r="E4901" s="16"/>
      <c r="F4901" s="5"/>
      <c r="G4901" s="16" t="s">
        <v>35</v>
      </c>
      <c r="H4901" s="16"/>
      <c r="I4901" s="16"/>
      <c r="J4901" s="16"/>
      <c r="K4901" s="16"/>
      <c r="L4901" s="16"/>
      <c r="M4901" s="16"/>
      <c r="N4901" s="16"/>
      <c r="O4901" s="17"/>
      <c r="P4901" s="5" t="str">
        <f t="shared" si="112"/>
        <v>Truncate table TDW006;</v>
      </c>
      <c r="Q4901" s="5"/>
      <c r="R4901" s="5"/>
    </row>
    <row r="4902" spans="2:18" x14ac:dyDescent="0.25">
      <c r="B4902" s="19" t="s">
        <v>6438</v>
      </c>
      <c r="C4902" s="16"/>
      <c r="D4902" s="16" t="s">
        <v>29</v>
      </c>
      <c r="E4902" s="16"/>
      <c r="F4902" s="5"/>
      <c r="G4902" s="16" t="s">
        <v>35</v>
      </c>
      <c r="H4902" s="16"/>
      <c r="I4902" s="16"/>
      <c r="J4902" s="16"/>
      <c r="K4902" s="16"/>
      <c r="L4902" s="16"/>
      <c r="M4902" s="16"/>
      <c r="N4902" s="16"/>
      <c r="O4902" s="17"/>
      <c r="P4902" s="5" t="str">
        <f t="shared" si="112"/>
        <v>Truncate table TDW007;</v>
      </c>
      <c r="Q4902" s="5"/>
      <c r="R4902" s="5"/>
    </row>
    <row r="4903" spans="2:18" x14ac:dyDescent="0.25">
      <c r="B4903" s="19" t="s">
        <v>6439</v>
      </c>
      <c r="C4903" s="16" t="s">
        <v>6440</v>
      </c>
      <c r="D4903" s="16" t="s">
        <v>8152</v>
      </c>
      <c r="E4903" s="16" t="s">
        <v>151</v>
      </c>
      <c r="F4903" s="5" t="s">
        <v>4752</v>
      </c>
      <c r="G4903" s="16" t="s">
        <v>35</v>
      </c>
      <c r="H4903" s="16" t="s">
        <v>36</v>
      </c>
      <c r="I4903" s="16"/>
      <c r="J4903" s="16"/>
      <c r="K4903" s="16"/>
      <c r="L4903" s="16"/>
      <c r="M4903" s="16"/>
      <c r="N4903" s="16"/>
      <c r="O4903" s="17" t="s">
        <v>38</v>
      </c>
      <c r="P4903" s="5" t="str">
        <f t="shared" si="112"/>
        <v/>
      </c>
      <c r="Q4903" s="5"/>
      <c r="R4903" s="5"/>
    </row>
    <row r="4904" spans="2:18" x14ac:dyDescent="0.25">
      <c r="B4904" s="19" t="s">
        <v>6441</v>
      </c>
      <c r="C4904" s="16" t="s">
        <v>6442</v>
      </c>
      <c r="D4904" s="16" t="s">
        <v>8152</v>
      </c>
      <c r="E4904" s="16" t="s">
        <v>151</v>
      </c>
      <c r="F4904" s="5" t="s">
        <v>4752</v>
      </c>
      <c r="G4904" s="16" t="s">
        <v>35</v>
      </c>
      <c r="H4904" s="16" t="s">
        <v>36</v>
      </c>
      <c r="I4904" s="16"/>
      <c r="J4904" s="16"/>
      <c r="K4904" s="16"/>
      <c r="L4904" s="16"/>
      <c r="M4904" s="16"/>
      <c r="N4904" s="16"/>
      <c r="O4904" s="17" t="s">
        <v>38</v>
      </c>
      <c r="P4904" s="5" t="str">
        <f t="shared" si="112"/>
        <v/>
      </c>
      <c r="Q4904" s="5"/>
      <c r="R4904" s="5"/>
    </row>
    <row r="4905" spans="2:18" x14ac:dyDescent="0.25">
      <c r="B4905" s="19" t="s">
        <v>6443</v>
      </c>
      <c r="C4905" s="16" t="s">
        <v>6444</v>
      </c>
      <c r="D4905" s="16" t="s">
        <v>29</v>
      </c>
      <c r="E4905" s="16" t="s">
        <v>151</v>
      </c>
      <c r="F4905" s="5" t="s">
        <v>4752</v>
      </c>
      <c r="G4905" s="16" t="s">
        <v>35</v>
      </c>
      <c r="H4905" s="16" t="s">
        <v>36</v>
      </c>
      <c r="I4905" s="16"/>
      <c r="J4905" s="16"/>
      <c r="K4905" s="16"/>
      <c r="L4905" s="16"/>
      <c r="M4905" s="16"/>
      <c r="N4905" s="16"/>
      <c r="O4905" s="17" t="s">
        <v>38</v>
      </c>
      <c r="P4905" s="5" t="str">
        <f t="shared" si="112"/>
        <v>Truncate table TDW041;</v>
      </c>
      <c r="Q4905" s="5"/>
      <c r="R4905" s="5"/>
    </row>
    <row r="4906" spans="2:18" x14ac:dyDescent="0.25">
      <c r="B4906" s="19" t="s">
        <v>6445</v>
      </c>
      <c r="C4906" s="16" t="s">
        <v>6446</v>
      </c>
      <c r="D4906" s="16" t="s">
        <v>29</v>
      </c>
      <c r="E4906" s="16" t="s">
        <v>151</v>
      </c>
      <c r="F4906" s="5" t="s">
        <v>4752</v>
      </c>
      <c r="G4906" s="16" t="s">
        <v>35</v>
      </c>
      <c r="H4906" s="16" t="s">
        <v>36</v>
      </c>
      <c r="I4906" s="16"/>
      <c r="J4906" s="16"/>
      <c r="K4906" s="16"/>
      <c r="L4906" s="16"/>
      <c r="M4906" s="16"/>
      <c r="N4906" s="16"/>
      <c r="O4906" s="17" t="s">
        <v>38</v>
      </c>
      <c r="P4906" s="5" t="str">
        <f t="shared" si="112"/>
        <v>Truncate table TDW042;</v>
      </c>
      <c r="Q4906" s="5"/>
      <c r="R4906" s="5"/>
    </row>
    <row r="4907" spans="2:18" x14ac:dyDescent="0.25">
      <c r="B4907" s="19" t="s">
        <v>6447</v>
      </c>
      <c r="C4907" s="16" t="s">
        <v>6448</v>
      </c>
      <c r="D4907" s="16" t="s">
        <v>29</v>
      </c>
      <c r="E4907" s="16" t="s">
        <v>151</v>
      </c>
      <c r="F4907" s="5" t="s">
        <v>4752</v>
      </c>
      <c r="G4907" s="16" t="s">
        <v>35</v>
      </c>
      <c r="H4907" s="16" t="s">
        <v>36</v>
      </c>
      <c r="I4907" s="16"/>
      <c r="J4907" s="16"/>
      <c r="K4907" s="16"/>
      <c r="L4907" s="16"/>
      <c r="M4907" s="16"/>
      <c r="N4907" s="16"/>
      <c r="O4907" s="17" t="s">
        <v>38</v>
      </c>
      <c r="P4907" s="5" t="str">
        <f t="shared" si="112"/>
        <v>Truncate table TDW043;</v>
      </c>
      <c r="Q4907" s="5"/>
      <c r="R4907" s="5"/>
    </row>
    <row r="4908" spans="2:18" x14ac:dyDescent="0.25">
      <c r="B4908" s="19" t="s">
        <v>6449</v>
      </c>
      <c r="C4908" s="16"/>
      <c r="D4908" s="16" t="s">
        <v>29</v>
      </c>
      <c r="E4908" s="16"/>
      <c r="F4908" s="5"/>
      <c r="G4908" s="16" t="s">
        <v>35</v>
      </c>
      <c r="H4908" s="16"/>
      <c r="I4908" s="16"/>
      <c r="J4908" s="16"/>
      <c r="K4908" s="16"/>
      <c r="L4908" s="16"/>
      <c r="M4908" s="16"/>
      <c r="N4908" s="16"/>
      <c r="O4908" s="17"/>
      <c r="P4908" s="5" t="str">
        <f t="shared" si="112"/>
        <v>Truncate table TDW044;</v>
      </c>
      <c r="Q4908" s="5"/>
      <c r="R4908" s="5"/>
    </row>
    <row r="4909" spans="2:18" x14ac:dyDescent="0.25">
      <c r="B4909" s="19" t="s">
        <v>6450</v>
      </c>
      <c r="C4909" s="16"/>
      <c r="D4909" s="16" t="s">
        <v>29</v>
      </c>
      <c r="E4909" s="16"/>
      <c r="F4909" s="5"/>
      <c r="G4909" s="16" t="s">
        <v>35</v>
      </c>
      <c r="H4909" s="16"/>
      <c r="I4909" s="16"/>
      <c r="J4909" s="16"/>
      <c r="K4909" s="16"/>
      <c r="L4909" s="16"/>
      <c r="M4909" s="16"/>
      <c r="N4909" s="16"/>
      <c r="O4909" s="17"/>
      <c r="P4909" s="5" t="str">
        <f t="shared" si="112"/>
        <v>Truncate table TDW050;</v>
      </c>
      <c r="Q4909" s="5"/>
      <c r="R4909" s="5"/>
    </row>
    <row r="4910" spans="2:18" x14ac:dyDescent="0.25">
      <c r="B4910" s="19" t="s">
        <v>6451</v>
      </c>
      <c r="C4910" s="16"/>
      <c r="D4910" s="16" t="s">
        <v>29</v>
      </c>
      <c r="E4910" s="16"/>
      <c r="F4910" s="5"/>
      <c r="G4910" s="16" t="s">
        <v>35</v>
      </c>
      <c r="H4910" s="16"/>
      <c r="I4910" s="16"/>
      <c r="J4910" s="16"/>
      <c r="K4910" s="16"/>
      <c r="L4910" s="16"/>
      <c r="M4910" s="16"/>
      <c r="N4910" s="16"/>
      <c r="O4910" s="17"/>
      <c r="P4910" s="5" t="str">
        <f t="shared" si="112"/>
        <v>Truncate table TDW475;</v>
      </c>
      <c r="Q4910" s="5"/>
      <c r="R4910" s="5"/>
    </row>
    <row r="4911" spans="2:18" x14ac:dyDescent="0.25">
      <c r="B4911" s="19" t="s">
        <v>6452</v>
      </c>
      <c r="C4911" s="16"/>
      <c r="D4911" s="16" t="s">
        <v>29</v>
      </c>
      <c r="E4911" s="16"/>
      <c r="F4911" s="5"/>
      <c r="G4911" s="16" t="s">
        <v>35</v>
      </c>
      <c r="H4911" s="16"/>
      <c r="I4911" s="16"/>
      <c r="J4911" s="16"/>
      <c r="K4911" s="16"/>
      <c r="L4911" s="16"/>
      <c r="M4911" s="16"/>
      <c r="N4911" s="16"/>
      <c r="O4911" s="17"/>
      <c r="P4911" s="5" t="str">
        <f t="shared" si="112"/>
        <v>Truncate table TDW500;</v>
      </c>
      <c r="Q4911" s="5"/>
      <c r="R4911" s="5"/>
    </row>
    <row r="4912" spans="2:18" x14ac:dyDescent="0.25">
      <c r="B4912" s="19" t="s">
        <v>6453</v>
      </c>
      <c r="C4912" s="16"/>
      <c r="D4912" s="16" t="s">
        <v>29</v>
      </c>
      <c r="E4912" s="16"/>
      <c r="F4912" s="5"/>
      <c r="G4912" s="16" t="s">
        <v>35</v>
      </c>
      <c r="H4912" s="16"/>
      <c r="I4912" s="16"/>
      <c r="J4912" s="16"/>
      <c r="K4912" s="16"/>
      <c r="L4912" s="16"/>
      <c r="M4912" s="16"/>
      <c r="N4912" s="16"/>
      <c r="O4912" s="17"/>
      <c r="P4912" s="5" t="str">
        <f t="shared" si="112"/>
        <v>Truncate table TDWI01;</v>
      </c>
      <c r="Q4912" s="5"/>
      <c r="R4912" s="5"/>
    </row>
    <row r="4913" spans="2:18" x14ac:dyDescent="0.25">
      <c r="B4913" s="19" t="s">
        <v>6454</v>
      </c>
      <c r="C4913" s="16"/>
      <c r="D4913" s="16" t="s">
        <v>29</v>
      </c>
      <c r="E4913" s="16"/>
      <c r="F4913" s="5"/>
      <c r="G4913" s="16" t="s">
        <v>35</v>
      </c>
      <c r="H4913" s="16"/>
      <c r="I4913" s="16"/>
      <c r="J4913" s="16"/>
      <c r="K4913" s="16"/>
      <c r="L4913" s="16"/>
      <c r="M4913" s="16"/>
      <c r="N4913" s="16"/>
      <c r="O4913" s="17"/>
      <c r="P4913" s="5" t="str">
        <f t="shared" si="112"/>
        <v>Truncate table TDWI02;</v>
      </c>
      <c r="Q4913" s="5"/>
      <c r="R4913" s="5"/>
    </row>
    <row r="4914" spans="2:18" x14ac:dyDescent="0.25">
      <c r="B4914" s="19" t="s">
        <v>6455</v>
      </c>
      <c r="C4914" s="16" t="s">
        <v>6456</v>
      </c>
      <c r="D4914" s="16" t="s">
        <v>8152</v>
      </c>
      <c r="E4914" s="16" t="s">
        <v>54</v>
      </c>
      <c r="F4914" s="5" t="s">
        <v>1198</v>
      </c>
      <c r="G4914" s="16" t="s">
        <v>35</v>
      </c>
      <c r="H4914" s="16" t="s">
        <v>36</v>
      </c>
      <c r="I4914" s="16"/>
      <c r="J4914" s="16"/>
      <c r="K4914" s="16"/>
      <c r="L4914" s="16"/>
      <c r="M4914" s="223" t="s">
        <v>387</v>
      </c>
      <c r="N4914" s="16"/>
      <c r="O4914" s="17" t="s">
        <v>38</v>
      </c>
      <c r="P4914" s="5" t="str">
        <f t="shared" si="112"/>
        <v/>
      </c>
      <c r="Q4914" s="5"/>
      <c r="R4914" s="5"/>
    </row>
    <row r="4915" spans="2:18" x14ac:dyDescent="0.25">
      <c r="B4915" s="19" t="s">
        <v>6457</v>
      </c>
      <c r="C4915" s="16" t="s">
        <v>6458</v>
      </c>
      <c r="D4915" s="16" t="s">
        <v>29</v>
      </c>
      <c r="E4915" s="16" t="s">
        <v>54</v>
      </c>
      <c r="F4915" s="5" t="s">
        <v>1198</v>
      </c>
      <c r="G4915" s="16" t="s">
        <v>35</v>
      </c>
      <c r="H4915" s="16"/>
      <c r="I4915" s="16"/>
      <c r="J4915" s="16"/>
      <c r="K4915" s="16"/>
      <c r="L4915" s="16"/>
      <c r="M4915" s="16"/>
      <c r="N4915" s="16"/>
      <c r="O4915" s="17" t="s">
        <v>38</v>
      </c>
      <c r="P4915" s="5" t="str">
        <f t="shared" si="112"/>
        <v>Truncate table TI0001;</v>
      </c>
      <c r="Q4915" s="5"/>
      <c r="R4915" s="5"/>
    </row>
    <row r="4916" spans="2:18" x14ac:dyDescent="0.25">
      <c r="B4916" s="19" t="s">
        <v>6459</v>
      </c>
      <c r="C4916" s="16" t="s">
        <v>6460</v>
      </c>
      <c r="D4916" s="16" t="s">
        <v>8152</v>
      </c>
      <c r="E4916" s="16" t="s">
        <v>54</v>
      </c>
      <c r="F4916" s="5" t="s">
        <v>1198</v>
      </c>
      <c r="G4916" s="16" t="s">
        <v>35</v>
      </c>
      <c r="H4916" s="16" t="s">
        <v>36</v>
      </c>
      <c r="I4916" s="16"/>
      <c r="J4916" s="16"/>
      <c r="K4916" s="16"/>
      <c r="L4916" s="16"/>
      <c r="M4916" s="223" t="s">
        <v>387</v>
      </c>
      <c r="N4916" s="16"/>
      <c r="O4916" s="17" t="s">
        <v>38</v>
      </c>
      <c r="P4916" s="5" t="str">
        <f t="shared" si="112"/>
        <v/>
      </c>
      <c r="Q4916" s="5"/>
      <c r="R4916" s="5"/>
    </row>
    <row r="4917" spans="2:18" x14ac:dyDescent="0.25">
      <c r="B4917" s="19" t="s">
        <v>6461</v>
      </c>
      <c r="C4917" s="16" t="s">
        <v>6462</v>
      </c>
      <c r="D4917" s="16" t="s">
        <v>8152</v>
      </c>
      <c r="E4917" s="16" t="s">
        <v>54</v>
      </c>
      <c r="F4917" s="5" t="s">
        <v>1198</v>
      </c>
      <c r="G4917" s="16" t="s">
        <v>35</v>
      </c>
      <c r="H4917" s="16" t="s">
        <v>36</v>
      </c>
      <c r="I4917" s="16"/>
      <c r="J4917" s="16"/>
      <c r="K4917" s="16"/>
      <c r="L4917" s="16"/>
      <c r="M4917" s="223" t="s">
        <v>387</v>
      </c>
      <c r="N4917" s="16"/>
      <c r="O4917" s="17" t="s">
        <v>38</v>
      </c>
      <c r="P4917" s="5" t="str">
        <f t="shared" si="112"/>
        <v/>
      </c>
      <c r="Q4917" s="5"/>
      <c r="R4917" s="5"/>
    </row>
    <row r="4918" spans="2:18" x14ac:dyDescent="0.25">
      <c r="B4918" s="19" t="s">
        <v>6463</v>
      </c>
      <c r="C4918" s="16" t="s">
        <v>6464</v>
      </c>
      <c r="D4918" s="16" t="s">
        <v>29</v>
      </c>
      <c r="E4918" s="16"/>
      <c r="F4918" s="5" t="s">
        <v>1198</v>
      </c>
      <c r="G4918" s="16" t="s">
        <v>35</v>
      </c>
      <c r="H4918" s="16"/>
      <c r="I4918" s="16"/>
      <c r="J4918" s="16"/>
      <c r="K4918" s="16"/>
      <c r="L4918" s="16"/>
      <c r="M4918" s="16"/>
      <c r="N4918" s="16"/>
      <c r="O4918" s="17"/>
      <c r="P4918" s="5" t="str">
        <f t="shared" si="112"/>
        <v>Truncate table TI0004;</v>
      </c>
      <c r="Q4918" s="5"/>
      <c r="R4918" s="5"/>
    </row>
    <row r="4919" spans="2:18" x14ac:dyDescent="0.25">
      <c r="B4919" s="19" t="s">
        <v>6465</v>
      </c>
      <c r="C4919" s="16" t="s">
        <v>6466</v>
      </c>
      <c r="D4919" s="16" t="s">
        <v>8152</v>
      </c>
      <c r="E4919" s="16" t="s">
        <v>54</v>
      </c>
      <c r="F4919" s="5" t="s">
        <v>1198</v>
      </c>
      <c r="G4919" s="16" t="s">
        <v>35</v>
      </c>
      <c r="H4919" s="16" t="s">
        <v>36</v>
      </c>
      <c r="I4919" s="16"/>
      <c r="J4919" s="16"/>
      <c r="K4919" s="16"/>
      <c r="L4919" s="16"/>
      <c r="M4919" s="223" t="s">
        <v>387</v>
      </c>
      <c r="N4919" s="16"/>
      <c r="O4919" s="17" t="s">
        <v>38</v>
      </c>
      <c r="P4919" s="5" t="str">
        <f t="shared" si="112"/>
        <v/>
      </c>
      <c r="Q4919" s="5"/>
      <c r="R4919" s="5"/>
    </row>
    <row r="4920" spans="2:18" x14ac:dyDescent="0.25">
      <c r="B4920" s="19" t="s">
        <v>6467</v>
      </c>
      <c r="C4920" s="16" t="s">
        <v>6468</v>
      </c>
      <c r="D4920" s="16" t="s">
        <v>29</v>
      </c>
      <c r="E4920" s="16" t="s">
        <v>54</v>
      </c>
      <c r="F4920" s="5" t="s">
        <v>1198</v>
      </c>
      <c r="G4920" s="16" t="s">
        <v>35</v>
      </c>
      <c r="H4920" s="16"/>
      <c r="I4920" s="16"/>
      <c r="J4920" s="16"/>
      <c r="K4920" s="16"/>
      <c r="L4920" s="16"/>
      <c r="M4920" s="16"/>
      <c r="N4920" s="16"/>
      <c r="O4920" s="17" t="s">
        <v>38</v>
      </c>
      <c r="P4920" s="5" t="str">
        <f t="shared" si="112"/>
        <v>Truncate table TI0006;</v>
      </c>
      <c r="Q4920" s="5"/>
      <c r="R4920" s="5"/>
    </row>
    <row r="4921" spans="2:18" x14ac:dyDescent="0.25">
      <c r="B4921" s="19" t="s">
        <v>6469</v>
      </c>
      <c r="C4921" s="16" t="s">
        <v>6470</v>
      </c>
      <c r="D4921" s="16" t="s">
        <v>8152</v>
      </c>
      <c r="E4921" s="16" t="s">
        <v>54</v>
      </c>
      <c r="F4921" s="5" t="s">
        <v>1198</v>
      </c>
      <c r="G4921" s="16" t="s">
        <v>35</v>
      </c>
      <c r="H4921" s="16" t="s">
        <v>36</v>
      </c>
      <c r="I4921" s="16"/>
      <c r="J4921" s="16"/>
      <c r="K4921" s="16"/>
      <c r="L4921" s="16"/>
      <c r="M4921" s="223" t="s">
        <v>387</v>
      </c>
      <c r="N4921" s="16"/>
      <c r="O4921" s="17" t="s">
        <v>38</v>
      </c>
      <c r="P4921" s="5" t="str">
        <f t="shared" si="112"/>
        <v/>
      </c>
      <c r="Q4921" s="5"/>
      <c r="R4921" s="5"/>
    </row>
    <row r="4922" spans="2:18" x14ac:dyDescent="0.25">
      <c r="B4922" s="19" t="s">
        <v>6471</v>
      </c>
      <c r="C4922" s="16" t="s">
        <v>6472</v>
      </c>
      <c r="D4922" s="16" t="s">
        <v>8152</v>
      </c>
      <c r="E4922" s="16" t="s">
        <v>54</v>
      </c>
      <c r="F4922" s="5" t="s">
        <v>1198</v>
      </c>
      <c r="G4922" s="16" t="s">
        <v>35</v>
      </c>
      <c r="H4922" s="16" t="s">
        <v>36</v>
      </c>
      <c r="I4922" s="16"/>
      <c r="J4922" s="16"/>
      <c r="K4922" s="16"/>
      <c r="L4922" s="16"/>
      <c r="M4922" s="223" t="s">
        <v>387</v>
      </c>
      <c r="N4922" s="16"/>
      <c r="O4922" s="17" t="s">
        <v>38</v>
      </c>
      <c r="P4922" s="5" t="str">
        <f t="shared" si="112"/>
        <v/>
      </c>
      <c r="Q4922" s="5"/>
      <c r="R4922" s="5"/>
    </row>
    <row r="4923" spans="2:18" x14ac:dyDescent="0.25">
      <c r="B4923" s="19" t="s">
        <v>6473</v>
      </c>
      <c r="C4923" s="16" t="s">
        <v>6474</v>
      </c>
      <c r="D4923" s="16" t="s">
        <v>29</v>
      </c>
      <c r="E4923" s="16"/>
      <c r="F4923" s="5" t="s">
        <v>1198</v>
      </c>
      <c r="G4923" s="16" t="s">
        <v>35</v>
      </c>
      <c r="H4923" s="16"/>
      <c r="I4923" s="16"/>
      <c r="J4923" s="16"/>
      <c r="K4923" s="16"/>
      <c r="L4923" s="16"/>
      <c r="M4923" s="16"/>
      <c r="N4923" s="16"/>
      <c r="O4923" s="17"/>
      <c r="P4923" s="5" t="str">
        <f t="shared" si="112"/>
        <v>Truncate table TI0009;</v>
      </c>
      <c r="Q4923" s="5"/>
      <c r="R4923" s="5"/>
    </row>
    <row r="4924" spans="2:18" x14ac:dyDescent="0.25">
      <c r="B4924" s="19" t="s">
        <v>6475</v>
      </c>
      <c r="C4924" s="16"/>
      <c r="D4924" s="16" t="s">
        <v>29</v>
      </c>
      <c r="E4924" s="16"/>
      <c r="F4924" s="5"/>
      <c r="G4924" s="16" t="s">
        <v>35</v>
      </c>
      <c r="H4924" s="16"/>
      <c r="I4924" s="16"/>
      <c r="J4924" s="16"/>
      <c r="K4924" s="16"/>
      <c r="L4924" s="16"/>
      <c r="M4924" s="16"/>
      <c r="N4924" s="16"/>
      <c r="O4924" s="17"/>
      <c r="P4924" s="5" t="str">
        <f t="shared" si="112"/>
        <v>Truncate table TI000F;</v>
      </c>
      <c r="Q4924" s="5"/>
      <c r="R4924" s="5"/>
    </row>
    <row r="4925" spans="2:18" x14ac:dyDescent="0.25">
      <c r="B4925" s="19" t="s">
        <v>6476</v>
      </c>
      <c r="C4925" s="16" t="s">
        <v>6477</v>
      </c>
      <c r="D4925" s="16" t="s">
        <v>29</v>
      </c>
      <c r="E4925" s="16" t="s">
        <v>54</v>
      </c>
      <c r="F4925" s="5" t="s">
        <v>1198</v>
      </c>
      <c r="G4925" s="16" t="s">
        <v>35</v>
      </c>
      <c r="H4925" s="16"/>
      <c r="I4925" s="16"/>
      <c r="J4925" s="16"/>
      <c r="K4925" s="16"/>
      <c r="L4925" s="16"/>
      <c r="M4925" s="16"/>
      <c r="N4925" s="16"/>
      <c r="O4925" s="17" t="s">
        <v>38</v>
      </c>
      <c r="P4925" s="5" t="str">
        <f t="shared" si="112"/>
        <v>Truncate table TI0010;</v>
      </c>
      <c r="Q4925" s="5"/>
      <c r="R4925" s="5"/>
    </row>
    <row r="4926" spans="2:18" x14ac:dyDescent="0.25">
      <c r="B4926" s="19" t="s">
        <v>6478</v>
      </c>
      <c r="C4926" s="16" t="s">
        <v>6479</v>
      </c>
      <c r="D4926" s="16" t="s">
        <v>29</v>
      </c>
      <c r="E4926" s="16"/>
      <c r="F4926" s="5" t="s">
        <v>1198</v>
      </c>
      <c r="G4926" s="16" t="s">
        <v>35</v>
      </c>
      <c r="H4926" s="16"/>
      <c r="I4926" s="16"/>
      <c r="J4926" s="16"/>
      <c r="K4926" s="16"/>
      <c r="L4926" s="16"/>
      <c r="M4926" s="16"/>
      <c r="N4926" s="16"/>
      <c r="O4926" s="17"/>
      <c r="P4926" s="5" t="str">
        <f t="shared" si="112"/>
        <v>Truncate table TI0011;</v>
      </c>
      <c r="Q4926" s="5"/>
      <c r="R4926" s="5"/>
    </row>
    <row r="4927" spans="2:18" x14ac:dyDescent="0.25">
      <c r="B4927" s="19" t="s">
        <v>6480</v>
      </c>
      <c r="C4927" s="381" t="s">
        <v>6481</v>
      </c>
      <c r="D4927" s="16" t="s">
        <v>29</v>
      </c>
      <c r="E4927" s="16"/>
      <c r="F4927" s="5" t="s">
        <v>1198</v>
      </c>
      <c r="G4927" s="16" t="s">
        <v>35</v>
      </c>
      <c r="H4927" s="16"/>
      <c r="I4927" s="16"/>
      <c r="J4927" s="16"/>
      <c r="K4927" s="16"/>
      <c r="L4927" s="16"/>
      <c r="M4927" s="16"/>
      <c r="N4927" s="16"/>
      <c r="O4927" s="17"/>
      <c r="P4927" s="5" t="str">
        <f t="shared" si="112"/>
        <v>Truncate table TI0012;</v>
      </c>
      <c r="Q4927" s="5"/>
      <c r="R4927" s="5"/>
    </row>
    <row r="4928" spans="2:18" x14ac:dyDescent="0.25">
      <c r="B4928" s="19" t="s">
        <v>6482</v>
      </c>
      <c r="C4928" s="16" t="s">
        <v>6483</v>
      </c>
      <c r="D4928" s="16" t="s">
        <v>8152</v>
      </c>
      <c r="E4928" s="16" t="s">
        <v>54</v>
      </c>
      <c r="F4928" s="5" t="s">
        <v>1198</v>
      </c>
      <c r="G4928" s="16" t="s">
        <v>35</v>
      </c>
      <c r="H4928" s="16" t="s">
        <v>36</v>
      </c>
      <c r="I4928" s="16"/>
      <c r="J4928" s="16"/>
      <c r="K4928" s="16"/>
      <c r="L4928" s="16"/>
      <c r="M4928" s="223" t="s">
        <v>387</v>
      </c>
      <c r="N4928" s="16"/>
      <c r="O4928" s="17" t="s">
        <v>38</v>
      </c>
      <c r="P4928" s="5" t="str">
        <f t="shared" si="112"/>
        <v/>
      </c>
      <c r="Q4928" s="5"/>
      <c r="R4928" s="5"/>
    </row>
    <row r="4929" spans="2:18" x14ac:dyDescent="0.25">
      <c r="B4929" s="19" t="s">
        <v>6484</v>
      </c>
      <c r="C4929" s="16" t="s">
        <v>6485</v>
      </c>
      <c r="D4929" s="16" t="s">
        <v>29</v>
      </c>
      <c r="E4929" s="16"/>
      <c r="F4929" s="5" t="s">
        <v>1198</v>
      </c>
      <c r="G4929" s="16" t="s">
        <v>35</v>
      </c>
      <c r="H4929" s="16"/>
      <c r="I4929" s="16"/>
      <c r="J4929" s="16"/>
      <c r="K4929" s="16"/>
      <c r="L4929" s="16"/>
      <c r="M4929" s="16"/>
      <c r="N4929" s="16"/>
      <c r="O4929" s="17"/>
      <c r="P4929" s="5" t="str">
        <f t="shared" si="112"/>
        <v>Truncate table TI0014;</v>
      </c>
      <c r="Q4929" s="5"/>
      <c r="R4929" s="5"/>
    </row>
    <row r="4930" spans="2:18" x14ac:dyDescent="0.25">
      <c r="B4930" s="19" t="s">
        <v>6486</v>
      </c>
      <c r="C4930" s="66"/>
      <c r="D4930" s="16" t="s">
        <v>29</v>
      </c>
      <c r="E4930" s="16" t="s">
        <v>54</v>
      </c>
      <c r="F4930" s="5" t="s">
        <v>1198</v>
      </c>
      <c r="G4930" s="16" t="s">
        <v>35</v>
      </c>
      <c r="H4930" s="16"/>
      <c r="I4930" s="16"/>
      <c r="J4930" s="16"/>
      <c r="K4930" s="16"/>
      <c r="L4930" s="16"/>
      <c r="M4930" s="16"/>
      <c r="N4930" s="16"/>
      <c r="O4930" s="17" t="s">
        <v>38</v>
      </c>
      <c r="P4930" s="5" t="str">
        <f t="shared" si="112"/>
        <v>Truncate table TI0019;</v>
      </c>
      <c r="Q4930" s="5"/>
      <c r="R4930" s="5"/>
    </row>
    <row r="4931" spans="2:18" x14ac:dyDescent="0.25">
      <c r="B4931" s="19" t="s">
        <v>6487</v>
      </c>
      <c r="C4931" s="16"/>
      <c r="D4931" s="16" t="s">
        <v>29</v>
      </c>
      <c r="E4931" s="16"/>
      <c r="F4931" s="5"/>
      <c r="G4931" s="16" t="s">
        <v>35</v>
      </c>
      <c r="H4931" s="16"/>
      <c r="I4931" s="16"/>
      <c r="J4931" s="16"/>
      <c r="K4931" s="16"/>
      <c r="L4931" s="16"/>
      <c r="M4931" s="16"/>
      <c r="N4931" s="16"/>
      <c r="O4931" s="17"/>
      <c r="P4931" s="5" t="str">
        <f t="shared" si="112"/>
        <v>Truncate table TI002A;</v>
      </c>
      <c r="Q4931" s="5"/>
      <c r="R4931" s="5"/>
    </row>
    <row r="4932" spans="2:18" x14ac:dyDescent="0.25">
      <c r="B4932" s="19" t="s">
        <v>6488</v>
      </c>
      <c r="C4932" s="16"/>
      <c r="D4932" s="16" t="s">
        <v>29</v>
      </c>
      <c r="E4932" s="16"/>
      <c r="F4932" s="5"/>
      <c r="G4932" s="16" t="s">
        <v>35</v>
      </c>
      <c r="H4932" s="16"/>
      <c r="I4932" s="16"/>
      <c r="J4932" s="16"/>
      <c r="K4932" s="16"/>
      <c r="L4932" s="16"/>
      <c r="M4932" s="16"/>
      <c r="N4932" s="16"/>
      <c r="O4932" s="17"/>
      <c r="P4932" s="5" t="str">
        <f t="shared" si="112"/>
        <v>Truncate table TI002B;</v>
      </c>
      <c r="Q4932" s="5"/>
      <c r="R4932" s="5"/>
    </row>
    <row r="4933" spans="2:18" x14ac:dyDescent="0.25">
      <c r="B4933" s="19" t="s">
        <v>6489</v>
      </c>
      <c r="C4933" s="16"/>
      <c r="D4933" s="16" t="s">
        <v>29</v>
      </c>
      <c r="E4933" s="16"/>
      <c r="F4933" s="5"/>
      <c r="G4933" s="16" t="s">
        <v>35</v>
      </c>
      <c r="H4933" s="16"/>
      <c r="I4933" s="16"/>
      <c r="J4933" s="16"/>
      <c r="K4933" s="16"/>
      <c r="L4933" s="16"/>
      <c r="M4933" s="16"/>
      <c r="N4933" s="16"/>
      <c r="O4933" s="17"/>
      <c r="P4933" s="5" t="str">
        <f t="shared" si="112"/>
        <v>Truncate table TI00301;</v>
      </c>
      <c r="Q4933" s="5"/>
      <c r="R4933" s="5"/>
    </row>
    <row r="4934" spans="2:18" x14ac:dyDescent="0.25">
      <c r="B4934" s="19" t="s">
        <v>6490</v>
      </c>
      <c r="C4934" s="16"/>
      <c r="D4934" s="16" t="s">
        <v>29</v>
      </c>
      <c r="E4934" s="16"/>
      <c r="F4934" s="5"/>
      <c r="G4934" s="16" t="s">
        <v>35</v>
      </c>
      <c r="H4934" s="16"/>
      <c r="I4934" s="16"/>
      <c r="J4934" s="16"/>
      <c r="K4934" s="16"/>
      <c r="L4934" s="16"/>
      <c r="M4934" s="16"/>
      <c r="N4934" s="16"/>
      <c r="O4934" s="17"/>
      <c r="P4934" s="5" t="str">
        <f t="shared" si="112"/>
        <v>Truncate table TI0095;</v>
      </c>
      <c r="Q4934" s="5"/>
      <c r="R4934" s="5"/>
    </row>
    <row r="4935" spans="2:18" x14ac:dyDescent="0.25">
      <c r="B4935" s="19" t="s">
        <v>6491</v>
      </c>
      <c r="C4935" s="16"/>
      <c r="D4935" s="16" t="s">
        <v>29</v>
      </c>
      <c r="E4935" s="16"/>
      <c r="F4935" s="5"/>
      <c r="G4935" s="16" t="s">
        <v>35</v>
      </c>
      <c r="H4935" s="16"/>
      <c r="I4935" s="16"/>
      <c r="J4935" s="16"/>
      <c r="K4935" s="16"/>
      <c r="L4935" s="16"/>
      <c r="M4935" s="16"/>
      <c r="N4935" s="16"/>
      <c r="O4935" s="17"/>
      <c r="P4935" s="5" t="str">
        <f t="shared" si="112"/>
        <v>Truncate table TI0096;</v>
      </c>
      <c r="Q4935" s="5"/>
      <c r="R4935" s="5"/>
    </row>
    <row r="4936" spans="2:18" x14ac:dyDescent="0.25">
      <c r="B4936" s="19" t="s">
        <v>6492</v>
      </c>
      <c r="C4936" s="16"/>
      <c r="D4936" s="16" t="s">
        <v>29</v>
      </c>
      <c r="E4936" s="16"/>
      <c r="F4936" s="5"/>
      <c r="G4936" s="16" t="s">
        <v>35</v>
      </c>
      <c r="H4936" s="16"/>
      <c r="I4936" s="16"/>
      <c r="J4936" s="16"/>
      <c r="K4936" s="16"/>
      <c r="L4936" s="16"/>
      <c r="M4936" s="16"/>
      <c r="N4936" s="16"/>
      <c r="O4936" s="17"/>
      <c r="P4936" s="5" t="str">
        <f t="shared" si="112"/>
        <v>Truncate table TI0097;</v>
      </c>
      <c r="Q4936" s="5"/>
      <c r="R4936" s="5"/>
    </row>
    <row r="4937" spans="2:18" x14ac:dyDescent="0.25">
      <c r="B4937" s="19" t="s">
        <v>6493</v>
      </c>
      <c r="C4937" s="16"/>
      <c r="D4937" s="16" t="s">
        <v>29</v>
      </c>
      <c r="E4937" s="16"/>
      <c r="F4937" s="5"/>
      <c r="G4937" s="16" t="s">
        <v>35</v>
      </c>
      <c r="H4937" s="16"/>
      <c r="I4937" s="16"/>
      <c r="J4937" s="16"/>
      <c r="K4937" s="16"/>
      <c r="L4937" s="16"/>
      <c r="M4937" s="16"/>
      <c r="N4937" s="16"/>
      <c r="O4937" s="17"/>
      <c r="P4937" s="5" t="str">
        <f t="shared" si="112"/>
        <v>Truncate table TI0098;</v>
      </c>
      <c r="Q4937" s="5"/>
      <c r="R4937" s="5"/>
    </row>
    <row r="4938" spans="2:18" x14ac:dyDescent="0.25">
      <c r="B4938" s="19" t="s">
        <v>6494</v>
      </c>
      <c r="C4938" s="16" t="s">
        <v>1238</v>
      </c>
      <c r="D4938" s="16" t="s">
        <v>29</v>
      </c>
      <c r="E4938" s="16" t="s">
        <v>54</v>
      </c>
      <c r="F4938" s="5" t="s">
        <v>1198</v>
      </c>
      <c r="G4938" s="16" t="s">
        <v>35</v>
      </c>
      <c r="H4938" s="16"/>
      <c r="I4938" s="16"/>
      <c r="J4938" s="16"/>
      <c r="K4938" s="16"/>
      <c r="L4938" s="16"/>
      <c r="M4938" s="16"/>
      <c r="N4938" s="16"/>
      <c r="O4938" s="17" t="s">
        <v>38</v>
      </c>
      <c r="P4938" s="5" t="str">
        <f t="shared" si="112"/>
        <v>Truncate table TI0100;</v>
      </c>
      <c r="Q4938" s="5"/>
      <c r="R4938" s="5"/>
    </row>
    <row r="4939" spans="2:18" x14ac:dyDescent="0.25">
      <c r="B4939" s="19" t="s">
        <v>6495</v>
      </c>
      <c r="C4939" s="16" t="s">
        <v>6496</v>
      </c>
      <c r="D4939" s="16" t="s">
        <v>8152</v>
      </c>
      <c r="E4939" s="16" t="s">
        <v>54</v>
      </c>
      <c r="F4939" s="5" t="s">
        <v>1198</v>
      </c>
      <c r="G4939" s="16" t="s">
        <v>35</v>
      </c>
      <c r="H4939" s="16" t="s">
        <v>36</v>
      </c>
      <c r="I4939" s="16"/>
      <c r="J4939" s="16"/>
      <c r="K4939" s="16"/>
      <c r="L4939" s="16"/>
      <c r="M4939" s="229"/>
      <c r="N4939" s="16"/>
      <c r="O4939" s="17" t="s">
        <v>38</v>
      </c>
      <c r="P4939" s="5" t="str">
        <f t="shared" si="112"/>
        <v/>
      </c>
      <c r="Q4939" s="5"/>
      <c r="R4939" s="5"/>
    </row>
    <row r="4940" spans="2:18" x14ac:dyDescent="0.25">
      <c r="B4940" s="19" t="s">
        <v>6497</v>
      </c>
      <c r="C4940" s="16"/>
      <c r="D4940" s="16" t="s">
        <v>29</v>
      </c>
      <c r="E4940" s="16"/>
      <c r="F4940" s="5"/>
      <c r="G4940" s="16" t="s">
        <v>35</v>
      </c>
      <c r="H4940" s="16"/>
      <c r="I4940" s="16"/>
      <c r="J4940" s="16"/>
      <c r="K4940" s="16"/>
      <c r="L4940" s="16"/>
      <c r="M4940" s="16"/>
      <c r="N4940" s="16"/>
      <c r="O4940" s="17"/>
      <c r="P4940" s="5" t="str">
        <f t="shared" si="112"/>
        <v>Truncate table TI0300;</v>
      </c>
      <c r="Q4940" s="5"/>
      <c r="R4940" s="5"/>
    </row>
    <row r="4941" spans="2:18" x14ac:dyDescent="0.25">
      <c r="B4941" s="19" t="s">
        <v>6498</v>
      </c>
      <c r="C4941" s="16"/>
      <c r="D4941" s="16" t="s">
        <v>29</v>
      </c>
      <c r="E4941" s="16"/>
      <c r="F4941" s="5"/>
      <c r="G4941" s="16" t="s">
        <v>35</v>
      </c>
      <c r="H4941" s="16"/>
      <c r="I4941" s="16"/>
      <c r="J4941" s="16"/>
      <c r="K4941" s="16"/>
      <c r="L4941" s="16"/>
      <c r="M4941" s="16"/>
      <c r="N4941" s="16"/>
      <c r="O4941" s="17"/>
      <c r="P4941" s="5" t="str">
        <f t="shared" si="112"/>
        <v>Truncate table TIAR70;</v>
      </c>
      <c r="Q4941" s="5"/>
      <c r="R4941" s="5"/>
    </row>
    <row r="4942" spans="2:18" x14ac:dyDescent="0.25">
      <c r="B4942" s="19" t="s">
        <v>6499</v>
      </c>
      <c r="C4942" s="16"/>
      <c r="D4942" s="16" t="s">
        <v>29</v>
      </c>
      <c r="E4942" s="16"/>
      <c r="F4942" s="5"/>
      <c r="G4942" s="16" t="s">
        <v>35</v>
      </c>
      <c r="H4942" s="16"/>
      <c r="I4942" s="16"/>
      <c r="J4942" s="16"/>
      <c r="K4942" s="16"/>
      <c r="L4942" s="16"/>
      <c r="M4942" s="16"/>
      <c r="N4942" s="16"/>
      <c r="O4942" s="17"/>
      <c r="P4942" s="5" t="str">
        <f t="shared" si="112"/>
        <v>Truncate table TIAR80;</v>
      </c>
      <c r="Q4942" s="5"/>
      <c r="R4942" s="5"/>
    </row>
    <row r="4943" spans="2:18" x14ac:dyDescent="0.25">
      <c r="B4943" s="19" t="s">
        <v>6500</v>
      </c>
      <c r="C4943" s="16"/>
      <c r="D4943" s="16" t="s">
        <v>29</v>
      </c>
      <c r="E4943" s="16"/>
      <c r="F4943" s="5"/>
      <c r="G4943" s="16" t="s">
        <v>35</v>
      </c>
      <c r="H4943" s="16"/>
      <c r="I4943" s="16"/>
      <c r="J4943" s="16"/>
      <c r="K4943" s="16"/>
      <c r="L4943" s="16"/>
      <c r="M4943" s="16"/>
      <c r="N4943" s="16"/>
      <c r="O4943" s="17"/>
      <c r="P4943" s="5" t="str">
        <f t="shared" si="112"/>
        <v>Truncate table TIAR99;</v>
      </c>
      <c r="Q4943" s="5"/>
      <c r="R4943" s="5"/>
    </row>
    <row r="4944" spans="2:18" x14ac:dyDescent="0.25">
      <c r="B4944" s="19" t="s">
        <v>6501</v>
      </c>
      <c r="C4944" s="16"/>
      <c r="D4944" s="16" t="s">
        <v>29</v>
      </c>
      <c r="E4944" s="16"/>
      <c r="F4944" s="5"/>
      <c r="G4944" s="16" t="s">
        <v>35</v>
      </c>
      <c r="H4944" s="16"/>
      <c r="I4944" s="16"/>
      <c r="J4944" s="16"/>
      <c r="K4944" s="16"/>
      <c r="L4944" s="16"/>
      <c r="M4944" s="16"/>
      <c r="N4944" s="16"/>
      <c r="O4944" s="17"/>
      <c r="P4944" s="5" t="str">
        <f t="shared" si="112"/>
        <v>Truncate table UBT70;</v>
      </c>
      <c r="Q4944" s="5"/>
      <c r="R4944" s="5"/>
    </row>
    <row r="4945" spans="1:18" x14ac:dyDescent="0.25">
      <c r="B4945" s="19" t="s">
        <v>6502</v>
      </c>
      <c r="C4945" s="16"/>
      <c r="D4945" s="16" t="s">
        <v>29</v>
      </c>
      <c r="E4945" s="16"/>
      <c r="F4945" s="5"/>
      <c r="G4945" s="16" t="s">
        <v>35</v>
      </c>
      <c r="H4945" s="16"/>
      <c r="I4945" s="16"/>
      <c r="J4945" s="16"/>
      <c r="K4945" s="16"/>
      <c r="L4945" s="16"/>
      <c r="M4945" s="16"/>
      <c r="N4945" s="16"/>
      <c r="O4945" s="17"/>
      <c r="P4945" s="5" t="str">
        <f t="shared" si="112"/>
        <v>Truncate table UBT80;</v>
      </c>
      <c r="Q4945" s="5"/>
      <c r="R4945" s="5"/>
    </row>
    <row r="4946" spans="1:18" x14ac:dyDescent="0.25">
      <c r="B4946" s="19" t="s">
        <v>6503</v>
      </c>
      <c r="C4946" s="16"/>
      <c r="D4946" s="16" t="s">
        <v>8152</v>
      </c>
      <c r="E4946" s="16"/>
      <c r="F4946" s="5"/>
      <c r="G4946" s="16" t="s">
        <v>35</v>
      </c>
      <c r="H4946" s="16"/>
      <c r="I4946" s="16"/>
      <c r="J4946" s="16"/>
      <c r="K4946" s="16"/>
      <c r="L4946" s="16"/>
      <c r="M4946" s="16"/>
      <c r="N4946" s="16"/>
      <c r="O4946" s="17"/>
      <c r="P4946" s="5" t="str">
        <f t="shared" si="112"/>
        <v/>
      </c>
      <c r="Q4946" s="5"/>
      <c r="R4946" s="5" t="s">
        <v>387</v>
      </c>
    </row>
    <row r="4947" spans="1:18" x14ac:dyDescent="0.25">
      <c r="B4947" s="19" t="s">
        <v>6504</v>
      </c>
      <c r="C4947" s="16"/>
      <c r="D4947" s="16" t="s">
        <v>8152</v>
      </c>
      <c r="E4947" s="16"/>
      <c r="F4947" s="5"/>
      <c r="G4947" s="16" t="s">
        <v>35</v>
      </c>
      <c r="H4947" s="16"/>
      <c r="I4947" s="16"/>
      <c r="J4947" s="16"/>
      <c r="K4947" s="16"/>
      <c r="L4947" s="16"/>
      <c r="M4947" s="229"/>
      <c r="N4947" s="16"/>
      <c r="O4947" s="17"/>
      <c r="P4947" s="5" t="str">
        <f t="shared" si="112"/>
        <v/>
      </c>
      <c r="Q4947" s="5"/>
      <c r="R4947" s="5"/>
    </row>
    <row r="4948" spans="1:18" x14ac:dyDescent="0.25">
      <c r="B4948" s="37" t="s">
        <v>6505</v>
      </c>
      <c r="C4948" s="38"/>
      <c r="D4948" s="38" t="s">
        <v>29</v>
      </c>
      <c r="E4948" s="38"/>
      <c r="F4948" s="10"/>
      <c r="G4948" s="38" t="s">
        <v>35</v>
      </c>
      <c r="H4948" s="38"/>
      <c r="I4948" s="38"/>
      <c r="J4948" s="38"/>
      <c r="K4948" s="38"/>
      <c r="L4948" s="38"/>
      <c r="M4948" s="38"/>
      <c r="N4948" s="38"/>
      <c r="O4948" s="48"/>
      <c r="P4948" s="10" t="str">
        <f t="shared" si="112"/>
        <v>Truncate table WFAPIACC;</v>
      </c>
      <c r="Q4948" s="10"/>
      <c r="R4948" s="10" t="s">
        <v>387</v>
      </c>
    </row>
    <row r="4949" spans="1:18" s="118" customFormat="1" ht="27" x14ac:dyDescent="0.25">
      <c r="A4949" s="337"/>
      <c r="B4949" s="19" t="s">
        <v>6506</v>
      </c>
      <c r="C4949" s="20" t="s">
        <v>6507</v>
      </c>
      <c r="D4949" s="16" t="s">
        <v>8152</v>
      </c>
      <c r="E4949" s="16" t="s">
        <v>54</v>
      </c>
      <c r="F4949" s="16" t="s">
        <v>216</v>
      </c>
      <c r="G4949" s="16" t="s">
        <v>35</v>
      </c>
      <c r="H4949" s="16" t="s">
        <v>36</v>
      </c>
      <c r="I4949" s="16"/>
      <c r="J4949" s="16"/>
      <c r="K4949" s="16"/>
      <c r="L4949" s="16"/>
      <c r="M4949" s="16"/>
      <c r="N4949" s="16"/>
      <c r="O4949" s="16" t="s">
        <v>38</v>
      </c>
      <c r="P4949" s="16" t="str">
        <f t="shared" si="112"/>
        <v/>
      </c>
      <c r="Q4949" s="16"/>
      <c r="R4949" s="16"/>
    </row>
    <row r="4950" spans="1:18" s="118" customFormat="1" x14ac:dyDescent="0.25">
      <c r="A4950" s="337"/>
      <c r="B4950" s="19" t="s">
        <v>6508</v>
      </c>
      <c r="C4950" s="16" t="s">
        <v>6509</v>
      </c>
      <c r="D4950" s="16" t="s">
        <v>29</v>
      </c>
      <c r="E4950" s="16" t="s">
        <v>54</v>
      </c>
      <c r="F4950" s="16" t="s">
        <v>216</v>
      </c>
      <c r="G4950" s="16" t="s">
        <v>35</v>
      </c>
      <c r="H4950" s="16" t="s">
        <v>36</v>
      </c>
      <c r="I4950" s="16"/>
      <c r="J4950" s="16"/>
      <c r="K4950" s="16"/>
      <c r="L4950" s="16"/>
      <c r="M4950" s="16"/>
      <c r="N4950" s="16"/>
      <c r="O4950" s="16"/>
      <c r="P4950" s="16" t="str">
        <f t="shared" ref="P4950:P5013" si="113">IF(D4950="Datos","Truncate table "&amp; B4950&amp; ";","")</f>
        <v>Truncate table WFASSEVN;</v>
      </c>
      <c r="Q4950" s="16"/>
      <c r="R4950" s="16"/>
    </row>
    <row r="4951" spans="1:18" s="118" customFormat="1" x14ac:dyDescent="0.25">
      <c r="A4951" s="337"/>
      <c r="B4951" s="19" t="s">
        <v>6510</v>
      </c>
      <c r="C4951" s="20" t="s">
        <v>6511</v>
      </c>
      <c r="D4951" s="16" t="s">
        <v>29</v>
      </c>
      <c r="E4951" s="16" t="s">
        <v>54</v>
      </c>
      <c r="F4951" s="16" t="s">
        <v>216</v>
      </c>
      <c r="G4951" s="16" t="s">
        <v>35</v>
      </c>
      <c r="H4951" s="16" t="s">
        <v>36</v>
      </c>
      <c r="I4951" s="16"/>
      <c r="J4951" s="16"/>
      <c r="K4951" s="16"/>
      <c r="L4951" s="16"/>
      <c r="M4951" s="16"/>
      <c r="N4951" s="16"/>
      <c r="O4951" s="16" t="s">
        <v>38</v>
      </c>
      <c r="P4951" s="16" t="str">
        <f t="shared" si="113"/>
        <v>Truncate table WFATTBVALUES;</v>
      </c>
      <c r="Q4951" s="16"/>
      <c r="R4951" s="16"/>
    </row>
    <row r="4952" spans="1:18" s="118" customFormat="1" x14ac:dyDescent="0.25">
      <c r="A4952" s="337"/>
      <c r="B4952" s="19" t="s">
        <v>6512</v>
      </c>
      <c r="C4952" s="20" t="s">
        <v>6513</v>
      </c>
      <c r="D4952" s="16" t="s">
        <v>8152</v>
      </c>
      <c r="E4952" s="16" t="s">
        <v>54</v>
      </c>
      <c r="F4952" s="16" t="s">
        <v>216</v>
      </c>
      <c r="G4952" s="16" t="s">
        <v>35</v>
      </c>
      <c r="H4952" s="16" t="s">
        <v>36</v>
      </c>
      <c r="I4952" s="16"/>
      <c r="J4952" s="16"/>
      <c r="K4952" s="16"/>
      <c r="L4952" s="16"/>
      <c r="M4952" s="16"/>
      <c r="N4952" s="16"/>
      <c r="O4952" s="16"/>
      <c r="P4952" s="16" t="str">
        <f t="shared" si="113"/>
        <v/>
      </c>
      <c r="Q4952" s="16"/>
      <c r="R4952" s="16"/>
    </row>
    <row r="4953" spans="1:18" s="118" customFormat="1" x14ac:dyDescent="0.25">
      <c r="A4953" s="337"/>
      <c r="B4953" s="19" t="s">
        <v>6514</v>
      </c>
      <c r="C4953" s="16"/>
      <c r="D4953" s="16" t="s">
        <v>29</v>
      </c>
      <c r="E4953" s="16" t="s">
        <v>54</v>
      </c>
      <c r="F4953" s="16" t="s">
        <v>216</v>
      </c>
      <c r="G4953" s="16" t="s">
        <v>35</v>
      </c>
      <c r="H4953" s="16" t="s">
        <v>36</v>
      </c>
      <c r="I4953" s="16"/>
      <c r="J4953" s="16"/>
      <c r="K4953" s="16"/>
      <c r="L4953" s="16"/>
      <c r="M4953" s="16"/>
      <c r="N4953" s="16"/>
      <c r="O4953" s="16"/>
      <c r="P4953" s="16" t="str">
        <f t="shared" si="113"/>
        <v>Truncate table WFATTRIB;</v>
      </c>
      <c r="Q4953" s="16"/>
      <c r="R4953" s="16" t="s">
        <v>387</v>
      </c>
    </row>
    <row r="4954" spans="1:18" s="118" customFormat="1" x14ac:dyDescent="0.25">
      <c r="A4954" s="337"/>
      <c r="B4954" s="19" t="s">
        <v>6515</v>
      </c>
      <c r="C4954" s="20" t="s">
        <v>6516</v>
      </c>
      <c r="D4954" s="16" t="s">
        <v>8152</v>
      </c>
      <c r="E4954" s="16" t="s">
        <v>54</v>
      </c>
      <c r="F4954" s="16" t="s">
        <v>216</v>
      </c>
      <c r="G4954" s="16" t="s">
        <v>35</v>
      </c>
      <c r="H4954" s="16" t="s">
        <v>36</v>
      </c>
      <c r="I4954" s="16"/>
      <c r="J4954" s="16"/>
      <c r="K4954" s="16"/>
      <c r="L4954" s="16"/>
      <c r="M4954" s="16"/>
      <c r="N4954" s="16"/>
      <c r="O4954" s="16" t="s">
        <v>38</v>
      </c>
      <c r="P4954" s="16" t="str">
        <f t="shared" si="113"/>
        <v/>
      </c>
      <c r="Q4954" s="16"/>
      <c r="R4954" s="16"/>
    </row>
    <row r="4955" spans="1:18" s="118" customFormat="1" x14ac:dyDescent="0.25">
      <c r="A4955" s="337"/>
      <c r="B4955" s="19" t="s">
        <v>6517</v>
      </c>
      <c r="C4955" s="20" t="s">
        <v>6518</v>
      </c>
      <c r="D4955" s="16" t="s">
        <v>29</v>
      </c>
      <c r="E4955" s="16" t="s">
        <v>54</v>
      </c>
      <c r="F4955" s="16" t="s">
        <v>216</v>
      </c>
      <c r="G4955" s="16" t="s">
        <v>35</v>
      </c>
      <c r="H4955" s="16" t="s">
        <v>36</v>
      </c>
      <c r="I4955" s="16"/>
      <c r="J4955" s="16"/>
      <c r="K4955" s="16"/>
      <c r="L4955" s="16"/>
      <c r="M4955" s="16"/>
      <c r="N4955" s="16"/>
      <c r="O4955" s="16" t="s">
        <v>38</v>
      </c>
      <c r="P4955" s="16" t="str">
        <f t="shared" si="113"/>
        <v>Truncate table WFATTSVALUES;</v>
      </c>
      <c r="Q4955" s="16"/>
      <c r="R4955" s="16"/>
    </row>
    <row r="4956" spans="1:18" s="118" customFormat="1" x14ac:dyDescent="0.25">
      <c r="A4956" s="337"/>
      <c r="B4956" s="19" t="s">
        <v>6519</v>
      </c>
      <c r="C4956" s="16"/>
      <c r="D4956" s="16" t="s">
        <v>29</v>
      </c>
      <c r="E4956" s="16" t="s">
        <v>54</v>
      </c>
      <c r="F4956" s="16" t="s">
        <v>216</v>
      </c>
      <c r="G4956" s="16" t="s">
        <v>35</v>
      </c>
      <c r="H4956" s="16" t="s">
        <v>36</v>
      </c>
      <c r="I4956" s="16"/>
      <c r="J4956" s="16"/>
      <c r="K4956" s="16"/>
      <c r="L4956" s="16"/>
      <c r="M4956" s="16"/>
      <c r="N4956" s="16"/>
      <c r="O4956" s="16"/>
      <c r="P4956" s="16" t="str">
        <f t="shared" si="113"/>
        <v>Truncate table WFATTVAL;</v>
      </c>
      <c r="Q4956" s="16"/>
      <c r="R4956" s="16" t="s">
        <v>387</v>
      </c>
    </row>
    <row r="4957" spans="1:18" s="118" customFormat="1" x14ac:dyDescent="0.25">
      <c r="A4957" s="337"/>
      <c r="B4957" s="19" t="s">
        <v>6520</v>
      </c>
      <c r="C4957" s="20" t="s">
        <v>6521</v>
      </c>
      <c r="D4957" s="16" t="s">
        <v>8152</v>
      </c>
      <c r="E4957" s="16" t="s">
        <v>54</v>
      </c>
      <c r="F4957" s="16" t="s">
        <v>216</v>
      </c>
      <c r="G4957" s="16" t="s">
        <v>35</v>
      </c>
      <c r="H4957" s="16" t="s">
        <v>36</v>
      </c>
      <c r="I4957" s="16"/>
      <c r="J4957" s="16"/>
      <c r="K4957" s="16"/>
      <c r="L4957" s="16"/>
      <c r="M4957" s="16"/>
      <c r="N4957" s="16"/>
      <c r="O4957" s="16" t="s">
        <v>38</v>
      </c>
      <c r="P4957" s="16" t="str">
        <f t="shared" si="113"/>
        <v/>
      </c>
      <c r="Q4957" s="16"/>
      <c r="R4957" s="16"/>
    </row>
    <row r="4958" spans="1:18" s="118" customFormat="1" x14ac:dyDescent="0.25">
      <c r="A4958" s="337"/>
      <c r="B4958" s="19" t="s">
        <v>6522</v>
      </c>
      <c r="C4958" s="20" t="s">
        <v>6521</v>
      </c>
      <c r="D4958" s="16" t="s">
        <v>8152</v>
      </c>
      <c r="E4958" s="16" t="s">
        <v>54</v>
      </c>
      <c r="F4958" s="16" t="s">
        <v>216</v>
      </c>
      <c r="G4958" s="16" t="s">
        <v>35</v>
      </c>
      <c r="H4958" s="16" t="s">
        <v>36</v>
      </c>
      <c r="I4958" s="16"/>
      <c r="J4958" s="16"/>
      <c r="K4958" s="16"/>
      <c r="L4958" s="16"/>
      <c r="M4958" s="16"/>
      <c r="N4958" s="16"/>
      <c r="O4958" s="16"/>
      <c r="P4958" s="16" t="str">
        <f t="shared" si="113"/>
        <v/>
      </c>
      <c r="Q4958" s="16"/>
      <c r="R4958" s="16"/>
    </row>
    <row r="4959" spans="1:18" s="118" customFormat="1" x14ac:dyDescent="0.25">
      <c r="A4959" s="337"/>
      <c r="B4959" s="19" t="s">
        <v>6523</v>
      </c>
      <c r="C4959" s="20" t="s">
        <v>6524</v>
      </c>
      <c r="D4959" s="16" t="s">
        <v>8152</v>
      </c>
      <c r="E4959" s="16" t="s">
        <v>54</v>
      </c>
      <c r="F4959" s="16" t="s">
        <v>216</v>
      </c>
      <c r="G4959" s="16" t="s">
        <v>35</v>
      </c>
      <c r="H4959" s="16" t="s">
        <v>36</v>
      </c>
      <c r="I4959" s="16"/>
      <c r="J4959" s="16"/>
      <c r="K4959" s="16"/>
      <c r="L4959" s="16"/>
      <c r="M4959" s="16"/>
      <c r="N4959" s="16"/>
      <c r="O4959" s="16" t="s">
        <v>38</v>
      </c>
      <c r="P4959" s="16" t="str">
        <f t="shared" si="113"/>
        <v/>
      </c>
      <c r="Q4959" s="16"/>
      <c r="R4959" s="16"/>
    </row>
    <row r="4960" spans="1:18" s="118" customFormat="1" x14ac:dyDescent="0.25">
      <c r="A4960" s="337"/>
      <c r="B4960" s="19" t="s">
        <v>6525</v>
      </c>
      <c r="C4960" s="20" t="s">
        <v>6526</v>
      </c>
      <c r="D4960" s="16" t="s">
        <v>8152</v>
      </c>
      <c r="E4960" s="16" t="s">
        <v>54</v>
      </c>
      <c r="F4960" s="16" t="s">
        <v>216</v>
      </c>
      <c r="G4960" s="16" t="s">
        <v>35</v>
      </c>
      <c r="H4960" s="16" t="s">
        <v>36</v>
      </c>
      <c r="I4960" s="16"/>
      <c r="J4960" s="16"/>
      <c r="K4960" s="16"/>
      <c r="L4960" s="16"/>
      <c r="M4960" s="16"/>
      <c r="N4960" s="16"/>
      <c r="O4960" s="16"/>
      <c r="P4960" s="16" t="str">
        <f t="shared" si="113"/>
        <v/>
      </c>
      <c r="Q4960" s="16"/>
      <c r="R4960" s="16"/>
    </row>
    <row r="4961" spans="1:18" s="118" customFormat="1" x14ac:dyDescent="0.25">
      <c r="A4961" s="337"/>
      <c r="B4961" s="19" t="s">
        <v>6527</v>
      </c>
      <c r="C4961" s="20" t="s">
        <v>6528</v>
      </c>
      <c r="D4961" s="16" t="s">
        <v>8152</v>
      </c>
      <c r="E4961" s="16" t="s">
        <v>54</v>
      </c>
      <c r="F4961" s="16" t="s">
        <v>216</v>
      </c>
      <c r="G4961" s="16" t="s">
        <v>35</v>
      </c>
      <c r="H4961" s="16" t="s">
        <v>36</v>
      </c>
      <c r="I4961" s="16"/>
      <c r="J4961" s="16"/>
      <c r="K4961" s="16"/>
      <c r="L4961" s="16"/>
      <c r="M4961" s="16"/>
      <c r="N4961" s="16"/>
      <c r="O4961" s="16"/>
      <c r="P4961" s="16" t="str">
        <f t="shared" si="113"/>
        <v/>
      </c>
      <c r="Q4961" s="16"/>
      <c r="R4961" s="16"/>
    </row>
    <row r="4962" spans="1:18" s="118" customFormat="1" x14ac:dyDescent="0.25">
      <c r="A4962" s="337"/>
      <c r="B4962" s="19" t="s">
        <v>6529</v>
      </c>
      <c r="C4962" s="20" t="s">
        <v>6530</v>
      </c>
      <c r="D4962" s="16" t="s">
        <v>29</v>
      </c>
      <c r="E4962" s="16" t="s">
        <v>54</v>
      </c>
      <c r="F4962" s="16" t="s">
        <v>216</v>
      </c>
      <c r="G4962" s="16" t="s">
        <v>35</v>
      </c>
      <c r="H4962" s="16" t="s">
        <v>36</v>
      </c>
      <c r="I4962" s="16"/>
      <c r="J4962" s="16"/>
      <c r="K4962" s="16"/>
      <c r="L4962" s="16"/>
      <c r="M4962" s="16"/>
      <c r="N4962" s="16"/>
      <c r="O4962" s="16" t="s">
        <v>38</v>
      </c>
      <c r="P4962" s="16" t="str">
        <f t="shared" si="113"/>
        <v>Truncate table WFCONDITIONALS;</v>
      </c>
      <c r="Q4962" s="16"/>
      <c r="R4962" s="16"/>
    </row>
    <row r="4963" spans="1:18" s="118" customFormat="1" ht="27" x14ac:dyDescent="0.25">
      <c r="A4963" s="337"/>
      <c r="B4963" s="19" t="s">
        <v>6531</v>
      </c>
      <c r="C4963" s="20" t="s">
        <v>6532</v>
      </c>
      <c r="D4963" s="16" t="s">
        <v>8152</v>
      </c>
      <c r="E4963" s="16" t="s">
        <v>54</v>
      </c>
      <c r="F4963" s="16" t="s">
        <v>216</v>
      </c>
      <c r="G4963" s="16" t="s">
        <v>35</v>
      </c>
      <c r="H4963" s="16" t="s">
        <v>36</v>
      </c>
      <c r="I4963" s="16"/>
      <c r="J4963" s="16"/>
      <c r="K4963" s="16"/>
      <c r="L4963" s="16"/>
      <c r="M4963" s="16"/>
      <c r="N4963" s="16"/>
      <c r="O4963" s="16" t="s">
        <v>38</v>
      </c>
      <c r="P4963" s="16" t="str">
        <f t="shared" si="113"/>
        <v/>
      </c>
      <c r="Q4963" s="16"/>
      <c r="R4963" s="16"/>
    </row>
    <row r="4964" spans="1:18" s="118" customFormat="1" x14ac:dyDescent="0.25">
      <c r="A4964" s="337"/>
      <c r="B4964" s="19" t="s">
        <v>6533</v>
      </c>
      <c r="C4964" s="20" t="s">
        <v>6534</v>
      </c>
      <c r="D4964" s="16" t="s">
        <v>29</v>
      </c>
      <c r="E4964" s="16" t="s">
        <v>54</v>
      </c>
      <c r="F4964" s="16" t="s">
        <v>216</v>
      </c>
      <c r="G4964" s="16" t="s">
        <v>35</v>
      </c>
      <c r="H4964" s="16" t="s">
        <v>36</v>
      </c>
      <c r="I4964" s="16"/>
      <c r="J4964" s="16"/>
      <c r="K4964" s="16"/>
      <c r="L4964" s="16"/>
      <c r="M4964" s="16"/>
      <c r="N4964" s="16"/>
      <c r="O4964" s="16" t="s">
        <v>38</v>
      </c>
      <c r="P4964" s="16" t="str">
        <f t="shared" si="113"/>
        <v>Truncate table WFDEBUG;</v>
      </c>
      <c r="Q4964" s="16"/>
      <c r="R4964" s="16"/>
    </row>
    <row r="4965" spans="1:18" s="118" customFormat="1" x14ac:dyDescent="0.25">
      <c r="A4965" s="337"/>
      <c r="B4965" s="19" t="s">
        <v>6535</v>
      </c>
      <c r="C4965" s="20" t="s">
        <v>6536</v>
      </c>
      <c r="D4965" s="16" t="s">
        <v>8152</v>
      </c>
      <c r="E4965" s="16" t="s">
        <v>54</v>
      </c>
      <c r="F4965" s="16" t="s">
        <v>216</v>
      </c>
      <c r="G4965" s="16" t="s">
        <v>35</v>
      </c>
      <c r="H4965" s="16" t="s">
        <v>36</v>
      </c>
      <c r="I4965" s="16"/>
      <c r="J4965" s="16"/>
      <c r="K4965" s="16"/>
      <c r="L4965" s="16"/>
      <c r="M4965" s="16"/>
      <c r="N4965" s="16"/>
      <c r="O4965" s="16" t="s">
        <v>38</v>
      </c>
      <c r="P4965" s="16" t="str">
        <f t="shared" si="113"/>
        <v/>
      </c>
      <c r="Q4965" s="16"/>
      <c r="R4965" s="16"/>
    </row>
    <row r="4966" spans="1:18" s="118" customFormat="1" x14ac:dyDescent="0.25">
      <c r="A4966" s="337"/>
      <c r="B4966" s="19" t="s">
        <v>6537</v>
      </c>
      <c r="C4966" s="20" t="s">
        <v>6538</v>
      </c>
      <c r="D4966" s="16" t="s">
        <v>8152</v>
      </c>
      <c r="E4966" s="16" t="s">
        <v>54</v>
      </c>
      <c r="F4966" s="16" t="s">
        <v>216</v>
      </c>
      <c r="G4966" s="16" t="s">
        <v>35</v>
      </c>
      <c r="H4966" s="16" t="s">
        <v>36</v>
      </c>
      <c r="I4966" s="16"/>
      <c r="J4966" s="16"/>
      <c r="K4966" s="16"/>
      <c r="L4966" s="16"/>
      <c r="M4966" s="16"/>
      <c r="N4966" s="16"/>
      <c r="O4966" s="16" t="s">
        <v>38</v>
      </c>
      <c r="P4966" s="16" t="str">
        <f t="shared" si="113"/>
        <v/>
      </c>
      <c r="Q4966" s="16"/>
      <c r="R4966" s="16"/>
    </row>
    <row r="4967" spans="1:18" s="118" customFormat="1" x14ac:dyDescent="0.25">
      <c r="A4967" s="337"/>
      <c r="B4967" s="19" t="s">
        <v>6539</v>
      </c>
      <c r="C4967" s="20" t="s">
        <v>6540</v>
      </c>
      <c r="D4967" s="16" t="s">
        <v>29</v>
      </c>
      <c r="E4967" s="16" t="s">
        <v>54</v>
      </c>
      <c r="F4967" s="16" t="s">
        <v>216</v>
      </c>
      <c r="G4967" s="16" t="s">
        <v>35</v>
      </c>
      <c r="H4967" s="16" t="s">
        <v>36</v>
      </c>
      <c r="I4967" s="16"/>
      <c r="J4967" s="16"/>
      <c r="K4967" s="16"/>
      <c r="L4967" s="16"/>
      <c r="M4967" s="16"/>
      <c r="N4967" s="16"/>
      <c r="O4967" s="16" t="s">
        <v>38</v>
      </c>
      <c r="P4967" s="16" t="str">
        <f t="shared" si="113"/>
        <v>Truncate table WFDOCINST;</v>
      </c>
      <c r="Q4967" s="16"/>
      <c r="R4967" s="16"/>
    </row>
    <row r="4968" spans="1:18" s="118" customFormat="1" x14ac:dyDescent="0.25">
      <c r="A4968" s="337"/>
      <c r="B4968" s="19" t="s">
        <v>6541</v>
      </c>
      <c r="C4968" s="20" t="s">
        <v>6542</v>
      </c>
      <c r="D4968" s="16" t="s">
        <v>8152</v>
      </c>
      <c r="E4968" s="16" t="s">
        <v>54</v>
      </c>
      <c r="F4968" s="16" t="s">
        <v>216</v>
      </c>
      <c r="G4968" s="16" t="s">
        <v>35</v>
      </c>
      <c r="H4968" s="16" t="s">
        <v>36</v>
      </c>
      <c r="I4968" s="16"/>
      <c r="J4968" s="16"/>
      <c r="K4968" s="16"/>
      <c r="L4968" s="16"/>
      <c r="M4968" s="16"/>
      <c r="N4968" s="16"/>
      <c r="O4968" s="16"/>
      <c r="P4968" s="16" t="str">
        <f t="shared" si="113"/>
        <v/>
      </c>
      <c r="Q4968" s="16"/>
      <c r="R4968" s="16"/>
    </row>
    <row r="4969" spans="1:18" s="118" customFormat="1" x14ac:dyDescent="0.25">
      <c r="A4969" s="337"/>
      <c r="B4969" s="19" t="s">
        <v>6543</v>
      </c>
      <c r="C4969" s="20" t="s">
        <v>6544</v>
      </c>
      <c r="D4969" s="16" t="s">
        <v>8152</v>
      </c>
      <c r="E4969" s="16" t="s">
        <v>54</v>
      </c>
      <c r="F4969" s="16" t="s">
        <v>216</v>
      </c>
      <c r="G4969" s="16" t="s">
        <v>35</v>
      </c>
      <c r="H4969" s="16" t="s">
        <v>36</v>
      </c>
      <c r="I4969" s="16"/>
      <c r="J4969" s="16"/>
      <c r="K4969" s="16"/>
      <c r="L4969" s="16"/>
      <c r="M4969" s="16"/>
      <c r="N4969" s="16"/>
      <c r="O4969" s="16"/>
      <c r="P4969" s="16" t="str">
        <f t="shared" si="113"/>
        <v/>
      </c>
      <c r="Q4969" s="16"/>
      <c r="R4969" s="16"/>
    </row>
    <row r="4970" spans="1:18" s="118" customFormat="1" x14ac:dyDescent="0.25">
      <c r="A4970" s="337"/>
      <c r="B4970" s="19" t="s">
        <v>6545</v>
      </c>
      <c r="C4970" s="20" t="s">
        <v>6546</v>
      </c>
      <c r="D4970" s="16" t="s">
        <v>8152</v>
      </c>
      <c r="E4970" s="16" t="s">
        <v>54</v>
      </c>
      <c r="F4970" s="16" t="s">
        <v>216</v>
      </c>
      <c r="G4970" s="16" t="s">
        <v>35</v>
      </c>
      <c r="H4970" s="16" t="s">
        <v>36</v>
      </c>
      <c r="I4970" s="16"/>
      <c r="J4970" s="16"/>
      <c r="K4970" s="16"/>
      <c r="L4970" s="16"/>
      <c r="M4970" s="16"/>
      <c r="N4970" s="16"/>
      <c r="O4970" s="16" t="s">
        <v>38</v>
      </c>
      <c r="P4970" s="16" t="str">
        <f t="shared" si="113"/>
        <v/>
      </c>
      <c r="Q4970" s="16"/>
      <c r="R4970" s="16"/>
    </row>
    <row r="4971" spans="1:18" s="118" customFormat="1" x14ac:dyDescent="0.25">
      <c r="A4971" s="337"/>
      <c r="B4971" s="19" t="s">
        <v>6547</v>
      </c>
      <c r="C4971" s="20" t="s">
        <v>6548</v>
      </c>
      <c r="D4971" s="16" t="s">
        <v>8152</v>
      </c>
      <c r="E4971" s="16" t="s">
        <v>54</v>
      </c>
      <c r="F4971" s="16" t="s">
        <v>216</v>
      </c>
      <c r="G4971" s="16" t="s">
        <v>35</v>
      </c>
      <c r="H4971" s="16" t="s">
        <v>36</v>
      </c>
      <c r="I4971" s="16"/>
      <c r="J4971" s="16"/>
      <c r="K4971" s="16"/>
      <c r="L4971" s="16"/>
      <c r="M4971" s="16"/>
      <c r="N4971" s="16"/>
      <c r="O4971" s="16" t="s">
        <v>38</v>
      </c>
      <c r="P4971" s="16" t="str">
        <f t="shared" si="113"/>
        <v/>
      </c>
      <c r="Q4971" s="16"/>
      <c r="R4971" s="16"/>
    </row>
    <row r="4972" spans="1:18" s="118" customFormat="1" x14ac:dyDescent="0.25">
      <c r="A4972" s="337"/>
      <c r="B4972" s="19" t="s">
        <v>6549</v>
      </c>
      <c r="C4972" s="20" t="s">
        <v>6550</v>
      </c>
      <c r="D4972" s="16" t="s">
        <v>8152</v>
      </c>
      <c r="E4972" s="16" t="s">
        <v>54</v>
      </c>
      <c r="F4972" s="16" t="s">
        <v>216</v>
      </c>
      <c r="G4972" s="16" t="s">
        <v>35</v>
      </c>
      <c r="H4972" s="16" t="s">
        <v>36</v>
      </c>
      <c r="I4972" s="16"/>
      <c r="J4972" s="16"/>
      <c r="K4972" s="16"/>
      <c r="L4972" s="16"/>
      <c r="M4972" s="16"/>
      <c r="N4972" s="16"/>
      <c r="O4972" s="16"/>
      <c r="P4972" s="16" t="str">
        <f t="shared" si="113"/>
        <v/>
      </c>
      <c r="Q4972" s="16"/>
      <c r="R4972" s="16"/>
    </row>
    <row r="4973" spans="1:18" s="118" customFormat="1" x14ac:dyDescent="0.25">
      <c r="A4973" s="337"/>
      <c r="B4973" s="19" t="s">
        <v>6551</v>
      </c>
      <c r="C4973" s="20" t="s">
        <v>6552</v>
      </c>
      <c r="D4973" s="16" t="s">
        <v>8152</v>
      </c>
      <c r="E4973" s="16" t="s">
        <v>54</v>
      </c>
      <c r="F4973" s="16" t="s">
        <v>216</v>
      </c>
      <c r="G4973" s="16" t="s">
        <v>35</v>
      </c>
      <c r="H4973" s="16" t="s">
        <v>36</v>
      </c>
      <c r="I4973" s="16"/>
      <c r="J4973" s="16"/>
      <c r="K4973" s="16"/>
      <c r="L4973" s="16"/>
      <c r="M4973" s="16"/>
      <c r="N4973" s="16"/>
      <c r="O4973" s="16"/>
      <c r="P4973" s="16" t="str">
        <f t="shared" si="113"/>
        <v/>
      </c>
      <c r="Q4973" s="16"/>
      <c r="R4973" s="16"/>
    </row>
    <row r="4974" spans="1:18" s="118" customFormat="1" x14ac:dyDescent="0.25">
      <c r="A4974" s="337"/>
      <c r="B4974" s="19" t="s">
        <v>6553</v>
      </c>
      <c r="C4974" s="16" t="s">
        <v>6554</v>
      </c>
      <c r="D4974" s="16" t="s">
        <v>8152</v>
      </c>
      <c r="E4974" s="16" t="s">
        <v>54</v>
      </c>
      <c r="F4974" s="16" t="s">
        <v>216</v>
      </c>
      <c r="G4974" s="16" t="s">
        <v>35</v>
      </c>
      <c r="H4974" s="16" t="s">
        <v>36</v>
      </c>
      <c r="I4974" s="16"/>
      <c r="J4974" s="16"/>
      <c r="K4974" s="16"/>
      <c r="L4974" s="16"/>
      <c r="M4974" s="16"/>
      <c r="N4974" s="16"/>
      <c r="O4974" s="16" t="s">
        <v>38</v>
      </c>
      <c r="P4974" s="16" t="str">
        <f t="shared" si="113"/>
        <v/>
      </c>
      <c r="Q4974" s="16"/>
      <c r="R4974" s="16"/>
    </row>
    <row r="4975" spans="1:18" s="118" customFormat="1" x14ac:dyDescent="0.25">
      <c r="A4975" s="337"/>
      <c r="B4975" s="19" t="s">
        <v>6555</v>
      </c>
      <c r="C4975" s="20" t="s">
        <v>6556</v>
      </c>
      <c r="D4975" s="16" t="s">
        <v>29</v>
      </c>
      <c r="E4975" s="16" t="s">
        <v>54</v>
      </c>
      <c r="F4975" s="16" t="s">
        <v>216</v>
      </c>
      <c r="G4975" s="16" t="s">
        <v>35</v>
      </c>
      <c r="H4975" s="16" t="s">
        <v>36</v>
      </c>
      <c r="I4975" s="16"/>
      <c r="J4975" s="16"/>
      <c r="K4975" s="16"/>
      <c r="L4975" s="16"/>
      <c r="M4975" s="16"/>
      <c r="N4975" s="16"/>
      <c r="O4975" s="16" t="s">
        <v>38</v>
      </c>
      <c r="P4975" s="16" t="str">
        <f t="shared" si="113"/>
        <v>Truncate table WFEVENTS;</v>
      </c>
      <c r="Q4975" s="16"/>
      <c r="R4975" s="16"/>
    </row>
    <row r="4976" spans="1:18" s="118" customFormat="1" x14ac:dyDescent="0.25">
      <c r="A4976" s="337"/>
      <c r="B4976" s="19" t="s">
        <v>6557</v>
      </c>
      <c r="C4976" s="20" t="s">
        <v>6558</v>
      </c>
      <c r="D4976" s="16" t="s">
        <v>29</v>
      </c>
      <c r="E4976" s="16" t="s">
        <v>54</v>
      </c>
      <c r="F4976" s="16" t="s">
        <v>216</v>
      </c>
      <c r="G4976" s="16" t="s">
        <v>35</v>
      </c>
      <c r="H4976" s="16" t="s">
        <v>36</v>
      </c>
      <c r="I4976" s="16"/>
      <c r="J4976" s="16"/>
      <c r="K4976" s="16"/>
      <c r="L4976" s="16"/>
      <c r="M4976" s="16"/>
      <c r="N4976" s="16"/>
      <c r="O4976" s="16" t="s">
        <v>38</v>
      </c>
      <c r="P4976" s="16" t="str">
        <f t="shared" si="113"/>
        <v>Truncate table WFEVNACTIONS;</v>
      </c>
      <c r="Q4976" s="16"/>
      <c r="R4976" s="16"/>
    </row>
    <row r="4977" spans="1:18" s="118" customFormat="1" x14ac:dyDescent="0.25">
      <c r="A4977" s="337"/>
      <c r="B4977" s="19" t="s">
        <v>6559</v>
      </c>
      <c r="C4977" s="20" t="s">
        <v>6560</v>
      </c>
      <c r="D4977" s="16" t="s">
        <v>29</v>
      </c>
      <c r="E4977" s="16" t="s">
        <v>54</v>
      </c>
      <c r="F4977" s="16" t="s">
        <v>216</v>
      </c>
      <c r="G4977" s="16" t="s">
        <v>35</v>
      </c>
      <c r="H4977" s="16" t="s">
        <v>36</v>
      </c>
      <c r="I4977" s="16"/>
      <c r="J4977" s="16"/>
      <c r="K4977" s="16"/>
      <c r="L4977" s="16"/>
      <c r="M4977" s="16"/>
      <c r="N4977" s="16"/>
      <c r="O4977" s="16" t="s">
        <v>38</v>
      </c>
      <c r="P4977" s="16" t="str">
        <f t="shared" si="113"/>
        <v>Truncate table WFEVNASS;</v>
      </c>
      <c r="Q4977" s="16"/>
      <c r="R4977" s="16"/>
    </row>
    <row r="4978" spans="1:18" s="118" customFormat="1" x14ac:dyDescent="0.25">
      <c r="A4978" s="337"/>
      <c r="B4978" s="19" t="s">
        <v>6561</v>
      </c>
      <c r="C4978" s="20" t="s">
        <v>6562</v>
      </c>
      <c r="D4978" s="16" t="s">
        <v>29</v>
      </c>
      <c r="E4978" s="16" t="s">
        <v>54</v>
      </c>
      <c r="F4978" s="16" t="s">
        <v>216</v>
      </c>
      <c r="G4978" s="16" t="s">
        <v>35</v>
      </c>
      <c r="H4978" s="16" t="s">
        <v>36</v>
      </c>
      <c r="I4978" s="16"/>
      <c r="J4978" s="16"/>
      <c r="K4978" s="16"/>
      <c r="L4978" s="16"/>
      <c r="M4978" s="16"/>
      <c r="N4978" s="16"/>
      <c r="O4978" s="16"/>
      <c r="P4978" s="16" t="str">
        <f t="shared" si="113"/>
        <v>Truncate table WFEVNDATA;</v>
      </c>
      <c r="Q4978" s="16"/>
      <c r="R4978" s="16"/>
    </row>
    <row r="4979" spans="1:18" s="118" customFormat="1" ht="27" x14ac:dyDescent="0.25">
      <c r="A4979" s="337"/>
      <c r="B4979" s="43" t="s">
        <v>6563</v>
      </c>
      <c r="C4979" s="20" t="s">
        <v>6564</v>
      </c>
      <c r="D4979" s="20" t="s">
        <v>8152</v>
      </c>
      <c r="E4979" s="16" t="s">
        <v>54</v>
      </c>
      <c r="F4979" s="20" t="s">
        <v>216</v>
      </c>
      <c r="G4979" s="16" t="s">
        <v>35</v>
      </c>
      <c r="H4979" s="16" t="s">
        <v>36</v>
      </c>
      <c r="I4979" s="16"/>
      <c r="J4979" s="16"/>
      <c r="K4979" s="16"/>
      <c r="L4979" s="16"/>
      <c r="M4979" s="16"/>
      <c r="N4979" s="16"/>
      <c r="O4979" s="16" t="s">
        <v>38</v>
      </c>
      <c r="P4979" s="16" t="str">
        <f t="shared" si="113"/>
        <v/>
      </c>
      <c r="Q4979" s="16"/>
      <c r="R4979" s="16"/>
    </row>
    <row r="4980" spans="1:18" s="118" customFormat="1" x14ac:dyDescent="0.25">
      <c r="A4980" s="337"/>
      <c r="B4980" s="19" t="s">
        <v>6565</v>
      </c>
      <c r="C4980" s="20" t="s">
        <v>6566</v>
      </c>
      <c r="D4980" s="16" t="s">
        <v>29</v>
      </c>
      <c r="E4980" s="16" t="s">
        <v>54</v>
      </c>
      <c r="F4980" s="16" t="s">
        <v>216</v>
      </c>
      <c r="G4980" s="16" t="s">
        <v>35</v>
      </c>
      <c r="H4980" s="16" t="s">
        <v>36</v>
      </c>
      <c r="I4980" s="16"/>
      <c r="J4980" s="16"/>
      <c r="K4980" s="16"/>
      <c r="L4980" s="16"/>
      <c r="M4980" s="16"/>
      <c r="N4980" s="16"/>
      <c r="O4980" s="16" t="s">
        <v>38</v>
      </c>
      <c r="P4980" s="16" t="str">
        <f t="shared" si="113"/>
        <v>Truncate table WFEVNPTYS;</v>
      </c>
      <c r="Q4980" s="16"/>
      <c r="R4980" s="16"/>
    </row>
    <row r="4981" spans="1:18" s="118" customFormat="1" x14ac:dyDescent="0.25">
      <c r="A4981" s="337"/>
      <c r="B4981" s="19" t="s">
        <v>6567</v>
      </c>
      <c r="C4981" s="20" t="s">
        <v>6566</v>
      </c>
      <c r="D4981" s="16" t="s">
        <v>29</v>
      </c>
      <c r="E4981" s="16" t="s">
        <v>54</v>
      </c>
      <c r="F4981" s="16" t="s">
        <v>216</v>
      </c>
      <c r="G4981" s="16" t="s">
        <v>35</v>
      </c>
      <c r="H4981" s="16" t="s">
        <v>36</v>
      </c>
      <c r="I4981" s="16"/>
      <c r="J4981" s="16"/>
      <c r="K4981" s="16"/>
      <c r="L4981" s="16"/>
      <c r="M4981" s="16"/>
      <c r="N4981" s="16"/>
      <c r="O4981" s="16" t="s">
        <v>38</v>
      </c>
      <c r="P4981" s="16" t="str">
        <f t="shared" si="113"/>
        <v>Truncate table WFEVNSTATE;</v>
      </c>
      <c r="Q4981" s="16"/>
      <c r="R4981" s="16"/>
    </row>
    <row r="4982" spans="1:18" s="118" customFormat="1" x14ac:dyDescent="0.25">
      <c r="A4982" s="337"/>
      <c r="B4982" s="19" t="s">
        <v>6568</v>
      </c>
      <c r="C4982" s="20" t="s">
        <v>6566</v>
      </c>
      <c r="D4982" s="16" t="s">
        <v>8152</v>
      </c>
      <c r="E4982" s="16" t="s">
        <v>54</v>
      </c>
      <c r="F4982" s="16" t="s">
        <v>216</v>
      </c>
      <c r="G4982" s="16" t="s">
        <v>35</v>
      </c>
      <c r="H4982" s="16" t="s">
        <v>36</v>
      </c>
      <c r="I4982" s="16"/>
      <c r="J4982" s="16"/>
      <c r="K4982" s="16"/>
      <c r="L4982" s="16"/>
      <c r="M4982" s="16"/>
      <c r="N4982" s="16"/>
      <c r="O4982" s="16" t="s">
        <v>38</v>
      </c>
      <c r="P4982" s="16" t="str">
        <f t="shared" si="113"/>
        <v/>
      </c>
      <c r="Q4982" s="16"/>
      <c r="R4982" s="16"/>
    </row>
    <row r="4983" spans="1:18" s="118" customFormat="1" x14ac:dyDescent="0.25">
      <c r="A4983" s="337"/>
      <c r="B4983" s="19" t="s">
        <v>6569</v>
      </c>
      <c r="C4983" s="16" t="s">
        <v>6554</v>
      </c>
      <c r="D4983" s="16" t="s">
        <v>29</v>
      </c>
      <c r="E4983" s="16" t="s">
        <v>54</v>
      </c>
      <c r="F4983" s="16" t="s">
        <v>216</v>
      </c>
      <c r="G4983" s="16" t="s">
        <v>35</v>
      </c>
      <c r="H4983" s="16" t="s">
        <v>36</v>
      </c>
      <c r="I4983" s="16"/>
      <c r="J4983" s="16"/>
      <c r="K4983" s="16"/>
      <c r="L4983" s="16"/>
      <c r="M4983" s="16"/>
      <c r="N4983" s="16"/>
      <c r="O4983" s="16" t="s">
        <v>38</v>
      </c>
      <c r="P4983" s="16" t="str">
        <f t="shared" si="113"/>
        <v>Truncate table WFFAILAUT;</v>
      </c>
      <c r="Q4983" s="16"/>
      <c r="R4983" s="16"/>
    </row>
    <row r="4984" spans="1:18" s="118" customFormat="1" x14ac:dyDescent="0.25">
      <c r="A4984" s="337"/>
      <c r="B4984" s="19" t="s">
        <v>6570</v>
      </c>
      <c r="C4984" s="20" t="s">
        <v>6571</v>
      </c>
      <c r="D4984" s="16" t="s">
        <v>29</v>
      </c>
      <c r="E4984" s="16" t="s">
        <v>54</v>
      </c>
      <c r="F4984" s="16" t="s">
        <v>216</v>
      </c>
      <c r="G4984" s="16" t="s">
        <v>35</v>
      </c>
      <c r="H4984" s="16" t="s">
        <v>36</v>
      </c>
      <c r="I4984" s="16"/>
      <c r="J4984" s="16"/>
      <c r="K4984" s="16"/>
      <c r="L4984" s="16"/>
      <c r="M4984" s="16"/>
      <c r="N4984" s="16"/>
      <c r="O4984" s="16"/>
      <c r="P4984" s="16" t="str">
        <f t="shared" si="113"/>
        <v>Truncate table WFHOLIDAYS;</v>
      </c>
      <c r="Q4984" s="16"/>
      <c r="R4984" s="16"/>
    </row>
    <row r="4985" spans="1:18" s="118" customFormat="1" x14ac:dyDescent="0.25">
      <c r="A4985" s="337"/>
      <c r="B4985" s="19" t="s">
        <v>6572</v>
      </c>
      <c r="C4985" s="16" t="s">
        <v>6554</v>
      </c>
      <c r="D4985" s="16" t="s">
        <v>29</v>
      </c>
      <c r="E4985" s="16" t="s">
        <v>54</v>
      </c>
      <c r="F4985" s="16" t="s">
        <v>216</v>
      </c>
      <c r="G4985" s="16" t="s">
        <v>35</v>
      </c>
      <c r="H4985" s="16" t="s">
        <v>36</v>
      </c>
      <c r="I4985" s="16"/>
      <c r="J4985" s="16"/>
      <c r="K4985" s="16"/>
      <c r="L4985" s="16"/>
      <c r="M4985" s="16"/>
      <c r="N4985" s="16"/>
      <c r="O4985" s="16" t="s">
        <v>38</v>
      </c>
      <c r="P4985" s="16" t="str">
        <f t="shared" si="113"/>
        <v>Truncate table WFINSTASK;</v>
      </c>
      <c r="Q4985" s="16"/>
      <c r="R4985" s="16"/>
    </row>
    <row r="4986" spans="1:18" s="118" customFormat="1" x14ac:dyDescent="0.25">
      <c r="A4986" s="337"/>
      <c r="B4986" s="19" t="s">
        <v>6573</v>
      </c>
      <c r="C4986" s="20" t="s">
        <v>6574</v>
      </c>
      <c r="D4986" s="16" t="s">
        <v>29</v>
      </c>
      <c r="E4986" s="16" t="s">
        <v>54</v>
      </c>
      <c r="F4986" s="16" t="s">
        <v>216</v>
      </c>
      <c r="G4986" s="16" t="s">
        <v>35</v>
      </c>
      <c r="H4986" s="16" t="s">
        <v>36</v>
      </c>
      <c r="I4986" s="16"/>
      <c r="J4986" s="16"/>
      <c r="K4986" s="16"/>
      <c r="L4986" s="16"/>
      <c r="M4986" s="16"/>
      <c r="N4986" s="16"/>
      <c r="O4986" s="16" t="s">
        <v>38</v>
      </c>
      <c r="P4986" s="16" t="str">
        <f t="shared" si="113"/>
        <v>Truncate table WFINSTPRC;</v>
      </c>
      <c r="Q4986" s="16"/>
      <c r="R4986" s="16"/>
    </row>
    <row r="4987" spans="1:18" s="118" customFormat="1" x14ac:dyDescent="0.25">
      <c r="A4987" s="337"/>
      <c r="B4987" s="19" t="s">
        <v>6575</v>
      </c>
      <c r="C4987" s="16" t="s">
        <v>523</v>
      </c>
      <c r="D4987" s="16" t="s">
        <v>29</v>
      </c>
      <c r="E4987" s="16" t="s">
        <v>54</v>
      </c>
      <c r="F4987" s="16" t="s">
        <v>216</v>
      </c>
      <c r="G4987" s="16" t="s">
        <v>35</v>
      </c>
      <c r="H4987" s="16" t="s">
        <v>36</v>
      </c>
      <c r="I4987" s="16"/>
      <c r="J4987" s="16"/>
      <c r="K4987" s="16"/>
      <c r="L4987" s="16"/>
      <c r="M4987" s="16"/>
      <c r="N4987" s="16"/>
      <c r="O4987" s="16" t="s">
        <v>38</v>
      </c>
      <c r="P4987" s="16" t="str">
        <f t="shared" si="113"/>
        <v>Truncate table WFITEMDOC;</v>
      </c>
      <c r="Q4987" s="16"/>
      <c r="R4987" s="16"/>
    </row>
    <row r="4988" spans="1:18" s="118" customFormat="1" x14ac:dyDescent="0.25">
      <c r="A4988" s="337"/>
      <c r="B4988" s="19" t="s">
        <v>6576</v>
      </c>
      <c r="C4988" s="20" t="s">
        <v>6577</v>
      </c>
      <c r="D4988" s="16" t="s">
        <v>8152</v>
      </c>
      <c r="E4988" s="16" t="s">
        <v>54</v>
      </c>
      <c r="F4988" s="16" t="s">
        <v>216</v>
      </c>
      <c r="G4988" s="16" t="s">
        <v>35</v>
      </c>
      <c r="H4988" s="16" t="s">
        <v>36</v>
      </c>
      <c r="I4988" s="16"/>
      <c r="J4988" s="16"/>
      <c r="K4988" s="16"/>
      <c r="L4988" s="16"/>
      <c r="M4988" s="16"/>
      <c r="N4988" s="16"/>
      <c r="O4988" s="16" t="s">
        <v>38</v>
      </c>
      <c r="P4988" s="16" t="str">
        <f t="shared" si="113"/>
        <v/>
      </c>
      <c r="Q4988" s="16"/>
      <c r="R4988" s="16"/>
    </row>
    <row r="4989" spans="1:18" s="118" customFormat="1" x14ac:dyDescent="0.25">
      <c r="A4989" s="337"/>
      <c r="B4989" s="19" t="s">
        <v>6578</v>
      </c>
      <c r="C4989" s="20" t="s">
        <v>6579</v>
      </c>
      <c r="D4989" s="16" t="s">
        <v>29</v>
      </c>
      <c r="E4989" s="16" t="s">
        <v>54</v>
      </c>
      <c r="F4989" s="16" t="s">
        <v>216</v>
      </c>
      <c r="G4989" s="16" t="s">
        <v>35</v>
      </c>
      <c r="H4989" s="16" t="s">
        <v>36</v>
      </c>
      <c r="I4989" s="16"/>
      <c r="J4989" s="16"/>
      <c r="K4989" s="16"/>
      <c r="L4989" s="16"/>
      <c r="M4989" s="16"/>
      <c r="N4989" s="16"/>
      <c r="O4989" s="16"/>
      <c r="P4989" s="16" t="str">
        <f t="shared" si="113"/>
        <v>Truncate table WFLOG;</v>
      </c>
      <c r="Q4989" s="16"/>
      <c r="R4989" s="16"/>
    </row>
    <row r="4990" spans="1:18" s="118" customFormat="1" x14ac:dyDescent="0.25">
      <c r="A4990" s="337"/>
      <c r="B4990" s="19" t="s">
        <v>6580</v>
      </c>
      <c r="C4990" s="20" t="s">
        <v>6581</v>
      </c>
      <c r="D4990" s="16" t="s">
        <v>8152</v>
      </c>
      <c r="E4990" s="16" t="s">
        <v>54</v>
      </c>
      <c r="F4990" s="16" t="s">
        <v>216</v>
      </c>
      <c r="G4990" s="16" t="s">
        <v>35</v>
      </c>
      <c r="H4990" s="16" t="s">
        <v>36</v>
      </c>
      <c r="I4990" s="16"/>
      <c r="J4990" s="16"/>
      <c r="K4990" s="16"/>
      <c r="L4990" s="16"/>
      <c r="M4990" s="16"/>
      <c r="N4990" s="16"/>
      <c r="O4990" s="16" t="s">
        <v>38</v>
      </c>
      <c r="P4990" s="16" t="str">
        <f t="shared" si="113"/>
        <v/>
      </c>
      <c r="Q4990" s="16"/>
      <c r="R4990" s="16"/>
    </row>
    <row r="4991" spans="1:18" s="118" customFormat="1" x14ac:dyDescent="0.25">
      <c r="A4991" s="337"/>
      <c r="B4991" s="19" t="s">
        <v>6582</v>
      </c>
      <c r="C4991" s="20" t="s">
        <v>6581</v>
      </c>
      <c r="D4991" s="16" t="s">
        <v>8152</v>
      </c>
      <c r="E4991" s="16" t="s">
        <v>54</v>
      </c>
      <c r="F4991" s="16" t="s">
        <v>216</v>
      </c>
      <c r="G4991" s="16" t="s">
        <v>35</v>
      </c>
      <c r="H4991" s="16" t="s">
        <v>36</v>
      </c>
      <c r="I4991" s="16"/>
      <c r="J4991" s="16"/>
      <c r="K4991" s="16"/>
      <c r="L4991" s="16"/>
      <c r="M4991" s="16"/>
      <c r="N4991" s="16"/>
      <c r="O4991" s="16" t="s">
        <v>38</v>
      </c>
      <c r="P4991" s="16" t="str">
        <f t="shared" si="113"/>
        <v/>
      </c>
      <c r="Q4991" s="16"/>
      <c r="R4991" s="16"/>
    </row>
    <row r="4992" spans="1:18" s="118" customFormat="1" x14ac:dyDescent="0.25">
      <c r="A4992" s="337"/>
      <c r="B4992" s="19" t="s">
        <v>6583</v>
      </c>
      <c r="C4992" s="20" t="s">
        <v>6581</v>
      </c>
      <c r="D4992" s="16" t="s">
        <v>8152</v>
      </c>
      <c r="E4992" s="16" t="s">
        <v>54</v>
      </c>
      <c r="F4992" s="16" t="s">
        <v>216</v>
      </c>
      <c r="G4992" s="16" t="s">
        <v>35</v>
      </c>
      <c r="H4992" s="16" t="s">
        <v>36</v>
      </c>
      <c r="I4992" s="16"/>
      <c r="J4992" s="16"/>
      <c r="K4992" s="16"/>
      <c r="L4992" s="16"/>
      <c r="M4992" s="16"/>
      <c r="N4992" s="16"/>
      <c r="O4992" s="16" t="s">
        <v>38</v>
      </c>
      <c r="P4992" s="16" t="str">
        <f t="shared" si="113"/>
        <v/>
      </c>
      <c r="Q4992" s="16"/>
      <c r="R4992" s="16"/>
    </row>
    <row r="4993" spans="1:18" s="118" customFormat="1" x14ac:dyDescent="0.25">
      <c r="A4993" s="337"/>
      <c r="B4993" s="19" t="s">
        <v>6584</v>
      </c>
      <c r="C4993" s="16" t="s">
        <v>6554</v>
      </c>
      <c r="D4993" s="16" t="s">
        <v>8152</v>
      </c>
      <c r="E4993" s="16" t="s">
        <v>54</v>
      </c>
      <c r="F4993" s="16" t="s">
        <v>216</v>
      </c>
      <c r="G4993" s="16" t="s">
        <v>35</v>
      </c>
      <c r="H4993" s="16" t="s">
        <v>36</v>
      </c>
      <c r="I4993" s="16"/>
      <c r="J4993" s="16"/>
      <c r="K4993" s="16"/>
      <c r="L4993" s="16"/>
      <c r="M4993" s="16"/>
      <c r="N4993" s="16"/>
      <c r="O4993" s="16" t="s">
        <v>38</v>
      </c>
      <c r="P4993" s="16" t="str">
        <f t="shared" si="113"/>
        <v/>
      </c>
      <c r="Q4993" s="16"/>
      <c r="R4993" s="16"/>
    </row>
    <row r="4994" spans="1:18" s="118" customFormat="1" x14ac:dyDescent="0.25">
      <c r="A4994" s="337"/>
      <c r="B4994" s="19" t="s">
        <v>6585</v>
      </c>
      <c r="C4994" s="16" t="s">
        <v>6554</v>
      </c>
      <c r="D4994" s="16" t="s">
        <v>8152</v>
      </c>
      <c r="E4994" s="16" t="s">
        <v>54</v>
      </c>
      <c r="F4994" s="16" t="s">
        <v>216</v>
      </c>
      <c r="G4994" s="16" t="s">
        <v>35</v>
      </c>
      <c r="H4994" s="16" t="s">
        <v>36</v>
      </c>
      <c r="I4994" s="16"/>
      <c r="J4994" s="16"/>
      <c r="K4994" s="16"/>
      <c r="L4994" s="16"/>
      <c r="M4994" s="16"/>
      <c r="N4994" s="16"/>
      <c r="O4994" s="16" t="s">
        <v>38</v>
      </c>
      <c r="P4994" s="16" t="str">
        <f t="shared" si="113"/>
        <v/>
      </c>
      <c r="Q4994" s="16"/>
      <c r="R4994" s="16"/>
    </row>
    <row r="4995" spans="1:18" s="118" customFormat="1" x14ac:dyDescent="0.25">
      <c r="A4995" s="337"/>
      <c r="B4995" s="19" t="s">
        <v>6586</v>
      </c>
      <c r="C4995" s="20" t="s">
        <v>6587</v>
      </c>
      <c r="D4995" s="16" t="s">
        <v>8152</v>
      </c>
      <c r="E4995" s="16" t="s">
        <v>54</v>
      </c>
      <c r="F4995" s="16" t="s">
        <v>216</v>
      </c>
      <c r="G4995" s="16" t="s">
        <v>35</v>
      </c>
      <c r="H4995" s="16" t="s">
        <v>36</v>
      </c>
      <c r="I4995" s="16"/>
      <c r="J4995" s="16"/>
      <c r="K4995" s="16"/>
      <c r="L4995" s="16"/>
      <c r="M4995" s="16"/>
      <c r="N4995" s="16"/>
      <c r="O4995" s="16" t="s">
        <v>38</v>
      </c>
      <c r="P4995" s="16" t="str">
        <f t="shared" si="113"/>
        <v/>
      </c>
      <c r="Q4995" s="16"/>
      <c r="R4995" s="16"/>
    </row>
    <row r="4996" spans="1:18" s="118" customFormat="1" x14ac:dyDescent="0.25">
      <c r="A4996" s="337"/>
      <c r="B4996" s="19" t="s">
        <v>6588</v>
      </c>
      <c r="C4996" s="20" t="s">
        <v>6589</v>
      </c>
      <c r="D4996" s="16" t="s">
        <v>29</v>
      </c>
      <c r="E4996" s="16" t="s">
        <v>54</v>
      </c>
      <c r="F4996" s="16" t="s">
        <v>216</v>
      </c>
      <c r="G4996" s="16" t="s">
        <v>35</v>
      </c>
      <c r="H4996" s="16" t="s">
        <v>36</v>
      </c>
      <c r="I4996" s="16"/>
      <c r="J4996" s="16"/>
      <c r="K4996" s="16"/>
      <c r="L4996" s="16"/>
      <c r="M4996" s="16"/>
      <c r="N4996" s="16"/>
      <c r="O4996" s="16"/>
      <c r="P4996" s="16" t="str">
        <f t="shared" si="113"/>
        <v>Truncate table WFOPTIONALS;</v>
      </c>
      <c r="Q4996" s="16"/>
      <c r="R4996" s="16"/>
    </row>
    <row r="4997" spans="1:18" s="118" customFormat="1" x14ac:dyDescent="0.25">
      <c r="A4997" s="337"/>
      <c r="B4997" s="19" t="s">
        <v>6590</v>
      </c>
      <c r="C4997" s="20" t="s">
        <v>6591</v>
      </c>
      <c r="D4997" s="16" t="s">
        <v>29</v>
      </c>
      <c r="E4997" s="16" t="s">
        <v>54</v>
      </c>
      <c r="F4997" s="16" t="s">
        <v>216</v>
      </c>
      <c r="G4997" s="16" t="s">
        <v>35</v>
      </c>
      <c r="H4997" s="16" t="s">
        <v>36</v>
      </c>
      <c r="I4997" s="16"/>
      <c r="J4997" s="16"/>
      <c r="K4997" s="16"/>
      <c r="L4997" s="16"/>
      <c r="M4997" s="16"/>
      <c r="N4997" s="16"/>
      <c r="O4997" s="16" t="s">
        <v>38</v>
      </c>
      <c r="P4997" s="16" t="str">
        <f t="shared" si="113"/>
        <v>Truncate table WFPICOMMENTS;</v>
      </c>
      <c r="Q4997" s="16"/>
      <c r="R4997" s="16"/>
    </row>
    <row r="4998" spans="1:18" s="118" customFormat="1" ht="27" x14ac:dyDescent="0.25">
      <c r="A4998" s="337"/>
      <c r="B4998" s="19" t="s">
        <v>6592</v>
      </c>
      <c r="C4998" s="20" t="s">
        <v>6593</v>
      </c>
      <c r="D4998" s="16" t="s">
        <v>8152</v>
      </c>
      <c r="E4998" s="16" t="s">
        <v>54</v>
      </c>
      <c r="F4998" s="16" t="s">
        <v>216</v>
      </c>
      <c r="G4998" s="16" t="s">
        <v>35</v>
      </c>
      <c r="H4998" s="16" t="s">
        <v>36</v>
      </c>
      <c r="I4998" s="16"/>
      <c r="J4998" s="16"/>
      <c r="K4998" s="16"/>
      <c r="L4998" s="16"/>
      <c r="M4998" s="16"/>
      <c r="N4998" s="16"/>
      <c r="O4998" s="16" t="s">
        <v>38</v>
      </c>
      <c r="P4998" s="16" t="str">
        <f t="shared" si="113"/>
        <v/>
      </c>
      <c r="Q4998" s="16"/>
      <c r="R4998" s="16"/>
    </row>
    <row r="4999" spans="1:18" s="118" customFormat="1" x14ac:dyDescent="0.25">
      <c r="A4999" s="337"/>
      <c r="B4999" s="19" t="s">
        <v>6594</v>
      </c>
      <c r="C4999" s="20" t="s">
        <v>6595</v>
      </c>
      <c r="D4999" s="16" t="s">
        <v>8152</v>
      </c>
      <c r="E4999" s="16" t="s">
        <v>54</v>
      </c>
      <c r="F4999" s="16" t="s">
        <v>216</v>
      </c>
      <c r="G4999" s="16" t="s">
        <v>35</v>
      </c>
      <c r="H4999" s="16" t="s">
        <v>36</v>
      </c>
      <c r="I4999" s="16"/>
      <c r="J4999" s="16"/>
      <c r="K4999" s="16"/>
      <c r="L4999" s="16"/>
      <c r="M4999" s="16"/>
      <c r="N4999" s="16"/>
      <c r="O4999" s="16"/>
      <c r="P4999" s="16" t="str">
        <f t="shared" si="113"/>
        <v/>
      </c>
      <c r="Q4999" s="16"/>
      <c r="R4999" s="16"/>
    </row>
    <row r="5000" spans="1:18" s="118" customFormat="1" ht="27" x14ac:dyDescent="0.25">
      <c r="A5000" s="337"/>
      <c r="B5000" s="19" t="s">
        <v>6596</v>
      </c>
      <c r="C5000" s="20" t="s">
        <v>6597</v>
      </c>
      <c r="D5000" s="16" t="s">
        <v>8152</v>
      </c>
      <c r="E5000" s="16" t="s">
        <v>54</v>
      </c>
      <c r="F5000" s="16" t="s">
        <v>216</v>
      </c>
      <c r="G5000" s="16" t="s">
        <v>35</v>
      </c>
      <c r="H5000" s="16" t="s">
        <v>36</v>
      </c>
      <c r="I5000" s="16"/>
      <c r="J5000" s="16"/>
      <c r="K5000" s="16"/>
      <c r="L5000" s="16"/>
      <c r="M5000" s="16"/>
      <c r="N5000" s="16"/>
      <c r="O5000" s="16"/>
      <c r="P5000" s="16" t="str">
        <f t="shared" si="113"/>
        <v/>
      </c>
      <c r="Q5000" s="16"/>
      <c r="R5000" s="16"/>
    </row>
    <row r="5001" spans="1:18" s="118" customFormat="1" x14ac:dyDescent="0.25">
      <c r="A5001" s="337"/>
      <c r="B5001" s="19" t="s">
        <v>6598</v>
      </c>
      <c r="C5001" s="20" t="s">
        <v>6599</v>
      </c>
      <c r="D5001" s="16" t="s">
        <v>29</v>
      </c>
      <c r="E5001" s="16" t="s">
        <v>54</v>
      </c>
      <c r="F5001" s="16" t="s">
        <v>216</v>
      </c>
      <c r="G5001" s="16" t="s">
        <v>35</v>
      </c>
      <c r="H5001" s="16" t="s">
        <v>36</v>
      </c>
      <c r="I5001" s="16"/>
      <c r="J5001" s="16"/>
      <c r="K5001" s="16"/>
      <c r="L5001" s="16"/>
      <c r="M5001" s="16"/>
      <c r="N5001" s="16"/>
      <c r="O5001" s="16" t="s">
        <v>38</v>
      </c>
      <c r="P5001" s="16" t="str">
        <f t="shared" si="113"/>
        <v>Truncate table WFPRCINS;</v>
      </c>
      <c r="Q5001" s="16"/>
      <c r="R5001" s="16"/>
    </row>
    <row r="5002" spans="1:18" s="118" customFormat="1" x14ac:dyDescent="0.25">
      <c r="A5002" s="337"/>
      <c r="B5002" s="19" t="s">
        <v>6600</v>
      </c>
      <c r="C5002" s="20" t="s">
        <v>6601</v>
      </c>
      <c r="D5002" s="16" t="s">
        <v>8152</v>
      </c>
      <c r="E5002" s="16" t="s">
        <v>54</v>
      </c>
      <c r="F5002" s="16" t="s">
        <v>216</v>
      </c>
      <c r="G5002" s="16" t="s">
        <v>35</v>
      </c>
      <c r="H5002" s="16" t="s">
        <v>36</v>
      </c>
      <c r="I5002" s="16"/>
      <c r="J5002" s="16"/>
      <c r="K5002" s="16"/>
      <c r="L5002" s="16"/>
      <c r="M5002" s="16"/>
      <c r="N5002" s="16"/>
      <c r="O5002" s="16" t="s">
        <v>38</v>
      </c>
      <c r="P5002" s="16" t="str">
        <f t="shared" si="113"/>
        <v/>
      </c>
      <c r="Q5002" s="16"/>
      <c r="R5002" s="16"/>
    </row>
    <row r="5003" spans="1:18" s="118" customFormat="1" x14ac:dyDescent="0.25">
      <c r="A5003" s="337"/>
      <c r="B5003" s="19" t="s">
        <v>6602</v>
      </c>
      <c r="C5003" s="20" t="s">
        <v>6601</v>
      </c>
      <c r="D5003" s="16" t="s">
        <v>8152</v>
      </c>
      <c r="E5003" s="16" t="s">
        <v>54</v>
      </c>
      <c r="F5003" s="16" t="s">
        <v>216</v>
      </c>
      <c r="G5003" s="16" t="s">
        <v>35</v>
      </c>
      <c r="H5003" s="16" t="s">
        <v>36</v>
      </c>
      <c r="I5003" s="16"/>
      <c r="J5003" s="16"/>
      <c r="K5003" s="16"/>
      <c r="L5003" s="16"/>
      <c r="M5003" s="16"/>
      <c r="N5003" s="16"/>
      <c r="O5003" s="16" t="s">
        <v>38</v>
      </c>
      <c r="P5003" s="16" t="str">
        <f t="shared" si="113"/>
        <v/>
      </c>
      <c r="Q5003" s="16"/>
      <c r="R5003" s="16"/>
    </row>
    <row r="5004" spans="1:18" s="118" customFormat="1" x14ac:dyDescent="0.25">
      <c r="A5004" s="337"/>
      <c r="B5004" s="19" t="s">
        <v>6603</v>
      </c>
      <c r="C5004" s="20" t="s">
        <v>6601</v>
      </c>
      <c r="D5004" s="16" t="s">
        <v>8152</v>
      </c>
      <c r="E5004" s="16" t="s">
        <v>54</v>
      </c>
      <c r="F5004" s="16" t="s">
        <v>216</v>
      </c>
      <c r="G5004" s="16" t="s">
        <v>35</v>
      </c>
      <c r="H5004" s="16" t="s">
        <v>36</v>
      </c>
      <c r="I5004" s="16"/>
      <c r="J5004" s="16"/>
      <c r="K5004" s="16"/>
      <c r="L5004" s="16"/>
      <c r="M5004" s="16"/>
      <c r="N5004" s="16"/>
      <c r="O5004" s="16" t="s">
        <v>38</v>
      </c>
      <c r="P5004" s="16" t="str">
        <f t="shared" si="113"/>
        <v/>
      </c>
      <c r="Q5004" s="16"/>
      <c r="R5004" s="16"/>
    </row>
    <row r="5005" spans="1:18" s="118" customFormat="1" x14ac:dyDescent="0.25">
      <c r="A5005" s="337"/>
      <c r="B5005" s="19" t="s">
        <v>6604</v>
      </c>
      <c r="C5005" s="20"/>
      <c r="D5005" s="16" t="s">
        <v>29</v>
      </c>
      <c r="E5005" s="16" t="s">
        <v>54</v>
      </c>
      <c r="F5005" s="16" t="s">
        <v>216</v>
      </c>
      <c r="G5005" s="16" t="s">
        <v>35</v>
      </c>
      <c r="H5005" s="16" t="s">
        <v>36</v>
      </c>
      <c r="I5005" s="16"/>
      <c r="J5005" s="16"/>
      <c r="K5005" s="16"/>
      <c r="L5005" s="16"/>
      <c r="M5005" s="16"/>
      <c r="N5005" s="16"/>
      <c r="O5005" s="16"/>
      <c r="P5005" s="16" t="str">
        <f t="shared" si="113"/>
        <v>Truncate table WFPROCES;</v>
      </c>
      <c r="Q5005" s="16"/>
      <c r="R5005" s="16" t="s">
        <v>387</v>
      </c>
    </row>
    <row r="5006" spans="1:18" s="118" customFormat="1" x14ac:dyDescent="0.25">
      <c r="A5006" s="337"/>
      <c r="B5006" s="19" t="s">
        <v>6605</v>
      </c>
      <c r="C5006" s="20" t="s">
        <v>6606</v>
      </c>
      <c r="D5006" s="16" t="s">
        <v>8152</v>
      </c>
      <c r="E5006" s="16" t="s">
        <v>54</v>
      </c>
      <c r="F5006" s="16" t="s">
        <v>216</v>
      </c>
      <c r="G5006" s="16" t="s">
        <v>35</v>
      </c>
      <c r="H5006" s="16" t="s">
        <v>36</v>
      </c>
      <c r="I5006" s="16"/>
      <c r="J5006" s="16"/>
      <c r="K5006" s="16"/>
      <c r="L5006" s="16"/>
      <c r="M5006" s="16"/>
      <c r="N5006" s="16"/>
      <c r="O5006" s="16" t="s">
        <v>38</v>
      </c>
      <c r="P5006" s="16" t="str">
        <f t="shared" si="113"/>
        <v/>
      </c>
      <c r="Q5006" s="16"/>
      <c r="R5006" s="16"/>
    </row>
    <row r="5007" spans="1:18" s="118" customFormat="1" x14ac:dyDescent="0.25">
      <c r="A5007" s="337"/>
      <c r="B5007" s="19" t="s">
        <v>6607</v>
      </c>
      <c r="C5007" s="16" t="s">
        <v>6554</v>
      </c>
      <c r="D5007" s="16" t="s">
        <v>29</v>
      </c>
      <c r="E5007" s="16" t="s">
        <v>54</v>
      </c>
      <c r="F5007" s="16" t="s">
        <v>216</v>
      </c>
      <c r="G5007" s="16" t="s">
        <v>35</v>
      </c>
      <c r="H5007" s="16" t="s">
        <v>36</v>
      </c>
      <c r="I5007" s="16"/>
      <c r="J5007" s="16"/>
      <c r="K5007" s="16"/>
      <c r="L5007" s="16"/>
      <c r="M5007" s="16"/>
      <c r="N5007" s="16"/>
      <c r="O5007" s="16" t="s">
        <v>38</v>
      </c>
      <c r="P5007" s="16" t="str">
        <f t="shared" si="113"/>
        <v>Truncate table WFPROCESS_RES;</v>
      </c>
      <c r="Q5007" s="16"/>
      <c r="R5007" s="16"/>
    </row>
    <row r="5008" spans="1:18" s="118" customFormat="1" x14ac:dyDescent="0.25">
      <c r="A5008" s="337"/>
      <c r="B5008" s="19" t="s">
        <v>6608</v>
      </c>
      <c r="C5008" s="20" t="s">
        <v>6609</v>
      </c>
      <c r="D5008" s="16" t="s">
        <v>8152</v>
      </c>
      <c r="E5008" s="16" t="s">
        <v>54</v>
      </c>
      <c r="F5008" s="16" t="s">
        <v>216</v>
      </c>
      <c r="G5008" s="16" t="s">
        <v>35</v>
      </c>
      <c r="H5008" s="16" t="s">
        <v>36</v>
      </c>
      <c r="I5008" s="16"/>
      <c r="J5008" s="16"/>
      <c r="K5008" s="16"/>
      <c r="L5008" s="16"/>
      <c r="M5008" s="16"/>
      <c r="N5008" s="16"/>
      <c r="O5008" s="16" t="s">
        <v>38</v>
      </c>
      <c r="P5008" s="16" t="str">
        <f t="shared" si="113"/>
        <v/>
      </c>
      <c r="Q5008" s="16"/>
      <c r="R5008" s="16"/>
    </row>
    <row r="5009" spans="1:18" s="118" customFormat="1" x14ac:dyDescent="0.25">
      <c r="A5009" s="337"/>
      <c r="B5009" s="19" t="s">
        <v>6610</v>
      </c>
      <c r="C5009" s="20" t="s">
        <v>6611</v>
      </c>
      <c r="D5009" s="16" t="s">
        <v>8152</v>
      </c>
      <c r="E5009" s="16" t="s">
        <v>54</v>
      </c>
      <c r="F5009" s="16" t="s">
        <v>216</v>
      </c>
      <c r="G5009" s="16" t="s">
        <v>35</v>
      </c>
      <c r="H5009" s="16" t="s">
        <v>36</v>
      </c>
      <c r="I5009" s="16"/>
      <c r="J5009" s="16"/>
      <c r="K5009" s="16"/>
      <c r="L5009" s="16"/>
      <c r="M5009" s="16"/>
      <c r="N5009" s="16"/>
      <c r="O5009" s="16"/>
      <c r="P5009" s="16" t="str">
        <f t="shared" si="113"/>
        <v/>
      </c>
      <c r="Q5009" s="16"/>
      <c r="R5009" s="16"/>
    </row>
    <row r="5010" spans="1:18" s="118" customFormat="1" x14ac:dyDescent="0.25">
      <c r="A5010" s="337"/>
      <c r="B5010" s="19" t="s">
        <v>6612</v>
      </c>
      <c r="C5010" s="20" t="s">
        <v>6613</v>
      </c>
      <c r="D5010" s="16" t="s">
        <v>8152</v>
      </c>
      <c r="E5010" s="16" t="s">
        <v>54</v>
      </c>
      <c r="F5010" s="16" t="s">
        <v>216</v>
      </c>
      <c r="G5010" s="16" t="s">
        <v>35</v>
      </c>
      <c r="H5010" s="16" t="s">
        <v>36</v>
      </c>
      <c r="I5010" s="16"/>
      <c r="J5010" s="16"/>
      <c r="K5010" s="16"/>
      <c r="L5010" s="16"/>
      <c r="M5010" s="16"/>
      <c r="N5010" s="16"/>
      <c r="O5010" s="16" t="s">
        <v>38</v>
      </c>
      <c r="P5010" s="16" t="str">
        <f t="shared" si="113"/>
        <v/>
      </c>
      <c r="Q5010" s="16"/>
      <c r="R5010" s="16"/>
    </row>
    <row r="5011" spans="1:18" s="118" customFormat="1" x14ac:dyDescent="0.25">
      <c r="A5011" s="337"/>
      <c r="B5011" s="19" t="s">
        <v>6614</v>
      </c>
      <c r="C5011" s="20" t="s">
        <v>6615</v>
      </c>
      <c r="D5011" s="16" t="s">
        <v>8152</v>
      </c>
      <c r="E5011" s="16" t="s">
        <v>54</v>
      </c>
      <c r="F5011" s="16" t="s">
        <v>216</v>
      </c>
      <c r="G5011" s="16" t="s">
        <v>35</v>
      </c>
      <c r="H5011" s="16" t="s">
        <v>36</v>
      </c>
      <c r="I5011" s="16"/>
      <c r="J5011" s="16"/>
      <c r="K5011" s="16"/>
      <c r="L5011" s="16"/>
      <c r="M5011" s="16"/>
      <c r="N5011" s="16"/>
      <c r="O5011" s="16" t="s">
        <v>38</v>
      </c>
      <c r="P5011" s="16" t="str">
        <f t="shared" si="113"/>
        <v/>
      </c>
      <c r="Q5011" s="16"/>
      <c r="R5011" s="16"/>
    </row>
    <row r="5012" spans="1:18" s="118" customFormat="1" x14ac:dyDescent="0.25">
      <c r="A5012" s="337"/>
      <c r="B5012" s="19" t="s">
        <v>6616</v>
      </c>
      <c r="C5012" s="20" t="s">
        <v>6615</v>
      </c>
      <c r="D5012" s="16" t="s">
        <v>8152</v>
      </c>
      <c r="E5012" s="16" t="s">
        <v>54</v>
      </c>
      <c r="F5012" s="16" t="s">
        <v>216</v>
      </c>
      <c r="G5012" s="16" t="s">
        <v>35</v>
      </c>
      <c r="H5012" s="16" t="s">
        <v>36</v>
      </c>
      <c r="I5012" s="16"/>
      <c r="J5012" s="16"/>
      <c r="K5012" s="16"/>
      <c r="L5012" s="16"/>
      <c r="M5012" s="16"/>
      <c r="N5012" s="16"/>
      <c r="O5012" s="16" t="s">
        <v>38</v>
      </c>
      <c r="P5012" s="16" t="str">
        <f t="shared" si="113"/>
        <v/>
      </c>
      <c r="Q5012" s="16"/>
      <c r="R5012" s="16"/>
    </row>
    <row r="5013" spans="1:18" s="118" customFormat="1" x14ac:dyDescent="0.25">
      <c r="A5013" s="337"/>
      <c r="B5013" s="19" t="s">
        <v>6617</v>
      </c>
      <c r="C5013" s="20" t="s">
        <v>6618</v>
      </c>
      <c r="D5013" s="16" t="s">
        <v>8152</v>
      </c>
      <c r="E5013" s="16" t="s">
        <v>54</v>
      </c>
      <c r="F5013" s="16" t="s">
        <v>216</v>
      </c>
      <c r="G5013" s="16" t="s">
        <v>35</v>
      </c>
      <c r="H5013" s="16" t="s">
        <v>36</v>
      </c>
      <c r="I5013" s="16"/>
      <c r="J5013" s="16"/>
      <c r="K5013" s="16"/>
      <c r="L5013" s="16"/>
      <c r="M5013" s="16"/>
      <c r="N5013" s="16"/>
      <c r="O5013" s="16" t="s">
        <v>38</v>
      </c>
      <c r="P5013" s="16" t="str">
        <f t="shared" si="113"/>
        <v/>
      </c>
      <c r="Q5013" s="16"/>
      <c r="R5013" s="16"/>
    </row>
    <row r="5014" spans="1:18" s="118" customFormat="1" x14ac:dyDescent="0.25">
      <c r="A5014" s="337"/>
      <c r="B5014" s="19" t="s">
        <v>6619</v>
      </c>
      <c r="C5014" s="20" t="s">
        <v>6618</v>
      </c>
      <c r="D5014" s="16" t="s">
        <v>8152</v>
      </c>
      <c r="E5014" s="16" t="s">
        <v>54</v>
      </c>
      <c r="F5014" s="16" t="s">
        <v>216</v>
      </c>
      <c r="G5014" s="16" t="s">
        <v>35</v>
      </c>
      <c r="H5014" s="16" t="s">
        <v>36</v>
      </c>
      <c r="I5014" s="16"/>
      <c r="J5014" s="16"/>
      <c r="K5014" s="16"/>
      <c r="L5014" s="16"/>
      <c r="M5014" s="16"/>
      <c r="N5014" s="16"/>
      <c r="O5014" s="16" t="s">
        <v>38</v>
      </c>
      <c r="P5014" s="16" t="str">
        <f t="shared" ref="P5014:P5077" si="114">IF(D5014="Datos","Truncate table "&amp; B5014&amp; ";","")</f>
        <v/>
      </c>
      <c r="Q5014" s="16"/>
      <c r="R5014" s="16"/>
    </row>
    <row r="5015" spans="1:18" s="118" customFormat="1" x14ac:dyDescent="0.25">
      <c r="A5015" s="337"/>
      <c r="B5015" s="19" t="s">
        <v>6620</v>
      </c>
      <c r="C5015" s="20" t="s">
        <v>6618</v>
      </c>
      <c r="D5015" s="16" t="s">
        <v>8152</v>
      </c>
      <c r="E5015" s="16" t="s">
        <v>54</v>
      </c>
      <c r="F5015" s="16" t="s">
        <v>216</v>
      </c>
      <c r="G5015" s="16" t="s">
        <v>35</v>
      </c>
      <c r="H5015" s="16" t="s">
        <v>36</v>
      </c>
      <c r="I5015" s="16"/>
      <c r="J5015" s="16"/>
      <c r="K5015" s="16"/>
      <c r="L5015" s="16"/>
      <c r="M5015" s="16"/>
      <c r="N5015" s="16"/>
      <c r="O5015" s="16" t="s">
        <v>38</v>
      </c>
      <c r="P5015" s="16" t="str">
        <f t="shared" si="114"/>
        <v/>
      </c>
      <c r="Q5015" s="16"/>
      <c r="R5015" s="16"/>
    </row>
    <row r="5016" spans="1:18" s="118" customFormat="1" x14ac:dyDescent="0.25">
      <c r="A5016" s="337"/>
      <c r="B5016" s="19" t="s">
        <v>6621</v>
      </c>
      <c r="C5016" s="20" t="s">
        <v>6622</v>
      </c>
      <c r="D5016" s="16" t="s">
        <v>8152</v>
      </c>
      <c r="E5016" s="16" t="s">
        <v>54</v>
      </c>
      <c r="F5016" s="16" t="s">
        <v>216</v>
      </c>
      <c r="G5016" s="16" t="s">
        <v>35</v>
      </c>
      <c r="H5016" s="16" t="s">
        <v>36</v>
      </c>
      <c r="I5016" s="16"/>
      <c r="J5016" s="16"/>
      <c r="K5016" s="16"/>
      <c r="L5016" s="16"/>
      <c r="M5016" s="16"/>
      <c r="N5016" s="16"/>
      <c r="O5016" s="16" t="s">
        <v>38</v>
      </c>
      <c r="P5016" s="16" t="str">
        <f t="shared" si="114"/>
        <v/>
      </c>
      <c r="Q5016" s="16"/>
      <c r="R5016" s="16"/>
    </row>
    <row r="5017" spans="1:18" s="118" customFormat="1" x14ac:dyDescent="0.25">
      <c r="A5017" s="337"/>
      <c r="B5017" s="19" t="s">
        <v>6623</v>
      </c>
      <c r="C5017" s="16" t="s">
        <v>6509</v>
      </c>
      <c r="D5017" s="16" t="s">
        <v>29</v>
      </c>
      <c r="E5017" s="16" t="s">
        <v>54</v>
      </c>
      <c r="F5017" s="16" t="s">
        <v>216</v>
      </c>
      <c r="G5017" s="16" t="s">
        <v>35</v>
      </c>
      <c r="H5017" s="16" t="s">
        <v>36</v>
      </c>
      <c r="I5017" s="16"/>
      <c r="J5017" s="16"/>
      <c r="K5017" s="16"/>
      <c r="L5017" s="16"/>
      <c r="M5017" s="16"/>
      <c r="N5017" s="16"/>
      <c r="O5017" s="16"/>
      <c r="P5017" s="16" t="str">
        <f t="shared" si="114"/>
        <v>Truncate table WFSESSIO;</v>
      </c>
      <c r="Q5017" s="16"/>
      <c r="R5017" s="16" t="s">
        <v>387</v>
      </c>
    </row>
    <row r="5018" spans="1:18" s="118" customFormat="1" x14ac:dyDescent="0.25">
      <c r="A5018" s="337"/>
      <c r="B5018" s="19" t="s">
        <v>6624</v>
      </c>
      <c r="C5018" s="20" t="s">
        <v>5958</v>
      </c>
      <c r="D5018" s="16" t="s">
        <v>29</v>
      </c>
      <c r="E5018" s="16" t="s">
        <v>54</v>
      </c>
      <c r="F5018" s="16" t="s">
        <v>216</v>
      </c>
      <c r="G5018" s="16" t="s">
        <v>35</v>
      </c>
      <c r="H5018" s="16" t="s">
        <v>36</v>
      </c>
      <c r="I5018" s="16"/>
      <c r="J5018" s="16"/>
      <c r="K5018" s="16"/>
      <c r="L5018" s="16"/>
      <c r="M5018" s="16"/>
      <c r="N5018" s="16"/>
      <c r="O5018" s="16" t="s">
        <v>38</v>
      </c>
      <c r="P5018" s="16" t="str">
        <f t="shared" si="114"/>
        <v>Truncate table WFSESSIONS;</v>
      </c>
      <c r="Q5018" s="16"/>
      <c r="R5018" s="16"/>
    </row>
    <row r="5019" spans="1:18" s="118" customFormat="1" x14ac:dyDescent="0.25">
      <c r="A5019" s="337"/>
      <c r="B5019" s="19" t="s">
        <v>6625</v>
      </c>
      <c r="C5019" s="20" t="s">
        <v>6626</v>
      </c>
      <c r="D5019" s="16" t="s">
        <v>8152</v>
      </c>
      <c r="E5019" s="16" t="s">
        <v>54</v>
      </c>
      <c r="F5019" s="16" t="s">
        <v>216</v>
      </c>
      <c r="G5019" s="16" t="s">
        <v>35</v>
      </c>
      <c r="H5019" s="16" t="s">
        <v>36</v>
      </c>
      <c r="I5019" s="16"/>
      <c r="J5019" s="16"/>
      <c r="K5019" s="16"/>
      <c r="L5019" s="16"/>
      <c r="M5019" s="16"/>
      <c r="N5019" s="16"/>
      <c r="O5019" s="16" t="s">
        <v>38</v>
      </c>
      <c r="P5019" s="16" t="str">
        <f t="shared" si="114"/>
        <v/>
      </c>
      <c r="Q5019" s="16"/>
      <c r="R5019" s="16"/>
    </row>
    <row r="5020" spans="1:18" s="118" customFormat="1" x14ac:dyDescent="0.25">
      <c r="A5020" s="337"/>
      <c r="B5020" s="19" t="s">
        <v>6627</v>
      </c>
      <c r="C5020" s="20" t="s">
        <v>6628</v>
      </c>
      <c r="D5020" s="16" t="s">
        <v>8152</v>
      </c>
      <c r="E5020" s="16" t="s">
        <v>54</v>
      </c>
      <c r="F5020" s="16" t="s">
        <v>216</v>
      </c>
      <c r="G5020" s="16" t="s">
        <v>35</v>
      </c>
      <c r="H5020" s="16" t="s">
        <v>36</v>
      </c>
      <c r="I5020" s="16"/>
      <c r="J5020" s="16"/>
      <c r="K5020" s="16"/>
      <c r="L5020" s="16"/>
      <c r="M5020" s="16"/>
      <c r="N5020" s="16"/>
      <c r="O5020" s="16" t="s">
        <v>38</v>
      </c>
      <c r="P5020" s="16" t="str">
        <f t="shared" si="114"/>
        <v/>
      </c>
      <c r="Q5020" s="16"/>
      <c r="R5020" s="16"/>
    </row>
    <row r="5021" spans="1:18" s="118" customFormat="1" x14ac:dyDescent="0.25">
      <c r="A5021" s="337"/>
      <c r="B5021" s="19" t="s">
        <v>6629</v>
      </c>
      <c r="C5021" s="20" t="s">
        <v>6630</v>
      </c>
      <c r="D5021" s="16" t="s">
        <v>8152</v>
      </c>
      <c r="E5021" s="16" t="s">
        <v>54</v>
      </c>
      <c r="F5021" s="16" t="s">
        <v>216</v>
      </c>
      <c r="G5021" s="16" t="s">
        <v>35</v>
      </c>
      <c r="H5021" s="16" t="s">
        <v>36</v>
      </c>
      <c r="I5021" s="16"/>
      <c r="J5021" s="16"/>
      <c r="K5021" s="16"/>
      <c r="L5021" s="16"/>
      <c r="M5021" s="16"/>
      <c r="N5021" s="16"/>
      <c r="O5021" s="16" t="s">
        <v>38</v>
      </c>
      <c r="P5021" s="16" t="str">
        <f t="shared" si="114"/>
        <v/>
      </c>
      <c r="Q5021" s="16"/>
      <c r="R5021" s="16"/>
    </row>
    <row r="5022" spans="1:18" s="118" customFormat="1" x14ac:dyDescent="0.25">
      <c r="A5022" s="337"/>
      <c r="B5022" s="19" t="s">
        <v>6631</v>
      </c>
      <c r="C5022" s="20" t="s">
        <v>6632</v>
      </c>
      <c r="D5022" s="16" t="s">
        <v>8152</v>
      </c>
      <c r="E5022" s="16" t="s">
        <v>54</v>
      </c>
      <c r="F5022" s="16" t="s">
        <v>216</v>
      </c>
      <c r="G5022" s="16" t="s">
        <v>35</v>
      </c>
      <c r="H5022" s="16" t="s">
        <v>36</v>
      </c>
      <c r="I5022" s="16"/>
      <c r="J5022" s="16"/>
      <c r="K5022" s="16"/>
      <c r="L5022" s="16"/>
      <c r="M5022" s="16"/>
      <c r="N5022" s="16"/>
      <c r="O5022" s="16" t="s">
        <v>38</v>
      </c>
      <c r="P5022" s="16" t="str">
        <f t="shared" si="114"/>
        <v/>
      </c>
      <c r="Q5022" s="16"/>
      <c r="R5022" s="16"/>
    </row>
    <row r="5023" spans="1:18" s="118" customFormat="1" x14ac:dyDescent="0.25">
      <c r="A5023" s="337"/>
      <c r="B5023" s="19" t="s">
        <v>6633</v>
      </c>
      <c r="C5023" s="20" t="s">
        <v>6632</v>
      </c>
      <c r="D5023" s="16" t="s">
        <v>8152</v>
      </c>
      <c r="E5023" s="16" t="s">
        <v>54</v>
      </c>
      <c r="F5023" s="16" t="s">
        <v>216</v>
      </c>
      <c r="G5023" s="16" t="s">
        <v>35</v>
      </c>
      <c r="H5023" s="16" t="s">
        <v>36</v>
      </c>
      <c r="I5023" s="16"/>
      <c r="J5023" s="16"/>
      <c r="K5023" s="16"/>
      <c r="L5023" s="16"/>
      <c r="M5023" s="16"/>
      <c r="N5023" s="16"/>
      <c r="O5023" s="16"/>
      <c r="P5023" s="16" t="str">
        <f t="shared" si="114"/>
        <v/>
      </c>
      <c r="Q5023" s="16"/>
      <c r="R5023" s="16"/>
    </row>
    <row r="5024" spans="1:18" s="118" customFormat="1" x14ac:dyDescent="0.25">
      <c r="A5024" s="337"/>
      <c r="B5024" s="19" t="s">
        <v>6634</v>
      </c>
      <c r="C5024" s="20" t="s">
        <v>6632</v>
      </c>
      <c r="D5024" s="16" t="s">
        <v>8152</v>
      </c>
      <c r="E5024" s="16" t="s">
        <v>54</v>
      </c>
      <c r="F5024" s="16" t="s">
        <v>216</v>
      </c>
      <c r="G5024" s="16" t="s">
        <v>35</v>
      </c>
      <c r="H5024" s="16" t="s">
        <v>36</v>
      </c>
      <c r="I5024" s="16"/>
      <c r="J5024" s="16"/>
      <c r="K5024" s="16"/>
      <c r="L5024" s="16"/>
      <c r="M5024" s="16"/>
      <c r="N5024" s="16"/>
      <c r="O5024" s="16"/>
      <c r="P5024" s="16" t="str">
        <f t="shared" si="114"/>
        <v/>
      </c>
      <c r="Q5024" s="16"/>
      <c r="R5024" s="16"/>
    </row>
    <row r="5025" spans="1:18" s="118" customFormat="1" ht="27" x14ac:dyDescent="0.25">
      <c r="A5025" s="337"/>
      <c r="B5025" s="19" t="s">
        <v>6635</v>
      </c>
      <c r="C5025" s="20" t="s">
        <v>6636</v>
      </c>
      <c r="D5025" s="16" t="s">
        <v>8152</v>
      </c>
      <c r="E5025" s="16" t="s">
        <v>54</v>
      </c>
      <c r="F5025" s="16" t="s">
        <v>216</v>
      </c>
      <c r="G5025" s="16" t="s">
        <v>35</v>
      </c>
      <c r="H5025" s="16" t="s">
        <v>36</v>
      </c>
      <c r="I5025" s="16"/>
      <c r="J5025" s="16"/>
      <c r="K5025" s="16"/>
      <c r="L5025" s="16"/>
      <c r="M5025" s="16"/>
      <c r="N5025" s="16"/>
      <c r="O5025" s="16" t="s">
        <v>38</v>
      </c>
      <c r="P5025" s="16" t="str">
        <f t="shared" si="114"/>
        <v/>
      </c>
      <c r="Q5025" s="16"/>
      <c r="R5025" s="16"/>
    </row>
    <row r="5026" spans="1:18" s="118" customFormat="1" x14ac:dyDescent="0.25">
      <c r="A5026" s="389"/>
      <c r="B5026" s="19" t="s">
        <v>6637</v>
      </c>
      <c r="C5026" s="20" t="s">
        <v>6638</v>
      </c>
      <c r="D5026" s="16" t="s">
        <v>8152</v>
      </c>
      <c r="E5026" s="16" t="s">
        <v>54</v>
      </c>
      <c r="F5026" s="16" t="s">
        <v>216</v>
      </c>
      <c r="G5026" s="16" t="s">
        <v>35</v>
      </c>
      <c r="H5026" s="16" t="s">
        <v>36</v>
      </c>
      <c r="I5026" s="16"/>
      <c r="J5026" s="16"/>
      <c r="K5026" s="16"/>
      <c r="L5026" s="16"/>
      <c r="M5026" s="16"/>
      <c r="N5026" s="16"/>
      <c r="O5026" s="16"/>
      <c r="P5026" s="16" t="str">
        <f t="shared" si="114"/>
        <v/>
      </c>
      <c r="Q5026" s="16"/>
      <c r="R5026" s="16"/>
    </row>
    <row r="5027" spans="1:18" s="118" customFormat="1" x14ac:dyDescent="0.25">
      <c r="A5027" s="71"/>
      <c r="B5027" s="254" t="s">
        <v>6639</v>
      </c>
      <c r="C5027" s="60" t="s">
        <v>6640</v>
      </c>
      <c r="D5027" s="88" t="s">
        <v>8152</v>
      </c>
      <c r="E5027" s="16" t="s">
        <v>54</v>
      </c>
      <c r="F5027" s="88" t="s">
        <v>216</v>
      </c>
      <c r="G5027" s="16" t="s">
        <v>35</v>
      </c>
      <c r="H5027" s="16" t="s">
        <v>36</v>
      </c>
      <c r="I5027" s="88"/>
      <c r="J5027" s="88"/>
      <c r="K5027" s="88"/>
      <c r="L5027" s="88"/>
      <c r="M5027" s="88"/>
      <c r="N5027" s="88"/>
      <c r="O5027" s="88" t="s">
        <v>387</v>
      </c>
      <c r="P5027" s="88" t="str">
        <f t="shared" si="114"/>
        <v/>
      </c>
      <c r="Q5027" s="88"/>
      <c r="R5027" s="88"/>
    </row>
    <row r="5028" spans="1:18" s="118" customFormat="1" x14ac:dyDescent="0.25">
      <c r="A5028" s="390"/>
      <c r="B5028" s="254" t="s">
        <v>6641</v>
      </c>
      <c r="C5028" s="60" t="s">
        <v>6642</v>
      </c>
      <c r="D5028" s="88" t="s">
        <v>8152</v>
      </c>
      <c r="E5028" s="16" t="s">
        <v>54</v>
      </c>
      <c r="F5028" s="88" t="s">
        <v>216</v>
      </c>
      <c r="G5028" s="16" t="s">
        <v>35</v>
      </c>
      <c r="H5028" s="16" t="s">
        <v>36</v>
      </c>
      <c r="I5028" s="88"/>
      <c r="J5028" s="88"/>
      <c r="K5028" s="88"/>
      <c r="L5028" s="88"/>
      <c r="M5028" s="88"/>
      <c r="N5028" s="88"/>
      <c r="O5028" s="88" t="s">
        <v>38</v>
      </c>
      <c r="P5028" s="88" t="str">
        <f t="shared" si="114"/>
        <v/>
      </c>
      <c r="Q5028" s="88"/>
      <c r="R5028" s="88"/>
    </row>
    <row r="5029" spans="1:18" s="118" customFormat="1" x14ac:dyDescent="0.25">
      <c r="A5029" s="337"/>
      <c r="B5029" s="254" t="s">
        <v>6643</v>
      </c>
      <c r="C5029" s="60" t="s">
        <v>6642</v>
      </c>
      <c r="D5029" s="88" t="s">
        <v>8152</v>
      </c>
      <c r="E5029" s="16" t="s">
        <v>54</v>
      </c>
      <c r="F5029" s="88" t="s">
        <v>216</v>
      </c>
      <c r="G5029" s="16" t="s">
        <v>35</v>
      </c>
      <c r="H5029" s="16" t="s">
        <v>36</v>
      </c>
      <c r="I5029" s="88"/>
      <c r="J5029" s="88"/>
      <c r="K5029" s="88"/>
      <c r="L5029" s="88"/>
      <c r="M5029" s="88"/>
      <c r="N5029" s="88"/>
      <c r="O5029" s="88" t="s">
        <v>38</v>
      </c>
      <c r="P5029" s="88" t="str">
        <f t="shared" si="114"/>
        <v/>
      </c>
      <c r="Q5029" s="88"/>
      <c r="R5029" s="88"/>
    </row>
    <row r="5030" spans="1:18" s="118" customFormat="1" x14ac:dyDescent="0.25">
      <c r="A5030" s="337"/>
      <c r="B5030" s="19" t="s">
        <v>6644</v>
      </c>
      <c r="C5030" s="20" t="s">
        <v>6645</v>
      </c>
      <c r="D5030" s="16" t="s">
        <v>29</v>
      </c>
      <c r="E5030" s="16" t="s">
        <v>54</v>
      </c>
      <c r="F5030" s="16" t="s">
        <v>216</v>
      </c>
      <c r="G5030" s="16" t="s">
        <v>35</v>
      </c>
      <c r="H5030" s="16" t="s">
        <v>36</v>
      </c>
      <c r="I5030" s="16"/>
      <c r="J5030" s="16"/>
      <c r="K5030" s="16"/>
      <c r="L5030" s="16"/>
      <c r="M5030" s="16"/>
      <c r="N5030" s="16"/>
      <c r="O5030" s="16"/>
      <c r="P5030" s="16" t="str">
        <f t="shared" si="114"/>
        <v>Truncate table WFUSRVFLD;</v>
      </c>
      <c r="Q5030" s="16"/>
      <c r="R5030" s="16"/>
    </row>
    <row r="5031" spans="1:18" s="118" customFormat="1" ht="27" x14ac:dyDescent="0.25">
      <c r="A5031" s="337"/>
      <c r="B5031" s="19" t="s">
        <v>6646</v>
      </c>
      <c r="C5031" s="20" t="s">
        <v>6642</v>
      </c>
      <c r="D5031" s="16" t="s">
        <v>29</v>
      </c>
      <c r="E5031" s="16" t="s">
        <v>54</v>
      </c>
      <c r="F5031" s="16" t="s">
        <v>216</v>
      </c>
      <c r="G5031" s="16" t="s">
        <v>35</v>
      </c>
      <c r="H5031" s="16" t="s">
        <v>36</v>
      </c>
      <c r="I5031" s="16"/>
      <c r="J5031" s="16"/>
      <c r="K5031" s="16"/>
      <c r="L5031" s="16"/>
      <c r="M5031" s="16"/>
      <c r="N5031" s="16"/>
      <c r="O5031" s="16" t="s">
        <v>38</v>
      </c>
      <c r="P5031" s="16" t="str">
        <f t="shared" si="114"/>
        <v>Truncate table WFUSRVISPREFGRP;</v>
      </c>
      <c r="Q5031" s="16"/>
      <c r="R5031" s="16"/>
    </row>
    <row r="5032" spans="1:18" s="118" customFormat="1" x14ac:dyDescent="0.25">
      <c r="A5032" s="337"/>
      <c r="B5032" s="19" t="s">
        <v>6647</v>
      </c>
      <c r="C5032" s="16"/>
      <c r="D5032" s="16" t="s">
        <v>29</v>
      </c>
      <c r="E5032" s="16" t="s">
        <v>54</v>
      </c>
      <c r="F5032" s="16" t="s">
        <v>216</v>
      </c>
      <c r="G5032" s="16" t="s">
        <v>35</v>
      </c>
      <c r="H5032" s="16" t="s">
        <v>36</v>
      </c>
      <c r="I5032" s="16"/>
      <c r="J5032" s="16"/>
      <c r="K5032" s="16"/>
      <c r="L5032" s="16"/>
      <c r="M5032" s="16"/>
      <c r="N5032" s="16"/>
      <c r="O5032" s="16"/>
      <c r="P5032" s="16" t="str">
        <f t="shared" si="114"/>
        <v>Truncate table WFWICOMM;</v>
      </c>
      <c r="Q5032" s="16"/>
      <c r="R5032" s="16"/>
    </row>
    <row r="5033" spans="1:18" s="118" customFormat="1" x14ac:dyDescent="0.25">
      <c r="A5033" s="337"/>
      <c r="B5033" s="19" t="s">
        <v>6648</v>
      </c>
      <c r="C5033" s="20" t="s">
        <v>6649</v>
      </c>
      <c r="D5033" s="16" t="s">
        <v>29</v>
      </c>
      <c r="E5033" s="16" t="s">
        <v>54</v>
      </c>
      <c r="F5033" s="16" t="s">
        <v>216</v>
      </c>
      <c r="G5033" s="16" t="s">
        <v>35</v>
      </c>
      <c r="H5033" s="16" t="s">
        <v>36</v>
      </c>
      <c r="I5033" s="16"/>
      <c r="J5033" s="16"/>
      <c r="K5033" s="16"/>
      <c r="L5033" s="16"/>
      <c r="M5033" s="16"/>
      <c r="N5033" s="16"/>
      <c r="O5033" s="16" t="s">
        <v>38</v>
      </c>
      <c r="P5033" s="16" t="str">
        <f t="shared" si="114"/>
        <v>Truncate table WFWICOMMENTS;</v>
      </c>
      <c r="Q5033" s="16"/>
      <c r="R5033" s="16"/>
    </row>
    <row r="5034" spans="1:18" s="118" customFormat="1" x14ac:dyDescent="0.25">
      <c r="A5034" s="337"/>
      <c r="B5034" s="19" t="s">
        <v>6650</v>
      </c>
      <c r="C5034" s="20" t="s">
        <v>6651</v>
      </c>
      <c r="D5034" s="16" t="s">
        <v>29</v>
      </c>
      <c r="E5034" s="16" t="s">
        <v>54</v>
      </c>
      <c r="F5034" s="16" t="s">
        <v>216</v>
      </c>
      <c r="G5034" s="16" t="s">
        <v>35</v>
      </c>
      <c r="H5034" s="16" t="s">
        <v>36</v>
      </c>
      <c r="I5034" s="16"/>
      <c r="J5034" s="16"/>
      <c r="K5034" s="16"/>
      <c r="L5034" s="16"/>
      <c r="M5034" s="16"/>
      <c r="N5034" s="16"/>
      <c r="O5034" s="16" t="s">
        <v>38</v>
      </c>
      <c r="P5034" s="16" t="str">
        <f t="shared" si="114"/>
        <v>Truncate table WFWORKLIST;</v>
      </c>
      <c r="Q5034" s="16"/>
      <c r="R5034" s="16"/>
    </row>
    <row r="5035" spans="1:18" s="118" customFormat="1" x14ac:dyDescent="0.25">
      <c r="A5035" s="337"/>
      <c r="B5035" s="19" t="s">
        <v>6652</v>
      </c>
      <c r="C5035" s="16"/>
      <c r="D5035" s="16" t="s">
        <v>29</v>
      </c>
      <c r="E5035" s="16" t="s">
        <v>54</v>
      </c>
      <c r="F5035" s="16" t="s">
        <v>216</v>
      </c>
      <c r="G5035" s="16" t="s">
        <v>35</v>
      </c>
      <c r="H5035" s="16" t="s">
        <v>36</v>
      </c>
      <c r="I5035" s="16"/>
      <c r="J5035" s="16"/>
      <c r="K5035" s="16"/>
      <c r="L5035" s="16"/>
      <c r="M5035" s="16"/>
      <c r="N5035" s="16"/>
      <c r="O5035" s="16"/>
      <c r="P5035" s="16" t="str">
        <f t="shared" si="114"/>
        <v>Truncate table WFWRKITE;</v>
      </c>
      <c r="Q5035" s="16"/>
      <c r="R5035" s="16" t="s">
        <v>387</v>
      </c>
    </row>
    <row r="5036" spans="1:18" s="118" customFormat="1" x14ac:dyDescent="0.25">
      <c r="A5036" s="337"/>
      <c r="B5036" s="19" t="s">
        <v>6653</v>
      </c>
      <c r="C5036" s="20" t="s">
        <v>6654</v>
      </c>
      <c r="D5036" s="16" t="s">
        <v>29</v>
      </c>
      <c r="E5036" s="16" t="s">
        <v>54</v>
      </c>
      <c r="F5036" s="16" t="s">
        <v>216</v>
      </c>
      <c r="G5036" s="16" t="s">
        <v>35</v>
      </c>
      <c r="H5036" s="16" t="s">
        <v>36</v>
      </c>
      <c r="I5036" s="16"/>
      <c r="J5036" s="16"/>
      <c r="K5036" s="16"/>
      <c r="L5036" s="16"/>
      <c r="M5036" s="16"/>
      <c r="N5036" s="16"/>
      <c r="O5036" s="16" t="s">
        <v>38</v>
      </c>
      <c r="P5036" s="16" t="str">
        <f t="shared" si="114"/>
        <v>Truncate table WFWRKITEMS;</v>
      </c>
      <c r="Q5036" s="16"/>
      <c r="R5036" s="16"/>
    </row>
    <row r="5037" spans="1:18" x14ac:dyDescent="0.25">
      <c r="B5037" s="49" t="s">
        <v>6655</v>
      </c>
      <c r="C5037" s="50"/>
      <c r="D5037" s="50" t="s">
        <v>29</v>
      </c>
      <c r="E5037" s="50"/>
      <c r="F5037" s="51"/>
      <c r="G5037" s="50" t="s">
        <v>35</v>
      </c>
      <c r="H5037" s="50"/>
      <c r="I5037" s="50"/>
      <c r="J5037" s="50"/>
      <c r="K5037" s="50"/>
      <c r="L5037" s="50"/>
      <c r="M5037" s="50"/>
      <c r="N5037" s="50"/>
      <c r="O5037" s="52"/>
      <c r="P5037" s="51" t="str">
        <f t="shared" si="114"/>
        <v>Truncate table WGS001;</v>
      </c>
      <c r="Q5037" s="51"/>
      <c r="R5037" s="51"/>
    </row>
    <row r="5038" spans="1:18" x14ac:dyDescent="0.25">
      <c r="B5038" s="19" t="s">
        <v>6656</v>
      </c>
      <c r="C5038" s="16"/>
      <c r="D5038" s="16" t="s">
        <v>29</v>
      </c>
      <c r="E5038" s="16"/>
      <c r="F5038" s="5"/>
      <c r="G5038" s="16" t="s">
        <v>35</v>
      </c>
      <c r="H5038" s="16"/>
      <c r="I5038" s="16"/>
      <c r="J5038" s="16"/>
      <c r="K5038" s="16"/>
      <c r="L5038" s="16"/>
      <c r="M5038" s="16"/>
      <c r="N5038" s="16"/>
      <c r="O5038" s="17"/>
      <c r="P5038" s="5" t="str">
        <f t="shared" si="114"/>
        <v>Truncate table WGS003;</v>
      </c>
      <c r="Q5038" s="5"/>
      <c r="R5038" s="5"/>
    </row>
    <row r="5039" spans="1:18" x14ac:dyDescent="0.25">
      <c r="B5039" s="19" t="s">
        <v>6657</v>
      </c>
      <c r="C5039" s="16"/>
      <c r="D5039" s="16" t="s">
        <v>29</v>
      </c>
      <c r="E5039" s="16"/>
      <c r="F5039" s="5"/>
      <c r="G5039" s="16" t="s">
        <v>35</v>
      </c>
      <c r="H5039" s="16"/>
      <c r="I5039" s="16"/>
      <c r="J5039" s="16"/>
      <c r="K5039" s="16"/>
      <c r="L5039" s="16"/>
      <c r="M5039" s="16"/>
      <c r="N5039" s="16"/>
      <c r="O5039" s="17"/>
      <c r="P5039" s="5" t="str">
        <f t="shared" si="114"/>
        <v>Truncate table WLFLG0;</v>
      </c>
      <c r="Q5039" s="5"/>
      <c r="R5039" s="5"/>
    </row>
    <row r="5040" spans="1:18" x14ac:dyDescent="0.25">
      <c r="B5040" s="19" t="s">
        <v>6658</v>
      </c>
      <c r="C5040" s="16"/>
      <c r="D5040" s="16" t="s">
        <v>29</v>
      </c>
      <c r="E5040" s="16"/>
      <c r="F5040" s="5"/>
      <c r="G5040" s="16" t="s">
        <v>35</v>
      </c>
      <c r="H5040" s="16"/>
      <c r="I5040" s="16"/>
      <c r="J5040" s="16"/>
      <c r="K5040" s="16"/>
      <c r="L5040" s="16"/>
      <c r="M5040" s="16"/>
      <c r="N5040" s="16"/>
      <c r="O5040" s="17"/>
      <c r="P5040" s="5" t="str">
        <f t="shared" si="114"/>
        <v>Truncate table WLFLG1;</v>
      </c>
      <c r="Q5040" s="5"/>
      <c r="R5040" s="5"/>
    </row>
    <row r="5041" spans="2:18" x14ac:dyDescent="0.25">
      <c r="B5041" s="19" t="s">
        <v>6659</v>
      </c>
      <c r="C5041" s="16"/>
      <c r="D5041" s="16" t="s">
        <v>29</v>
      </c>
      <c r="E5041" s="16"/>
      <c r="F5041" s="5"/>
      <c r="G5041" s="16" t="s">
        <v>35</v>
      </c>
      <c r="H5041" s="16"/>
      <c r="I5041" s="16"/>
      <c r="J5041" s="16"/>
      <c r="K5041" s="16"/>
      <c r="L5041" s="16"/>
      <c r="M5041" s="16"/>
      <c r="N5041" s="16"/>
      <c r="O5041" s="17"/>
      <c r="P5041" s="5" t="str">
        <f t="shared" si="114"/>
        <v>Truncate table WLFS01;</v>
      </c>
      <c r="Q5041" s="5"/>
      <c r="R5041" s="5"/>
    </row>
    <row r="5042" spans="2:18" x14ac:dyDescent="0.25">
      <c r="B5042" s="19" t="s">
        <v>6660</v>
      </c>
      <c r="C5042" s="16"/>
      <c r="D5042" s="16" t="s">
        <v>29</v>
      </c>
      <c r="E5042" s="16"/>
      <c r="F5042" s="5"/>
      <c r="G5042" s="16" t="s">
        <v>35</v>
      </c>
      <c r="H5042" s="16"/>
      <c r="I5042" s="16"/>
      <c r="J5042" s="16"/>
      <c r="K5042" s="16"/>
      <c r="L5042" s="16"/>
      <c r="M5042" s="16"/>
      <c r="N5042" s="16"/>
      <c r="O5042" s="17"/>
      <c r="P5042" s="5" t="str">
        <f t="shared" si="114"/>
        <v>Truncate table WLFS02;</v>
      </c>
      <c r="Q5042" s="5"/>
      <c r="R5042" s="5"/>
    </row>
    <row r="5043" spans="2:18" x14ac:dyDescent="0.25">
      <c r="B5043" s="19" t="s">
        <v>6661</v>
      </c>
      <c r="C5043" s="16"/>
      <c r="D5043" s="16" t="s">
        <v>29</v>
      </c>
      <c r="E5043" s="16"/>
      <c r="F5043" s="5"/>
      <c r="G5043" s="16" t="s">
        <v>35</v>
      </c>
      <c r="H5043" s="16"/>
      <c r="I5043" s="16"/>
      <c r="J5043" s="16"/>
      <c r="K5043" s="16"/>
      <c r="L5043" s="16"/>
      <c r="M5043" s="16"/>
      <c r="N5043" s="16"/>
      <c r="O5043" s="17"/>
      <c r="P5043" s="5" t="str">
        <f t="shared" si="114"/>
        <v>Truncate table WLFS03;</v>
      </c>
      <c r="Q5043" s="5"/>
      <c r="R5043" s="5"/>
    </row>
    <row r="5044" spans="2:18" x14ac:dyDescent="0.25">
      <c r="B5044" s="19" t="s">
        <v>6662</v>
      </c>
      <c r="C5044" s="16"/>
      <c r="D5044" s="16" t="s">
        <v>29</v>
      </c>
      <c r="E5044" s="16"/>
      <c r="F5044" s="5"/>
      <c r="G5044" s="16" t="s">
        <v>35</v>
      </c>
      <c r="H5044" s="16"/>
      <c r="I5044" s="16"/>
      <c r="J5044" s="16"/>
      <c r="K5044" s="16"/>
      <c r="L5044" s="16"/>
      <c r="M5044" s="16"/>
      <c r="N5044" s="16"/>
      <c r="O5044" s="17"/>
      <c r="P5044" s="5" t="str">
        <f t="shared" si="114"/>
        <v>Truncate table WSPREC0;</v>
      </c>
      <c r="Q5044" s="5"/>
      <c r="R5044" s="5"/>
    </row>
    <row r="5045" spans="2:18" x14ac:dyDescent="0.25">
      <c r="B5045" s="19" t="s">
        <v>6663</v>
      </c>
      <c r="C5045" s="16"/>
      <c r="D5045" s="16" t="s">
        <v>29</v>
      </c>
      <c r="E5045" s="16"/>
      <c r="F5045" s="5"/>
      <c r="G5045" s="16" t="s">
        <v>35</v>
      </c>
      <c r="H5045" s="16"/>
      <c r="I5045" s="16"/>
      <c r="J5045" s="16"/>
      <c r="K5045" s="16"/>
      <c r="L5045" s="16"/>
      <c r="M5045" s="16"/>
      <c r="N5045" s="16"/>
      <c r="O5045" s="17"/>
      <c r="P5045" s="5" t="str">
        <f t="shared" si="114"/>
        <v>Truncate table WSPREC1;</v>
      </c>
      <c r="Q5045" s="5"/>
      <c r="R5045" s="5"/>
    </row>
    <row r="5046" spans="2:18" x14ac:dyDescent="0.25">
      <c r="B5046" s="19" t="s">
        <v>6664</v>
      </c>
      <c r="C5046" s="16"/>
      <c r="D5046" s="16" t="s">
        <v>29</v>
      </c>
      <c r="E5046" s="16"/>
      <c r="F5046" s="5"/>
      <c r="G5046" s="16" t="s">
        <v>35</v>
      </c>
      <c r="H5046" s="16"/>
      <c r="I5046" s="16"/>
      <c r="J5046" s="16"/>
      <c r="K5046" s="16"/>
      <c r="L5046" s="16"/>
      <c r="M5046" s="16"/>
      <c r="N5046" s="16"/>
      <c r="O5046" s="17"/>
      <c r="P5046" s="5" t="str">
        <f t="shared" si="114"/>
        <v>Truncate table WSPREC2;</v>
      </c>
      <c r="Q5046" s="5"/>
      <c r="R5046" s="5"/>
    </row>
    <row r="5047" spans="2:18" x14ac:dyDescent="0.25">
      <c r="B5047" s="19" t="s">
        <v>6665</v>
      </c>
      <c r="C5047" s="16"/>
      <c r="D5047" s="16" t="s">
        <v>29</v>
      </c>
      <c r="E5047" s="16"/>
      <c r="F5047" s="5"/>
      <c r="G5047" s="16" t="s">
        <v>35</v>
      </c>
      <c r="H5047" s="16"/>
      <c r="I5047" s="16"/>
      <c r="J5047" s="16"/>
      <c r="K5047" s="16"/>
      <c r="L5047" s="16"/>
      <c r="M5047" s="16"/>
      <c r="N5047" s="16"/>
      <c r="O5047" s="17"/>
      <c r="P5047" s="5" t="str">
        <f t="shared" si="114"/>
        <v>Truncate table WSPRED0;</v>
      </c>
      <c r="Q5047" s="5"/>
      <c r="R5047" s="5"/>
    </row>
    <row r="5048" spans="2:18" x14ac:dyDescent="0.25">
      <c r="B5048" s="19" t="s">
        <v>6666</v>
      </c>
      <c r="C5048" s="16"/>
      <c r="D5048" s="16" t="s">
        <v>29</v>
      </c>
      <c r="E5048" s="16"/>
      <c r="F5048" s="5"/>
      <c r="G5048" s="16" t="s">
        <v>35</v>
      </c>
      <c r="H5048" s="16"/>
      <c r="I5048" s="16"/>
      <c r="J5048" s="16"/>
      <c r="K5048" s="16"/>
      <c r="L5048" s="16"/>
      <c r="M5048" s="16"/>
      <c r="N5048" s="16"/>
      <c r="O5048" s="17"/>
      <c r="P5048" s="5" t="str">
        <f t="shared" si="114"/>
        <v>Truncate table WSPRED1;</v>
      </c>
      <c r="Q5048" s="5"/>
      <c r="R5048" s="5"/>
    </row>
    <row r="5049" spans="2:18" x14ac:dyDescent="0.25">
      <c r="B5049" s="19" t="s">
        <v>6667</v>
      </c>
      <c r="C5049" s="16"/>
      <c r="D5049" s="16" t="s">
        <v>29</v>
      </c>
      <c r="E5049" s="16"/>
      <c r="F5049" s="5"/>
      <c r="G5049" s="16" t="s">
        <v>35</v>
      </c>
      <c r="H5049" s="16"/>
      <c r="I5049" s="16"/>
      <c r="J5049" s="16"/>
      <c r="K5049" s="16"/>
      <c r="L5049" s="16"/>
      <c r="M5049" s="16"/>
      <c r="N5049" s="16"/>
      <c r="O5049" s="17"/>
      <c r="P5049" s="5" t="str">
        <f t="shared" si="114"/>
        <v>Truncate table WSPRED2;</v>
      </c>
      <c r="Q5049" s="5"/>
      <c r="R5049" s="5"/>
    </row>
    <row r="5050" spans="2:18" x14ac:dyDescent="0.25">
      <c r="B5050" s="19" t="s">
        <v>6668</v>
      </c>
      <c r="C5050" s="16"/>
      <c r="D5050" s="16" t="s">
        <v>29</v>
      </c>
      <c r="E5050" s="16"/>
      <c r="F5050" s="5"/>
      <c r="G5050" s="16" t="s">
        <v>35</v>
      </c>
      <c r="H5050" s="16"/>
      <c r="I5050" s="16"/>
      <c r="J5050" s="16"/>
      <c r="K5050" s="16"/>
      <c r="L5050" s="16"/>
      <c r="M5050" s="16"/>
      <c r="N5050" s="16"/>
      <c r="O5050" s="17"/>
      <c r="P5050" s="5" t="str">
        <f t="shared" si="114"/>
        <v>Truncate table WSPRED3;</v>
      </c>
      <c r="Q5050" s="5"/>
      <c r="R5050" s="5"/>
    </row>
    <row r="5051" spans="2:18" x14ac:dyDescent="0.25">
      <c r="B5051" s="19" t="s">
        <v>6669</v>
      </c>
      <c r="C5051" s="16"/>
      <c r="D5051" s="16" t="s">
        <v>29</v>
      </c>
      <c r="E5051" s="16"/>
      <c r="F5051" s="5"/>
      <c r="G5051" s="16" t="s">
        <v>35</v>
      </c>
      <c r="H5051" s="16"/>
      <c r="I5051" s="16"/>
      <c r="J5051" s="16"/>
      <c r="K5051" s="16"/>
      <c r="L5051" s="16"/>
      <c r="M5051" s="16"/>
      <c r="N5051" s="16"/>
      <c r="O5051" s="17"/>
      <c r="P5051" s="5" t="str">
        <f t="shared" si="114"/>
        <v>Truncate table WSPREL00;</v>
      </c>
      <c r="Q5051" s="5"/>
      <c r="R5051" s="5"/>
    </row>
    <row r="5052" spans="2:18" x14ac:dyDescent="0.25">
      <c r="B5052" s="19" t="s">
        <v>6670</v>
      </c>
      <c r="C5052" s="16"/>
      <c r="D5052" s="16" t="s">
        <v>29</v>
      </c>
      <c r="E5052" s="16"/>
      <c r="F5052" s="5"/>
      <c r="G5052" s="16" t="s">
        <v>35</v>
      </c>
      <c r="H5052" s="16"/>
      <c r="I5052" s="16"/>
      <c r="J5052" s="16"/>
      <c r="K5052" s="16"/>
      <c r="L5052" s="16"/>
      <c r="M5052" s="16"/>
      <c r="N5052" s="16"/>
      <c r="O5052" s="17"/>
      <c r="P5052" s="5" t="str">
        <f t="shared" si="114"/>
        <v>Truncate table X05200;</v>
      </c>
      <c r="Q5052" s="5"/>
      <c r="R5052" s="5"/>
    </row>
    <row r="5053" spans="2:18" x14ac:dyDescent="0.25">
      <c r="B5053" s="19" t="s">
        <v>6671</v>
      </c>
      <c r="C5053" s="16"/>
      <c r="D5053" s="16" t="s">
        <v>29</v>
      </c>
      <c r="E5053" s="16"/>
      <c r="F5053" s="5"/>
      <c r="G5053" s="16" t="s">
        <v>35</v>
      </c>
      <c r="H5053" s="16"/>
      <c r="I5053" s="16"/>
      <c r="J5053" s="16"/>
      <c r="K5053" s="16"/>
      <c r="L5053" s="16"/>
      <c r="M5053" s="16"/>
      <c r="N5053" s="16"/>
      <c r="O5053" s="17"/>
      <c r="P5053" s="5" t="str">
        <f t="shared" si="114"/>
        <v>Truncate table X05203;</v>
      </c>
      <c r="Q5053" s="5"/>
      <c r="R5053" s="5"/>
    </row>
    <row r="5054" spans="2:18" x14ac:dyDescent="0.25">
      <c r="B5054" s="19" t="s">
        <v>6672</v>
      </c>
      <c r="C5054" s="16"/>
      <c r="D5054" s="16" t="s">
        <v>29</v>
      </c>
      <c r="E5054" s="16"/>
      <c r="F5054" s="5"/>
      <c r="G5054" s="16" t="s">
        <v>35</v>
      </c>
      <c r="H5054" s="16"/>
      <c r="I5054" s="16"/>
      <c r="J5054" s="16"/>
      <c r="K5054" s="16"/>
      <c r="L5054" s="16"/>
      <c r="M5054" s="16"/>
      <c r="N5054" s="16"/>
      <c r="O5054" s="17"/>
      <c r="P5054" s="5" t="str">
        <f t="shared" si="114"/>
        <v>Truncate table X054000;</v>
      </c>
      <c r="Q5054" s="5"/>
      <c r="R5054" s="5"/>
    </row>
    <row r="5055" spans="2:18" x14ac:dyDescent="0.25">
      <c r="B5055" s="19" t="s">
        <v>6673</v>
      </c>
      <c r="C5055" s="16"/>
      <c r="D5055" s="16" t="s">
        <v>29</v>
      </c>
      <c r="E5055" s="16"/>
      <c r="F5055" s="5"/>
      <c r="G5055" s="16" t="s">
        <v>35</v>
      </c>
      <c r="H5055" s="16"/>
      <c r="I5055" s="16"/>
      <c r="J5055" s="16"/>
      <c r="K5055" s="16"/>
      <c r="L5055" s="16"/>
      <c r="M5055" s="16"/>
      <c r="N5055" s="16"/>
      <c r="O5055" s="17"/>
      <c r="P5055" s="5" t="str">
        <f t="shared" si="114"/>
        <v>Truncate table X054001;</v>
      </c>
      <c r="Q5055" s="5"/>
      <c r="R5055" s="5"/>
    </row>
    <row r="5056" spans="2:18" x14ac:dyDescent="0.25">
      <c r="B5056" s="19" t="s">
        <v>6674</v>
      </c>
      <c r="C5056" s="16"/>
      <c r="D5056" s="16" t="s">
        <v>29</v>
      </c>
      <c r="E5056" s="16"/>
      <c r="F5056" s="5"/>
      <c r="G5056" s="16" t="s">
        <v>35</v>
      </c>
      <c r="H5056" s="16"/>
      <c r="I5056" s="16"/>
      <c r="J5056" s="16"/>
      <c r="K5056" s="16"/>
      <c r="L5056" s="16"/>
      <c r="M5056" s="16"/>
      <c r="N5056" s="16"/>
      <c r="O5056" s="17"/>
      <c r="P5056" s="5" t="str">
        <f t="shared" si="114"/>
        <v>Truncate table X054002;</v>
      </c>
      <c r="Q5056" s="5"/>
      <c r="R5056" s="5"/>
    </row>
    <row r="5057" spans="2:18" x14ac:dyDescent="0.25">
      <c r="B5057" s="19" t="s">
        <v>6675</v>
      </c>
      <c r="C5057" s="16"/>
      <c r="D5057" s="16" t="s">
        <v>29</v>
      </c>
      <c r="E5057" s="16"/>
      <c r="F5057" s="5"/>
      <c r="G5057" s="16" t="s">
        <v>35</v>
      </c>
      <c r="H5057" s="16"/>
      <c r="I5057" s="16"/>
      <c r="J5057" s="16"/>
      <c r="K5057" s="16"/>
      <c r="L5057" s="16"/>
      <c r="M5057" s="16"/>
      <c r="N5057" s="16"/>
      <c r="O5057" s="17"/>
      <c r="P5057" s="5" t="str">
        <f t="shared" si="114"/>
        <v>Truncate table X054003;</v>
      </c>
      <c r="Q5057" s="5"/>
      <c r="R5057" s="5"/>
    </row>
    <row r="5058" spans="2:18" x14ac:dyDescent="0.25">
      <c r="B5058" s="19" t="s">
        <v>6676</v>
      </c>
      <c r="C5058" s="16"/>
      <c r="D5058" s="16" t="s">
        <v>29</v>
      </c>
      <c r="E5058" s="16"/>
      <c r="F5058" s="5"/>
      <c r="G5058" s="16" t="s">
        <v>35</v>
      </c>
      <c r="H5058" s="16"/>
      <c r="I5058" s="16"/>
      <c r="J5058" s="16"/>
      <c r="K5058" s="16"/>
      <c r="L5058" s="16"/>
      <c r="M5058" s="16"/>
      <c r="N5058" s="16"/>
      <c r="O5058" s="17"/>
      <c r="P5058" s="5" t="str">
        <f t="shared" si="114"/>
        <v>Truncate table X054004;</v>
      </c>
      <c r="Q5058" s="5"/>
      <c r="R5058" s="5"/>
    </row>
    <row r="5059" spans="2:18" x14ac:dyDescent="0.25">
      <c r="B5059" s="19" t="s">
        <v>6677</v>
      </c>
      <c r="C5059" s="16"/>
      <c r="D5059" s="16" t="s">
        <v>29</v>
      </c>
      <c r="E5059" s="16"/>
      <c r="F5059" s="5"/>
      <c r="G5059" s="16" t="s">
        <v>35</v>
      </c>
      <c r="H5059" s="16"/>
      <c r="I5059" s="16"/>
      <c r="J5059" s="16"/>
      <c r="K5059" s="16"/>
      <c r="L5059" s="16"/>
      <c r="M5059" s="16"/>
      <c r="N5059" s="16"/>
      <c r="O5059" s="17"/>
      <c r="P5059" s="5" t="str">
        <f t="shared" si="114"/>
        <v>Truncate table X054005;</v>
      </c>
      <c r="Q5059" s="5"/>
      <c r="R5059" s="5"/>
    </row>
    <row r="5060" spans="2:18" x14ac:dyDescent="0.25">
      <c r="B5060" s="19" t="s">
        <v>6678</v>
      </c>
      <c r="C5060" s="16"/>
      <c r="D5060" s="16" t="s">
        <v>29</v>
      </c>
      <c r="E5060" s="16"/>
      <c r="F5060" s="5"/>
      <c r="G5060" s="16" t="s">
        <v>35</v>
      </c>
      <c r="H5060" s="16"/>
      <c r="I5060" s="16"/>
      <c r="J5060" s="16"/>
      <c r="K5060" s="16"/>
      <c r="L5060" s="16"/>
      <c r="M5060" s="16"/>
      <c r="N5060" s="16"/>
      <c r="O5060" s="17"/>
      <c r="P5060" s="5" t="str">
        <f t="shared" si="114"/>
        <v>Truncate table X054006;</v>
      </c>
      <c r="Q5060" s="5"/>
      <c r="R5060" s="5"/>
    </row>
    <row r="5061" spans="2:18" x14ac:dyDescent="0.25">
      <c r="B5061" s="19" t="s">
        <v>6679</v>
      </c>
      <c r="C5061" s="16" t="s">
        <v>6680</v>
      </c>
      <c r="D5061" s="16" t="s">
        <v>29</v>
      </c>
      <c r="E5061" s="16" t="s">
        <v>1096</v>
      </c>
      <c r="F5061" s="5" t="s">
        <v>184</v>
      </c>
      <c r="G5061" s="16" t="s">
        <v>35</v>
      </c>
      <c r="H5061" s="16"/>
      <c r="I5061" s="16"/>
      <c r="J5061" s="16"/>
      <c r="K5061" s="16"/>
      <c r="L5061" s="16"/>
      <c r="M5061" s="16"/>
      <c r="N5061" s="16"/>
      <c r="O5061" s="17" t="s">
        <v>38</v>
      </c>
      <c r="P5061" s="5" t="str">
        <f t="shared" si="114"/>
        <v>Truncate table X054007;</v>
      </c>
      <c r="Q5061" s="5"/>
      <c r="R5061" s="5"/>
    </row>
    <row r="5062" spans="2:18" x14ac:dyDescent="0.25">
      <c r="B5062" s="19" t="s">
        <v>6681</v>
      </c>
      <c r="C5062" s="16" t="s">
        <v>6680</v>
      </c>
      <c r="D5062" s="16" t="s">
        <v>29</v>
      </c>
      <c r="E5062" s="16" t="s">
        <v>1096</v>
      </c>
      <c r="F5062" s="5" t="s">
        <v>184</v>
      </c>
      <c r="G5062" s="16" t="s">
        <v>35</v>
      </c>
      <c r="H5062" s="16"/>
      <c r="I5062" s="16"/>
      <c r="J5062" s="16"/>
      <c r="K5062" s="16"/>
      <c r="L5062" s="16"/>
      <c r="M5062" s="16"/>
      <c r="N5062" s="16"/>
      <c r="O5062" s="17" t="s">
        <v>38</v>
      </c>
      <c r="P5062" s="5" t="str">
        <f t="shared" si="114"/>
        <v>Truncate table X054008;</v>
      </c>
      <c r="Q5062" s="5"/>
      <c r="R5062" s="5"/>
    </row>
    <row r="5063" spans="2:18" x14ac:dyDescent="0.25">
      <c r="B5063" s="19" t="s">
        <v>6682</v>
      </c>
      <c r="C5063" s="16"/>
      <c r="D5063" s="16" t="s">
        <v>29</v>
      </c>
      <c r="E5063" s="16"/>
      <c r="F5063" s="5"/>
      <c r="G5063" s="16" t="s">
        <v>35</v>
      </c>
      <c r="H5063" s="16"/>
      <c r="I5063" s="16"/>
      <c r="J5063" s="16"/>
      <c r="K5063" s="16"/>
      <c r="L5063" s="16"/>
      <c r="M5063" s="16"/>
      <c r="N5063" s="16"/>
      <c r="O5063" s="17"/>
      <c r="P5063" s="5" t="str">
        <f t="shared" si="114"/>
        <v>Truncate table X054009;</v>
      </c>
      <c r="Q5063" s="5"/>
      <c r="R5063" s="5"/>
    </row>
    <row r="5064" spans="2:18" ht="40.5" x14ac:dyDescent="0.25">
      <c r="B5064" s="19" t="s">
        <v>6683</v>
      </c>
      <c r="C5064" s="16" t="s">
        <v>6684</v>
      </c>
      <c r="D5064" s="16" t="s">
        <v>8152</v>
      </c>
      <c r="E5064" s="16" t="s">
        <v>1096</v>
      </c>
      <c r="F5064" s="5" t="s">
        <v>184</v>
      </c>
      <c r="G5064" s="16" t="s">
        <v>35</v>
      </c>
      <c r="H5064" s="16"/>
      <c r="I5064" s="16"/>
      <c r="J5064" s="16"/>
      <c r="K5064" s="16"/>
      <c r="L5064" s="16"/>
      <c r="M5064" s="238" t="s">
        <v>8577</v>
      </c>
      <c r="N5064" s="16" t="s">
        <v>8636</v>
      </c>
      <c r="O5064" s="17" t="s">
        <v>38</v>
      </c>
      <c r="P5064" s="5" t="str">
        <f t="shared" si="114"/>
        <v/>
      </c>
      <c r="Q5064" s="5"/>
      <c r="R5064" s="5"/>
    </row>
    <row r="5065" spans="2:18" ht="40.5" x14ac:dyDescent="0.25">
      <c r="B5065" s="19" t="s">
        <v>6685</v>
      </c>
      <c r="C5065" s="16" t="s">
        <v>6686</v>
      </c>
      <c r="D5065" s="16" t="s">
        <v>8152</v>
      </c>
      <c r="E5065" s="16" t="s">
        <v>1096</v>
      </c>
      <c r="F5065" s="5" t="s">
        <v>184</v>
      </c>
      <c r="G5065" s="16" t="s">
        <v>35</v>
      </c>
      <c r="H5065" s="16"/>
      <c r="I5065" s="16"/>
      <c r="J5065" s="16"/>
      <c r="K5065" s="16"/>
      <c r="L5065" s="16"/>
      <c r="M5065" s="238" t="s">
        <v>8577</v>
      </c>
      <c r="N5065" s="16" t="s">
        <v>8637</v>
      </c>
      <c r="O5065" s="17" t="s">
        <v>38</v>
      </c>
      <c r="P5065" s="5" t="str">
        <f t="shared" si="114"/>
        <v/>
      </c>
      <c r="Q5065" s="5"/>
      <c r="R5065" s="5"/>
    </row>
    <row r="5066" spans="2:18" ht="40.5" x14ac:dyDescent="0.25">
      <c r="B5066" s="19" t="s">
        <v>6687</v>
      </c>
      <c r="C5066" s="16" t="s">
        <v>6688</v>
      </c>
      <c r="D5066" s="16" t="s">
        <v>8152</v>
      </c>
      <c r="E5066" s="16" t="s">
        <v>1096</v>
      </c>
      <c r="F5066" s="5" t="s">
        <v>184</v>
      </c>
      <c r="G5066" s="16" t="s">
        <v>35</v>
      </c>
      <c r="H5066" s="16"/>
      <c r="I5066" s="16"/>
      <c r="J5066" s="16"/>
      <c r="K5066" s="16"/>
      <c r="L5066" s="16"/>
      <c r="M5066" s="238" t="s">
        <v>8577</v>
      </c>
      <c r="N5066" s="16" t="s">
        <v>8638</v>
      </c>
      <c r="O5066" s="17" t="s">
        <v>38</v>
      </c>
      <c r="P5066" s="5" t="str">
        <f t="shared" si="114"/>
        <v/>
      </c>
      <c r="Q5066" s="5"/>
      <c r="R5066" s="5"/>
    </row>
    <row r="5067" spans="2:18" ht="40.5" x14ac:dyDescent="0.25">
      <c r="B5067" s="19" t="s">
        <v>6689</v>
      </c>
      <c r="C5067" s="16" t="s">
        <v>6690</v>
      </c>
      <c r="D5067" s="16" t="s">
        <v>8152</v>
      </c>
      <c r="E5067" s="16" t="s">
        <v>1096</v>
      </c>
      <c r="F5067" s="5" t="s">
        <v>184</v>
      </c>
      <c r="G5067" s="16" t="s">
        <v>35</v>
      </c>
      <c r="H5067" s="16"/>
      <c r="I5067" s="16"/>
      <c r="J5067" s="16"/>
      <c r="K5067" s="16"/>
      <c r="L5067" s="16"/>
      <c r="M5067" s="238" t="s">
        <v>8577</v>
      </c>
      <c r="N5067" s="16" t="s">
        <v>8639</v>
      </c>
      <c r="O5067" s="17" t="s">
        <v>38</v>
      </c>
      <c r="P5067" s="5" t="str">
        <f t="shared" si="114"/>
        <v/>
      </c>
      <c r="Q5067" s="5"/>
      <c r="R5067" s="5"/>
    </row>
    <row r="5068" spans="2:18" ht="40.5" x14ac:dyDescent="0.25">
      <c r="B5068" s="19" t="s">
        <v>6691</v>
      </c>
      <c r="C5068" s="16" t="s">
        <v>6692</v>
      </c>
      <c r="D5068" s="16" t="s">
        <v>8152</v>
      </c>
      <c r="E5068" s="16" t="s">
        <v>1096</v>
      </c>
      <c r="F5068" s="5" t="s">
        <v>184</v>
      </c>
      <c r="G5068" s="16" t="s">
        <v>35</v>
      </c>
      <c r="H5068" s="16"/>
      <c r="I5068" s="16"/>
      <c r="J5068" s="16"/>
      <c r="K5068" s="16"/>
      <c r="L5068" s="16"/>
      <c r="M5068" s="238" t="s">
        <v>8577</v>
      </c>
      <c r="N5068" s="16" t="s">
        <v>8640</v>
      </c>
      <c r="O5068" s="17" t="s">
        <v>38</v>
      </c>
      <c r="P5068" s="5" t="str">
        <f t="shared" si="114"/>
        <v/>
      </c>
      <c r="Q5068" s="5"/>
      <c r="R5068" s="5"/>
    </row>
    <row r="5069" spans="2:18" x14ac:dyDescent="0.25">
      <c r="B5069" s="19" t="s">
        <v>6693</v>
      </c>
      <c r="C5069" s="16"/>
      <c r="D5069" s="16" t="s">
        <v>29</v>
      </c>
      <c r="E5069" s="16"/>
      <c r="F5069" s="5"/>
      <c r="G5069" s="16" t="s">
        <v>35</v>
      </c>
      <c r="H5069" s="16"/>
      <c r="I5069" s="16"/>
      <c r="J5069" s="16"/>
      <c r="K5069" s="16"/>
      <c r="L5069" s="16"/>
      <c r="M5069" s="16"/>
      <c r="N5069" s="16"/>
      <c r="O5069" s="17"/>
      <c r="P5069" s="5" t="str">
        <f t="shared" si="114"/>
        <v>Truncate table X054015;</v>
      </c>
      <c r="Q5069" s="5"/>
      <c r="R5069" s="5"/>
    </row>
    <row r="5070" spans="2:18" x14ac:dyDescent="0.25">
      <c r="B5070" s="19" t="s">
        <v>6694</v>
      </c>
      <c r="C5070" s="16"/>
      <c r="D5070" s="16" t="s">
        <v>29</v>
      </c>
      <c r="E5070" s="16"/>
      <c r="F5070" s="5"/>
      <c r="G5070" s="16" t="s">
        <v>35</v>
      </c>
      <c r="H5070" s="16"/>
      <c r="I5070" s="16"/>
      <c r="J5070" s="16"/>
      <c r="K5070" s="16"/>
      <c r="L5070" s="16"/>
      <c r="M5070" s="16"/>
      <c r="N5070" s="16"/>
      <c r="O5070" s="17"/>
      <c r="P5070" s="5" t="str">
        <f t="shared" si="114"/>
        <v>Truncate table X054016;</v>
      </c>
      <c r="Q5070" s="5"/>
      <c r="R5070" s="5"/>
    </row>
    <row r="5071" spans="2:18" x14ac:dyDescent="0.25">
      <c r="B5071" s="19" t="s">
        <v>6695</v>
      </c>
      <c r="C5071" s="16"/>
      <c r="D5071" s="16" t="s">
        <v>29</v>
      </c>
      <c r="E5071" s="16"/>
      <c r="F5071" s="5"/>
      <c r="G5071" s="16" t="s">
        <v>35</v>
      </c>
      <c r="H5071" s="16"/>
      <c r="I5071" s="16"/>
      <c r="J5071" s="16"/>
      <c r="K5071" s="16"/>
      <c r="L5071" s="16"/>
      <c r="M5071" s="16"/>
      <c r="N5071" s="16"/>
      <c r="O5071" s="17"/>
      <c r="P5071" s="5" t="str">
        <f t="shared" si="114"/>
        <v>Truncate table X054017;</v>
      </c>
      <c r="Q5071" s="5"/>
      <c r="R5071" s="5"/>
    </row>
    <row r="5072" spans="2:18" x14ac:dyDescent="0.25">
      <c r="B5072" s="19" t="s">
        <v>6696</v>
      </c>
      <c r="C5072" s="16"/>
      <c r="D5072" s="16" t="s">
        <v>29</v>
      </c>
      <c r="E5072" s="16"/>
      <c r="F5072" s="5"/>
      <c r="G5072" s="16" t="s">
        <v>35</v>
      </c>
      <c r="H5072" s="16"/>
      <c r="I5072" s="16"/>
      <c r="J5072" s="16"/>
      <c r="K5072" s="16"/>
      <c r="L5072" s="16"/>
      <c r="M5072" s="16"/>
      <c r="N5072" s="16"/>
      <c r="O5072" s="17"/>
      <c r="P5072" s="5" t="str">
        <f t="shared" si="114"/>
        <v>Truncate table X054018;</v>
      </c>
      <c r="Q5072" s="5"/>
      <c r="R5072" s="5"/>
    </row>
    <row r="5073" spans="2:18" x14ac:dyDescent="0.25">
      <c r="B5073" s="19" t="s">
        <v>6697</v>
      </c>
      <c r="C5073" s="16"/>
      <c r="D5073" s="16" t="s">
        <v>29</v>
      </c>
      <c r="E5073" s="16"/>
      <c r="F5073" s="5"/>
      <c r="G5073" s="16" t="s">
        <v>35</v>
      </c>
      <c r="H5073" s="16"/>
      <c r="I5073" s="16"/>
      <c r="J5073" s="16"/>
      <c r="K5073" s="16"/>
      <c r="L5073" s="16"/>
      <c r="M5073" s="16"/>
      <c r="N5073" s="16"/>
      <c r="O5073" s="17"/>
      <c r="P5073" s="5" t="str">
        <f t="shared" si="114"/>
        <v>Truncate table X054019;</v>
      </c>
      <c r="Q5073" s="5"/>
      <c r="R5073" s="5"/>
    </row>
    <row r="5074" spans="2:18" x14ac:dyDescent="0.25">
      <c r="B5074" s="19" t="s">
        <v>6698</v>
      </c>
      <c r="C5074" s="16"/>
      <c r="D5074" s="16" t="s">
        <v>29</v>
      </c>
      <c r="E5074" s="16"/>
      <c r="F5074" s="5"/>
      <c r="G5074" s="16" t="s">
        <v>35</v>
      </c>
      <c r="H5074" s="16"/>
      <c r="I5074" s="16"/>
      <c r="J5074" s="16"/>
      <c r="K5074" s="16"/>
      <c r="L5074" s="16"/>
      <c r="M5074" s="16"/>
      <c r="N5074" s="16"/>
      <c r="O5074" s="17"/>
      <c r="P5074" s="5" t="str">
        <f t="shared" si="114"/>
        <v>Truncate table X054020;</v>
      </c>
      <c r="Q5074" s="5"/>
      <c r="R5074" s="5"/>
    </row>
    <row r="5075" spans="2:18" x14ac:dyDescent="0.25">
      <c r="B5075" s="19" t="s">
        <v>6699</v>
      </c>
      <c r="C5075" s="16" t="s">
        <v>6680</v>
      </c>
      <c r="D5075" s="16" t="s">
        <v>29</v>
      </c>
      <c r="E5075" s="16" t="s">
        <v>1096</v>
      </c>
      <c r="F5075" s="5" t="s">
        <v>184</v>
      </c>
      <c r="G5075" s="16" t="s">
        <v>35</v>
      </c>
      <c r="H5075" s="16"/>
      <c r="I5075" s="16"/>
      <c r="J5075" s="16"/>
      <c r="K5075" s="16"/>
      <c r="L5075" s="16"/>
      <c r="M5075" s="16"/>
      <c r="N5075" s="16"/>
      <c r="O5075" s="17" t="s">
        <v>38</v>
      </c>
      <c r="P5075" s="5" t="str">
        <f t="shared" si="114"/>
        <v>Truncate table X054021;</v>
      </c>
      <c r="Q5075" s="5"/>
      <c r="R5075" s="5"/>
    </row>
    <row r="5076" spans="2:18" x14ac:dyDescent="0.25">
      <c r="B5076" s="19" t="s">
        <v>6700</v>
      </c>
      <c r="C5076" s="16"/>
      <c r="D5076" s="16" t="s">
        <v>29</v>
      </c>
      <c r="E5076" s="16"/>
      <c r="F5076" s="5"/>
      <c r="G5076" s="16" t="s">
        <v>35</v>
      </c>
      <c r="H5076" s="16"/>
      <c r="I5076" s="16"/>
      <c r="J5076" s="16"/>
      <c r="K5076" s="16"/>
      <c r="L5076" s="16"/>
      <c r="M5076" s="16"/>
      <c r="N5076" s="16"/>
      <c r="O5076" s="17"/>
      <c r="P5076" s="5" t="str">
        <f t="shared" si="114"/>
        <v>Truncate table X054022;</v>
      </c>
      <c r="Q5076" s="5"/>
      <c r="R5076" s="5"/>
    </row>
    <row r="5077" spans="2:18" x14ac:dyDescent="0.25">
      <c r="B5077" s="19" t="s">
        <v>6701</v>
      </c>
      <c r="C5077" s="16" t="s">
        <v>6680</v>
      </c>
      <c r="D5077" s="16" t="s">
        <v>29</v>
      </c>
      <c r="E5077" s="16" t="s">
        <v>1096</v>
      </c>
      <c r="F5077" s="5" t="s">
        <v>184</v>
      </c>
      <c r="G5077" s="16" t="s">
        <v>35</v>
      </c>
      <c r="H5077" s="16"/>
      <c r="I5077" s="16"/>
      <c r="J5077" s="16"/>
      <c r="K5077" s="16"/>
      <c r="L5077" s="16"/>
      <c r="M5077" s="16"/>
      <c r="N5077" s="16"/>
      <c r="O5077" s="17" t="s">
        <v>38</v>
      </c>
      <c r="P5077" s="5" t="str">
        <f t="shared" si="114"/>
        <v>Truncate table X054023;</v>
      </c>
      <c r="Q5077" s="5"/>
      <c r="R5077" s="5"/>
    </row>
    <row r="5078" spans="2:18" x14ac:dyDescent="0.25">
      <c r="B5078" s="19" t="s">
        <v>6702</v>
      </c>
      <c r="C5078" s="16"/>
      <c r="D5078" s="16" t="s">
        <v>29</v>
      </c>
      <c r="E5078" s="16"/>
      <c r="F5078" s="5"/>
      <c r="G5078" s="16" t="s">
        <v>35</v>
      </c>
      <c r="H5078" s="16"/>
      <c r="I5078" s="16"/>
      <c r="J5078" s="16"/>
      <c r="K5078" s="16"/>
      <c r="L5078" s="16"/>
      <c r="M5078" s="16"/>
      <c r="N5078" s="16"/>
      <c r="O5078" s="17"/>
      <c r="P5078" s="5" t="str">
        <f t="shared" ref="P5078:P5141" si="115">IF(D5078="Datos","Truncate table "&amp; B5078&amp; ";","")</f>
        <v>Truncate table X054024;</v>
      </c>
      <c r="Q5078" s="5"/>
      <c r="R5078" s="5"/>
    </row>
    <row r="5079" spans="2:18" ht="40.5" x14ac:dyDescent="0.25">
      <c r="B5079" s="19" t="s">
        <v>6703</v>
      </c>
      <c r="C5079" s="16" t="s">
        <v>6704</v>
      </c>
      <c r="D5079" s="16" t="s">
        <v>8152</v>
      </c>
      <c r="E5079" s="16" t="s">
        <v>1096</v>
      </c>
      <c r="F5079" s="5" t="s">
        <v>184</v>
      </c>
      <c r="G5079" s="16" t="s">
        <v>35</v>
      </c>
      <c r="H5079" s="16"/>
      <c r="I5079" s="16"/>
      <c r="J5079" s="16"/>
      <c r="K5079" s="16"/>
      <c r="L5079" s="16"/>
      <c r="M5079" s="238" t="s">
        <v>8577</v>
      </c>
      <c r="N5079" s="16" t="s">
        <v>8641</v>
      </c>
      <c r="O5079" s="17" t="s">
        <v>38</v>
      </c>
      <c r="P5079" s="5" t="str">
        <f t="shared" si="115"/>
        <v/>
      </c>
      <c r="Q5079" s="5"/>
      <c r="R5079" s="5"/>
    </row>
    <row r="5080" spans="2:18" x14ac:dyDescent="0.25">
      <c r="B5080" s="19" t="s">
        <v>6705</v>
      </c>
      <c r="C5080" s="16" t="s">
        <v>6680</v>
      </c>
      <c r="D5080" s="16" t="s">
        <v>29</v>
      </c>
      <c r="E5080" s="16" t="s">
        <v>1096</v>
      </c>
      <c r="F5080" s="5" t="s">
        <v>184</v>
      </c>
      <c r="G5080" s="16" t="s">
        <v>35</v>
      </c>
      <c r="H5080" s="16"/>
      <c r="I5080" s="16"/>
      <c r="J5080" s="16"/>
      <c r="K5080" s="16"/>
      <c r="L5080" s="16"/>
      <c r="M5080" s="16"/>
      <c r="N5080" s="16"/>
      <c r="O5080" s="17" t="s">
        <v>38</v>
      </c>
      <c r="P5080" s="5" t="str">
        <f t="shared" si="115"/>
        <v>Truncate table X054026;</v>
      </c>
      <c r="Q5080" s="5"/>
      <c r="R5080" s="5"/>
    </row>
    <row r="5081" spans="2:18" ht="40.5" x14ac:dyDescent="0.25">
      <c r="B5081" s="19" t="s">
        <v>6706</v>
      </c>
      <c r="C5081" s="16" t="s">
        <v>6707</v>
      </c>
      <c r="D5081" s="16" t="s">
        <v>8152</v>
      </c>
      <c r="E5081" s="16" t="s">
        <v>1096</v>
      </c>
      <c r="F5081" s="5" t="s">
        <v>184</v>
      </c>
      <c r="G5081" s="16" t="s">
        <v>35</v>
      </c>
      <c r="H5081" s="16"/>
      <c r="I5081" s="16"/>
      <c r="J5081" s="16"/>
      <c r="K5081" s="16"/>
      <c r="L5081" s="16"/>
      <c r="M5081" s="238" t="s">
        <v>8577</v>
      </c>
      <c r="N5081" s="16" t="s">
        <v>8642</v>
      </c>
      <c r="O5081" s="17" t="s">
        <v>38</v>
      </c>
      <c r="P5081" s="5" t="str">
        <f t="shared" si="115"/>
        <v/>
      </c>
      <c r="Q5081" s="5"/>
      <c r="R5081" s="5"/>
    </row>
    <row r="5082" spans="2:18" ht="40.5" x14ac:dyDescent="0.25">
      <c r="B5082" s="19" t="s">
        <v>6708</v>
      </c>
      <c r="C5082" s="16" t="s">
        <v>6709</v>
      </c>
      <c r="D5082" s="16" t="s">
        <v>8152</v>
      </c>
      <c r="E5082" s="16" t="s">
        <v>1096</v>
      </c>
      <c r="F5082" s="5" t="s">
        <v>184</v>
      </c>
      <c r="G5082" s="16" t="s">
        <v>35</v>
      </c>
      <c r="H5082" s="16"/>
      <c r="I5082" s="16"/>
      <c r="J5082" s="16"/>
      <c r="K5082" s="16"/>
      <c r="L5082" s="16"/>
      <c r="M5082" s="238" t="s">
        <v>8577</v>
      </c>
      <c r="N5082" s="16" t="s">
        <v>8643</v>
      </c>
      <c r="O5082" s="17" t="s">
        <v>38</v>
      </c>
      <c r="P5082" s="5" t="str">
        <f t="shared" si="115"/>
        <v/>
      </c>
      <c r="Q5082" s="5"/>
      <c r="R5082" s="5"/>
    </row>
    <row r="5083" spans="2:18" ht="40.5" x14ac:dyDescent="0.25">
      <c r="B5083" s="19" t="s">
        <v>6710</v>
      </c>
      <c r="C5083" s="16" t="s">
        <v>6711</v>
      </c>
      <c r="D5083" s="16" t="s">
        <v>8152</v>
      </c>
      <c r="E5083" s="16" t="s">
        <v>1096</v>
      </c>
      <c r="F5083" s="5" t="s">
        <v>184</v>
      </c>
      <c r="G5083" s="16" t="s">
        <v>35</v>
      </c>
      <c r="H5083" s="16"/>
      <c r="I5083" s="16"/>
      <c r="J5083" s="16"/>
      <c r="K5083" s="16"/>
      <c r="L5083" s="16"/>
      <c r="M5083" s="238" t="s">
        <v>8577</v>
      </c>
      <c r="N5083" s="16" t="s">
        <v>8644</v>
      </c>
      <c r="O5083" s="17" t="s">
        <v>38</v>
      </c>
      <c r="P5083" s="5" t="str">
        <f t="shared" si="115"/>
        <v/>
      </c>
      <c r="Q5083" s="5"/>
      <c r="R5083" s="5"/>
    </row>
    <row r="5084" spans="2:18" x14ac:dyDescent="0.25">
      <c r="B5084" s="19" t="s">
        <v>6712</v>
      </c>
      <c r="C5084" s="21" t="s">
        <v>6680</v>
      </c>
      <c r="D5084" s="16" t="s">
        <v>29</v>
      </c>
      <c r="E5084" s="16" t="s">
        <v>1096</v>
      </c>
      <c r="F5084" s="5" t="s">
        <v>184</v>
      </c>
      <c r="G5084" s="16" t="s">
        <v>35</v>
      </c>
      <c r="H5084" s="16"/>
      <c r="I5084" s="16"/>
      <c r="J5084" s="16"/>
      <c r="K5084" s="16"/>
      <c r="L5084" s="16"/>
      <c r="M5084" s="16"/>
      <c r="N5084" s="16"/>
      <c r="O5084" s="17" t="s">
        <v>38</v>
      </c>
      <c r="P5084" s="5" t="str">
        <f t="shared" si="115"/>
        <v>Truncate table X054030;</v>
      </c>
      <c r="Q5084" s="5"/>
      <c r="R5084" s="5"/>
    </row>
    <row r="5085" spans="2:18" x14ac:dyDescent="0.25">
      <c r="B5085" s="19" t="s">
        <v>6713</v>
      </c>
      <c r="C5085" s="21" t="s">
        <v>6680</v>
      </c>
      <c r="D5085" s="16" t="s">
        <v>29</v>
      </c>
      <c r="E5085" s="16" t="s">
        <v>1096</v>
      </c>
      <c r="F5085" s="5" t="s">
        <v>184</v>
      </c>
      <c r="G5085" s="16" t="s">
        <v>35</v>
      </c>
      <c r="H5085" s="16"/>
      <c r="I5085" s="16"/>
      <c r="J5085" s="16"/>
      <c r="K5085" s="16"/>
      <c r="L5085" s="16"/>
      <c r="M5085" s="16"/>
      <c r="N5085" s="16"/>
      <c r="O5085" s="17" t="s">
        <v>38</v>
      </c>
      <c r="P5085" s="5" t="str">
        <f t="shared" si="115"/>
        <v>Truncate table X054031;</v>
      </c>
      <c r="Q5085" s="5"/>
      <c r="R5085" s="5"/>
    </row>
    <row r="5086" spans="2:18" x14ac:dyDescent="0.25">
      <c r="B5086" s="19" t="s">
        <v>6714</v>
      </c>
      <c r="C5086" s="21" t="s">
        <v>6680</v>
      </c>
      <c r="D5086" s="16" t="s">
        <v>29</v>
      </c>
      <c r="E5086" s="16" t="s">
        <v>1096</v>
      </c>
      <c r="F5086" s="5" t="s">
        <v>184</v>
      </c>
      <c r="G5086" s="16" t="s">
        <v>35</v>
      </c>
      <c r="H5086" s="16"/>
      <c r="I5086" s="16"/>
      <c r="J5086" s="16"/>
      <c r="K5086" s="16"/>
      <c r="L5086" s="16"/>
      <c r="M5086" s="16"/>
      <c r="N5086" s="16"/>
      <c r="O5086" s="17" t="s">
        <v>38</v>
      </c>
      <c r="P5086" s="5" t="str">
        <f t="shared" si="115"/>
        <v>Truncate table X054032;</v>
      </c>
      <c r="Q5086" s="5"/>
      <c r="R5086" s="5"/>
    </row>
    <row r="5087" spans="2:18" x14ac:dyDescent="0.25">
      <c r="B5087" s="19" t="s">
        <v>6715</v>
      </c>
      <c r="C5087" s="21" t="s">
        <v>6680</v>
      </c>
      <c r="D5087" s="16" t="s">
        <v>29</v>
      </c>
      <c r="E5087" s="16" t="s">
        <v>1096</v>
      </c>
      <c r="F5087" s="5" t="s">
        <v>184</v>
      </c>
      <c r="G5087" s="16" t="s">
        <v>35</v>
      </c>
      <c r="H5087" s="16"/>
      <c r="I5087" s="16"/>
      <c r="J5087" s="16"/>
      <c r="K5087" s="16"/>
      <c r="L5087" s="16"/>
      <c r="M5087" s="16"/>
      <c r="N5087" s="16"/>
      <c r="O5087" s="17" t="s">
        <v>38</v>
      </c>
      <c r="P5087" s="5" t="str">
        <f t="shared" si="115"/>
        <v>Truncate table X054033;</v>
      </c>
      <c r="Q5087" s="5"/>
      <c r="R5087" s="5"/>
    </row>
    <row r="5088" spans="2:18" x14ac:dyDescent="0.25">
      <c r="B5088" s="19" t="s">
        <v>6716</v>
      </c>
      <c r="C5088" s="16"/>
      <c r="D5088" s="16" t="s">
        <v>29</v>
      </c>
      <c r="E5088" s="16"/>
      <c r="F5088" s="5"/>
      <c r="G5088" s="16" t="s">
        <v>35</v>
      </c>
      <c r="H5088" s="16"/>
      <c r="I5088" s="16"/>
      <c r="J5088" s="16"/>
      <c r="K5088" s="16"/>
      <c r="L5088" s="16"/>
      <c r="M5088" s="16"/>
      <c r="N5088" s="16"/>
      <c r="O5088" s="17"/>
      <c r="P5088" s="5" t="str">
        <f t="shared" si="115"/>
        <v>Truncate table X054101;</v>
      </c>
      <c r="Q5088" s="5"/>
      <c r="R5088" s="5"/>
    </row>
    <row r="5089" spans="2:18" x14ac:dyDescent="0.25">
      <c r="B5089" s="19" t="s">
        <v>6717</v>
      </c>
      <c r="C5089" s="16"/>
      <c r="D5089" s="16" t="s">
        <v>29</v>
      </c>
      <c r="E5089" s="16"/>
      <c r="F5089" s="5"/>
      <c r="G5089" s="16" t="s">
        <v>35</v>
      </c>
      <c r="H5089" s="16"/>
      <c r="I5089" s="16"/>
      <c r="J5089" s="16"/>
      <c r="K5089" s="16"/>
      <c r="L5089" s="16"/>
      <c r="M5089" s="16"/>
      <c r="N5089" s="16"/>
      <c r="O5089" s="17"/>
      <c r="P5089" s="5" t="str">
        <f t="shared" si="115"/>
        <v>Truncate table X054102;</v>
      </c>
      <c r="Q5089" s="5"/>
      <c r="R5089" s="5"/>
    </row>
    <row r="5090" spans="2:18" x14ac:dyDescent="0.25">
      <c r="B5090" s="19" t="s">
        <v>6718</v>
      </c>
      <c r="C5090" s="16"/>
      <c r="D5090" s="16" t="s">
        <v>29</v>
      </c>
      <c r="E5090" s="16"/>
      <c r="F5090" s="5"/>
      <c r="G5090" s="16" t="s">
        <v>35</v>
      </c>
      <c r="H5090" s="16"/>
      <c r="I5090" s="16"/>
      <c r="J5090" s="16"/>
      <c r="K5090" s="16"/>
      <c r="L5090" s="16"/>
      <c r="M5090" s="16"/>
      <c r="N5090" s="16"/>
      <c r="O5090" s="17"/>
      <c r="P5090" s="5" t="str">
        <f t="shared" si="115"/>
        <v>Truncate table X054103;</v>
      </c>
      <c r="Q5090" s="5"/>
      <c r="R5090" s="5"/>
    </row>
    <row r="5091" spans="2:18" x14ac:dyDescent="0.25">
      <c r="B5091" s="19" t="s">
        <v>6719</v>
      </c>
      <c r="C5091" s="16"/>
      <c r="D5091" s="16" t="s">
        <v>29</v>
      </c>
      <c r="E5091" s="16"/>
      <c r="F5091" s="5"/>
      <c r="G5091" s="16" t="s">
        <v>35</v>
      </c>
      <c r="H5091" s="16"/>
      <c r="I5091" s="16"/>
      <c r="J5091" s="16"/>
      <c r="K5091" s="16"/>
      <c r="L5091" s="16"/>
      <c r="M5091" s="16"/>
      <c r="N5091" s="16"/>
      <c r="O5091" s="17"/>
      <c r="P5091" s="5" t="str">
        <f t="shared" si="115"/>
        <v>Truncate table X054104;</v>
      </c>
      <c r="Q5091" s="5"/>
      <c r="R5091" s="5"/>
    </row>
    <row r="5092" spans="2:18" x14ac:dyDescent="0.25">
      <c r="B5092" s="19" t="s">
        <v>6720</v>
      </c>
      <c r="C5092" s="16"/>
      <c r="D5092" s="16" t="s">
        <v>29</v>
      </c>
      <c r="E5092" s="16"/>
      <c r="F5092" s="5"/>
      <c r="G5092" s="16" t="s">
        <v>35</v>
      </c>
      <c r="H5092" s="16"/>
      <c r="I5092" s="16"/>
      <c r="J5092" s="16"/>
      <c r="K5092" s="16"/>
      <c r="L5092" s="16"/>
      <c r="M5092" s="16"/>
      <c r="N5092" s="16"/>
      <c r="O5092" s="17"/>
      <c r="P5092" s="5" t="str">
        <f t="shared" si="115"/>
        <v>Truncate table X054105;</v>
      </c>
      <c r="Q5092" s="5"/>
      <c r="R5092" s="5"/>
    </row>
    <row r="5093" spans="2:18" x14ac:dyDescent="0.25">
      <c r="B5093" s="19" t="s">
        <v>6721</v>
      </c>
      <c r="C5093" s="16"/>
      <c r="D5093" s="16" t="s">
        <v>29</v>
      </c>
      <c r="E5093" s="16"/>
      <c r="F5093" s="5"/>
      <c r="G5093" s="16" t="s">
        <v>35</v>
      </c>
      <c r="H5093" s="16"/>
      <c r="I5093" s="16"/>
      <c r="J5093" s="16"/>
      <c r="K5093" s="16"/>
      <c r="L5093" s="16"/>
      <c r="M5093" s="16"/>
      <c r="N5093" s="16"/>
      <c r="O5093" s="17"/>
      <c r="P5093" s="5" t="str">
        <f t="shared" si="115"/>
        <v>Truncate table X054106;</v>
      </c>
      <c r="Q5093" s="5"/>
      <c r="R5093" s="5"/>
    </row>
    <row r="5094" spans="2:18" x14ac:dyDescent="0.25">
      <c r="B5094" s="19" t="s">
        <v>6722</v>
      </c>
      <c r="C5094" s="16"/>
      <c r="D5094" s="16" t="s">
        <v>29</v>
      </c>
      <c r="E5094" s="16"/>
      <c r="F5094" s="5"/>
      <c r="G5094" s="16" t="s">
        <v>35</v>
      </c>
      <c r="H5094" s="16"/>
      <c r="I5094" s="16"/>
      <c r="J5094" s="16"/>
      <c r="K5094" s="16"/>
      <c r="L5094" s="16"/>
      <c r="M5094" s="16"/>
      <c r="N5094" s="16"/>
      <c r="O5094" s="17"/>
      <c r="P5094" s="5" t="str">
        <f t="shared" si="115"/>
        <v>Truncate table X054107;</v>
      </c>
      <c r="Q5094" s="5"/>
      <c r="R5094" s="5"/>
    </row>
    <row r="5095" spans="2:18" x14ac:dyDescent="0.25">
      <c r="B5095" s="19" t="s">
        <v>6723</v>
      </c>
      <c r="C5095" s="16"/>
      <c r="D5095" s="16" t="s">
        <v>29</v>
      </c>
      <c r="E5095" s="16"/>
      <c r="F5095" s="5"/>
      <c r="G5095" s="16" t="s">
        <v>35</v>
      </c>
      <c r="H5095" s="16"/>
      <c r="I5095" s="16"/>
      <c r="J5095" s="16"/>
      <c r="K5095" s="16"/>
      <c r="L5095" s="16"/>
      <c r="M5095" s="16"/>
      <c r="N5095" s="16"/>
      <c r="O5095" s="17"/>
      <c r="P5095" s="5" t="str">
        <f t="shared" si="115"/>
        <v>Truncate table X054108;</v>
      </c>
      <c r="Q5095" s="5"/>
      <c r="R5095" s="5"/>
    </row>
    <row r="5096" spans="2:18" x14ac:dyDescent="0.25">
      <c r="B5096" s="19" t="s">
        <v>6724</v>
      </c>
      <c r="C5096" s="16"/>
      <c r="D5096" s="16" t="s">
        <v>29</v>
      </c>
      <c r="E5096" s="16"/>
      <c r="F5096" s="5"/>
      <c r="G5096" s="16" t="s">
        <v>35</v>
      </c>
      <c r="H5096" s="16"/>
      <c r="I5096" s="16"/>
      <c r="J5096" s="16"/>
      <c r="K5096" s="16"/>
      <c r="L5096" s="16"/>
      <c r="M5096" s="16"/>
      <c r="N5096" s="16"/>
      <c r="O5096" s="17"/>
      <c r="P5096" s="5" t="str">
        <f t="shared" si="115"/>
        <v>Truncate table X0548R;</v>
      </c>
      <c r="Q5096" s="5"/>
      <c r="R5096" s="5"/>
    </row>
    <row r="5097" spans="2:18" x14ac:dyDescent="0.25">
      <c r="B5097" s="19" t="s">
        <v>6725</v>
      </c>
      <c r="C5097" s="16"/>
      <c r="D5097" s="16" t="s">
        <v>29</v>
      </c>
      <c r="E5097" s="16"/>
      <c r="F5097" s="5"/>
      <c r="G5097" s="16" t="s">
        <v>35</v>
      </c>
      <c r="H5097" s="16"/>
      <c r="I5097" s="16"/>
      <c r="J5097" s="16"/>
      <c r="K5097" s="16"/>
      <c r="L5097" s="16"/>
      <c r="M5097" s="16"/>
      <c r="N5097" s="16"/>
      <c r="O5097" s="17"/>
      <c r="P5097" s="5" t="str">
        <f t="shared" si="115"/>
        <v>Truncate table X0548S;</v>
      </c>
      <c r="Q5097" s="5"/>
      <c r="R5097" s="5"/>
    </row>
    <row r="5098" spans="2:18" x14ac:dyDescent="0.25">
      <c r="B5098" s="19" t="s">
        <v>6726</v>
      </c>
      <c r="C5098" s="16"/>
      <c r="D5098" s="16" t="s">
        <v>29</v>
      </c>
      <c r="E5098" s="16"/>
      <c r="F5098" s="5"/>
      <c r="G5098" s="16" t="s">
        <v>35</v>
      </c>
      <c r="H5098" s="16"/>
      <c r="I5098" s="16"/>
      <c r="J5098" s="16"/>
      <c r="K5098" s="16"/>
      <c r="L5098" s="16"/>
      <c r="M5098" s="16"/>
      <c r="N5098" s="16"/>
      <c r="O5098" s="17"/>
      <c r="P5098" s="5" t="str">
        <f t="shared" si="115"/>
        <v>Truncate table X0548T;</v>
      </c>
      <c r="Q5098" s="5"/>
      <c r="R5098" s="5"/>
    </row>
    <row r="5099" spans="2:18" x14ac:dyDescent="0.25">
      <c r="B5099" s="19" t="s">
        <v>6727</v>
      </c>
      <c r="C5099" s="16"/>
      <c r="D5099" s="16" t="s">
        <v>29</v>
      </c>
      <c r="E5099" s="16"/>
      <c r="F5099" s="5"/>
      <c r="G5099" s="16" t="s">
        <v>35</v>
      </c>
      <c r="H5099" s="16"/>
      <c r="I5099" s="16"/>
      <c r="J5099" s="16"/>
      <c r="K5099" s="16"/>
      <c r="L5099" s="16"/>
      <c r="M5099" s="16"/>
      <c r="N5099" s="16"/>
      <c r="O5099" s="17"/>
      <c r="P5099" s="5" t="str">
        <f t="shared" si="115"/>
        <v>Truncate table X0548U;</v>
      </c>
      <c r="Q5099" s="5"/>
      <c r="R5099" s="5"/>
    </row>
    <row r="5100" spans="2:18" x14ac:dyDescent="0.25">
      <c r="B5100" s="19" t="s">
        <v>6728</v>
      </c>
      <c r="C5100" s="16"/>
      <c r="D5100" s="16" t="s">
        <v>29</v>
      </c>
      <c r="E5100" s="16"/>
      <c r="F5100" s="5"/>
      <c r="G5100" s="16" t="s">
        <v>35</v>
      </c>
      <c r="H5100" s="16"/>
      <c r="I5100" s="16"/>
      <c r="J5100" s="16"/>
      <c r="K5100" s="16"/>
      <c r="L5100" s="16"/>
      <c r="M5100" s="16"/>
      <c r="N5100" s="16"/>
      <c r="O5100" s="17"/>
      <c r="P5100" s="5" t="str">
        <f t="shared" si="115"/>
        <v>Truncate table X0548V;</v>
      </c>
      <c r="Q5100" s="5"/>
      <c r="R5100" s="5"/>
    </row>
    <row r="5101" spans="2:18" x14ac:dyDescent="0.25">
      <c r="B5101" s="19" t="s">
        <v>6729</v>
      </c>
      <c r="C5101" s="16"/>
      <c r="D5101" s="16" t="s">
        <v>29</v>
      </c>
      <c r="E5101" s="16"/>
      <c r="F5101" s="5"/>
      <c r="G5101" s="16" t="s">
        <v>35</v>
      </c>
      <c r="H5101" s="16"/>
      <c r="I5101" s="16"/>
      <c r="J5101" s="16"/>
      <c r="K5101" s="16"/>
      <c r="L5101" s="16"/>
      <c r="M5101" s="16"/>
      <c r="N5101" s="16"/>
      <c r="O5101" s="17"/>
      <c r="P5101" s="5" t="str">
        <f t="shared" si="115"/>
        <v>Truncate table X0548W;</v>
      </c>
      <c r="Q5101" s="5"/>
      <c r="R5101" s="5"/>
    </row>
    <row r="5102" spans="2:18" x14ac:dyDescent="0.25">
      <c r="B5102" s="19" t="s">
        <v>6730</v>
      </c>
      <c r="C5102" s="16"/>
      <c r="D5102" s="16" t="s">
        <v>29</v>
      </c>
      <c r="E5102" s="16"/>
      <c r="F5102" s="5"/>
      <c r="G5102" s="16" t="s">
        <v>35</v>
      </c>
      <c r="H5102" s="16"/>
      <c r="I5102" s="16"/>
      <c r="J5102" s="16"/>
      <c r="K5102" s="16"/>
      <c r="L5102" s="16"/>
      <c r="M5102" s="16"/>
      <c r="N5102" s="16"/>
      <c r="O5102" s="17"/>
      <c r="P5102" s="5" t="str">
        <f t="shared" si="115"/>
        <v>Truncate table X0548Y;</v>
      </c>
      <c r="Q5102" s="5"/>
      <c r="R5102" s="5"/>
    </row>
    <row r="5103" spans="2:18" x14ac:dyDescent="0.25">
      <c r="B5103" s="19" t="s">
        <v>6731</v>
      </c>
      <c r="C5103" s="16"/>
      <c r="D5103" s="16" t="s">
        <v>29</v>
      </c>
      <c r="E5103" s="16"/>
      <c r="F5103" s="5"/>
      <c r="G5103" s="16" t="s">
        <v>35</v>
      </c>
      <c r="H5103" s="16"/>
      <c r="I5103" s="16"/>
      <c r="J5103" s="16"/>
      <c r="K5103" s="16"/>
      <c r="L5103" s="16"/>
      <c r="M5103" s="16"/>
      <c r="N5103" s="16"/>
      <c r="O5103" s="17"/>
      <c r="P5103" s="5" t="str">
        <f t="shared" si="115"/>
        <v>Truncate table X0548Z;</v>
      </c>
      <c r="Q5103" s="5"/>
      <c r="R5103" s="5"/>
    </row>
    <row r="5104" spans="2:18" x14ac:dyDescent="0.25">
      <c r="B5104" s="19" t="s">
        <v>6732</v>
      </c>
      <c r="C5104" s="16"/>
      <c r="D5104" s="16" t="s">
        <v>29</v>
      </c>
      <c r="E5104" s="16"/>
      <c r="F5104" s="5"/>
      <c r="G5104" s="16" t="s">
        <v>35</v>
      </c>
      <c r="H5104" s="16"/>
      <c r="I5104" s="16"/>
      <c r="J5104" s="16"/>
      <c r="K5104" s="16"/>
      <c r="L5104" s="16"/>
      <c r="M5104" s="16"/>
      <c r="N5104" s="16"/>
      <c r="O5104" s="17"/>
      <c r="P5104" s="5" t="str">
        <f t="shared" si="115"/>
        <v>Truncate table X054A2;</v>
      </c>
      <c r="Q5104" s="5"/>
      <c r="R5104" s="5"/>
    </row>
    <row r="5105" spans="1:18" x14ac:dyDescent="0.25">
      <c r="B5105" s="19" t="s">
        <v>6733</v>
      </c>
      <c r="C5105" s="16"/>
      <c r="D5105" s="16" t="s">
        <v>29</v>
      </c>
      <c r="E5105" s="16"/>
      <c r="F5105" s="5"/>
      <c r="G5105" s="16" t="s">
        <v>35</v>
      </c>
      <c r="H5105" s="16"/>
      <c r="I5105" s="16"/>
      <c r="J5105" s="16"/>
      <c r="K5105" s="16"/>
      <c r="L5105" s="16"/>
      <c r="M5105" s="16"/>
      <c r="N5105" s="16"/>
      <c r="O5105" s="17"/>
      <c r="P5105" s="5" t="str">
        <f t="shared" si="115"/>
        <v>Truncate table X054A8;</v>
      </c>
      <c r="Q5105" s="5"/>
      <c r="R5105" s="5"/>
    </row>
    <row r="5106" spans="1:18" x14ac:dyDescent="0.25">
      <c r="B5106" s="19" t="s">
        <v>6734</v>
      </c>
      <c r="C5106" s="16"/>
      <c r="D5106" s="16" t="s">
        <v>29</v>
      </c>
      <c r="E5106" s="16"/>
      <c r="F5106" s="5"/>
      <c r="G5106" s="16" t="s">
        <v>35</v>
      </c>
      <c r="H5106" s="16"/>
      <c r="I5106" s="16"/>
      <c r="J5106" s="16"/>
      <c r="K5106" s="16"/>
      <c r="L5106" s="16"/>
      <c r="M5106" s="16"/>
      <c r="N5106" s="16"/>
      <c r="O5106" s="17"/>
      <c r="P5106" s="5" t="str">
        <f t="shared" si="115"/>
        <v>Truncate table X054I8;</v>
      </c>
      <c r="Q5106" s="5"/>
      <c r="R5106" s="5"/>
    </row>
    <row r="5107" spans="1:18" x14ac:dyDescent="0.25">
      <c r="B5107" s="19" t="s">
        <v>6735</v>
      </c>
      <c r="C5107" s="16"/>
      <c r="D5107" s="16" t="s">
        <v>29</v>
      </c>
      <c r="E5107" s="16"/>
      <c r="F5107" s="5"/>
      <c r="G5107" s="16" t="s">
        <v>35</v>
      </c>
      <c r="H5107" s="16"/>
      <c r="I5107" s="16"/>
      <c r="J5107" s="16"/>
      <c r="K5107" s="16"/>
      <c r="L5107" s="16"/>
      <c r="M5107" s="16"/>
      <c r="N5107" s="16"/>
      <c r="O5107" s="17"/>
      <c r="P5107" s="5" t="str">
        <f t="shared" si="115"/>
        <v>Truncate table X054L8;</v>
      </c>
      <c r="Q5107" s="5"/>
      <c r="R5107" s="5"/>
    </row>
    <row r="5108" spans="1:18" x14ac:dyDescent="0.25">
      <c r="B5108" s="19" t="s">
        <v>6736</v>
      </c>
      <c r="C5108" s="16"/>
      <c r="D5108" s="16" t="s">
        <v>29</v>
      </c>
      <c r="E5108" s="16"/>
      <c r="F5108" s="5"/>
      <c r="G5108" s="16" t="s">
        <v>35</v>
      </c>
      <c r="H5108" s="16"/>
      <c r="I5108" s="16"/>
      <c r="J5108" s="16"/>
      <c r="K5108" s="16"/>
      <c r="L5108" s="16"/>
      <c r="M5108" s="16"/>
      <c r="N5108" s="16"/>
      <c r="O5108" s="17"/>
      <c r="P5108" s="5" t="str">
        <f t="shared" si="115"/>
        <v>Truncate table X054M8;</v>
      </c>
      <c r="Q5108" s="5"/>
      <c r="R5108" s="5"/>
    </row>
    <row r="5109" spans="1:18" x14ac:dyDescent="0.25">
      <c r="B5109" s="19" t="s">
        <v>6737</v>
      </c>
      <c r="C5109" s="16"/>
      <c r="D5109" s="16" t="s">
        <v>29</v>
      </c>
      <c r="E5109" s="16"/>
      <c r="F5109" s="5"/>
      <c r="G5109" s="16" t="s">
        <v>35</v>
      </c>
      <c r="H5109" s="16"/>
      <c r="I5109" s="16"/>
      <c r="J5109" s="16"/>
      <c r="K5109" s="16"/>
      <c r="L5109" s="16"/>
      <c r="M5109" s="16"/>
      <c r="N5109" s="16"/>
      <c r="O5109" s="17"/>
      <c r="P5109" s="5" t="str">
        <f t="shared" si="115"/>
        <v>Truncate table X054O8;</v>
      </c>
      <c r="Q5109" s="5"/>
      <c r="R5109" s="5"/>
    </row>
    <row r="5110" spans="1:18" x14ac:dyDescent="0.25">
      <c r="B5110" s="19" t="s">
        <v>6738</v>
      </c>
      <c r="C5110" s="16"/>
      <c r="D5110" s="16" t="s">
        <v>29</v>
      </c>
      <c r="E5110" s="16"/>
      <c r="F5110" s="5"/>
      <c r="G5110" s="16" t="s">
        <v>35</v>
      </c>
      <c r="H5110" s="16"/>
      <c r="I5110" s="16"/>
      <c r="J5110" s="16"/>
      <c r="K5110" s="16"/>
      <c r="L5110" s="16"/>
      <c r="M5110" s="16"/>
      <c r="N5110" s="16"/>
      <c r="O5110" s="17"/>
      <c r="P5110" s="5" t="str">
        <f t="shared" si="115"/>
        <v>Truncate table X054V9;</v>
      </c>
      <c r="Q5110" s="5"/>
      <c r="R5110" s="5"/>
    </row>
    <row r="5111" spans="1:18" ht="27" x14ac:dyDescent="0.25">
      <c r="B5111" s="19" t="s">
        <v>6739</v>
      </c>
      <c r="C5111" s="16" t="s">
        <v>9587</v>
      </c>
      <c r="D5111" s="16" t="s">
        <v>29</v>
      </c>
      <c r="E5111" s="16" t="s">
        <v>8232</v>
      </c>
      <c r="F5111" s="5" t="s">
        <v>8227</v>
      </c>
      <c r="G5111" s="16" t="s">
        <v>35</v>
      </c>
      <c r="H5111" s="16" t="s">
        <v>36</v>
      </c>
      <c r="I5111" s="16"/>
      <c r="J5111" s="16"/>
      <c r="K5111" s="16" t="s">
        <v>9562</v>
      </c>
      <c r="L5111" s="16"/>
      <c r="M5111" s="16"/>
      <c r="N5111" s="16" t="s">
        <v>9588</v>
      </c>
      <c r="O5111" s="17"/>
      <c r="P5111" s="5" t="str">
        <f t="shared" si="115"/>
        <v>Truncate table X054W9;</v>
      </c>
      <c r="Q5111" s="5"/>
      <c r="R5111" s="5"/>
    </row>
    <row r="5112" spans="1:18" ht="27" x14ac:dyDescent="0.25">
      <c r="B5112" s="19" t="s">
        <v>6740</v>
      </c>
      <c r="C5112" s="16" t="s">
        <v>9589</v>
      </c>
      <c r="D5112" s="16" t="s">
        <v>29</v>
      </c>
      <c r="E5112" s="16" t="s">
        <v>8232</v>
      </c>
      <c r="F5112" s="5" t="s">
        <v>8227</v>
      </c>
      <c r="G5112" s="16" t="s">
        <v>35</v>
      </c>
      <c r="H5112" s="16" t="s">
        <v>36</v>
      </c>
      <c r="I5112" s="16"/>
      <c r="J5112" s="16"/>
      <c r="K5112" s="16" t="s">
        <v>9562</v>
      </c>
      <c r="L5112" s="16"/>
      <c r="M5112" s="16"/>
      <c r="N5112" s="16" t="s">
        <v>9588</v>
      </c>
      <c r="O5112" s="17"/>
      <c r="P5112" s="5" t="str">
        <f t="shared" si="115"/>
        <v>Truncate table X054X9;</v>
      </c>
      <c r="Q5112" s="5"/>
      <c r="R5112" s="5"/>
    </row>
    <row r="5113" spans="1:18" x14ac:dyDescent="0.25">
      <c r="B5113" s="19" t="s">
        <v>6741</v>
      </c>
      <c r="C5113" s="16"/>
      <c r="D5113" s="16" t="s">
        <v>29</v>
      </c>
      <c r="E5113" s="16"/>
      <c r="F5113" s="5"/>
      <c r="G5113" s="16" t="s">
        <v>35</v>
      </c>
      <c r="H5113" s="16"/>
      <c r="I5113" s="16"/>
      <c r="J5113" s="16"/>
      <c r="K5113" s="16"/>
      <c r="L5113" s="16"/>
      <c r="M5113" s="16"/>
      <c r="N5113" s="16"/>
      <c r="O5113" s="17"/>
      <c r="P5113" s="5" t="str">
        <f t="shared" si="115"/>
        <v>Truncate table X05503;</v>
      </c>
      <c r="Q5113" s="5"/>
      <c r="R5113" s="5"/>
    </row>
    <row r="5114" spans="1:18" x14ac:dyDescent="0.25">
      <c r="B5114" s="19" t="s">
        <v>6742</v>
      </c>
      <c r="C5114" s="16" t="s">
        <v>6743</v>
      </c>
      <c r="D5114" s="16" t="s">
        <v>8152</v>
      </c>
      <c r="E5114" s="16" t="s">
        <v>1096</v>
      </c>
      <c r="F5114" s="5" t="s">
        <v>2715</v>
      </c>
      <c r="G5114" s="16" t="s">
        <v>35</v>
      </c>
      <c r="H5114" s="16"/>
      <c r="I5114" s="16"/>
      <c r="J5114" s="16"/>
      <c r="K5114" s="16"/>
      <c r="L5114" s="16"/>
      <c r="M5114" s="229"/>
      <c r="N5114" s="16"/>
      <c r="O5114" s="17" t="s">
        <v>38</v>
      </c>
      <c r="P5114" s="5" t="str">
        <f t="shared" si="115"/>
        <v/>
      </c>
      <c r="Q5114" s="5"/>
      <c r="R5114" s="5"/>
    </row>
    <row r="5115" spans="1:18" x14ac:dyDescent="0.25">
      <c r="A5115" s="240"/>
      <c r="B5115" s="19" t="s">
        <v>9535</v>
      </c>
      <c r="C5115" s="16"/>
      <c r="D5115" s="16" t="s">
        <v>29</v>
      </c>
      <c r="E5115" s="16"/>
      <c r="F5115" s="5"/>
      <c r="G5115" s="16"/>
      <c r="H5115" s="16"/>
      <c r="I5115" s="16"/>
      <c r="J5115" s="16"/>
      <c r="K5115" s="16"/>
      <c r="L5115" s="16"/>
      <c r="M5115" s="229"/>
      <c r="N5115" s="16"/>
      <c r="O5115" s="17"/>
      <c r="P5115" s="5" t="str">
        <f t="shared" si="115"/>
        <v>Truncate table X17061;</v>
      </c>
      <c r="Q5115" s="5"/>
      <c r="R5115" s="5"/>
    </row>
    <row r="5116" spans="1:18" x14ac:dyDescent="0.25">
      <c r="A5116" s="240"/>
      <c r="B5116" s="243" t="s">
        <v>9536</v>
      </c>
      <c r="C5116" s="16"/>
      <c r="D5116" s="16" t="s">
        <v>29</v>
      </c>
      <c r="E5116" s="16"/>
      <c r="F5116" s="5"/>
      <c r="G5116" s="16"/>
      <c r="H5116" s="16"/>
      <c r="I5116" s="16"/>
      <c r="J5116" s="16"/>
      <c r="K5116" s="16"/>
      <c r="L5116" s="16"/>
      <c r="M5116" s="229"/>
      <c r="N5116" s="16"/>
      <c r="O5116" s="17"/>
      <c r="P5116" s="5" t="str">
        <f t="shared" si="115"/>
        <v>Truncate table  X17062;</v>
      </c>
      <c r="Q5116" s="5"/>
      <c r="R5116" s="5"/>
    </row>
    <row r="5117" spans="1:18" x14ac:dyDescent="0.25">
      <c r="A5117" s="240"/>
      <c r="B5117" s="243" t="s">
        <v>9537</v>
      </c>
      <c r="C5117" s="16"/>
      <c r="D5117" s="16" t="s">
        <v>29</v>
      </c>
      <c r="E5117" s="16"/>
      <c r="F5117" s="5"/>
      <c r="G5117" s="16"/>
      <c r="H5117" s="16"/>
      <c r="I5117" s="16"/>
      <c r="J5117" s="16"/>
      <c r="K5117" s="16"/>
      <c r="L5117" s="16"/>
      <c r="M5117" s="229"/>
      <c r="N5117" s="16"/>
      <c r="O5117" s="17"/>
      <c r="P5117" s="5" t="str">
        <f t="shared" si="115"/>
        <v>Truncate table  X17063;</v>
      </c>
      <c r="R5117" s="5"/>
    </row>
    <row r="5118" spans="1:18" x14ac:dyDescent="0.25">
      <c r="A5118" s="240"/>
      <c r="B5118" s="244" t="s">
        <v>9538</v>
      </c>
      <c r="C5118" s="16"/>
      <c r="D5118" s="16" t="s">
        <v>29</v>
      </c>
      <c r="E5118" s="16"/>
      <c r="F5118" s="5"/>
      <c r="G5118" s="16"/>
      <c r="H5118" s="16"/>
      <c r="I5118" s="16"/>
      <c r="J5118" s="16"/>
      <c r="K5118" s="16"/>
      <c r="L5118" s="16"/>
      <c r="M5118" s="229"/>
      <c r="N5118" s="16"/>
      <c r="O5118" s="17"/>
      <c r="P5118" s="5" t="str">
        <f t="shared" si="115"/>
        <v>Truncate table  X17067;</v>
      </c>
      <c r="Q5118" s="5"/>
      <c r="R5118" s="5"/>
    </row>
    <row r="5119" spans="1:18" x14ac:dyDescent="0.25">
      <c r="A5119" s="240"/>
      <c r="B5119" s="244" t="s">
        <v>9539</v>
      </c>
      <c r="C5119" s="16"/>
      <c r="D5119" s="16" t="s">
        <v>29</v>
      </c>
      <c r="E5119" s="16"/>
      <c r="F5119" s="5"/>
      <c r="G5119" s="16"/>
      <c r="H5119" s="16"/>
      <c r="I5119" s="16"/>
      <c r="J5119" s="16"/>
      <c r="K5119" s="16"/>
      <c r="L5119" s="16"/>
      <c r="M5119" s="229"/>
      <c r="N5119" s="16"/>
      <c r="O5119" s="17"/>
      <c r="P5119" s="5" t="str">
        <f t="shared" si="115"/>
        <v>Truncate table  X17068;</v>
      </c>
      <c r="Q5119" s="5"/>
      <c r="R5119" s="5"/>
    </row>
    <row r="5120" spans="1:18" x14ac:dyDescent="0.25">
      <c r="A5120" s="240"/>
      <c r="B5120" s="244" t="s">
        <v>9540</v>
      </c>
      <c r="C5120" s="16"/>
      <c r="D5120" s="16" t="s">
        <v>29</v>
      </c>
      <c r="E5120" s="16"/>
      <c r="F5120" s="5"/>
      <c r="G5120" s="16"/>
      <c r="H5120" s="16"/>
      <c r="I5120" s="16"/>
      <c r="J5120" s="16"/>
      <c r="K5120" s="16"/>
      <c r="L5120" s="16"/>
      <c r="M5120" s="229"/>
      <c r="N5120" s="16"/>
      <c r="O5120" s="17"/>
      <c r="P5120" s="5" t="str">
        <f t="shared" si="115"/>
        <v>Truncate table  X17069;</v>
      </c>
      <c r="Q5120" s="5"/>
      <c r="R5120" s="5"/>
    </row>
    <row r="5121" spans="1:18" x14ac:dyDescent="0.25">
      <c r="A5121" s="240"/>
      <c r="B5121" s="19" t="s">
        <v>6744</v>
      </c>
      <c r="C5121" s="16"/>
      <c r="D5121" s="16" t="s">
        <v>29</v>
      </c>
      <c r="E5121" s="16"/>
      <c r="F5121" s="5"/>
      <c r="G5121" s="16" t="s">
        <v>35</v>
      </c>
      <c r="H5121" s="16"/>
      <c r="I5121" s="16"/>
      <c r="J5121" s="16"/>
      <c r="K5121" s="16"/>
      <c r="L5121" s="16"/>
      <c r="M5121" s="16"/>
      <c r="N5121" s="16"/>
      <c r="O5121" s="17"/>
      <c r="P5121" s="5" t="str">
        <f t="shared" si="115"/>
        <v>Truncate table X1706D;</v>
      </c>
      <c r="Q5121" s="5"/>
      <c r="R5121" s="5"/>
    </row>
    <row r="5122" spans="1:18" x14ac:dyDescent="0.25">
      <c r="B5122" s="19" t="s">
        <v>6745</v>
      </c>
      <c r="C5122" s="16" t="s">
        <v>6746</v>
      </c>
      <c r="D5122" s="16" t="s">
        <v>8152</v>
      </c>
      <c r="E5122" s="16" t="s">
        <v>151</v>
      </c>
      <c r="F5122" s="5"/>
      <c r="G5122" s="16" t="s">
        <v>35</v>
      </c>
      <c r="H5122" s="16"/>
      <c r="I5122" s="16"/>
      <c r="J5122" s="16"/>
      <c r="K5122" s="16"/>
      <c r="L5122" s="16"/>
      <c r="M5122" s="229"/>
      <c r="N5122" s="16"/>
      <c r="O5122" s="17" t="s">
        <v>38</v>
      </c>
      <c r="P5122" s="5" t="str">
        <f t="shared" si="115"/>
        <v/>
      </c>
      <c r="Q5122" s="5"/>
      <c r="R5122" s="5"/>
    </row>
    <row r="5123" spans="1:18" x14ac:dyDescent="0.25">
      <c r="B5123" s="19" t="s">
        <v>6747</v>
      </c>
      <c r="C5123" s="16"/>
      <c r="D5123" s="16" t="s">
        <v>29</v>
      </c>
      <c r="E5123" s="16"/>
      <c r="F5123" s="5"/>
      <c r="G5123" s="16" t="s">
        <v>35</v>
      </c>
      <c r="H5123" s="16"/>
      <c r="I5123" s="16"/>
      <c r="J5123" s="16"/>
      <c r="K5123" s="16"/>
      <c r="L5123" s="16"/>
      <c r="M5123" s="16"/>
      <c r="N5123" s="16"/>
      <c r="O5123" s="17"/>
      <c r="P5123" s="5" t="str">
        <f t="shared" si="115"/>
        <v>Truncate table X95P55;</v>
      </c>
      <c r="Q5123" s="5"/>
      <c r="R5123" s="5"/>
    </row>
    <row r="5124" spans="1:18" x14ac:dyDescent="0.25">
      <c r="B5124" s="19" t="s">
        <v>6748</v>
      </c>
      <c r="C5124" s="16"/>
      <c r="D5124" s="16" t="s">
        <v>29</v>
      </c>
      <c r="E5124" s="16"/>
      <c r="F5124" s="5"/>
      <c r="G5124" s="16" t="s">
        <v>35</v>
      </c>
      <c r="H5124" s="16"/>
      <c r="I5124" s="16"/>
      <c r="J5124" s="16"/>
      <c r="K5124" s="16"/>
      <c r="L5124" s="16"/>
      <c r="M5124" s="16"/>
      <c r="N5124" s="16"/>
      <c r="O5124" s="17"/>
      <c r="P5124" s="5" t="str">
        <f t="shared" si="115"/>
        <v>Truncate table X95P65;</v>
      </c>
      <c r="Q5124" s="5"/>
      <c r="R5124" s="5"/>
    </row>
    <row r="5125" spans="1:18" x14ac:dyDescent="0.25">
      <c r="B5125" s="19" t="s">
        <v>6749</v>
      </c>
      <c r="C5125" s="16" t="s">
        <v>9726</v>
      </c>
      <c r="D5125" s="16" t="s">
        <v>8152</v>
      </c>
      <c r="E5125" s="16" t="s">
        <v>54</v>
      </c>
      <c r="F5125" s="5" t="s">
        <v>235</v>
      </c>
      <c r="G5125" s="16" t="s">
        <v>35</v>
      </c>
      <c r="H5125" s="16" t="s">
        <v>9727</v>
      </c>
      <c r="I5125" s="16"/>
      <c r="J5125" s="16"/>
      <c r="K5125" s="16"/>
      <c r="L5125" s="16"/>
      <c r="M5125" s="16"/>
      <c r="N5125" s="16"/>
      <c r="O5125" s="17"/>
      <c r="P5125" s="5" t="str">
        <f t="shared" si="115"/>
        <v/>
      </c>
      <c r="Q5125" s="5"/>
      <c r="R5125" s="5"/>
    </row>
    <row r="5126" spans="1:18" x14ac:dyDescent="0.25">
      <c r="B5126" s="19" t="s">
        <v>6750</v>
      </c>
      <c r="C5126" s="16"/>
      <c r="D5126" s="16" t="s">
        <v>29</v>
      </c>
      <c r="E5126" s="16"/>
      <c r="F5126" s="5"/>
      <c r="G5126" s="16" t="s">
        <v>35</v>
      </c>
      <c r="H5126" s="16"/>
      <c r="I5126" s="16"/>
      <c r="J5126" s="16"/>
      <c r="K5126" s="16"/>
      <c r="L5126" s="16"/>
      <c r="M5126" s="16"/>
      <c r="N5126" s="16"/>
      <c r="O5126" s="17"/>
      <c r="P5126" s="5" t="str">
        <f t="shared" si="115"/>
        <v>Truncate table X99937;</v>
      </c>
      <c r="Q5126" s="5"/>
      <c r="R5126" s="5"/>
    </row>
    <row r="5127" spans="1:18" x14ac:dyDescent="0.25">
      <c r="B5127" s="19" t="s">
        <v>6751</v>
      </c>
      <c r="C5127" s="16"/>
      <c r="D5127" s="16" t="s">
        <v>29</v>
      </c>
      <c r="E5127" s="16"/>
      <c r="F5127" s="5"/>
      <c r="G5127" s="16" t="s">
        <v>35</v>
      </c>
      <c r="H5127" s="16"/>
      <c r="I5127" s="16"/>
      <c r="J5127" s="16"/>
      <c r="K5127" s="16"/>
      <c r="L5127" s="16"/>
      <c r="M5127" s="16"/>
      <c r="N5127" s="16"/>
      <c r="O5127" s="17"/>
      <c r="P5127" s="5" t="str">
        <f t="shared" si="115"/>
        <v>Truncate table X99962;</v>
      </c>
      <c r="Q5127" s="5"/>
      <c r="R5127" s="5"/>
    </row>
    <row r="5128" spans="1:18" x14ac:dyDescent="0.25">
      <c r="B5128" s="19" t="s">
        <v>6752</v>
      </c>
      <c r="C5128" s="16" t="s">
        <v>6753</v>
      </c>
      <c r="D5128" s="16" t="s">
        <v>8152</v>
      </c>
      <c r="E5128" s="16" t="s">
        <v>734</v>
      </c>
      <c r="F5128" s="5" t="s">
        <v>6754</v>
      </c>
      <c r="G5128" s="16" t="s">
        <v>35</v>
      </c>
      <c r="H5128" s="16"/>
      <c r="I5128" s="16"/>
      <c r="J5128" s="16"/>
      <c r="K5128" s="16"/>
      <c r="L5128" s="16"/>
      <c r="M5128" s="16"/>
      <c r="N5128" s="16"/>
      <c r="O5128" s="17" t="s">
        <v>38</v>
      </c>
      <c r="P5128" s="5" t="str">
        <f t="shared" si="115"/>
        <v/>
      </c>
      <c r="Q5128" s="5"/>
      <c r="R5128" s="5"/>
    </row>
    <row r="5129" spans="1:18" x14ac:dyDescent="0.25">
      <c r="B5129" s="19" t="s">
        <v>6755</v>
      </c>
      <c r="C5129" s="16" t="s">
        <v>6753</v>
      </c>
      <c r="D5129" s="16" t="s">
        <v>8152</v>
      </c>
      <c r="E5129" s="16" t="s">
        <v>734</v>
      </c>
      <c r="F5129" s="5" t="s">
        <v>6754</v>
      </c>
      <c r="G5129" s="16" t="s">
        <v>35</v>
      </c>
      <c r="H5129" s="16"/>
      <c r="I5129" s="16"/>
      <c r="J5129" s="16"/>
      <c r="K5129" s="16"/>
      <c r="L5129" s="16"/>
      <c r="M5129" s="16"/>
      <c r="N5129" s="16"/>
      <c r="O5129" s="17" t="s">
        <v>38</v>
      </c>
      <c r="P5129" s="5" t="str">
        <f t="shared" si="115"/>
        <v/>
      </c>
      <c r="Q5129" s="5"/>
      <c r="R5129" s="5"/>
    </row>
    <row r="5130" spans="1:18" x14ac:dyDescent="0.25">
      <c r="B5130" s="19" t="s">
        <v>6756</v>
      </c>
      <c r="C5130" s="16" t="s">
        <v>6753</v>
      </c>
      <c r="D5130" s="16" t="s">
        <v>8152</v>
      </c>
      <c r="E5130" s="16" t="s">
        <v>734</v>
      </c>
      <c r="F5130" s="5" t="s">
        <v>6754</v>
      </c>
      <c r="G5130" s="16" t="s">
        <v>35</v>
      </c>
      <c r="H5130" s="16"/>
      <c r="I5130" s="16"/>
      <c r="J5130" s="16"/>
      <c r="K5130" s="16"/>
      <c r="L5130" s="16"/>
      <c r="M5130" s="16"/>
      <c r="N5130" s="16"/>
      <c r="O5130" s="17" t="s">
        <v>38</v>
      </c>
      <c r="P5130" s="5" t="str">
        <f t="shared" si="115"/>
        <v/>
      </c>
      <c r="Q5130" s="5"/>
      <c r="R5130" s="5"/>
    </row>
    <row r="5131" spans="1:18" x14ac:dyDescent="0.25">
      <c r="B5131" s="19" t="s">
        <v>6757</v>
      </c>
      <c r="C5131" s="16" t="s">
        <v>6758</v>
      </c>
      <c r="D5131" s="16" t="s">
        <v>29</v>
      </c>
      <c r="E5131" s="16" t="s">
        <v>151</v>
      </c>
      <c r="F5131" s="5"/>
      <c r="G5131" s="16" t="s">
        <v>35</v>
      </c>
      <c r="H5131" s="16"/>
      <c r="I5131" s="16"/>
      <c r="J5131" s="16"/>
      <c r="K5131" s="16"/>
      <c r="L5131" s="16"/>
      <c r="M5131" s="16"/>
      <c r="N5131" s="16"/>
      <c r="O5131" s="17" t="s">
        <v>38</v>
      </c>
      <c r="P5131" s="5" t="str">
        <f t="shared" si="115"/>
        <v>Truncate table X9996D;</v>
      </c>
      <c r="Q5131" s="5"/>
      <c r="R5131" s="5"/>
    </row>
    <row r="5132" spans="1:18" x14ac:dyDescent="0.25">
      <c r="B5132" s="19" t="s">
        <v>6759</v>
      </c>
      <c r="C5132" s="16" t="s">
        <v>6753</v>
      </c>
      <c r="D5132" s="16" t="s">
        <v>29</v>
      </c>
      <c r="E5132" s="16" t="s">
        <v>734</v>
      </c>
      <c r="F5132" s="5" t="s">
        <v>6754</v>
      </c>
      <c r="G5132" s="16" t="s">
        <v>35</v>
      </c>
      <c r="H5132" s="16" t="s">
        <v>36</v>
      </c>
      <c r="I5132" s="16"/>
      <c r="J5132" s="16"/>
      <c r="K5132" s="16"/>
      <c r="L5132" s="16"/>
      <c r="M5132" s="16"/>
      <c r="N5132" s="16"/>
      <c r="O5132" s="17" t="s">
        <v>38</v>
      </c>
      <c r="P5132" s="5" t="str">
        <f t="shared" si="115"/>
        <v>Truncate table X9996E;</v>
      </c>
      <c r="Q5132" s="5"/>
      <c r="R5132" s="5"/>
    </row>
    <row r="5133" spans="1:18" x14ac:dyDescent="0.25">
      <c r="B5133" s="19" t="s">
        <v>6760</v>
      </c>
      <c r="C5133" s="16" t="s">
        <v>6753</v>
      </c>
      <c r="D5133" s="16" t="s">
        <v>8152</v>
      </c>
      <c r="E5133" s="16" t="s">
        <v>734</v>
      </c>
      <c r="F5133" s="5" t="s">
        <v>6754</v>
      </c>
      <c r="G5133" s="16" t="s">
        <v>35</v>
      </c>
      <c r="H5133" s="16"/>
      <c r="I5133" s="16"/>
      <c r="J5133" s="16"/>
      <c r="K5133" s="16"/>
      <c r="L5133" s="16"/>
      <c r="M5133" s="16"/>
      <c r="N5133" s="16"/>
      <c r="O5133" s="17" t="s">
        <v>38</v>
      </c>
      <c r="P5133" s="5" t="str">
        <f t="shared" si="115"/>
        <v/>
      </c>
      <c r="Q5133" s="5"/>
      <c r="R5133" s="5"/>
    </row>
    <row r="5134" spans="1:18" x14ac:dyDescent="0.25">
      <c r="B5134" s="19" t="s">
        <v>6761</v>
      </c>
      <c r="C5134" s="16" t="s">
        <v>6753</v>
      </c>
      <c r="D5134" s="16" t="s">
        <v>8152</v>
      </c>
      <c r="E5134" s="16" t="s">
        <v>734</v>
      </c>
      <c r="F5134" s="5" t="s">
        <v>6754</v>
      </c>
      <c r="G5134" s="16" t="s">
        <v>35</v>
      </c>
      <c r="H5134" s="16"/>
      <c r="I5134" s="16"/>
      <c r="J5134" s="16"/>
      <c r="K5134" s="16"/>
      <c r="L5134" s="16"/>
      <c r="M5134" s="16"/>
      <c r="N5134" s="16"/>
      <c r="O5134" s="17" t="s">
        <v>38</v>
      </c>
      <c r="P5134" s="5" t="str">
        <f t="shared" si="115"/>
        <v/>
      </c>
      <c r="Q5134" s="5"/>
      <c r="R5134" s="5"/>
    </row>
    <row r="5135" spans="1:18" x14ac:dyDescent="0.25">
      <c r="B5135" s="19" t="s">
        <v>6762</v>
      </c>
      <c r="C5135" s="16" t="s">
        <v>6753</v>
      </c>
      <c r="D5135" s="16" t="s">
        <v>8152</v>
      </c>
      <c r="E5135" s="16" t="s">
        <v>734</v>
      </c>
      <c r="F5135" s="5" t="s">
        <v>6754</v>
      </c>
      <c r="G5135" s="16" t="s">
        <v>35</v>
      </c>
      <c r="H5135" s="16"/>
      <c r="I5135" s="16"/>
      <c r="J5135" s="16"/>
      <c r="K5135" s="16"/>
      <c r="L5135" s="16"/>
      <c r="M5135" s="16"/>
      <c r="N5135" s="16"/>
      <c r="O5135" s="17" t="s">
        <v>38</v>
      </c>
      <c r="P5135" s="5" t="str">
        <f t="shared" si="115"/>
        <v/>
      </c>
      <c r="Q5135" s="5"/>
      <c r="R5135" s="5"/>
    </row>
    <row r="5136" spans="1:18" x14ac:dyDescent="0.25">
      <c r="B5136" s="19" t="s">
        <v>6763</v>
      </c>
      <c r="C5136" s="16" t="s">
        <v>6753</v>
      </c>
      <c r="D5136" s="16" t="s">
        <v>29</v>
      </c>
      <c r="E5136" s="16" t="s">
        <v>734</v>
      </c>
      <c r="F5136" s="5" t="s">
        <v>6754</v>
      </c>
      <c r="G5136" s="16" t="s">
        <v>35</v>
      </c>
      <c r="H5136" s="16" t="s">
        <v>36</v>
      </c>
      <c r="I5136" s="16"/>
      <c r="J5136" s="16"/>
      <c r="K5136" s="16"/>
      <c r="L5136" s="16"/>
      <c r="M5136" s="16"/>
      <c r="N5136" s="16"/>
      <c r="O5136" s="17" t="s">
        <v>38</v>
      </c>
      <c r="P5136" s="5" t="str">
        <f t="shared" si="115"/>
        <v>Truncate table X9996X;</v>
      </c>
      <c r="Q5136" s="5"/>
      <c r="R5136" s="5"/>
    </row>
    <row r="5137" spans="2:18" x14ac:dyDescent="0.25">
      <c r="B5137" s="19" t="s">
        <v>6764</v>
      </c>
      <c r="C5137" s="16"/>
      <c r="D5137" s="16" t="s">
        <v>29</v>
      </c>
      <c r="E5137" s="16"/>
      <c r="F5137" s="5"/>
      <c r="G5137" s="16" t="s">
        <v>35</v>
      </c>
      <c r="H5137" s="16"/>
      <c r="I5137" s="16"/>
      <c r="J5137" s="16"/>
      <c r="K5137" s="16"/>
      <c r="L5137" s="16"/>
      <c r="M5137" s="16"/>
      <c r="N5137" s="16"/>
      <c r="O5137" s="17"/>
      <c r="P5137" s="5" t="str">
        <f t="shared" si="115"/>
        <v>Truncate table X999760;</v>
      </c>
      <c r="Q5137" s="5"/>
      <c r="R5137" s="5"/>
    </row>
    <row r="5138" spans="2:18" x14ac:dyDescent="0.25">
      <c r="B5138" s="19" t="s">
        <v>6765</v>
      </c>
      <c r="C5138" s="16"/>
      <c r="D5138" s="16" t="s">
        <v>29</v>
      </c>
      <c r="E5138" s="16"/>
      <c r="F5138" s="5"/>
      <c r="G5138" s="16" t="s">
        <v>35</v>
      </c>
      <c r="H5138" s="16"/>
      <c r="I5138" s="16"/>
      <c r="J5138" s="16"/>
      <c r="K5138" s="16"/>
      <c r="L5138" s="16"/>
      <c r="M5138" s="16"/>
      <c r="N5138" s="16"/>
      <c r="O5138" s="17"/>
      <c r="P5138" s="5" t="str">
        <f t="shared" si="115"/>
        <v>Truncate table X999761;</v>
      </c>
      <c r="Q5138" s="5"/>
      <c r="R5138" s="5"/>
    </row>
    <row r="5139" spans="2:18" x14ac:dyDescent="0.25">
      <c r="B5139" s="19" t="s">
        <v>6766</v>
      </c>
      <c r="C5139" s="16"/>
      <c r="D5139" s="16" t="s">
        <v>29</v>
      </c>
      <c r="E5139" s="16"/>
      <c r="F5139" s="5"/>
      <c r="G5139" s="16" t="s">
        <v>35</v>
      </c>
      <c r="H5139" s="16"/>
      <c r="I5139" s="16"/>
      <c r="J5139" s="16"/>
      <c r="K5139" s="16"/>
      <c r="L5139" s="16"/>
      <c r="M5139" s="16"/>
      <c r="N5139" s="16"/>
      <c r="O5139" s="17"/>
      <c r="P5139" s="5" t="str">
        <f t="shared" si="115"/>
        <v>Truncate table X999CO;</v>
      </c>
      <c r="Q5139" s="5"/>
      <c r="R5139" s="5"/>
    </row>
    <row r="5140" spans="2:18" x14ac:dyDescent="0.25">
      <c r="B5140" s="19" t="s">
        <v>6767</v>
      </c>
      <c r="C5140" s="16"/>
      <c r="D5140" s="16" t="s">
        <v>29</v>
      </c>
      <c r="E5140" s="16"/>
      <c r="F5140" s="5"/>
      <c r="G5140" s="16" t="s">
        <v>35</v>
      </c>
      <c r="H5140" s="16"/>
      <c r="I5140" s="16"/>
      <c r="J5140" s="16"/>
      <c r="K5140" s="16"/>
      <c r="L5140" s="16"/>
      <c r="M5140" s="16"/>
      <c r="N5140" s="16"/>
      <c r="O5140" s="17"/>
      <c r="P5140" s="5" t="str">
        <f t="shared" si="115"/>
        <v>Truncate table X999J0;</v>
      </c>
      <c r="Q5140" s="5"/>
      <c r="R5140" s="5"/>
    </row>
    <row r="5141" spans="2:18" x14ac:dyDescent="0.25">
      <c r="B5141" s="19" t="s">
        <v>6768</v>
      </c>
      <c r="C5141" s="16"/>
      <c r="D5141" s="16" t="s">
        <v>29</v>
      </c>
      <c r="E5141" s="16"/>
      <c r="F5141" s="5"/>
      <c r="G5141" s="16" t="s">
        <v>35</v>
      </c>
      <c r="H5141" s="16"/>
      <c r="I5141" s="16"/>
      <c r="J5141" s="16"/>
      <c r="K5141" s="16"/>
      <c r="L5141" s="16"/>
      <c r="M5141" s="16"/>
      <c r="N5141" s="16"/>
      <c r="O5141" s="17"/>
      <c r="P5141" s="5" t="str">
        <f t="shared" si="115"/>
        <v>Truncate table X999J1;</v>
      </c>
      <c r="Q5141" s="5"/>
      <c r="R5141" s="5"/>
    </row>
    <row r="5142" spans="2:18" x14ac:dyDescent="0.25">
      <c r="B5142" s="19" t="s">
        <v>6769</v>
      </c>
      <c r="C5142" s="16"/>
      <c r="D5142" s="16" t="s">
        <v>29</v>
      </c>
      <c r="E5142" s="16"/>
      <c r="F5142" s="5"/>
      <c r="G5142" s="16" t="s">
        <v>35</v>
      </c>
      <c r="H5142" s="16"/>
      <c r="I5142" s="16"/>
      <c r="J5142" s="16"/>
      <c r="K5142" s="16"/>
      <c r="L5142" s="16"/>
      <c r="M5142" s="16"/>
      <c r="N5142" s="16"/>
      <c r="O5142" s="17"/>
      <c r="P5142" s="5" t="str">
        <f t="shared" ref="P5142:P5205" si="116">IF(D5142="Datos","Truncate table "&amp; B5142&amp; ";","")</f>
        <v>Truncate table X999J2;</v>
      </c>
      <c r="Q5142" s="5"/>
      <c r="R5142" s="5"/>
    </row>
    <row r="5143" spans="2:18" x14ac:dyDescent="0.25">
      <c r="B5143" s="19" t="s">
        <v>6770</v>
      </c>
      <c r="C5143" s="16"/>
      <c r="D5143" s="16" t="s">
        <v>29</v>
      </c>
      <c r="E5143" s="16"/>
      <c r="F5143" s="5"/>
      <c r="G5143" s="16" t="s">
        <v>35</v>
      </c>
      <c r="H5143" s="16"/>
      <c r="I5143" s="16"/>
      <c r="J5143" s="16"/>
      <c r="K5143" s="16"/>
      <c r="L5143" s="16"/>
      <c r="M5143" s="16"/>
      <c r="N5143" s="16"/>
      <c r="O5143" s="17"/>
      <c r="P5143" s="5" t="str">
        <f t="shared" si="116"/>
        <v>Truncate table X999J3;</v>
      </c>
      <c r="Q5143" s="5"/>
      <c r="R5143" s="5"/>
    </row>
    <row r="5144" spans="2:18" x14ac:dyDescent="0.25">
      <c r="B5144" s="19" t="s">
        <v>6771</v>
      </c>
      <c r="C5144" s="16"/>
      <c r="D5144" s="16" t="s">
        <v>29</v>
      </c>
      <c r="E5144" s="16"/>
      <c r="F5144" s="5"/>
      <c r="G5144" s="16" t="s">
        <v>35</v>
      </c>
      <c r="H5144" s="16"/>
      <c r="I5144" s="16"/>
      <c r="J5144" s="16"/>
      <c r="K5144" s="16"/>
      <c r="L5144" s="16"/>
      <c r="M5144" s="16"/>
      <c r="N5144" s="16"/>
      <c r="O5144" s="17"/>
      <c r="P5144" s="5" t="str">
        <f t="shared" si="116"/>
        <v>Truncate table X999J4;</v>
      </c>
      <c r="Q5144" s="5"/>
      <c r="R5144" s="5"/>
    </row>
    <row r="5145" spans="2:18" x14ac:dyDescent="0.25">
      <c r="B5145" s="19" t="s">
        <v>6772</v>
      </c>
      <c r="C5145" s="16"/>
      <c r="D5145" s="16" t="s">
        <v>29</v>
      </c>
      <c r="E5145" s="16"/>
      <c r="F5145" s="5"/>
      <c r="G5145" s="16" t="s">
        <v>35</v>
      </c>
      <c r="H5145" s="16"/>
      <c r="I5145" s="16"/>
      <c r="J5145" s="16"/>
      <c r="K5145" s="16"/>
      <c r="L5145" s="16"/>
      <c r="M5145" s="16"/>
      <c r="N5145" s="16"/>
      <c r="O5145" s="17"/>
      <c r="P5145" s="5" t="str">
        <f t="shared" si="116"/>
        <v>Truncate table X999J5;</v>
      </c>
      <c r="Q5145" s="5"/>
      <c r="R5145" s="5"/>
    </row>
    <row r="5146" spans="2:18" x14ac:dyDescent="0.25">
      <c r="B5146" s="19" t="s">
        <v>6773</v>
      </c>
      <c r="C5146" s="16"/>
      <c r="D5146" s="16" t="s">
        <v>29</v>
      </c>
      <c r="E5146" s="16"/>
      <c r="F5146" s="5"/>
      <c r="G5146" s="16" t="s">
        <v>35</v>
      </c>
      <c r="H5146" s="16"/>
      <c r="I5146" s="16"/>
      <c r="J5146" s="16"/>
      <c r="K5146" s="16"/>
      <c r="L5146" s="16"/>
      <c r="M5146" s="16"/>
      <c r="N5146" s="16"/>
      <c r="O5146" s="17"/>
      <c r="P5146" s="5" t="str">
        <f t="shared" si="116"/>
        <v>Truncate table X999J6;</v>
      </c>
      <c r="Q5146" s="5"/>
      <c r="R5146" s="5"/>
    </row>
    <row r="5147" spans="2:18" x14ac:dyDescent="0.25">
      <c r="B5147" s="19" t="s">
        <v>6774</v>
      </c>
      <c r="C5147" s="16"/>
      <c r="D5147" s="16" t="s">
        <v>29</v>
      </c>
      <c r="E5147" s="16"/>
      <c r="F5147" s="5"/>
      <c r="G5147" s="16" t="s">
        <v>35</v>
      </c>
      <c r="H5147" s="16"/>
      <c r="I5147" s="16"/>
      <c r="J5147" s="16"/>
      <c r="K5147" s="16"/>
      <c r="L5147" s="16"/>
      <c r="M5147" s="16"/>
      <c r="N5147" s="16"/>
      <c r="O5147" s="17"/>
      <c r="P5147" s="5" t="str">
        <f t="shared" si="116"/>
        <v>Truncate table X999J7;</v>
      </c>
      <c r="Q5147" s="5"/>
      <c r="R5147" s="5"/>
    </row>
    <row r="5148" spans="2:18" x14ac:dyDescent="0.25">
      <c r="B5148" s="19" t="s">
        <v>6775</v>
      </c>
      <c r="C5148" s="16"/>
      <c r="D5148" s="16" t="s">
        <v>29</v>
      </c>
      <c r="E5148" s="16"/>
      <c r="F5148" s="5"/>
      <c r="G5148" s="16" t="s">
        <v>35</v>
      </c>
      <c r="H5148" s="16"/>
      <c r="I5148" s="16"/>
      <c r="J5148" s="16"/>
      <c r="K5148" s="16"/>
      <c r="L5148" s="16"/>
      <c r="M5148" s="16"/>
      <c r="N5148" s="16"/>
      <c r="O5148" s="17"/>
      <c r="P5148" s="5" t="str">
        <f t="shared" si="116"/>
        <v>Truncate table X999J8;</v>
      </c>
      <c r="Q5148" s="5"/>
      <c r="R5148" s="5"/>
    </row>
    <row r="5149" spans="2:18" x14ac:dyDescent="0.25">
      <c r="B5149" s="19" t="s">
        <v>6776</v>
      </c>
      <c r="C5149" s="16"/>
      <c r="D5149" s="16" t="s">
        <v>29</v>
      </c>
      <c r="E5149" s="16"/>
      <c r="F5149" s="5"/>
      <c r="G5149" s="16" t="s">
        <v>35</v>
      </c>
      <c r="H5149" s="16"/>
      <c r="I5149" s="16"/>
      <c r="J5149" s="16"/>
      <c r="K5149" s="16"/>
      <c r="L5149" s="16"/>
      <c r="M5149" s="16"/>
      <c r="N5149" s="16"/>
      <c r="O5149" s="17"/>
      <c r="P5149" s="5" t="str">
        <f t="shared" si="116"/>
        <v>Truncate table X999J9;</v>
      </c>
      <c r="Q5149" s="5"/>
      <c r="R5149" s="5"/>
    </row>
    <row r="5150" spans="2:18" x14ac:dyDescent="0.25">
      <c r="B5150" s="19" t="s">
        <v>6777</v>
      </c>
      <c r="C5150" s="16"/>
      <c r="D5150" s="16" t="s">
        <v>29</v>
      </c>
      <c r="E5150" s="16"/>
      <c r="F5150" s="5"/>
      <c r="G5150" s="16" t="s">
        <v>35</v>
      </c>
      <c r="H5150" s="16"/>
      <c r="I5150" s="16"/>
      <c r="J5150" s="16"/>
      <c r="K5150" s="16"/>
      <c r="L5150" s="16"/>
      <c r="M5150" s="16"/>
      <c r="N5150" s="16"/>
      <c r="O5150" s="17"/>
      <c r="P5150" s="5" t="str">
        <f t="shared" si="116"/>
        <v>Truncate table X999JA;</v>
      </c>
      <c r="Q5150" s="5"/>
      <c r="R5150" s="5"/>
    </row>
    <row r="5151" spans="2:18" x14ac:dyDescent="0.25">
      <c r="B5151" s="19" t="s">
        <v>6778</v>
      </c>
      <c r="C5151" s="16"/>
      <c r="D5151" s="16" t="s">
        <v>29</v>
      </c>
      <c r="E5151" s="16"/>
      <c r="F5151" s="5"/>
      <c r="G5151" s="16" t="s">
        <v>35</v>
      </c>
      <c r="H5151" s="16"/>
      <c r="I5151" s="16"/>
      <c r="J5151" s="16"/>
      <c r="K5151" s="16"/>
      <c r="L5151" s="16"/>
      <c r="M5151" s="16"/>
      <c r="N5151" s="16"/>
      <c r="O5151" s="17"/>
      <c r="P5151" s="5" t="str">
        <f t="shared" si="116"/>
        <v>Truncate table X999JB;</v>
      </c>
      <c r="Q5151" s="5"/>
      <c r="R5151" s="5"/>
    </row>
    <row r="5152" spans="2:18" x14ac:dyDescent="0.25">
      <c r="B5152" s="19" t="s">
        <v>6779</v>
      </c>
      <c r="C5152" s="16"/>
      <c r="D5152" s="16" t="s">
        <v>29</v>
      </c>
      <c r="E5152" s="16"/>
      <c r="F5152" s="5"/>
      <c r="G5152" s="16" t="s">
        <v>35</v>
      </c>
      <c r="H5152" s="16"/>
      <c r="I5152" s="16"/>
      <c r="J5152" s="16"/>
      <c r="K5152" s="16"/>
      <c r="L5152" s="16"/>
      <c r="M5152" s="16"/>
      <c r="N5152" s="16"/>
      <c r="O5152" s="17"/>
      <c r="P5152" s="5" t="str">
        <f t="shared" si="116"/>
        <v>Truncate table X999JC;</v>
      </c>
      <c r="Q5152" s="5"/>
      <c r="R5152" s="5"/>
    </row>
    <row r="5153" spans="2:18" x14ac:dyDescent="0.25">
      <c r="B5153" s="19" t="s">
        <v>6780</v>
      </c>
      <c r="C5153" s="16"/>
      <c r="D5153" s="16" t="s">
        <v>29</v>
      </c>
      <c r="E5153" s="16"/>
      <c r="F5153" s="5"/>
      <c r="G5153" s="16" t="s">
        <v>35</v>
      </c>
      <c r="H5153" s="16"/>
      <c r="I5153" s="16"/>
      <c r="J5153" s="16"/>
      <c r="K5153" s="16"/>
      <c r="L5153" s="16"/>
      <c r="M5153" s="16"/>
      <c r="N5153" s="16"/>
      <c r="O5153" s="17"/>
      <c r="P5153" s="5" t="str">
        <f t="shared" si="116"/>
        <v>Truncate table X999JD;</v>
      </c>
      <c r="Q5153" s="5"/>
      <c r="R5153" s="5"/>
    </row>
    <row r="5154" spans="2:18" x14ac:dyDescent="0.25">
      <c r="B5154" s="19" t="s">
        <v>6781</v>
      </c>
      <c r="C5154" s="16" t="s">
        <v>8567</v>
      </c>
      <c r="D5154" s="16" t="s">
        <v>29</v>
      </c>
      <c r="E5154" s="16" t="s">
        <v>734</v>
      </c>
      <c r="F5154" s="5" t="s">
        <v>8248</v>
      </c>
      <c r="G5154" s="16" t="s">
        <v>35</v>
      </c>
      <c r="H5154" s="16" t="s">
        <v>36</v>
      </c>
      <c r="I5154" s="16"/>
      <c r="J5154" s="16"/>
      <c r="K5154" s="16"/>
      <c r="L5154" s="16"/>
      <c r="M5154" s="16"/>
      <c r="N5154" s="16"/>
      <c r="O5154" s="17" t="s">
        <v>38</v>
      </c>
      <c r="P5154" s="5" t="str">
        <f t="shared" si="116"/>
        <v>Truncate table X999JE;</v>
      </c>
      <c r="Q5154" s="5"/>
      <c r="R5154" s="5"/>
    </row>
    <row r="5155" spans="2:18" x14ac:dyDescent="0.25">
      <c r="B5155" s="19" t="s">
        <v>6782</v>
      </c>
      <c r="C5155" s="16"/>
      <c r="D5155" s="16" t="s">
        <v>29</v>
      </c>
      <c r="E5155" s="16"/>
      <c r="F5155" s="5"/>
      <c r="G5155" s="16" t="s">
        <v>35</v>
      </c>
      <c r="H5155" s="16"/>
      <c r="I5155" s="16"/>
      <c r="J5155" s="16"/>
      <c r="K5155" s="16"/>
      <c r="L5155" s="16"/>
      <c r="M5155" s="16"/>
      <c r="N5155" s="16"/>
      <c r="O5155" s="17"/>
      <c r="P5155" s="5" t="str">
        <f t="shared" si="116"/>
        <v>Truncate table X999JF;</v>
      </c>
      <c r="Q5155" s="5"/>
      <c r="R5155" s="5"/>
    </row>
    <row r="5156" spans="2:18" x14ac:dyDescent="0.25">
      <c r="B5156" s="19" t="s">
        <v>6783</v>
      </c>
      <c r="C5156" s="16"/>
      <c r="D5156" s="16" t="s">
        <v>29</v>
      </c>
      <c r="E5156" s="16"/>
      <c r="F5156" s="5"/>
      <c r="G5156" s="16" t="s">
        <v>35</v>
      </c>
      <c r="H5156" s="16"/>
      <c r="I5156" s="16"/>
      <c r="J5156" s="16"/>
      <c r="K5156" s="16"/>
      <c r="L5156" s="16"/>
      <c r="M5156" s="16"/>
      <c r="N5156" s="16"/>
      <c r="O5156" s="17"/>
      <c r="P5156" s="5" t="str">
        <f t="shared" si="116"/>
        <v>Truncate table X999JG;</v>
      </c>
      <c r="Q5156" s="5"/>
      <c r="R5156" s="5"/>
    </row>
    <row r="5157" spans="2:18" x14ac:dyDescent="0.25">
      <c r="B5157" s="19" t="s">
        <v>6784</v>
      </c>
      <c r="C5157" s="16"/>
      <c r="D5157" s="16" t="s">
        <v>29</v>
      </c>
      <c r="E5157" s="16"/>
      <c r="F5157" s="5"/>
      <c r="G5157" s="16" t="s">
        <v>35</v>
      </c>
      <c r="H5157" s="16"/>
      <c r="I5157" s="16"/>
      <c r="J5157" s="16"/>
      <c r="K5157" s="16"/>
      <c r="L5157" s="16"/>
      <c r="M5157" s="16"/>
      <c r="N5157" s="16"/>
      <c r="O5157" s="17"/>
      <c r="P5157" s="5" t="str">
        <f t="shared" si="116"/>
        <v>Truncate table X999JH;</v>
      </c>
      <c r="Q5157" s="5"/>
      <c r="R5157" s="5"/>
    </row>
    <row r="5158" spans="2:18" x14ac:dyDescent="0.25">
      <c r="B5158" s="19" t="s">
        <v>6785</v>
      </c>
      <c r="C5158" s="16"/>
      <c r="D5158" s="16" t="s">
        <v>29</v>
      </c>
      <c r="E5158" s="16"/>
      <c r="F5158" s="5"/>
      <c r="G5158" s="16" t="s">
        <v>35</v>
      </c>
      <c r="H5158" s="16"/>
      <c r="I5158" s="16"/>
      <c r="J5158" s="16"/>
      <c r="K5158" s="16"/>
      <c r="L5158" s="16"/>
      <c r="M5158" s="16"/>
      <c r="N5158" s="16"/>
      <c r="O5158" s="17"/>
      <c r="P5158" s="5" t="str">
        <f t="shared" si="116"/>
        <v>Truncate table X999JI;</v>
      </c>
      <c r="Q5158" s="5"/>
      <c r="R5158" s="5"/>
    </row>
    <row r="5159" spans="2:18" x14ac:dyDescent="0.25">
      <c r="B5159" s="19" t="s">
        <v>6786</v>
      </c>
      <c r="C5159" s="16"/>
      <c r="D5159" s="16" t="s">
        <v>29</v>
      </c>
      <c r="E5159" s="16"/>
      <c r="F5159" s="5"/>
      <c r="G5159" s="16" t="s">
        <v>35</v>
      </c>
      <c r="H5159" s="16"/>
      <c r="I5159" s="16"/>
      <c r="J5159" s="16"/>
      <c r="K5159" s="16"/>
      <c r="L5159" s="16"/>
      <c r="M5159" s="16"/>
      <c r="N5159" s="16"/>
      <c r="O5159" s="17"/>
      <c r="P5159" s="5" t="str">
        <f t="shared" si="116"/>
        <v>Truncate table X999JJ;</v>
      </c>
      <c r="Q5159" s="5"/>
      <c r="R5159" s="5"/>
    </row>
    <row r="5160" spans="2:18" x14ac:dyDescent="0.25">
      <c r="B5160" s="19" t="s">
        <v>6787</v>
      </c>
      <c r="C5160" s="16"/>
      <c r="D5160" s="16" t="s">
        <v>29</v>
      </c>
      <c r="E5160" s="16"/>
      <c r="F5160" s="5"/>
      <c r="G5160" s="16" t="s">
        <v>35</v>
      </c>
      <c r="H5160" s="16"/>
      <c r="I5160" s="16"/>
      <c r="J5160" s="16"/>
      <c r="K5160" s="16"/>
      <c r="L5160" s="16"/>
      <c r="M5160" s="16"/>
      <c r="N5160" s="16"/>
      <c r="O5160" s="17"/>
      <c r="P5160" s="5" t="str">
        <f t="shared" si="116"/>
        <v>Truncate table X999JK;</v>
      </c>
      <c r="Q5160" s="5"/>
      <c r="R5160" s="5"/>
    </row>
    <row r="5161" spans="2:18" x14ac:dyDescent="0.25">
      <c r="B5161" s="19" t="s">
        <v>6788</v>
      </c>
      <c r="C5161" s="16"/>
      <c r="D5161" s="16" t="s">
        <v>29</v>
      </c>
      <c r="E5161" s="16"/>
      <c r="F5161" s="5"/>
      <c r="G5161" s="16" t="s">
        <v>35</v>
      </c>
      <c r="H5161" s="16"/>
      <c r="I5161" s="16"/>
      <c r="J5161" s="16"/>
      <c r="K5161" s="16"/>
      <c r="L5161" s="16"/>
      <c r="M5161" s="16"/>
      <c r="N5161" s="16"/>
      <c r="O5161" s="17"/>
      <c r="P5161" s="5" t="str">
        <f t="shared" si="116"/>
        <v>Truncate table X999JL;</v>
      </c>
      <c r="Q5161" s="5"/>
      <c r="R5161" s="5"/>
    </row>
    <row r="5162" spans="2:18" x14ac:dyDescent="0.25">
      <c r="B5162" s="19" t="s">
        <v>6789</v>
      </c>
      <c r="C5162" s="16"/>
      <c r="D5162" s="16" t="s">
        <v>29</v>
      </c>
      <c r="E5162" s="16"/>
      <c r="F5162" s="5"/>
      <c r="G5162" s="16" t="s">
        <v>35</v>
      </c>
      <c r="H5162" s="16"/>
      <c r="I5162" s="16"/>
      <c r="J5162" s="16"/>
      <c r="K5162" s="16"/>
      <c r="L5162" s="16"/>
      <c r="M5162" s="16"/>
      <c r="N5162" s="16"/>
      <c r="O5162" s="17"/>
      <c r="P5162" s="5" t="str">
        <f t="shared" si="116"/>
        <v>Truncate table X999JM;</v>
      </c>
      <c r="Q5162" s="5"/>
      <c r="R5162" s="5"/>
    </row>
    <row r="5163" spans="2:18" x14ac:dyDescent="0.25">
      <c r="B5163" s="19" t="s">
        <v>6790</v>
      </c>
      <c r="C5163" s="16"/>
      <c r="D5163" s="16" t="s">
        <v>29</v>
      </c>
      <c r="E5163" s="16"/>
      <c r="F5163" s="5"/>
      <c r="G5163" s="16" t="s">
        <v>35</v>
      </c>
      <c r="H5163" s="16"/>
      <c r="I5163" s="16"/>
      <c r="J5163" s="16"/>
      <c r="K5163" s="16"/>
      <c r="L5163" s="16"/>
      <c r="M5163" s="16"/>
      <c r="N5163" s="16"/>
      <c r="O5163" s="17"/>
      <c r="P5163" s="5" t="str">
        <f t="shared" si="116"/>
        <v>Truncate table X999JN;</v>
      </c>
      <c r="Q5163" s="5"/>
      <c r="R5163" s="5"/>
    </row>
    <row r="5164" spans="2:18" x14ac:dyDescent="0.25">
      <c r="B5164" s="19" t="s">
        <v>6791</v>
      </c>
      <c r="C5164" s="16"/>
      <c r="D5164" s="16" t="s">
        <v>29</v>
      </c>
      <c r="E5164" s="16"/>
      <c r="F5164" s="5"/>
      <c r="G5164" s="16" t="s">
        <v>35</v>
      </c>
      <c r="H5164" s="16"/>
      <c r="I5164" s="16"/>
      <c r="J5164" s="16"/>
      <c r="K5164" s="16"/>
      <c r="L5164" s="16"/>
      <c r="M5164" s="16"/>
      <c r="N5164" s="16"/>
      <c r="O5164" s="17"/>
      <c r="P5164" s="5" t="str">
        <f t="shared" si="116"/>
        <v>Truncate table X999JO;</v>
      </c>
      <c r="Q5164" s="5"/>
      <c r="R5164" s="5"/>
    </row>
    <row r="5165" spans="2:18" x14ac:dyDescent="0.25">
      <c r="B5165" s="19" t="s">
        <v>6792</v>
      </c>
      <c r="C5165" s="16"/>
      <c r="D5165" s="16" t="s">
        <v>29</v>
      </c>
      <c r="E5165" s="16"/>
      <c r="F5165" s="5"/>
      <c r="G5165" s="16" t="s">
        <v>35</v>
      </c>
      <c r="H5165" s="16"/>
      <c r="I5165" s="16"/>
      <c r="J5165" s="16"/>
      <c r="K5165" s="16"/>
      <c r="L5165" s="16"/>
      <c r="M5165" s="16"/>
      <c r="N5165" s="16"/>
      <c r="O5165" s="17"/>
      <c r="P5165" s="5" t="str">
        <f t="shared" si="116"/>
        <v>Truncate table X999JP;</v>
      </c>
      <c r="Q5165" s="5"/>
      <c r="R5165" s="5"/>
    </row>
    <row r="5166" spans="2:18" x14ac:dyDescent="0.25">
      <c r="B5166" s="19" t="s">
        <v>6793</v>
      </c>
      <c r="C5166" s="16"/>
      <c r="D5166" s="16" t="s">
        <v>29</v>
      </c>
      <c r="E5166" s="16"/>
      <c r="F5166" s="5"/>
      <c r="G5166" s="16" t="s">
        <v>35</v>
      </c>
      <c r="H5166" s="16"/>
      <c r="I5166" s="16"/>
      <c r="J5166" s="16"/>
      <c r="K5166" s="16"/>
      <c r="L5166" s="16"/>
      <c r="M5166" s="16"/>
      <c r="N5166" s="16"/>
      <c r="O5166" s="17"/>
      <c r="P5166" s="5" t="str">
        <f t="shared" si="116"/>
        <v>Truncate table X999JQ;</v>
      </c>
      <c r="Q5166" s="5"/>
      <c r="R5166" s="5"/>
    </row>
    <row r="5167" spans="2:18" x14ac:dyDescent="0.25">
      <c r="B5167" s="19" t="s">
        <v>6794</v>
      </c>
      <c r="C5167" s="16"/>
      <c r="D5167" s="16" t="s">
        <v>29</v>
      </c>
      <c r="E5167" s="16"/>
      <c r="F5167" s="5"/>
      <c r="G5167" s="16" t="s">
        <v>35</v>
      </c>
      <c r="H5167" s="16"/>
      <c r="I5167" s="16"/>
      <c r="J5167" s="16"/>
      <c r="K5167" s="16"/>
      <c r="L5167" s="16"/>
      <c r="M5167" s="16"/>
      <c r="N5167" s="16"/>
      <c r="O5167" s="17"/>
      <c r="P5167" s="5" t="str">
        <f t="shared" si="116"/>
        <v>Truncate table X999JR;</v>
      </c>
      <c r="Q5167" s="5"/>
      <c r="R5167" s="5"/>
    </row>
    <row r="5168" spans="2:18" x14ac:dyDescent="0.25">
      <c r="B5168" s="19" t="s">
        <v>6795</v>
      </c>
      <c r="C5168" s="16"/>
      <c r="D5168" s="16" t="s">
        <v>29</v>
      </c>
      <c r="E5168" s="16"/>
      <c r="F5168" s="5"/>
      <c r="G5168" s="16" t="s">
        <v>35</v>
      </c>
      <c r="H5168" s="16"/>
      <c r="I5168" s="16"/>
      <c r="J5168" s="16"/>
      <c r="K5168" s="16"/>
      <c r="L5168" s="16"/>
      <c r="M5168" s="16"/>
      <c r="N5168" s="16"/>
      <c r="O5168" s="17"/>
      <c r="P5168" s="5" t="str">
        <f t="shared" si="116"/>
        <v>Truncate table X999JS;</v>
      </c>
      <c r="Q5168" s="5"/>
      <c r="R5168" s="5"/>
    </row>
    <row r="5169" spans="2:22" x14ac:dyDescent="0.25">
      <c r="B5169" s="19" t="s">
        <v>6796</v>
      </c>
      <c r="C5169" s="16"/>
      <c r="D5169" s="16" t="s">
        <v>29</v>
      </c>
      <c r="E5169" s="16"/>
      <c r="F5169" s="5"/>
      <c r="G5169" s="16" t="s">
        <v>35</v>
      </c>
      <c r="H5169" s="16"/>
      <c r="I5169" s="16"/>
      <c r="J5169" s="16"/>
      <c r="K5169" s="16"/>
      <c r="L5169" s="16"/>
      <c r="M5169" s="16"/>
      <c r="N5169" s="16"/>
      <c r="O5169" s="17"/>
      <c r="P5169" s="5" t="str">
        <f t="shared" si="116"/>
        <v>Truncate table X999JT;</v>
      </c>
      <c r="Q5169" s="5"/>
      <c r="R5169" s="5"/>
    </row>
    <row r="5170" spans="2:22" x14ac:dyDescent="0.25">
      <c r="B5170" s="19" t="s">
        <v>6797</v>
      </c>
      <c r="C5170" s="16" t="s">
        <v>9652</v>
      </c>
      <c r="D5170" s="16" t="s">
        <v>29</v>
      </c>
      <c r="E5170" s="16" t="s">
        <v>151</v>
      </c>
      <c r="F5170" s="5" t="s">
        <v>8216</v>
      </c>
      <c r="G5170" s="16" t="s">
        <v>35</v>
      </c>
      <c r="H5170" s="16" t="s">
        <v>12</v>
      </c>
      <c r="I5170" s="16"/>
      <c r="J5170" s="16"/>
      <c r="K5170" s="16" t="s">
        <v>9653</v>
      </c>
      <c r="L5170" s="16"/>
      <c r="M5170" s="16"/>
      <c r="N5170" s="16"/>
      <c r="O5170" s="17"/>
      <c r="P5170" s="5" t="str">
        <f t="shared" si="116"/>
        <v>Truncate table X999JU;</v>
      </c>
      <c r="Q5170" s="5"/>
      <c r="R5170" s="5"/>
    </row>
    <row r="5171" spans="2:22" x14ac:dyDescent="0.25">
      <c r="B5171" s="19" t="s">
        <v>6798</v>
      </c>
      <c r="C5171" s="16" t="s">
        <v>9654</v>
      </c>
      <c r="D5171" s="16" t="s">
        <v>29</v>
      </c>
      <c r="E5171" s="16" t="s">
        <v>151</v>
      </c>
      <c r="F5171" s="5" t="s">
        <v>8216</v>
      </c>
      <c r="G5171" s="16" t="s">
        <v>35</v>
      </c>
      <c r="H5171" s="16" t="s">
        <v>12</v>
      </c>
      <c r="I5171" s="16"/>
      <c r="J5171" s="16"/>
      <c r="K5171" s="16" t="s">
        <v>9653</v>
      </c>
      <c r="L5171" s="16"/>
      <c r="M5171" s="16"/>
      <c r="N5171" s="16"/>
      <c r="O5171" s="17"/>
      <c r="P5171" s="5" t="str">
        <f t="shared" si="116"/>
        <v>Truncate table X999JV;</v>
      </c>
      <c r="Q5171" s="5"/>
      <c r="R5171" s="5"/>
    </row>
    <row r="5172" spans="2:22" x14ac:dyDescent="0.25">
      <c r="B5172" s="19" t="s">
        <v>6799</v>
      </c>
      <c r="C5172" s="16"/>
      <c r="D5172" s="16" t="s">
        <v>29</v>
      </c>
      <c r="E5172" s="16"/>
      <c r="F5172" s="5"/>
      <c r="G5172" s="16" t="s">
        <v>35</v>
      </c>
      <c r="H5172" s="16"/>
      <c r="I5172" s="16"/>
      <c r="J5172" s="16"/>
      <c r="K5172" s="16"/>
      <c r="L5172" s="16"/>
      <c r="M5172" s="16"/>
      <c r="N5172" s="16"/>
      <c r="O5172" s="17"/>
      <c r="P5172" s="5" t="str">
        <f t="shared" si="116"/>
        <v>Truncate table X999JW;</v>
      </c>
      <c r="Q5172" s="5"/>
      <c r="R5172" s="5"/>
    </row>
    <row r="5173" spans="2:22" x14ac:dyDescent="0.25">
      <c r="B5173" s="19" t="s">
        <v>6800</v>
      </c>
      <c r="C5173" s="16"/>
      <c r="D5173" s="16" t="s">
        <v>29</v>
      </c>
      <c r="E5173" s="16"/>
      <c r="F5173" s="5"/>
      <c r="G5173" s="16" t="s">
        <v>35</v>
      </c>
      <c r="H5173" s="16"/>
      <c r="I5173" s="16"/>
      <c r="J5173" s="16"/>
      <c r="K5173" s="16"/>
      <c r="L5173" s="16"/>
      <c r="M5173" s="16"/>
      <c r="N5173" s="16"/>
      <c r="O5173" s="17"/>
      <c r="P5173" s="5" t="str">
        <f t="shared" si="116"/>
        <v>Truncate table X999JX;</v>
      </c>
      <c r="Q5173" s="5"/>
      <c r="R5173" s="5"/>
    </row>
    <row r="5174" spans="2:22" x14ac:dyDescent="0.25">
      <c r="B5174" s="19" t="s">
        <v>6801</v>
      </c>
      <c r="C5174" s="16"/>
      <c r="D5174" s="16" t="s">
        <v>29</v>
      </c>
      <c r="E5174" s="16"/>
      <c r="F5174" s="5"/>
      <c r="G5174" s="16" t="s">
        <v>35</v>
      </c>
      <c r="H5174" s="16"/>
      <c r="I5174" s="16"/>
      <c r="J5174" s="16"/>
      <c r="K5174" s="16"/>
      <c r="L5174" s="16"/>
      <c r="M5174" s="16"/>
      <c r="N5174" s="16"/>
      <c r="O5174" s="17"/>
      <c r="P5174" s="5" t="str">
        <f t="shared" si="116"/>
        <v>Truncate table X999JY;</v>
      </c>
      <c r="Q5174" s="5"/>
      <c r="R5174" s="5"/>
    </row>
    <row r="5175" spans="2:22" x14ac:dyDescent="0.25">
      <c r="B5175" s="19" t="s">
        <v>6802</v>
      </c>
      <c r="C5175" s="16"/>
      <c r="D5175" s="16" t="s">
        <v>29</v>
      </c>
      <c r="E5175" s="16"/>
      <c r="F5175" s="5"/>
      <c r="G5175" s="16" t="s">
        <v>35</v>
      </c>
      <c r="H5175" s="16"/>
      <c r="I5175" s="16"/>
      <c r="J5175" s="16"/>
      <c r="K5175" s="16"/>
      <c r="L5175" s="16"/>
      <c r="M5175" s="16"/>
      <c r="N5175" s="16"/>
      <c r="O5175" s="17"/>
      <c r="P5175" s="5" t="str">
        <f t="shared" si="116"/>
        <v>Truncate table X999JZ;</v>
      </c>
      <c r="Q5175" s="5"/>
      <c r="R5175" s="5"/>
    </row>
    <row r="5176" spans="2:22" x14ac:dyDescent="0.25">
      <c r="B5176" s="19" t="s">
        <v>6803</v>
      </c>
      <c r="C5176" s="16"/>
      <c r="D5176" s="16" t="s">
        <v>29</v>
      </c>
      <c r="E5176" s="16"/>
      <c r="F5176" s="5"/>
      <c r="G5176" s="16" t="s">
        <v>35</v>
      </c>
      <c r="H5176" s="16"/>
      <c r="I5176" s="16"/>
      <c r="J5176" s="16"/>
      <c r="K5176" s="16"/>
      <c r="L5176" s="16"/>
      <c r="M5176" s="16"/>
      <c r="N5176" s="16"/>
      <c r="O5176" s="17"/>
      <c r="P5176" s="5" t="str">
        <f t="shared" si="116"/>
        <v>Truncate table X999LG;</v>
      </c>
      <c r="Q5176" s="5"/>
      <c r="R5176" s="5"/>
    </row>
    <row r="5177" spans="2:22" x14ac:dyDescent="0.25">
      <c r="B5177" s="19" t="s">
        <v>6804</v>
      </c>
      <c r="C5177" s="16"/>
      <c r="D5177" s="16" t="s">
        <v>29</v>
      </c>
      <c r="E5177" s="16"/>
      <c r="F5177" s="5"/>
      <c r="G5177" s="16" t="s">
        <v>35</v>
      </c>
      <c r="H5177" s="16"/>
      <c r="I5177" s="16"/>
      <c r="J5177" s="16"/>
      <c r="K5177" s="16"/>
      <c r="L5177" s="16"/>
      <c r="M5177" s="16"/>
      <c r="N5177" s="16"/>
      <c r="O5177" s="17"/>
      <c r="P5177" s="5" t="str">
        <f t="shared" si="116"/>
        <v>Truncate table X999S1;</v>
      </c>
      <c r="Q5177" s="5"/>
      <c r="R5177" s="5"/>
    </row>
    <row r="5178" spans="2:22" x14ac:dyDescent="0.25">
      <c r="B5178" s="19" t="s">
        <v>6805</v>
      </c>
      <c r="C5178" s="16" t="s">
        <v>6753</v>
      </c>
      <c r="D5178" s="16" t="s">
        <v>29</v>
      </c>
      <c r="E5178" s="16" t="s">
        <v>734</v>
      </c>
      <c r="F5178" s="5" t="s">
        <v>6754</v>
      </c>
      <c r="G5178" s="16" t="s">
        <v>35</v>
      </c>
      <c r="H5178" s="16" t="s">
        <v>36</v>
      </c>
      <c r="I5178" s="16"/>
      <c r="J5178" s="16"/>
      <c r="K5178" s="16"/>
      <c r="L5178" s="16"/>
      <c r="M5178" s="16"/>
      <c r="N5178" s="16"/>
      <c r="O5178" s="17" t="s">
        <v>38</v>
      </c>
      <c r="P5178" s="5" t="str">
        <f t="shared" si="116"/>
        <v>Truncate table X999TD0;</v>
      </c>
      <c r="Q5178" s="5"/>
      <c r="R5178" s="5"/>
    </row>
    <row r="5179" spans="2:22" x14ac:dyDescent="0.25">
      <c r="B5179" s="19" t="s">
        <v>6806</v>
      </c>
      <c r="C5179" s="16" t="s">
        <v>6753</v>
      </c>
      <c r="D5179" s="16" t="s">
        <v>29</v>
      </c>
      <c r="E5179" s="16" t="s">
        <v>734</v>
      </c>
      <c r="F5179" s="5" t="s">
        <v>6754</v>
      </c>
      <c r="G5179" s="16" t="s">
        <v>35</v>
      </c>
      <c r="H5179" s="16" t="s">
        <v>36</v>
      </c>
      <c r="I5179" s="16"/>
      <c r="J5179" s="16"/>
      <c r="K5179" s="16"/>
      <c r="L5179" s="16"/>
      <c r="M5179" s="16"/>
      <c r="N5179" s="16"/>
      <c r="O5179" s="17" t="s">
        <v>38</v>
      </c>
      <c r="P5179" s="5" t="str">
        <f t="shared" si="116"/>
        <v>Truncate table X999TD1;</v>
      </c>
      <c r="Q5179" s="5"/>
      <c r="R5179" s="5"/>
    </row>
    <row r="5180" spans="2:22" x14ac:dyDescent="0.25">
      <c r="B5180" s="19" t="s">
        <v>6807</v>
      </c>
      <c r="C5180" s="16"/>
      <c r="D5180" s="16" t="s">
        <v>29</v>
      </c>
      <c r="E5180" s="16"/>
      <c r="F5180" s="5"/>
      <c r="G5180" s="16" t="s">
        <v>35</v>
      </c>
      <c r="H5180" s="16"/>
      <c r="I5180" s="16"/>
      <c r="J5180" s="16"/>
      <c r="K5180" s="16"/>
      <c r="L5180" s="16"/>
      <c r="M5180" s="16"/>
      <c r="N5180" s="16"/>
      <c r="O5180" s="17"/>
      <c r="P5180" s="5" t="str">
        <f t="shared" si="116"/>
        <v>Truncate table X999TD2;</v>
      </c>
      <c r="Q5180" s="5"/>
      <c r="R5180" s="5"/>
    </row>
    <row r="5181" spans="2:22" x14ac:dyDescent="0.25">
      <c r="B5181" s="19" t="s">
        <v>6808</v>
      </c>
      <c r="C5181" s="16"/>
      <c r="D5181" s="16" t="s">
        <v>29</v>
      </c>
      <c r="E5181" s="16"/>
      <c r="F5181" s="5"/>
      <c r="G5181" s="16" t="s">
        <v>35</v>
      </c>
      <c r="H5181" s="16"/>
      <c r="I5181" s="16"/>
      <c r="J5181" s="16"/>
      <c r="K5181" s="16"/>
      <c r="L5181" s="16"/>
      <c r="M5181" s="16"/>
      <c r="N5181" s="16"/>
      <c r="O5181" s="17"/>
      <c r="P5181" s="5" t="str">
        <f t="shared" si="116"/>
        <v>Truncate table X999TD3;</v>
      </c>
      <c r="Q5181" s="5"/>
      <c r="R5181" s="5"/>
    </row>
    <row r="5182" spans="2:22" ht="54" x14ac:dyDescent="0.25">
      <c r="B5182" s="19" t="s">
        <v>6809</v>
      </c>
      <c r="C5182" s="16" t="s">
        <v>9737</v>
      </c>
      <c r="D5182" s="16" t="s">
        <v>29</v>
      </c>
      <c r="E5182" s="16" t="s">
        <v>54</v>
      </c>
      <c r="F5182" s="16" t="s">
        <v>1030</v>
      </c>
      <c r="G5182" s="16" t="s">
        <v>35</v>
      </c>
      <c r="H5182" s="16" t="s">
        <v>36</v>
      </c>
      <c r="I5182" s="16"/>
      <c r="J5182" s="16"/>
      <c r="K5182" s="16"/>
      <c r="L5182" s="16" t="s">
        <v>9752</v>
      </c>
      <c r="M5182" s="16"/>
      <c r="N5182" s="16"/>
      <c r="O5182" s="17" t="s">
        <v>38</v>
      </c>
      <c r="P5182" s="16" t="str">
        <f t="shared" si="116"/>
        <v>Truncate table XCR001;</v>
      </c>
      <c r="Q5182" s="16" t="s">
        <v>7606</v>
      </c>
      <c r="R5182" s="16"/>
      <c r="S5182"/>
      <c r="T5182"/>
      <c r="U5182"/>
      <c r="V5182"/>
    </row>
    <row r="5183" spans="2:22" ht="54" x14ac:dyDescent="0.25">
      <c r="B5183" s="19" t="s">
        <v>6810</v>
      </c>
      <c r="C5183" s="16" t="s">
        <v>9279</v>
      </c>
      <c r="D5183" s="16" t="s">
        <v>29</v>
      </c>
      <c r="E5183" s="16" t="s">
        <v>54</v>
      </c>
      <c r="F5183" s="16" t="s">
        <v>1030</v>
      </c>
      <c r="G5183" s="16" t="s">
        <v>35</v>
      </c>
      <c r="H5183" s="16" t="s">
        <v>36</v>
      </c>
      <c r="I5183" s="16"/>
      <c r="J5183" s="16"/>
      <c r="K5183" s="16"/>
      <c r="L5183" s="16" t="s">
        <v>9752</v>
      </c>
      <c r="M5183" s="16"/>
      <c r="N5183" s="16"/>
      <c r="O5183" s="17" t="s">
        <v>38</v>
      </c>
      <c r="P5183" s="16" t="str">
        <f t="shared" si="116"/>
        <v>Truncate table XCR002;</v>
      </c>
      <c r="Q5183" s="16" t="s">
        <v>7606</v>
      </c>
      <c r="R5183" s="16"/>
      <c r="S5183"/>
      <c r="T5183"/>
      <c r="U5183"/>
      <c r="V5183"/>
    </row>
    <row r="5184" spans="2:22" ht="54" x14ac:dyDescent="0.25">
      <c r="B5184" s="19" t="s">
        <v>6811</v>
      </c>
      <c r="C5184" s="16" t="s">
        <v>9738</v>
      </c>
      <c r="D5184" s="16" t="s">
        <v>29</v>
      </c>
      <c r="E5184" s="16" t="s">
        <v>54</v>
      </c>
      <c r="F5184" s="16" t="s">
        <v>1030</v>
      </c>
      <c r="G5184" s="16" t="s">
        <v>35</v>
      </c>
      <c r="H5184" s="16" t="s">
        <v>36</v>
      </c>
      <c r="I5184" s="16"/>
      <c r="J5184" s="16"/>
      <c r="K5184" s="16"/>
      <c r="L5184" s="16" t="s">
        <v>9752</v>
      </c>
      <c r="M5184" s="16"/>
      <c r="N5184" s="16"/>
      <c r="O5184" s="17" t="s">
        <v>38</v>
      </c>
      <c r="P5184" s="16" t="str">
        <f t="shared" si="116"/>
        <v>Truncate table XCR003;</v>
      </c>
      <c r="Q5184" s="16" t="s">
        <v>7606</v>
      </c>
      <c r="R5184" s="16"/>
      <c r="S5184"/>
      <c r="T5184"/>
      <c r="U5184"/>
      <c r="V5184"/>
    </row>
    <row r="5185" spans="2:22" ht="54" x14ac:dyDescent="0.25">
      <c r="B5185" s="19" t="s">
        <v>6813</v>
      </c>
      <c r="C5185" s="16" t="s">
        <v>6812</v>
      </c>
      <c r="D5185" s="16" t="s">
        <v>29</v>
      </c>
      <c r="E5185" s="16" t="s">
        <v>54</v>
      </c>
      <c r="F5185" s="16" t="s">
        <v>1030</v>
      </c>
      <c r="G5185" s="16" t="s">
        <v>35</v>
      </c>
      <c r="H5185" s="16" t="s">
        <v>36</v>
      </c>
      <c r="I5185" s="16"/>
      <c r="J5185" s="16"/>
      <c r="K5185" s="16"/>
      <c r="L5185" s="16" t="s">
        <v>9752</v>
      </c>
      <c r="M5185" s="16"/>
      <c r="N5185" s="16"/>
      <c r="O5185" s="17" t="s">
        <v>38</v>
      </c>
      <c r="P5185" s="16" t="str">
        <f t="shared" si="116"/>
        <v>Truncate table XCR004;</v>
      </c>
      <c r="Q5185" s="16" t="s">
        <v>7606</v>
      </c>
      <c r="R5185" s="16"/>
      <c r="S5185"/>
      <c r="T5185"/>
      <c r="U5185"/>
      <c r="V5185"/>
    </row>
    <row r="5186" spans="2:22" ht="54" x14ac:dyDescent="0.25">
      <c r="B5186" s="19" t="s">
        <v>6814</v>
      </c>
      <c r="C5186" s="16" t="s">
        <v>9739</v>
      </c>
      <c r="D5186" s="16" t="s">
        <v>29</v>
      </c>
      <c r="E5186" s="16" t="s">
        <v>54</v>
      </c>
      <c r="F5186" s="16" t="s">
        <v>1030</v>
      </c>
      <c r="G5186" s="16" t="s">
        <v>35</v>
      </c>
      <c r="H5186" s="16" t="s">
        <v>36</v>
      </c>
      <c r="I5186" s="16"/>
      <c r="J5186" s="16"/>
      <c r="K5186" s="16"/>
      <c r="L5186" s="16" t="s">
        <v>9752</v>
      </c>
      <c r="M5186" s="16"/>
      <c r="N5186" s="16"/>
      <c r="O5186" s="17" t="s">
        <v>38</v>
      </c>
      <c r="P5186" s="16" t="str">
        <f t="shared" si="116"/>
        <v>Truncate table XCR005;</v>
      </c>
      <c r="Q5186" s="16" t="s">
        <v>7606</v>
      </c>
      <c r="R5186" s="16"/>
      <c r="S5186"/>
      <c r="T5186"/>
      <c r="U5186"/>
      <c r="V5186"/>
    </row>
    <row r="5187" spans="2:22" ht="54" x14ac:dyDescent="0.25">
      <c r="B5187" s="19" t="s">
        <v>6815</v>
      </c>
      <c r="C5187" s="16" t="s">
        <v>9740</v>
      </c>
      <c r="D5187" s="16" t="s">
        <v>29</v>
      </c>
      <c r="E5187" s="16" t="s">
        <v>54</v>
      </c>
      <c r="F5187" s="16" t="s">
        <v>1030</v>
      </c>
      <c r="G5187" s="16" t="s">
        <v>35</v>
      </c>
      <c r="H5187" s="16" t="s">
        <v>36</v>
      </c>
      <c r="I5187" s="16"/>
      <c r="J5187" s="16"/>
      <c r="K5187" s="16"/>
      <c r="L5187" s="16" t="s">
        <v>9752</v>
      </c>
      <c r="M5187" s="16"/>
      <c r="N5187" s="16"/>
      <c r="O5187" s="17" t="s">
        <v>38</v>
      </c>
      <c r="P5187" s="16" t="str">
        <f t="shared" si="116"/>
        <v>Truncate table XCR006;</v>
      </c>
      <c r="Q5187" s="16" t="s">
        <v>7606</v>
      </c>
      <c r="R5187" s="16"/>
      <c r="S5187"/>
      <c r="T5187"/>
      <c r="U5187"/>
      <c r="V5187"/>
    </row>
    <row r="5188" spans="2:22" ht="54" x14ac:dyDescent="0.25">
      <c r="B5188" s="19" t="s">
        <v>6816</v>
      </c>
      <c r="C5188" s="16" t="s">
        <v>9743</v>
      </c>
      <c r="D5188" s="16" t="s">
        <v>8152</v>
      </c>
      <c r="E5188" s="16" t="s">
        <v>54</v>
      </c>
      <c r="F5188" s="16" t="s">
        <v>1030</v>
      </c>
      <c r="G5188" s="16" t="s">
        <v>35</v>
      </c>
      <c r="H5188" s="16" t="s">
        <v>36</v>
      </c>
      <c r="I5188" s="16"/>
      <c r="J5188" s="16"/>
      <c r="K5188" s="16"/>
      <c r="L5188" s="16" t="s">
        <v>9752</v>
      </c>
      <c r="M5188" s="16"/>
      <c r="N5188" s="16"/>
      <c r="O5188" s="17" t="s">
        <v>38</v>
      </c>
      <c r="P5188" s="16" t="str">
        <f t="shared" si="116"/>
        <v/>
      </c>
      <c r="Q5188" s="16" t="s">
        <v>7606</v>
      </c>
      <c r="R5188" s="16"/>
      <c r="S5188"/>
      <c r="T5188"/>
      <c r="U5188"/>
      <c r="V5188"/>
    </row>
    <row r="5189" spans="2:22" ht="54" x14ac:dyDescent="0.25">
      <c r="B5189" s="19" t="s">
        <v>6817</v>
      </c>
      <c r="C5189" s="16" t="s">
        <v>9744</v>
      </c>
      <c r="D5189" s="16" t="s">
        <v>8152</v>
      </c>
      <c r="E5189" s="16" t="s">
        <v>54</v>
      </c>
      <c r="F5189" s="16" t="s">
        <v>1030</v>
      </c>
      <c r="G5189" s="16" t="s">
        <v>35</v>
      </c>
      <c r="H5189" s="16" t="s">
        <v>36</v>
      </c>
      <c r="I5189" s="16"/>
      <c r="J5189" s="16"/>
      <c r="K5189" s="16"/>
      <c r="L5189" s="16" t="s">
        <v>9752</v>
      </c>
      <c r="M5189" s="16"/>
      <c r="N5189" s="16"/>
      <c r="O5189" s="17" t="s">
        <v>38</v>
      </c>
      <c r="P5189" s="16" t="str">
        <f t="shared" si="116"/>
        <v/>
      </c>
      <c r="Q5189" s="16" t="s">
        <v>7606</v>
      </c>
      <c r="R5189" s="16"/>
      <c r="S5189"/>
      <c r="T5189"/>
      <c r="U5189"/>
      <c r="V5189"/>
    </row>
    <row r="5190" spans="2:22" ht="54" x14ac:dyDescent="0.25">
      <c r="B5190" s="19" t="s">
        <v>6818</v>
      </c>
      <c r="C5190" s="16" t="s">
        <v>9745</v>
      </c>
      <c r="D5190" s="16" t="s">
        <v>8152</v>
      </c>
      <c r="E5190" s="16" t="s">
        <v>54</v>
      </c>
      <c r="F5190" s="16" t="s">
        <v>1030</v>
      </c>
      <c r="G5190" s="16" t="s">
        <v>35</v>
      </c>
      <c r="H5190" s="16" t="s">
        <v>36</v>
      </c>
      <c r="I5190" s="16"/>
      <c r="J5190" s="16"/>
      <c r="K5190" s="16"/>
      <c r="L5190" s="16" t="s">
        <v>9752</v>
      </c>
      <c r="M5190" s="16"/>
      <c r="N5190" s="16"/>
      <c r="O5190" s="17" t="s">
        <v>38</v>
      </c>
      <c r="P5190" s="16" t="str">
        <f t="shared" si="116"/>
        <v/>
      </c>
      <c r="Q5190" s="16" t="s">
        <v>7606</v>
      </c>
      <c r="R5190" s="16"/>
      <c r="S5190"/>
      <c r="T5190"/>
      <c r="U5190"/>
      <c r="V5190"/>
    </row>
    <row r="5191" spans="2:22" ht="54" x14ac:dyDescent="0.25">
      <c r="B5191" s="19" t="s">
        <v>6819</v>
      </c>
      <c r="C5191" s="16" t="s">
        <v>9741</v>
      </c>
      <c r="D5191" s="16" t="s">
        <v>29</v>
      </c>
      <c r="E5191" s="16" t="s">
        <v>54</v>
      </c>
      <c r="F5191" s="16" t="s">
        <v>1030</v>
      </c>
      <c r="G5191" s="16" t="s">
        <v>35</v>
      </c>
      <c r="H5191" s="16" t="s">
        <v>36</v>
      </c>
      <c r="I5191" s="16"/>
      <c r="J5191" s="16"/>
      <c r="K5191" s="16"/>
      <c r="L5191" s="16" t="s">
        <v>9752</v>
      </c>
      <c r="M5191" s="16"/>
      <c r="N5191" s="16"/>
      <c r="O5191" s="17" t="s">
        <v>38</v>
      </c>
      <c r="P5191" s="16" t="str">
        <f t="shared" si="116"/>
        <v>Truncate table XCR010;</v>
      </c>
      <c r="Q5191" s="16" t="s">
        <v>7606</v>
      </c>
      <c r="R5191" s="16"/>
      <c r="S5191"/>
      <c r="T5191"/>
      <c r="U5191"/>
      <c r="V5191"/>
    </row>
    <row r="5192" spans="2:22" ht="54" x14ac:dyDescent="0.25">
      <c r="B5192" s="19" t="s">
        <v>6820</v>
      </c>
      <c r="C5192" s="16" t="s">
        <v>9746</v>
      </c>
      <c r="D5192" s="16" t="s">
        <v>29</v>
      </c>
      <c r="E5192" s="16" t="s">
        <v>54</v>
      </c>
      <c r="F5192" s="16" t="s">
        <v>1030</v>
      </c>
      <c r="G5192" s="16" t="s">
        <v>35</v>
      </c>
      <c r="H5192" s="16" t="s">
        <v>36</v>
      </c>
      <c r="I5192" s="16"/>
      <c r="J5192" s="16"/>
      <c r="K5192" s="16"/>
      <c r="L5192" s="16" t="s">
        <v>9752</v>
      </c>
      <c r="M5192" s="16"/>
      <c r="N5192" s="16"/>
      <c r="O5192" s="17" t="s">
        <v>38</v>
      </c>
      <c r="P5192" s="16" t="str">
        <f t="shared" si="116"/>
        <v>Truncate table XCR011;</v>
      </c>
      <c r="Q5192" s="16" t="s">
        <v>7606</v>
      </c>
      <c r="R5192" s="16"/>
      <c r="S5192"/>
      <c r="T5192"/>
      <c r="U5192"/>
      <c r="V5192"/>
    </row>
    <row r="5193" spans="2:22" ht="54" x14ac:dyDescent="0.25">
      <c r="B5193" s="19" t="s">
        <v>6821</v>
      </c>
      <c r="C5193" s="16" t="s">
        <v>9747</v>
      </c>
      <c r="D5193" s="16" t="s">
        <v>29</v>
      </c>
      <c r="E5193" s="16" t="s">
        <v>54</v>
      </c>
      <c r="F5193" s="16" t="s">
        <v>1030</v>
      </c>
      <c r="G5193" s="16" t="s">
        <v>35</v>
      </c>
      <c r="H5193" s="16" t="s">
        <v>36</v>
      </c>
      <c r="I5193" s="16"/>
      <c r="J5193" s="16"/>
      <c r="K5193" s="16"/>
      <c r="L5193" s="16" t="s">
        <v>9752</v>
      </c>
      <c r="M5193" s="16"/>
      <c r="N5193" s="16"/>
      <c r="O5193" s="17"/>
      <c r="P5193" s="16" t="str">
        <f t="shared" si="116"/>
        <v>Truncate table XCR012;</v>
      </c>
      <c r="Q5193" s="16" t="s">
        <v>7606</v>
      </c>
      <c r="R5193" s="16"/>
      <c r="S5193"/>
      <c r="T5193"/>
      <c r="U5193"/>
      <c r="V5193"/>
    </row>
    <row r="5194" spans="2:22" ht="54" x14ac:dyDescent="0.25">
      <c r="B5194" s="19" t="s">
        <v>6822</v>
      </c>
      <c r="C5194" s="16" t="s">
        <v>9748</v>
      </c>
      <c r="D5194" s="16" t="s">
        <v>29</v>
      </c>
      <c r="E5194" s="16" t="s">
        <v>54</v>
      </c>
      <c r="F5194" s="16" t="s">
        <v>1030</v>
      </c>
      <c r="G5194" s="16" t="s">
        <v>35</v>
      </c>
      <c r="H5194" s="16" t="s">
        <v>36</v>
      </c>
      <c r="I5194" s="16"/>
      <c r="J5194" s="16"/>
      <c r="K5194" s="16"/>
      <c r="L5194" s="16" t="s">
        <v>9752</v>
      </c>
      <c r="M5194" s="16"/>
      <c r="N5194" s="16"/>
      <c r="O5194" s="17"/>
      <c r="P5194" s="16" t="str">
        <f t="shared" si="116"/>
        <v>Truncate table XCR013;</v>
      </c>
      <c r="Q5194" s="16" t="s">
        <v>7606</v>
      </c>
      <c r="R5194" s="16"/>
      <c r="S5194"/>
      <c r="T5194"/>
      <c r="U5194"/>
      <c r="V5194"/>
    </row>
    <row r="5195" spans="2:22" ht="54" x14ac:dyDescent="0.25">
      <c r="B5195" s="19" t="s">
        <v>6823</v>
      </c>
      <c r="C5195" s="16" t="s">
        <v>9749</v>
      </c>
      <c r="D5195" s="16" t="s">
        <v>29</v>
      </c>
      <c r="E5195" s="16" t="s">
        <v>54</v>
      </c>
      <c r="F5195" s="16" t="s">
        <v>1030</v>
      </c>
      <c r="G5195" s="16" t="s">
        <v>35</v>
      </c>
      <c r="H5195" s="16" t="s">
        <v>36</v>
      </c>
      <c r="I5195" s="16"/>
      <c r="J5195" s="16"/>
      <c r="K5195" s="16"/>
      <c r="L5195" s="16" t="s">
        <v>9752</v>
      </c>
      <c r="M5195" s="16"/>
      <c r="N5195" s="16"/>
      <c r="O5195" s="17"/>
      <c r="P5195" s="16" t="str">
        <f t="shared" si="116"/>
        <v>Truncate table XCR014;</v>
      </c>
      <c r="Q5195" s="16" t="s">
        <v>7606</v>
      </c>
      <c r="R5195" s="16"/>
      <c r="S5195"/>
      <c r="T5195"/>
      <c r="U5195"/>
      <c r="V5195"/>
    </row>
    <row r="5196" spans="2:22" ht="54" x14ac:dyDescent="0.25">
      <c r="B5196" s="19" t="s">
        <v>6824</v>
      </c>
      <c r="C5196" s="16" t="s">
        <v>9750</v>
      </c>
      <c r="D5196" s="16" t="s">
        <v>29</v>
      </c>
      <c r="E5196" s="16" t="s">
        <v>54</v>
      </c>
      <c r="F5196" s="16" t="s">
        <v>1030</v>
      </c>
      <c r="G5196" s="16" t="s">
        <v>35</v>
      </c>
      <c r="H5196" s="16" t="s">
        <v>36</v>
      </c>
      <c r="I5196" s="16"/>
      <c r="J5196" s="16"/>
      <c r="K5196" s="16"/>
      <c r="L5196" s="16" t="s">
        <v>9752</v>
      </c>
      <c r="M5196" s="16"/>
      <c r="N5196" s="16"/>
      <c r="O5196" s="17"/>
      <c r="P5196" s="16" t="str">
        <f t="shared" si="116"/>
        <v>Truncate table XCR015;</v>
      </c>
      <c r="Q5196" s="16" t="s">
        <v>7606</v>
      </c>
      <c r="R5196" s="16"/>
      <c r="S5196"/>
      <c r="T5196"/>
      <c r="U5196"/>
      <c r="V5196"/>
    </row>
    <row r="5197" spans="2:22" ht="54" x14ac:dyDescent="0.25">
      <c r="B5197" s="19" t="s">
        <v>6825</v>
      </c>
      <c r="C5197" s="16" t="s">
        <v>9751</v>
      </c>
      <c r="D5197" s="16" t="s">
        <v>29</v>
      </c>
      <c r="E5197" s="16" t="s">
        <v>54</v>
      </c>
      <c r="F5197" s="16" t="s">
        <v>1030</v>
      </c>
      <c r="G5197" s="16" t="s">
        <v>35</v>
      </c>
      <c r="H5197" s="16" t="s">
        <v>36</v>
      </c>
      <c r="I5197" s="16"/>
      <c r="J5197" s="16"/>
      <c r="K5197" s="16"/>
      <c r="L5197" s="16" t="s">
        <v>9752</v>
      </c>
      <c r="M5197" s="16"/>
      <c r="N5197" s="16"/>
      <c r="O5197" s="17"/>
      <c r="P5197" s="16" t="str">
        <f t="shared" si="116"/>
        <v>Truncate table XCR016;</v>
      </c>
      <c r="Q5197" s="16" t="s">
        <v>7606</v>
      </c>
      <c r="R5197" s="16"/>
      <c r="S5197"/>
      <c r="T5197"/>
      <c r="U5197"/>
      <c r="V5197"/>
    </row>
    <row r="5198" spans="2:22" ht="54" x14ac:dyDescent="0.25">
      <c r="B5198" s="19" t="s">
        <v>6826</v>
      </c>
      <c r="C5198" s="16" t="s">
        <v>6827</v>
      </c>
      <c r="D5198" s="16" t="s">
        <v>29</v>
      </c>
      <c r="E5198" s="16" t="s">
        <v>54</v>
      </c>
      <c r="F5198" s="16" t="s">
        <v>1030</v>
      </c>
      <c r="G5198" s="16" t="s">
        <v>35</v>
      </c>
      <c r="H5198" s="16" t="s">
        <v>36</v>
      </c>
      <c r="I5198" s="16"/>
      <c r="J5198" s="16"/>
      <c r="K5198" s="16"/>
      <c r="L5198" s="16" t="s">
        <v>9752</v>
      </c>
      <c r="M5198" s="16"/>
      <c r="N5198" s="16"/>
      <c r="O5198" s="17" t="s">
        <v>38</v>
      </c>
      <c r="P5198" s="16" t="str">
        <f t="shared" si="116"/>
        <v>Truncate table XCR017;</v>
      </c>
      <c r="Q5198" s="16" t="s">
        <v>7606</v>
      </c>
      <c r="R5198" s="16"/>
      <c r="S5198"/>
      <c r="T5198"/>
      <c r="U5198"/>
      <c r="V5198"/>
    </row>
    <row r="5199" spans="2:22" ht="54" x14ac:dyDescent="0.25">
      <c r="B5199" s="19" t="s">
        <v>6828</v>
      </c>
      <c r="C5199" s="16" t="s">
        <v>9742</v>
      </c>
      <c r="D5199" s="16" t="s">
        <v>29</v>
      </c>
      <c r="E5199" s="16" t="s">
        <v>54</v>
      </c>
      <c r="F5199" s="16" t="s">
        <v>1030</v>
      </c>
      <c r="G5199" s="16" t="s">
        <v>35</v>
      </c>
      <c r="H5199" s="16" t="s">
        <v>36</v>
      </c>
      <c r="I5199" s="16"/>
      <c r="J5199" s="16"/>
      <c r="K5199" s="16"/>
      <c r="L5199" s="16" t="s">
        <v>9752</v>
      </c>
      <c r="M5199" s="16"/>
      <c r="N5199" s="16"/>
      <c r="O5199" s="17"/>
      <c r="P5199" s="16" t="str">
        <f t="shared" si="116"/>
        <v>Truncate table XCR018;</v>
      </c>
      <c r="Q5199" s="16" t="s">
        <v>7606</v>
      </c>
      <c r="R5199" s="16"/>
      <c r="S5199"/>
      <c r="T5199"/>
      <c r="U5199"/>
      <c r="V5199"/>
    </row>
    <row r="5200" spans="2:22" ht="54" x14ac:dyDescent="0.25">
      <c r="B5200" s="19" t="s">
        <v>6829</v>
      </c>
      <c r="C5200" s="16" t="s">
        <v>6830</v>
      </c>
      <c r="D5200" s="16" t="s">
        <v>29</v>
      </c>
      <c r="E5200" s="16" t="s">
        <v>54</v>
      </c>
      <c r="F5200" s="16" t="s">
        <v>1030</v>
      </c>
      <c r="G5200" s="16" t="s">
        <v>35</v>
      </c>
      <c r="H5200" s="16" t="s">
        <v>36</v>
      </c>
      <c r="I5200" s="16"/>
      <c r="J5200" s="16"/>
      <c r="K5200" s="16"/>
      <c r="L5200" s="16" t="s">
        <v>9752</v>
      </c>
      <c r="M5200" s="16"/>
      <c r="N5200" s="16"/>
      <c r="O5200" s="17" t="s">
        <v>38</v>
      </c>
      <c r="P5200" s="16" t="str">
        <f t="shared" si="116"/>
        <v>Truncate table XCR019;</v>
      </c>
      <c r="Q5200" s="16" t="s">
        <v>7606</v>
      </c>
      <c r="R5200" s="16"/>
      <c r="S5200"/>
      <c r="T5200"/>
      <c r="U5200"/>
      <c r="V5200"/>
    </row>
    <row r="5201" spans="2:18" x14ac:dyDescent="0.25">
      <c r="B5201" s="19" t="s">
        <v>6831</v>
      </c>
      <c r="C5201" s="16" t="s">
        <v>3048</v>
      </c>
      <c r="D5201" s="16" t="s">
        <v>29</v>
      </c>
      <c r="E5201" s="16" t="s">
        <v>54</v>
      </c>
      <c r="F5201" s="5" t="s">
        <v>1030</v>
      </c>
      <c r="G5201" s="16" t="s">
        <v>35</v>
      </c>
      <c r="H5201" s="16"/>
      <c r="I5201" s="16"/>
      <c r="J5201" s="16"/>
      <c r="K5201" s="16"/>
      <c r="L5201" s="16"/>
      <c r="M5201" s="16"/>
      <c r="N5201" s="16"/>
      <c r="O5201" s="17" t="s">
        <v>38</v>
      </c>
      <c r="P5201" s="5" t="str">
        <f t="shared" si="116"/>
        <v>Truncate table XCR020;</v>
      </c>
      <c r="Q5201" s="5"/>
      <c r="R5201" s="5"/>
    </row>
    <row r="5202" spans="2:18" x14ac:dyDescent="0.25">
      <c r="B5202" s="19" t="s">
        <v>6832</v>
      </c>
      <c r="C5202" s="16" t="s">
        <v>6833</v>
      </c>
      <c r="D5202" s="16" t="s">
        <v>29</v>
      </c>
      <c r="E5202" s="16" t="s">
        <v>54</v>
      </c>
      <c r="F5202" s="5" t="s">
        <v>1030</v>
      </c>
      <c r="G5202" s="16" t="s">
        <v>35</v>
      </c>
      <c r="H5202" s="16"/>
      <c r="I5202" s="16"/>
      <c r="J5202" s="16"/>
      <c r="K5202" s="16"/>
      <c r="L5202" s="16"/>
      <c r="M5202" s="16"/>
      <c r="N5202" s="16"/>
      <c r="O5202" s="17" t="s">
        <v>38</v>
      </c>
      <c r="P5202" s="5" t="str">
        <f t="shared" si="116"/>
        <v>Truncate table XCR021;</v>
      </c>
      <c r="Q5202" s="5"/>
      <c r="R5202" s="5"/>
    </row>
    <row r="5203" spans="2:18" x14ac:dyDescent="0.25">
      <c r="B5203" s="19" t="s">
        <v>6834</v>
      </c>
      <c r="C5203" s="16" t="s">
        <v>6835</v>
      </c>
      <c r="D5203" s="16" t="s">
        <v>29</v>
      </c>
      <c r="E5203" s="16" t="s">
        <v>54</v>
      </c>
      <c r="F5203" s="5" t="s">
        <v>1030</v>
      </c>
      <c r="G5203" s="16" t="s">
        <v>35</v>
      </c>
      <c r="H5203" s="16"/>
      <c r="I5203" s="16"/>
      <c r="J5203" s="16"/>
      <c r="K5203" s="16"/>
      <c r="L5203" s="16"/>
      <c r="M5203" s="16"/>
      <c r="N5203" s="16"/>
      <c r="O5203" s="17" t="s">
        <v>38</v>
      </c>
      <c r="P5203" s="5" t="str">
        <f t="shared" si="116"/>
        <v>Truncate table XCR022;</v>
      </c>
      <c r="Q5203" s="5"/>
      <c r="R5203" s="5"/>
    </row>
    <row r="5204" spans="2:18" x14ac:dyDescent="0.25">
      <c r="B5204" s="19" t="s">
        <v>6836</v>
      </c>
      <c r="C5204" s="16"/>
      <c r="D5204" s="16" t="s">
        <v>29</v>
      </c>
      <c r="E5204" s="16"/>
      <c r="F5204" s="5"/>
      <c r="G5204" s="16" t="s">
        <v>35</v>
      </c>
      <c r="H5204" s="16"/>
      <c r="I5204" s="16"/>
      <c r="J5204" s="16"/>
      <c r="K5204" s="16"/>
      <c r="L5204" s="16"/>
      <c r="M5204" s="16"/>
      <c r="N5204" s="16"/>
      <c r="O5204" s="17"/>
      <c r="P5204" s="5" t="str">
        <f t="shared" si="116"/>
        <v>Truncate table XCR023;</v>
      </c>
      <c r="Q5204" s="5"/>
      <c r="R5204" s="5"/>
    </row>
    <row r="5205" spans="2:18" ht="27" x14ac:dyDescent="0.25">
      <c r="B5205" s="19" t="s">
        <v>6837</v>
      </c>
      <c r="C5205" s="16"/>
      <c r="D5205" s="16" t="s">
        <v>29</v>
      </c>
      <c r="E5205" s="16" t="s">
        <v>54</v>
      </c>
      <c r="F5205" s="5" t="s">
        <v>1030</v>
      </c>
      <c r="G5205" s="16" t="s">
        <v>35</v>
      </c>
      <c r="H5205" s="16" t="s">
        <v>36</v>
      </c>
      <c r="I5205" s="16"/>
      <c r="J5205" s="16"/>
      <c r="K5205" s="16"/>
      <c r="L5205" s="16"/>
      <c r="M5205" s="16"/>
      <c r="N5205" s="82" t="s">
        <v>8482</v>
      </c>
      <c r="O5205" s="17"/>
      <c r="P5205" s="5" t="str">
        <f t="shared" si="116"/>
        <v>Truncate table XCR025;</v>
      </c>
      <c r="Q5205" s="5"/>
      <c r="R5205" s="5"/>
    </row>
    <row r="5206" spans="2:18" ht="27" x14ac:dyDescent="0.25">
      <c r="B5206" s="19" t="s">
        <v>6838</v>
      </c>
      <c r="C5206" s="16"/>
      <c r="D5206" s="16" t="s">
        <v>29</v>
      </c>
      <c r="E5206" s="16" t="s">
        <v>54</v>
      </c>
      <c r="F5206" s="5" t="s">
        <v>1030</v>
      </c>
      <c r="G5206" s="16" t="s">
        <v>35</v>
      </c>
      <c r="H5206" s="16" t="s">
        <v>36</v>
      </c>
      <c r="I5206" s="16"/>
      <c r="J5206" s="16"/>
      <c r="K5206" s="16"/>
      <c r="L5206" s="16"/>
      <c r="M5206" s="16"/>
      <c r="N5206" s="82" t="s">
        <v>8482</v>
      </c>
      <c r="O5206" s="17"/>
      <c r="P5206" s="5" t="str">
        <f t="shared" ref="P5206:P5269" si="117">IF(D5206="Datos","Truncate table "&amp; B5206&amp; ";","")</f>
        <v>Truncate table XCR026;</v>
      </c>
      <c r="Q5206" s="5"/>
      <c r="R5206" s="5"/>
    </row>
    <row r="5207" spans="2:18" x14ac:dyDescent="0.25">
      <c r="B5207" s="19" t="s">
        <v>6839</v>
      </c>
      <c r="C5207" s="16"/>
      <c r="D5207" s="16" t="s">
        <v>29</v>
      </c>
      <c r="E5207" s="16"/>
      <c r="F5207" s="5"/>
      <c r="G5207" s="16" t="s">
        <v>35</v>
      </c>
      <c r="H5207" s="16"/>
      <c r="I5207" s="16"/>
      <c r="J5207" s="16"/>
      <c r="K5207" s="16"/>
      <c r="L5207" s="16"/>
      <c r="M5207" s="16"/>
      <c r="N5207" s="16"/>
      <c r="O5207" s="17"/>
      <c r="P5207" s="5" t="str">
        <f t="shared" si="117"/>
        <v>Truncate table XCR027;</v>
      </c>
      <c r="Q5207" s="5"/>
      <c r="R5207" s="5"/>
    </row>
    <row r="5208" spans="2:18" ht="15" customHeight="1" x14ac:dyDescent="0.25">
      <c r="B5208" s="19" t="s">
        <v>6840</v>
      </c>
      <c r="C5208" s="16"/>
      <c r="D5208" s="16" t="s">
        <v>29</v>
      </c>
      <c r="E5208" s="16"/>
      <c r="F5208" s="5"/>
      <c r="G5208" s="16" t="s">
        <v>35</v>
      </c>
      <c r="H5208" s="16"/>
      <c r="I5208" s="16"/>
      <c r="J5208" s="16"/>
      <c r="K5208" s="16"/>
      <c r="L5208" s="16"/>
      <c r="M5208" s="16"/>
      <c r="N5208" s="16"/>
      <c r="O5208" s="17"/>
      <c r="P5208" s="5" t="str">
        <f t="shared" si="117"/>
        <v>Truncate table XCR028;</v>
      </c>
      <c r="Q5208" s="5"/>
      <c r="R5208" s="5"/>
    </row>
    <row r="5209" spans="2:18" x14ac:dyDescent="0.25">
      <c r="B5209" s="19" t="s">
        <v>6841</v>
      </c>
      <c r="C5209" s="16"/>
      <c r="D5209" s="16" t="s">
        <v>29</v>
      </c>
      <c r="E5209" s="16"/>
      <c r="F5209" s="5"/>
      <c r="G5209" s="16" t="s">
        <v>35</v>
      </c>
      <c r="H5209" s="16"/>
      <c r="I5209" s="16"/>
      <c r="J5209" s="16"/>
      <c r="K5209" s="16"/>
      <c r="L5209" s="16"/>
      <c r="M5209" s="16"/>
      <c r="N5209" s="16"/>
      <c r="O5209" s="17"/>
      <c r="P5209" s="5" t="str">
        <f t="shared" si="117"/>
        <v>Truncate table XCR029;</v>
      </c>
      <c r="Q5209" s="5"/>
      <c r="R5209" s="5"/>
    </row>
    <row r="5210" spans="2:18" x14ac:dyDescent="0.25">
      <c r="B5210" s="19" t="s">
        <v>6842</v>
      </c>
      <c r="C5210" s="16"/>
      <c r="D5210" s="16" t="s">
        <v>29</v>
      </c>
      <c r="E5210" s="16"/>
      <c r="F5210" s="5"/>
      <c r="G5210" s="16" t="s">
        <v>35</v>
      </c>
      <c r="H5210" s="16"/>
      <c r="I5210" s="16"/>
      <c r="J5210" s="16"/>
      <c r="K5210" s="16"/>
      <c r="L5210" s="16"/>
      <c r="M5210" s="16"/>
      <c r="N5210" s="16"/>
      <c r="O5210" s="17"/>
      <c r="P5210" s="5" t="str">
        <f t="shared" si="117"/>
        <v>Truncate table XCR030;</v>
      </c>
      <c r="Q5210" s="5"/>
      <c r="R5210" s="5"/>
    </row>
    <row r="5211" spans="2:18" x14ac:dyDescent="0.25">
      <c r="B5211" s="19" t="s">
        <v>6843</v>
      </c>
      <c r="C5211" s="16"/>
      <c r="D5211" s="16" t="s">
        <v>29</v>
      </c>
      <c r="E5211" s="16"/>
      <c r="F5211" s="5"/>
      <c r="G5211" s="16" t="s">
        <v>35</v>
      </c>
      <c r="H5211" s="16"/>
      <c r="I5211" s="16"/>
      <c r="J5211" s="16"/>
      <c r="K5211" s="16"/>
      <c r="L5211" s="16"/>
      <c r="M5211" s="16"/>
      <c r="N5211" s="16"/>
      <c r="O5211" s="17"/>
      <c r="P5211" s="5" t="str">
        <f t="shared" si="117"/>
        <v>Truncate table XCR032;</v>
      </c>
      <c r="Q5211" s="5"/>
      <c r="R5211" s="5"/>
    </row>
    <row r="5212" spans="2:18" x14ac:dyDescent="0.25">
      <c r="B5212" s="19" t="s">
        <v>6844</v>
      </c>
      <c r="C5212" s="16"/>
      <c r="D5212" s="16" t="s">
        <v>29</v>
      </c>
      <c r="E5212" s="16"/>
      <c r="F5212" s="5"/>
      <c r="G5212" s="16" t="s">
        <v>35</v>
      </c>
      <c r="H5212" s="16"/>
      <c r="I5212" s="16"/>
      <c r="J5212" s="16"/>
      <c r="K5212" s="16"/>
      <c r="L5212" s="16"/>
      <c r="M5212" s="16"/>
      <c r="N5212" s="16"/>
      <c r="O5212" s="17"/>
      <c r="P5212" s="5" t="str">
        <f t="shared" si="117"/>
        <v>Truncate table XCR036;</v>
      </c>
      <c r="Q5212" s="5"/>
      <c r="R5212" s="5"/>
    </row>
    <row r="5213" spans="2:18" x14ac:dyDescent="0.25">
      <c r="B5213" s="19" t="s">
        <v>6845</v>
      </c>
      <c r="C5213" s="16"/>
      <c r="D5213" s="16" t="s">
        <v>29</v>
      </c>
      <c r="E5213" s="16"/>
      <c r="F5213" s="5"/>
      <c r="G5213" s="16" t="s">
        <v>35</v>
      </c>
      <c r="H5213" s="16"/>
      <c r="I5213" s="16"/>
      <c r="J5213" s="16"/>
      <c r="K5213" s="16"/>
      <c r="L5213" s="16"/>
      <c r="M5213" s="16"/>
      <c r="N5213" s="16"/>
      <c r="O5213" s="17"/>
      <c r="P5213" s="5" t="str">
        <f t="shared" si="117"/>
        <v>Truncate table XCR200;</v>
      </c>
      <c r="Q5213" s="5"/>
      <c r="R5213" s="5"/>
    </row>
    <row r="5214" spans="2:18" x14ac:dyDescent="0.25">
      <c r="B5214" s="19" t="s">
        <v>6846</v>
      </c>
      <c r="C5214" s="16"/>
      <c r="D5214" s="16" t="s">
        <v>29</v>
      </c>
      <c r="E5214" s="16"/>
      <c r="F5214" s="5"/>
      <c r="G5214" s="16" t="s">
        <v>35</v>
      </c>
      <c r="H5214" s="16"/>
      <c r="I5214" s="16"/>
      <c r="J5214" s="16"/>
      <c r="K5214" s="16"/>
      <c r="L5214" s="16"/>
      <c r="M5214" s="16"/>
      <c r="N5214" s="16"/>
      <c r="O5214" s="17"/>
      <c r="P5214" s="5" t="str">
        <f t="shared" si="117"/>
        <v>Truncate table XCR230;</v>
      </c>
      <c r="Q5214" s="5"/>
      <c r="R5214" s="5"/>
    </row>
    <row r="5215" spans="2:18" x14ac:dyDescent="0.25">
      <c r="B5215" s="19" t="s">
        <v>6847</v>
      </c>
      <c r="C5215" s="16"/>
      <c r="D5215" s="16" t="s">
        <v>29</v>
      </c>
      <c r="E5215" s="16"/>
      <c r="F5215" s="5"/>
      <c r="G5215" s="16" t="s">
        <v>35</v>
      </c>
      <c r="H5215" s="16"/>
      <c r="I5215" s="16"/>
      <c r="J5215" s="16"/>
      <c r="K5215" s="16"/>
      <c r="L5215" s="16"/>
      <c r="M5215" s="16"/>
      <c r="N5215" s="16"/>
      <c r="O5215" s="17"/>
      <c r="P5215" s="5" t="str">
        <f t="shared" si="117"/>
        <v>Truncate table XCRD04;</v>
      </c>
      <c r="Q5215" s="5"/>
      <c r="R5215" s="5"/>
    </row>
    <row r="5216" spans="2:18" x14ac:dyDescent="0.25">
      <c r="B5216" s="19" t="s">
        <v>6848</v>
      </c>
      <c r="C5216" s="16"/>
      <c r="D5216" s="16" t="s">
        <v>29</v>
      </c>
      <c r="E5216" s="16"/>
      <c r="F5216" s="5"/>
      <c r="G5216" s="16" t="s">
        <v>35</v>
      </c>
      <c r="H5216" s="16"/>
      <c r="I5216" s="16"/>
      <c r="J5216" s="16"/>
      <c r="K5216" s="16"/>
      <c r="L5216" s="16"/>
      <c r="M5216" s="16"/>
      <c r="N5216" s="16"/>
      <c r="O5216" s="17"/>
      <c r="P5216" s="5" t="str">
        <f t="shared" si="117"/>
        <v>Truncate table XCRE04;</v>
      </c>
      <c r="Q5216" s="5"/>
      <c r="R5216" s="5"/>
    </row>
    <row r="5217" spans="1:22" x14ac:dyDescent="0.25">
      <c r="B5217" s="19" t="s">
        <v>6849</v>
      </c>
      <c r="C5217" s="16"/>
      <c r="D5217" s="16" t="s">
        <v>29</v>
      </c>
      <c r="E5217" s="16"/>
      <c r="F5217" s="5"/>
      <c r="G5217" s="16" t="s">
        <v>35</v>
      </c>
      <c r="H5217" s="16"/>
      <c r="I5217" s="16"/>
      <c r="J5217" s="16"/>
      <c r="K5217" s="16"/>
      <c r="L5217" s="16"/>
      <c r="M5217" s="16"/>
      <c r="N5217" s="16"/>
      <c r="O5217" s="17"/>
      <c r="P5217" s="5" t="str">
        <f t="shared" si="117"/>
        <v>Truncate table XCSU01;</v>
      </c>
      <c r="Q5217" s="5"/>
      <c r="R5217" s="5"/>
    </row>
    <row r="5218" spans="1:22" x14ac:dyDescent="0.25">
      <c r="B5218" s="19" t="s">
        <v>6850</v>
      </c>
      <c r="C5218" s="16"/>
      <c r="D5218" s="16" t="s">
        <v>29</v>
      </c>
      <c r="E5218" s="16"/>
      <c r="F5218" s="5"/>
      <c r="G5218" s="16" t="s">
        <v>35</v>
      </c>
      <c r="H5218" s="16"/>
      <c r="I5218" s="16"/>
      <c r="J5218" s="16"/>
      <c r="K5218" s="16"/>
      <c r="L5218" s="16"/>
      <c r="M5218" s="16"/>
      <c r="N5218" s="16"/>
      <c r="O5218" s="17"/>
      <c r="P5218" s="5" t="str">
        <f t="shared" si="117"/>
        <v>Truncate table XCSU03;</v>
      </c>
      <c r="Q5218" s="5"/>
      <c r="R5218" s="5"/>
    </row>
    <row r="5219" spans="1:22" ht="67.5" x14ac:dyDescent="0.25">
      <c r="B5219" s="19" t="s">
        <v>6851</v>
      </c>
      <c r="C5219" s="16" t="s">
        <v>6852</v>
      </c>
      <c r="D5219" s="16" t="s">
        <v>29</v>
      </c>
      <c r="E5219" s="16" t="s">
        <v>54</v>
      </c>
      <c r="F5219" s="5" t="s">
        <v>235</v>
      </c>
      <c r="G5219" s="16" t="s">
        <v>35</v>
      </c>
      <c r="H5219" s="16" t="s">
        <v>36</v>
      </c>
      <c r="I5219" s="16"/>
      <c r="J5219" s="16"/>
      <c r="K5219" s="16"/>
      <c r="L5219" s="20" t="s">
        <v>6853</v>
      </c>
      <c r="M5219" s="20"/>
      <c r="N5219" s="16"/>
      <c r="O5219" s="17" t="s">
        <v>38</v>
      </c>
      <c r="P5219" s="5" t="str">
        <f t="shared" si="117"/>
        <v>Truncate table XINVSM;</v>
      </c>
      <c r="Q5219" s="5"/>
      <c r="R5219" s="5"/>
    </row>
    <row r="5220" spans="1:22" x14ac:dyDescent="0.25">
      <c r="B5220" s="19" t="s">
        <v>6854</v>
      </c>
      <c r="C5220" s="20" t="s">
        <v>11685</v>
      </c>
      <c r="D5220" s="16" t="s">
        <v>8152</v>
      </c>
      <c r="E5220" s="16" t="s">
        <v>54</v>
      </c>
      <c r="F5220" s="16" t="s">
        <v>216</v>
      </c>
      <c r="G5220" s="16" t="s">
        <v>35</v>
      </c>
      <c r="H5220" s="16" t="s">
        <v>36</v>
      </c>
      <c r="I5220" s="16"/>
      <c r="J5220" s="16"/>
      <c r="K5220" s="16"/>
      <c r="L5220" s="16"/>
      <c r="M5220" s="16"/>
      <c r="N5220" s="16"/>
      <c r="O5220" s="17" t="s">
        <v>38</v>
      </c>
      <c r="P5220" s="16" t="str">
        <f t="shared" si="117"/>
        <v/>
      </c>
      <c r="Q5220" s="16"/>
      <c r="R5220" s="16"/>
      <c r="S5220"/>
      <c r="T5220"/>
      <c r="U5220"/>
      <c r="V5220"/>
    </row>
    <row r="5221" spans="1:22" x14ac:dyDescent="0.25">
      <c r="B5221" s="19" t="s">
        <v>6855</v>
      </c>
      <c r="C5221" s="16" t="s">
        <v>11686</v>
      </c>
      <c r="D5221" s="16" t="s">
        <v>8152</v>
      </c>
      <c r="E5221" s="16" t="s">
        <v>54</v>
      </c>
      <c r="F5221" s="16" t="s">
        <v>216</v>
      </c>
      <c r="G5221" s="16" t="s">
        <v>28</v>
      </c>
      <c r="H5221" s="16" t="s">
        <v>36</v>
      </c>
      <c r="I5221" s="16"/>
      <c r="J5221" s="16"/>
      <c r="K5221" s="16"/>
      <c r="L5221" s="16"/>
      <c r="M5221" s="16"/>
      <c r="N5221" s="16"/>
      <c r="O5221" s="17"/>
      <c r="P5221" s="16" t="str">
        <f t="shared" si="117"/>
        <v/>
      </c>
      <c r="Q5221" s="16"/>
      <c r="R5221" s="16"/>
      <c r="S5221"/>
      <c r="T5221"/>
      <c r="U5221"/>
      <c r="V5221"/>
    </row>
    <row r="5222" spans="1:22" x14ac:dyDescent="0.25">
      <c r="B5222" s="19" t="s">
        <v>6856</v>
      </c>
      <c r="C5222" s="16" t="s">
        <v>11686</v>
      </c>
      <c r="D5222" s="16" t="s">
        <v>8152</v>
      </c>
      <c r="E5222" s="16" t="s">
        <v>54</v>
      </c>
      <c r="F5222" s="16" t="s">
        <v>216</v>
      </c>
      <c r="G5222" s="16" t="s">
        <v>28</v>
      </c>
      <c r="H5222" s="16" t="s">
        <v>36</v>
      </c>
      <c r="I5222" s="16"/>
      <c r="J5222" s="16"/>
      <c r="K5222" s="16"/>
      <c r="L5222" s="16"/>
      <c r="M5222" s="16"/>
      <c r="N5222" s="16"/>
      <c r="O5222" s="17"/>
      <c r="P5222" s="16" t="str">
        <f t="shared" si="117"/>
        <v/>
      </c>
      <c r="Q5222" s="16"/>
      <c r="R5222" s="16"/>
      <c r="S5222"/>
      <c r="T5222"/>
      <c r="U5222"/>
      <c r="V5222"/>
    </row>
    <row r="5223" spans="1:22" x14ac:dyDescent="0.25">
      <c r="B5223" s="19" t="s">
        <v>6857</v>
      </c>
      <c r="C5223" s="20" t="s">
        <v>6858</v>
      </c>
      <c r="D5223" s="16" t="s">
        <v>8152</v>
      </c>
      <c r="E5223" s="16" t="s">
        <v>54</v>
      </c>
      <c r="F5223" s="16" t="s">
        <v>216</v>
      </c>
      <c r="G5223" s="16" t="s">
        <v>35</v>
      </c>
      <c r="H5223" s="16" t="s">
        <v>36</v>
      </c>
      <c r="I5223" s="16"/>
      <c r="J5223" s="16"/>
      <c r="K5223" s="16"/>
      <c r="L5223" s="16"/>
      <c r="M5223" s="16"/>
      <c r="N5223" s="16"/>
      <c r="O5223" s="17" t="s">
        <v>38</v>
      </c>
      <c r="P5223" s="16" t="str">
        <f t="shared" si="117"/>
        <v/>
      </c>
      <c r="Q5223" s="16"/>
      <c r="R5223" s="16"/>
      <c r="S5223"/>
      <c r="T5223"/>
      <c r="U5223"/>
      <c r="V5223"/>
    </row>
    <row r="5224" spans="1:22" x14ac:dyDescent="0.25">
      <c r="B5224" s="19" t="s">
        <v>6859</v>
      </c>
      <c r="C5224" s="242" t="s">
        <v>6860</v>
      </c>
      <c r="D5224" s="16" t="s">
        <v>8152</v>
      </c>
      <c r="E5224" s="16" t="s">
        <v>54</v>
      </c>
      <c r="F5224" s="16" t="s">
        <v>216</v>
      </c>
      <c r="G5224" s="16" t="s">
        <v>35</v>
      </c>
      <c r="H5224" s="16" t="s">
        <v>36</v>
      </c>
      <c r="I5224" s="16"/>
      <c r="J5224" s="16"/>
      <c r="K5224" s="16"/>
      <c r="L5224" s="16"/>
      <c r="M5224" s="16"/>
      <c r="N5224" s="16"/>
      <c r="O5224" s="17"/>
      <c r="P5224" s="16" t="str">
        <f t="shared" si="117"/>
        <v/>
      </c>
      <c r="Q5224" s="16"/>
      <c r="R5224" s="16"/>
      <c r="S5224"/>
      <c r="T5224"/>
      <c r="U5224"/>
      <c r="V5224"/>
    </row>
    <row r="5225" spans="1:22" x14ac:dyDescent="0.25">
      <c r="B5225" s="19" t="s">
        <v>6861</v>
      </c>
      <c r="C5225" s="16" t="s">
        <v>523</v>
      </c>
      <c r="D5225" s="16" t="s">
        <v>29</v>
      </c>
      <c r="E5225" s="16" t="s">
        <v>54</v>
      </c>
      <c r="F5225" s="16" t="s">
        <v>216</v>
      </c>
      <c r="G5225" s="16" t="s">
        <v>28</v>
      </c>
      <c r="H5225" s="16" t="s">
        <v>36</v>
      </c>
      <c r="I5225" s="16"/>
      <c r="J5225" s="16"/>
      <c r="K5225" s="16"/>
      <c r="L5225" s="16"/>
      <c r="M5225" s="16"/>
      <c r="N5225" s="16"/>
      <c r="O5225" s="17"/>
      <c r="P5225" s="16" t="str">
        <f t="shared" si="117"/>
        <v>Truncate table XWF020;</v>
      </c>
      <c r="Q5225" s="16"/>
      <c r="R5225" s="16"/>
      <c r="S5225"/>
      <c r="T5225"/>
      <c r="U5225"/>
      <c r="V5225"/>
    </row>
    <row r="5226" spans="1:22" x14ac:dyDescent="0.25">
      <c r="B5226" s="19" t="s">
        <v>6862</v>
      </c>
      <c r="C5226" s="16" t="s">
        <v>523</v>
      </c>
      <c r="D5226" s="16" t="s">
        <v>29</v>
      </c>
      <c r="E5226" s="16" t="s">
        <v>54</v>
      </c>
      <c r="F5226" s="16" t="s">
        <v>216</v>
      </c>
      <c r="G5226" s="16" t="s">
        <v>35</v>
      </c>
      <c r="H5226" s="16" t="s">
        <v>36</v>
      </c>
      <c r="I5226" s="16"/>
      <c r="J5226" s="16"/>
      <c r="K5226" s="16"/>
      <c r="L5226" s="16"/>
      <c r="M5226" s="16"/>
      <c r="N5226" s="16"/>
      <c r="O5226" s="17" t="s">
        <v>38</v>
      </c>
      <c r="P5226" s="16" t="str">
        <f t="shared" si="117"/>
        <v>Truncate table XWF050;</v>
      </c>
      <c r="Q5226" s="16"/>
      <c r="R5226" s="16"/>
      <c r="S5226"/>
      <c r="T5226"/>
      <c r="U5226"/>
      <c r="V5226"/>
    </row>
    <row r="5227" spans="1:22" ht="67.5" x14ac:dyDescent="0.25">
      <c r="B5227" s="37" t="s">
        <v>6863</v>
      </c>
      <c r="C5227" s="21" t="s">
        <v>11687</v>
      </c>
      <c r="D5227" s="16" t="s">
        <v>8152</v>
      </c>
      <c r="E5227" s="21" t="s">
        <v>54</v>
      </c>
      <c r="F5227" s="216" t="s">
        <v>216</v>
      </c>
      <c r="G5227" s="21" t="s">
        <v>35</v>
      </c>
      <c r="H5227" s="21" t="s">
        <v>36</v>
      </c>
      <c r="I5227" s="216"/>
      <c r="J5227" s="216"/>
      <c r="K5227" s="216"/>
      <c r="L5227" s="275" t="s">
        <v>6865</v>
      </c>
      <c r="M5227" s="275"/>
      <c r="N5227" s="216"/>
      <c r="O5227" s="255" t="s">
        <v>38</v>
      </c>
      <c r="P5227" s="216" t="str">
        <f t="shared" si="117"/>
        <v/>
      </c>
      <c r="Q5227" s="216"/>
      <c r="R5227" s="216"/>
      <c r="S5227"/>
      <c r="T5227"/>
      <c r="U5227"/>
      <c r="V5227"/>
    </row>
    <row r="5228" spans="1:22" x14ac:dyDescent="0.25">
      <c r="B5228" s="19" t="s">
        <v>6866</v>
      </c>
      <c r="C5228" s="20" t="s">
        <v>6864</v>
      </c>
      <c r="D5228" s="16" t="s">
        <v>8152</v>
      </c>
      <c r="E5228" s="247" t="s">
        <v>54</v>
      </c>
      <c r="F5228" s="16" t="s">
        <v>216</v>
      </c>
      <c r="G5228" s="16" t="s">
        <v>35</v>
      </c>
      <c r="H5228" s="16" t="s">
        <v>36</v>
      </c>
      <c r="I5228" s="16"/>
      <c r="J5228" s="16"/>
      <c r="K5228" s="16"/>
      <c r="L5228" s="16"/>
      <c r="M5228" s="16"/>
      <c r="N5228" s="16"/>
      <c r="O5228" s="16" t="s">
        <v>38</v>
      </c>
      <c r="P5228" s="16" t="str">
        <f t="shared" si="117"/>
        <v/>
      </c>
      <c r="Q5228" s="16"/>
      <c r="R5228" s="16"/>
      <c r="S5228"/>
      <c r="T5228"/>
      <c r="U5228"/>
      <c r="V5228"/>
    </row>
    <row r="5229" spans="1:22" x14ac:dyDescent="0.25">
      <c r="B5229" s="19" t="s">
        <v>6867</v>
      </c>
      <c r="C5229" s="20" t="s">
        <v>6864</v>
      </c>
      <c r="D5229" s="16" t="s">
        <v>8152</v>
      </c>
      <c r="E5229" s="247" t="s">
        <v>54</v>
      </c>
      <c r="F5229" s="16" t="s">
        <v>216</v>
      </c>
      <c r="G5229" s="16" t="s">
        <v>35</v>
      </c>
      <c r="H5229" s="16" t="s">
        <v>36</v>
      </c>
      <c r="I5229" s="16"/>
      <c r="J5229" s="16"/>
      <c r="K5229" s="16"/>
      <c r="L5229" s="16"/>
      <c r="M5229" s="16"/>
      <c r="N5229" s="16"/>
      <c r="O5229" s="16" t="s">
        <v>38</v>
      </c>
      <c r="P5229" s="16" t="str">
        <f t="shared" si="117"/>
        <v/>
      </c>
      <c r="Q5229" s="16"/>
      <c r="R5229" s="16"/>
      <c r="S5229"/>
      <c r="T5229"/>
      <c r="U5229"/>
      <c r="V5229"/>
    </row>
    <row r="5230" spans="1:22" ht="67.5" x14ac:dyDescent="0.25">
      <c r="B5230" s="256" t="s">
        <v>6868</v>
      </c>
      <c r="C5230" s="242" t="s">
        <v>6554</v>
      </c>
      <c r="D5230" s="16" t="s">
        <v>29</v>
      </c>
      <c r="E5230" s="20" t="s">
        <v>54</v>
      </c>
      <c r="F5230" s="257" t="s">
        <v>216</v>
      </c>
      <c r="G5230" s="20" t="s">
        <v>35</v>
      </c>
      <c r="H5230" s="20" t="s">
        <v>36</v>
      </c>
      <c r="I5230" s="257"/>
      <c r="J5230" s="257"/>
      <c r="K5230" s="257"/>
      <c r="L5230" s="242" t="s">
        <v>6865</v>
      </c>
      <c r="M5230" s="242"/>
      <c r="N5230" s="257"/>
      <c r="O5230" s="258" t="s">
        <v>38</v>
      </c>
      <c r="P5230" s="257" t="str">
        <f t="shared" si="117"/>
        <v>Truncate table XWF063;</v>
      </c>
      <c r="Q5230" s="257"/>
      <c r="R5230" s="257"/>
      <c r="S5230"/>
      <c r="T5230"/>
      <c r="U5230"/>
      <c r="V5230"/>
    </row>
    <row r="5231" spans="1:22" ht="40.5" x14ac:dyDescent="0.25">
      <c r="A5231" s="241"/>
      <c r="B5231" s="21" t="s">
        <v>6869</v>
      </c>
      <c r="C5231" s="16" t="s">
        <v>6870</v>
      </c>
      <c r="D5231" s="16" t="s">
        <v>29</v>
      </c>
      <c r="E5231" s="16" t="s">
        <v>54</v>
      </c>
      <c r="F5231" s="16" t="s">
        <v>216</v>
      </c>
      <c r="G5231" s="16" t="s">
        <v>503</v>
      </c>
      <c r="H5231" s="16" t="s">
        <v>36</v>
      </c>
      <c r="I5231" s="16" t="s">
        <v>6871</v>
      </c>
      <c r="J5231" s="16" t="s">
        <v>6872</v>
      </c>
      <c r="K5231" s="16" t="s">
        <v>6873</v>
      </c>
      <c r="L5231" s="16" t="s">
        <v>503</v>
      </c>
      <c r="M5231" s="16"/>
      <c r="N5231" s="16"/>
      <c r="O5231" s="17" t="s">
        <v>38</v>
      </c>
      <c r="P5231" s="16" t="str">
        <f t="shared" si="117"/>
        <v>Truncate table XWF064;</v>
      </c>
      <c r="Q5231" s="16"/>
      <c r="R5231" s="16"/>
      <c r="S5231"/>
      <c r="T5231"/>
      <c r="U5231"/>
      <c r="V5231"/>
    </row>
    <row r="5232" spans="1:22" ht="67.5" x14ac:dyDescent="0.25">
      <c r="B5232" s="16" t="s">
        <v>6874</v>
      </c>
      <c r="C5232" s="376" t="s">
        <v>11688</v>
      </c>
      <c r="D5232" s="16" t="s">
        <v>8152</v>
      </c>
      <c r="E5232" s="16" t="s">
        <v>54</v>
      </c>
      <c r="F5232" s="16" t="s">
        <v>216</v>
      </c>
      <c r="G5232" s="16" t="s">
        <v>35</v>
      </c>
      <c r="H5232" s="16" t="s">
        <v>36</v>
      </c>
      <c r="I5232" s="16" t="s">
        <v>6875</v>
      </c>
      <c r="J5232" s="16" t="s">
        <v>6876</v>
      </c>
      <c r="K5232" s="16" t="s">
        <v>1068</v>
      </c>
      <c r="L5232" s="26" t="s">
        <v>6865</v>
      </c>
      <c r="M5232" s="26"/>
      <c r="N5232" s="16" t="s">
        <v>6877</v>
      </c>
      <c r="O5232" s="17"/>
      <c r="P5232" s="16" t="str">
        <f t="shared" si="117"/>
        <v/>
      </c>
      <c r="Q5232" s="16"/>
      <c r="R5232" s="16"/>
      <c r="S5232"/>
      <c r="T5232"/>
      <c r="U5232"/>
      <c r="V5232"/>
    </row>
    <row r="5233" spans="2:22" ht="40.5" x14ac:dyDescent="0.25">
      <c r="B5233" s="21" t="s">
        <v>6878</v>
      </c>
      <c r="C5233" s="16" t="s">
        <v>6879</v>
      </c>
      <c r="D5233" s="16" t="s">
        <v>29</v>
      </c>
      <c r="E5233" s="16" t="s">
        <v>54</v>
      </c>
      <c r="F5233" s="16" t="s">
        <v>6880</v>
      </c>
      <c r="G5233" s="16" t="s">
        <v>503</v>
      </c>
      <c r="H5233" s="16" t="s">
        <v>36</v>
      </c>
      <c r="I5233" s="16" t="s">
        <v>6881</v>
      </c>
      <c r="J5233" s="21" t="s">
        <v>6882</v>
      </c>
      <c r="K5233" s="16" t="s">
        <v>2789</v>
      </c>
      <c r="L5233" s="16" t="s">
        <v>6883</v>
      </c>
      <c r="M5233" s="16"/>
      <c r="N5233" s="20" t="s">
        <v>6884</v>
      </c>
      <c r="O5233" s="17"/>
      <c r="P5233" s="16" t="str">
        <f t="shared" si="117"/>
        <v>Truncate table XWF066;</v>
      </c>
      <c r="Q5233" s="16"/>
      <c r="R5233" s="16"/>
      <c r="S5233"/>
      <c r="T5233"/>
      <c r="U5233"/>
      <c r="V5233"/>
    </row>
    <row r="5234" spans="2:22" ht="40.5" x14ac:dyDescent="0.25">
      <c r="B5234" s="21" t="s">
        <v>6885</v>
      </c>
      <c r="C5234" s="16" t="s">
        <v>6886</v>
      </c>
      <c r="D5234" s="16" t="s">
        <v>29</v>
      </c>
      <c r="E5234" s="16" t="s">
        <v>54</v>
      </c>
      <c r="F5234" s="16" t="s">
        <v>6880</v>
      </c>
      <c r="G5234" s="16" t="s">
        <v>503</v>
      </c>
      <c r="H5234" s="16" t="s">
        <v>36</v>
      </c>
      <c r="I5234" s="16" t="s">
        <v>6887</v>
      </c>
      <c r="J5234" s="16" t="s">
        <v>6888</v>
      </c>
      <c r="K5234" s="16" t="s">
        <v>2789</v>
      </c>
      <c r="L5234" s="16" t="s">
        <v>6883</v>
      </c>
      <c r="M5234" s="16"/>
      <c r="N5234" s="16"/>
      <c r="O5234" s="17"/>
      <c r="P5234" s="16" t="str">
        <f t="shared" si="117"/>
        <v>Truncate table XWF067;</v>
      </c>
      <c r="Q5234" s="16"/>
      <c r="R5234" s="16"/>
      <c r="S5234"/>
      <c r="T5234"/>
      <c r="U5234"/>
      <c r="V5234"/>
    </row>
    <row r="5235" spans="2:22" ht="40.5" x14ac:dyDescent="0.25">
      <c r="B5235" s="216" t="s">
        <v>6889</v>
      </c>
      <c r="C5235" s="38" t="s">
        <v>6890</v>
      </c>
      <c r="D5235" s="16" t="s">
        <v>29</v>
      </c>
      <c r="E5235" s="16" t="s">
        <v>54</v>
      </c>
      <c r="F5235" s="38" t="s">
        <v>6880</v>
      </c>
      <c r="G5235" s="16" t="s">
        <v>503</v>
      </c>
      <c r="H5235" s="16" t="s">
        <v>36</v>
      </c>
      <c r="I5235" s="38" t="s">
        <v>6891</v>
      </c>
      <c r="J5235" s="216" t="s">
        <v>6892</v>
      </c>
      <c r="K5235" s="38" t="s">
        <v>2789</v>
      </c>
      <c r="L5235" s="38" t="s">
        <v>6883</v>
      </c>
      <c r="M5235" s="38"/>
      <c r="N5235" s="91" t="s">
        <v>6884</v>
      </c>
      <c r="O5235" s="48"/>
      <c r="P5235" s="38" t="str">
        <f t="shared" si="117"/>
        <v>Truncate table XWF068;</v>
      </c>
      <c r="Q5235" s="38"/>
      <c r="R5235" s="38"/>
      <c r="S5235"/>
      <c r="T5235"/>
      <c r="U5235"/>
      <c r="V5235"/>
    </row>
    <row r="5236" spans="2:22" x14ac:dyDescent="0.25">
      <c r="B5236" s="19" t="s">
        <v>6893</v>
      </c>
      <c r="C5236" s="20" t="s">
        <v>6894</v>
      </c>
      <c r="D5236" s="16" t="s">
        <v>29</v>
      </c>
      <c r="E5236" s="247" t="s">
        <v>54</v>
      </c>
      <c r="F5236" s="16" t="s">
        <v>216</v>
      </c>
      <c r="G5236" s="16" t="s">
        <v>35</v>
      </c>
      <c r="H5236" s="16" t="s">
        <v>36</v>
      </c>
      <c r="I5236" s="16"/>
      <c r="J5236" s="16"/>
      <c r="K5236" s="16"/>
      <c r="L5236" s="16"/>
      <c r="M5236" s="16"/>
      <c r="N5236" s="16"/>
      <c r="O5236" s="16" t="s">
        <v>38</v>
      </c>
      <c r="P5236" s="16" t="str">
        <f t="shared" si="117"/>
        <v>Truncate table XWF070;</v>
      </c>
      <c r="Q5236" s="16"/>
      <c r="R5236" s="16"/>
      <c r="S5236"/>
      <c r="T5236"/>
      <c r="U5236"/>
      <c r="V5236"/>
    </row>
    <row r="5237" spans="2:22" x14ac:dyDescent="0.25">
      <c r="B5237" s="49" t="s">
        <v>6895</v>
      </c>
      <c r="C5237" s="50"/>
      <c r="D5237" s="16" t="s">
        <v>29</v>
      </c>
      <c r="E5237" s="16" t="s">
        <v>54</v>
      </c>
      <c r="F5237" s="50" t="s">
        <v>216</v>
      </c>
      <c r="G5237" s="16" t="s">
        <v>35</v>
      </c>
      <c r="H5237" s="16" t="s">
        <v>36</v>
      </c>
      <c r="I5237" s="50"/>
      <c r="J5237" s="50"/>
      <c r="K5237" s="50"/>
      <c r="L5237" s="50"/>
      <c r="M5237" s="50"/>
      <c r="N5237" s="50"/>
      <c r="O5237" s="52"/>
      <c r="P5237" s="50" t="str">
        <f t="shared" si="117"/>
        <v>Truncate table XWF075;</v>
      </c>
      <c r="Q5237" s="50"/>
      <c r="R5237" s="50"/>
      <c r="S5237"/>
      <c r="T5237"/>
      <c r="U5237"/>
      <c r="V5237"/>
    </row>
    <row r="5238" spans="2:22" x14ac:dyDescent="0.25">
      <c r="B5238" s="19" t="s">
        <v>6896</v>
      </c>
      <c r="C5238" s="16"/>
      <c r="D5238" s="16" t="s">
        <v>29</v>
      </c>
      <c r="E5238" s="16" t="s">
        <v>54</v>
      </c>
      <c r="F5238" s="16" t="s">
        <v>216</v>
      </c>
      <c r="G5238" s="16" t="s">
        <v>28</v>
      </c>
      <c r="H5238" s="16" t="s">
        <v>36</v>
      </c>
      <c r="I5238" s="16"/>
      <c r="J5238" s="16"/>
      <c r="K5238" s="16"/>
      <c r="L5238" s="16"/>
      <c r="M5238" s="16"/>
      <c r="N5238" s="16"/>
      <c r="O5238" s="17"/>
      <c r="P5238" s="16" t="str">
        <f t="shared" si="117"/>
        <v>Truncate table XWF100;</v>
      </c>
      <c r="Q5238" s="16"/>
      <c r="R5238" s="16"/>
      <c r="S5238"/>
      <c r="T5238"/>
      <c r="U5238"/>
      <c r="V5238"/>
    </row>
    <row r="5239" spans="2:22" x14ac:dyDescent="0.25">
      <c r="B5239" s="19" t="s">
        <v>6897</v>
      </c>
      <c r="C5239" s="16"/>
      <c r="D5239" s="16" t="s">
        <v>29</v>
      </c>
      <c r="E5239" s="16" t="s">
        <v>54</v>
      </c>
      <c r="F5239" s="16" t="s">
        <v>216</v>
      </c>
      <c r="G5239" s="16" t="s">
        <v>28</v>
      </c>
      <c r="H5239" s="16" t="s">
        <v>36</v>
      </c>
      <c r="I5239" s="16"/>
      <c r="J5239" s="16"/>
      <c r="K5239" s="16"/>
      <c r="L5239" s="16"/>
      <c r="M5239" s="16"/>
      <c r="N5239" s="16"/>
      <c r="O5239" s="17"/>
      <c r="P5239" s="16" t="str">
        <f t="shared" si="117"/>
        <v>Truncate table XWF200;</v>
      </c>
      <c r="Q5239" s="16"/>
      <c r="R5239" s="16"/>
      <c r="S5239"/>
      <c r="T5239"/>
      <c r="U5239"/>
      <c r="V5239"/>
    </row>
    <row r="5240" spans="2:22" x14ac:dyDescent="0.25">
      <c r="B5240" s="19" t="s">
        <v>6898</v>
      </c>
      <c r="C5240" s="16"/>
      <c r="D5240" s="16" t="s">
        <v>29</v>
      </c>
      <c r="E5240" s="16" t="s">
        <v>54</v>
      </c>
      <c r="F5240" s="16" t="s">
        <v>216</v>
      </c>
      <c r="G5240" s="16" t="s">
        <v>28</v>
      </c>
      <c r="H5240" s="16" t="s">
        <v>36</v>
      </c>
      <c r="I5240" s="16"/>
      <c r="J5240" s="16"/>
      <c r="K5240" s="16"/>
      <c r="L5240" s="16"/>
      <c r="M5240" s="16"/>
      <c r="N5240" s="16"/>
      <c r="O5240" s="17"/>
      <c r="P5240" s="16" t="str">
        <f t="shared" si="117"/>
        <v>Truncate table XWF201;</v>
      </c>
      <c r="Q5240" s="16"/>
      <c r="R5240" s="16"/>
      <c r="S5240"/>
      <c r="T5240"/>
      <c r="U5240"/>
      <c r="V5240"/>
    </row>
    <row r="5241" spans="2:22" x14ac:dyDescent="0.25">
      <c r="B5241" s="19" t="s">
        <v>6899</v>
      </c>
      <c r="C5241" s="16"/>
      <c r="D5241" s="16" t="s">
        <v>29</v>
      </c>
      <c r="E5241" s="16" t="s">
        <v>54</v>
      </c>
      <c r="F5241" s="16" t="s">
        <v>216</v>
      </c>
      <c r="G5241" s="16" t="s">
        <v>28</v>
      </c>
      <c r="H5241" s="16" t="s">
        <v>36</v>
      </c>
      <c r="I5241" s="16"/>
      <c r="J5241" s="16"/>
      <c r="K5241" s="16"/>
      <c r="L5241" s="16"/>
      <c r="M5241" s="16"/>
      <c r="N5241" s="16"/>
      <c r="O5241" s="17"/>
      <c r="P5241" s="16" t="str">
        <f t="shared" si="117"/>
        <v>Truncate table XWF202;</v>
      </c>
      <c r="Q5241" s="16"/>
      <c r="R5241" s="16"/>
      <c r="S5241"/>
      <c r="T5241"/>
      <c r="U5241"/>
      <c r="V5241"/>
    </row>
    <row r="5242" spans="2:22" x14ac:dyDescent="0.25">
      <c r="B5242" s="19" t="s">
        <v>6900</v>
      </c>
      <c r="C5242" s="16"/>
      <c r="D5242" s="16" t="s">
        <v>29</v>
      </c>
      <c r="E5242" s="16" t="s">
        <v>54</v>
      </c>
      <c r="F5242" s="16" t="s">
        <v>216</v>
      </c>
      <c r="G5242" s="16" t="s">
        <v>28</v>
      </c>
      <c r="H5242" s="16" t="s">
        <v>36</v>
      </c>
      <c r="I5242" s="16"/>
      <c r="J5242" s="16"/>
      <c r="K5242" s="16"/>
      <c r="L5242" s="16"/>
      <c r="M5242" s="16"/>
      <c r="N5242" s="16"/>
      <c r="O5242" s="17"/>
      <c r="P5242" s="16" t="str">
        <f t="shared" si="117"/>
        <v>Truncate table XWF300;</v>
      </c>
      <c r="Q5242" s="16"/>
      <c r="R5242" s="16"/>
      <c r="S5242"/>
      <c r="T5242"/>
      <c r="U5242"/>
      <c r="V5242"/>
    </row>
    <row r="5243" spans="2:22" x14ac:dyDescent="0.25">
      <c r="B5243" s="19" t="s">
        <v>6901</v>
      </c>
      <c r="C5243" s="242" t="s">
        <v>6902</v>
      </c>
      <c r="D5243" s="16" t="s">
        <v>29</v>
      </c>
      <c r="E5243" s="16" t="s">
        <v>54</v>
      </c>
      <c r="F5243" s="16" t="s">
        <v>216</v>
      </c>
      <c r="G5243" s="16" t="s">
        <v>35</v>
      </c>
      <c r="H5243" s="16" t="s">
        <v>36</v>
      </c>
      <c r="I5243" s="16"/>
      <c r="J5243" s="16"/>
      <c r="K5243" s="16"/>
      <c r="L5243" s="16"/>
      <c r="M5243" s="16"/>
      <c r="N5243" s="16"/>
      <c r="O5243" s="17" t="s">
        <v>38</v>
      </c>
      <c r="P5243" s="16" t="str">
        <f t="shared" si="117"/>
        <v>Truncate table XWF354;</v>
      </c>
      <c r="Q5243" s="16"/>
      <c r="R5243" s="16"/>
      <c r="S5243"/>
      <c r="T5243"/>
      <c r="U5243"/>
      <c r="V5243"/>
    </row>
    <row r="5244" spans="2:22" x14ac:dyDescent="0.25">
      <c r="B5244" s="19" t="s">
        <v>6903</v>
      </c>
      <c r="C5244" s="16"/>
      <c r="D5244" s="16" t="s">
        <v>29</v>
      </c>
      <c r="E5244" s="16" t="s">
        <v>54</v>
      </c>
      <c r="F5244" s="16" t="s">
        <v>216</v>
      </c>
      <c r="G5244" s="16" t="s">
        <v>28</v>
      </c>
      <c r="H5244" s="16" t="s">
        <v>36</v>
      </c>
      <c r="I5244" s="16"/>
      <c r="J5244" s="16"/>
      <c r="K5244" s="16"/>
      <c r="L5244" s="16"/>
      <c r="M5244" s="16"/>
      <c r="N5244" s="16"/>
      <c r="O5244" s="17"/>
      <c r="P5244" s="16" t="str">
        <f t="shared" si="117"/>
        <v>Truncate table XWF500;</v>
      </c>
      <c r="Q5244" s="16"/>
      <c r="R5244" s="16"/>
      <c r="S5244"/>
      <c r="T5244"/>
      <c r="U5244"/>
      <c r="V5244"/>
    </row>
    <row r="5245" spans="2:22" x14ac:dyDescent="0.25">
      <c r="B5245" s="19" t="s">
        <v>6904</v>
      </c>
      <c r="C5245" s="16" t="s">
        <v>6554</v>
      </c>
      <c r="D5245" s="16" t="s">
        <v>29</v>
      </c>
      <c r="E5245" s="16" t="s">
        <v>54</v>
      </c>
      <c r="F5245" s="16" t="s">
        <v>216</v>
      </c>
      <c r="G5245" s="16" t="s">
        <v>35</v>
      </c>
      <c r="H5245" s="16" t="s">
        <v>36</v>
      </c>
      <c r="I5245" s="16"/>
      <c r="J5245" s="16"/>
      <c r="K5245" s="16"/>
      <c r="L5245" s="16"/>
      <c r="M5245" s="16"/>
      <c r="N5245" s="16"/>
      <c r="O5245" s="17" t="s">
        <v>38</v>
      </c>
      <c r="P5245" s="16" t="str">
        <f t="shared" si="117"/>
        <v>Truncate table XWF512;</v>
      </c>
      <c r="Q5245" s="16"/>
      <c r="R5245" s="16"/>
      <c r="S5245"/>
      <c r="T5245"/>
      <c r="U5245"/>
      <c r="V5245"/>
    </row>
    <row r="5246" spans="2:22" x14ac:dyDescent="0.25">
      <c r="B5246" s="19" t="s">
        <v>6905</v>
      </c>
      <c r="C5246" s="16"/>
      <c r="D5246" s="16" t="s">
        <v>29</v>
      </c>
      <c r="E5246" s="16" t="s">
        <v>54</v>
      </c>
      <c r="F5246" s="16" t="s">
        <v>216</v>
      </c>
      <c r="G5246" s="16" t="s">
        <v>28</v>
      </c>
      <c r="H5246" s="16" t="s">
        <v>36</v>
      </c>
      <c r="I5246" s="16"/>
      <c r="J5246" s="16"/>
      <c r="K5246" s="16"/>
      <c r="L5246" s="16"/>
      <c r="M5246" s="16"/>
      <c r="N5246" s="16"/>
      <c r="O5246" s="17"/>
      <c r="P5246" s="16" t="str">
        <f t="shared" si="117"/>
        <v>Truncate table XWF600;</v>
      </c>
      <c r="Q5246" s="16"/>
      <c r="R5246" s="16"/>
      <c r="S5246"/>
      <c r="T5246"/>
      <c r="U5246"/>
      <c r="V5246"/>
    </row>
    <row r="5247" spans="2:22" x14ac:dyDescent="0.25">
      <c r="B5247" s="19" t="s">
        <v>6906</v>
      </c>
      <c r="C5247" s="20" t="s">
        <v>6902</v>
      </c>
      <c r="D5247" s="16" t="s">
        <v>29</v>
      </c>
      <c r="E5247" s="16" t="s">
        <v>54</v>
      </c>
      <c r="F5247" s="16" t="s">
        <v>216</v>
      </c>
      <c r="G5247" s="16" t="s">
        <v>35</v>
      </c>
      <c r="H5247" s="16" t="s">
        <v>36</v>
      </c>
      <c r="I5247" s="16"/>
      <c r="J5247" s="16"/>
      <c r="K5247" s="16"/>
      <c r="L5247" s="16"/>
      <c r="M5247" s="16"/>
      <c r="N5247" s="16"/>
      <c r="O5247" s="17" t="s">
        <v>38</v>
      </c>
      <c r="P5247" s="16" t="str">
        <f t="shared" si="117"/>
        <v>Truncate table XWF700;</v>
      </c>
      <c r="Q5247" s="16"/>
      <c r="R5247" s="16"/>
      <c r="S5247"/>
      <c r="T5247"/>
      <c r="U5247"/>
      <c r="V5247"/>
    </row>
    <row r="5248" spans="2:22" x14ac:dyDescent="0.25">
      <c r="B5248" s="19" t="s">
        <v>6907</v>
      </c>
      <c r="C5248" s="20" t="s">
        <v>6908</v>
      </c>
      <c r="D5248" s="16" t="s">
        <v>29</v>
      </c>
      <c r="E5248" s="16" t="s">
        <v>54</v>
      </c>
      <c r="F5248" s="16" t="s">
        <v>216</v>
      </c>
      <c r="G5248" s="16" t="s">
        <v>35</v>
      </c>
      <c r="H5248" s="16" t="s">
        <v>36</v>
      </c>
      <c r="I5248" s="16"/>
      <c r="J5248" s="16"/>
      <c r="K5248" s="16"/>
      <c r="L5248" s="16"/>
      <c r="M5248" s="16"/>
      <c r="N5248" s="16"/>
      <c r="O5248" s="17" t="s">
        <v>38</v>
      </c>
      <c r="P5248" s="16" t="str">
        <f t="shared" si="117"/>
        <v>Truncate table XWF701;</v>
      </c>
      <c r="Q5248" s="16"/>
      <c r="R5248" s="16"/>
      <c r="S5248"/>
      <c r="T5248"/>
      <c r="U5248"/>
      <c r="V5248"/>
    </row>
    <row r="5249" spans="1:22" x14ac:dyDescent="0.25">
      <c r="B5249" s="19" t="s">
        <v>6909</v>
      </c>
      <c r="C5249" s="16"/>
      <c r="D5249" s="16" t="s">
        <v>29</v>
      </c>
      <c r="E5249" s="16" t="s">
        <v>54</v>
      </c>
      <c r="F5249" s="16" t="s">
        <v>216</v>
      </c>
      <c r="G5249" s="16" t="s">
        <v>28</v>
      </c>
      <c r="H5249" s="16" t="s">
        <v>36</v>
      </c>
      <c r="I5249" s="16"/>
      <c r="J5249" s="16"/>
      <c r="K5249" s="16"/>
      <c r="L5249" s="16"/>
      <c r="M5249" s="16"/>
      <c r="N5249" s="16"/>
      <c r="O5249" s="17"/>
      <c r="P5249" s="16" t="str">
        <f t="shared" si="117"/>
        <v>Truncate table XWF702;</v>
      </c>
      <c r="Q5249" s="16"/>
      <c r="R5249" s="16"/>
      <c r="S5249"/>
      <c r="T5249"/>
      <c r="U5249"/>
      <c r="V5249"/>
    </row>
    <row r="5250" spans="1:22" x14ac:dyDescent="0.25">
      <c r="A5250" s="240"/>
      <c r="B5250" s="19" t="s">
        <v>9517</v>
      </c>
      <c r="C5250" s="16"/>
      <c r="D5250" s="16" t="s">
        <v>29</v>
      </c>
      <c r="E5250" s="16"/>
      <c r="F5250" s="16"/>
      <c r="G5250" s="16"/>
      <c r="H5250" s="16"/>
      <c r="I5250" s="16"/>
      <c r="J5250" s="16"/>
      <c r="K5250" s="16"/>
      <c r="L5250" s="16"/>
      <c r="M5250" s="16"/>
      <c r="N5250" s="16"/>
      <c r="O5250" s="17"/>
      <c r="P5250" s="16" t="str">
        <f t="shared" si="117"/>
        <v>Truncate table  XWF705;</v>
      </c>
      <c r="Q5250" s="16"/>
      <c r="R5250" s="16"/>
      <c r="S5250"/>
      <c r="T5250"/>
      <c r="U5250"/>
      <c r="V5250"/>
    </row>
    <row r="5251" spans="1:22" x14ac:dyDescent="0.25">
      <c r="A5251" s="240"/>
      <c r="B5251" s="19" t="s">
        <v>9518</v>
      </c>
      <c r="C5251" s="16"/>
      <c r="D5251" s="16" t="s">
        <v>29</v>
      </c>
      <c r="E5251" s="16"/>
      <c r="F5251" s="16"/>
      <c r="G5251" s="16"/>
      <c r="H5251" s="16"/>
      <c r="I5251" s="16"/>
      <c r="J5251" s="16"/>
      <c r="K5251" s="16"/>
      <c r="L5251" s="16"/>
      <c r="M5251" s="16"/>
      <c r="N5251" s="16"/>
      <c r="O5251" s="17"/>
      <c r="P5251" s="16" t="str">
        <f t="shared" si="117"/>
        <v>Truncate table XWF710;</v>
      </c>
      <c r="Q5251" s="16"/>
      <c r="R5251" s="16"/>
      <c r="S5251"/>
      <c r="T5251"/>
      <c r="U5251"/>
      <c r="V5251"/>
    </row>
    <row r="5252" spans="1:22" x14ac:dyDescent="0.25">
      <c r="A5252" s="240"/>
      <c r="B5252" s="118" t="s">
        <v>9542</v>
      </c>
      <c r="C5252" s="16"/>
      <c r="D5252" s="16" t="s">
        <v>29</v>
      </c>
      <c r="E5252" s="16"/>
      <c r="F5252" s="16"/>
      <c r="G5252" s="16"/>
      <c r="H5252" s="16"/>
      <c r="I5252" s="16"/>
      <c r="J5252" s="16"/>
      <c r="K5252" s="16"/>
      <c r="L5252" s="16"/>
      <c r="M5252" s="16"/>
      <c r="N5252" s="16"/>
      <c r="O5252" s="17"/>
      <c r="P5252" s="16" t="str">
        <f t="shared" si="117"/>
        <v>Truncate table  XWF720;</v>
      </c>
      <c r="Q5252" s="16"/>
      <c r="R5252" s="16"/>
      <c r="S5252"/>
      <c r="T5252"/>
      <c r="U5252"/>
      <c r="V5252"/>
    </row>
    <row r="5253" spans="1:22" x14ac:dyDescent="0.25">
      <c r="A5253" s="240"/>
      <c r="B5253" s="118" t="s">
        <v>9543</v>
      </c>
      <c r="C5253" s="16"/>
      <c r="D5253" s="16" t="s">
        <v>29</v>
      </c>
      <c r="E5253" s="16"/>
      <c r="F5253" s="16"/>
      <c r="G5253" s="16"/>
      <c r="H5253" s="16"/>
      <c r="I5253" s="16"/>
      <c r="J5253" s="16"/>
      <c r="K5253" s="16"/>
      <c r="L5253" s="16"/>
      <c r="M5253" s="16"/>
      <c r="N5253" s="16"/>
      <c r="O5253" s="17"/>
      <c r="P5253" s="16" t="str">
        <f t="shared" si="117"/>
        <v>Truncate table  XWF721;</v>
      </c>
      <c r="Q5253" s="16"/>
      <c r="R5253" s="16"/>
      <c r="S5253"/>
      <c r="T5253"/>
      <c r="U5253"/>
      <c r="V5253"/>
    </row>
    <row r="5254" spans="1:22" x14ac:dyDescent="0.25">
      <c r="A5254" s="240"/>
      <c r="B5254" s="118" t="s">
        <v>9544</v>
      </c>
      <c r="C5254" s="16"/>
      <c r="D5254" s="16" t="s">
        <v>29</v>
      </c>
      <c r="E5254" s="16"/>
      <c r="F5254" s="16"/>
      <c r="G5254" s="16"/>
      <c r="H5254" s="16"/>
      <c r="I5254" s="16"/>
      <c r="J5254" s="16"/>
      <c r="K5254" s="16"/>
      <c r="L5254" s="16"/>
      <c r="M5254" s="16"/>
      <c r="N5254" s="16"/>
      <c r="O5254" s="17"/>
      <c r="P5254" s="16" t="str">
        <f t="shared" si="117"/>
        <v>Truncate table  XWF722;</v>
      </c>
      <c r="Q5254" s="16"/>
      <c r="R5254" s="16"/>
      <c r="S5254"/>
      <c r="T5254"/>
      <c r="U5254"/>
      <c r="V5254"/>
    </row>
    <row r="5255" spans="1:22" x14ac:dyDescent="0.25">
      <c r="B5255" s="19" t="s">
        <v>6910</v>
      </c>
      <c r="C5255" s="20" t="s">
        <v>6911</v>
      </c>
      <c r="D5255" s="16" t="s">
        <v>29</v>
      </c>
      <c r="E5255" s="16" t="s">
        <v>54</v>
      </c>
      <c r="F5255" s="16" t="s">
        <v>216</v>
      </c>
      <c r="G5255" s="16" t="s">
        <v>35</v>
      </c>
      <c r="H5255" s="16" t="s">
        <v>36</v>
      </c>
      <c r="I5255" s="16"/>
      <c r="J5255" s="16"/>
      <c r="K5255" s="16"/>
      <c r="L5255" s="16"/>
      <c r="M5255" s="16"/>
      <c r="N5255" s="16"/>
      <c r="O5255" s="17" t="s">
        <v>38</v>
      </c>
      <c r="P5255" s="16" t="str">
        <f t="shared" si="117"/>
        <v>Truncate table XWF750;</v>
      </c>
      <c r="Q5255" s="16"/>
      <c r="R5255" s="16"/>
      <c r="S5255"/>
      <c r="T5255"/>
      <c r="U5255"/>
      <c r="V5255"/>
    </row>
    <row r="5256" spans="1:22" x14ac:dyDescent="0.25">
      <c r="B5256" s="19" t="s">
        <v>6912</v>
      </c>
      <c r="C5256" s="20" t="s">
        <v>6911</v>
      </c>
      <c r="D5256" s="16" t="s">
        <v>29</v>
      </c>
      <c r="E5256" s="16" t="s">
        <v>54</v>
      </c>
      <c r="F5256" s="16" t="s">
        <v>216</v>
      </c>
      <c r="G5256" s="16" t="s">
        <v>35</v>
      </c>
      <c r="H5256" s="16" t="s">
        <v>36</v>
      </c>
      <c r="I5256" s="16"/>
      <c r="J5256" s="16"/>
      <c r="K5256" s="16"/>
      <c r="L5256" s="16"/>
      <c r="M5256" s="16"/>
      <c r="N5256" s="16"/>
      <c r="O5256" s="17" t="s">
        <v>38</v>
      </c>
      <c r="P5256" s="16" t="str">
        <f t="shared" si="117"/>
        <v>Truncate table XWF751;</v>
      </c>
      <c r="Q5256" s="16"/>
      <c r="R5256" s="16"/>
      <c r="S5256"/>
      <c r="T5256"/>
      <c r="U5256"/>
      <c r="V5256"/>
    </row>
    <row r="5257" spans="1:22" x14ac:dyDescent="0.25">
      <c r="B5257" s="19" t="s">
        <v>6913</v>
      </c>
      <c r="C5257" s="20" t="s">
        <v>6911</v>
      </c>
      <c r="D5257" s="16" t="s">
        <v>29</v>
      </c>
      <c r="E5257" s="16" t="s">
        <v>54</v>
      </c>
      <c r="F5257" s="16" t="s">
        <v>216</v>
      </c>
      <c r="G5257" s="16" t="s">
        <v>35</v>
      </c>
      <c r="H5257" s="16" t="s">
        <v>36</v>
      </c>
      <c r="I5257" s="16"/>
      <c r="J5257" s="16"/>
      <c r="K5257" s="16"/>
      <c r="L5257" s="16"/>
      <c r="M5257" s="16"/>
      <c r="N5257" s="16"/>
      <c r="O5257" s="17" t="s">
        <v>38</v>
      </c>
      <c r="P5257" s="16" t="str">
        <f t="shared" si="117"/>
        <v>Truncate table XWF752;</v>
      </c>
      <c r="Q5257" s="16"/>
      <c r="R5257" s="16"/>
      <c r="S5257"/>
      <c r="T5257"/>
      <c r="U5257"/>
      <c r="V5257"/>
    </row>
    <row r="5258" spans="1:22" x14ac:dyDescent="0.25">
      <c r="B5258" s="19" t="s">
        <v>6914</v>
      </c>
      <c r="C5258" s="16"/>
      <c r="D5258" s="16" t="s">
        <v>29</v>
      </c>
      <c r="E5258" s="16" t="s">
        <v>54</v>
      </c>
      <c r="F5258" s="16" t="s">
        <v>216</v>
      </c>
      <c r="G5258" s="16" t="s">
        <v>28</v>
      </c>
      <c r="H5258" s="16" t="s">
        <v>36</v>
      </c>
      <c r="I5258" s="16"/>
      <c r="J5258" s="16"/>
      <c r="K5258" s="16"/>
      <c r="L5258" s="16"/>
      <c r="M5258" s="16"/>
      <c r="N5258" s="16"/>
      <c r="O5258" s="17"/>
      <c r="P5258" s="16" t="str">
        <f t="shared" si="117"/>
        <v>Truncate table XWF800;</v>
      </c>
      <c r="Q5258" s="16"/>
      <c r="R5258" s="16"/>
      <c r="S5258"/>
      <c r="T5258"/>
      <c r="U5258"/>
      <c r="V5258"/>
    </row>
    <row r="5259" spans="1:22" x14ac:dyDescent="0.25">
      <c r="B5259" s="19" t="s">
        <v>6915</v>
      </c>
      <c r="C5259" s="16"/>
      <c r="D5259" s="16" t="s">
        <v>29</v>
      </c>
      <c r="E5259" s="16" t="s">
        <v>54</v>
      </c>
      <c r="F5259" s="16" t="s">
        <v>216</v>
      </c>
      <c r="G5259" s="16" t="s">
        <v>28</v>
      </c>
      <c r="H5259" s="16" t="s">
        <v>36</v>
      </c>
      <c r="I5259" s="16"/>
      <c r="J5259" s="16"/>
      <c r="K5259" s="16"/>
      <c r="L5259" s="16"/>
      <c r="M5259" s="16"/>
      <c r="N5259" s="16"/>
      <c r="O5259" s="17"/>
      <c r="P5259" s="16" t="str">
        <f t="shared" si="117"/>
        <v>Truncate table XWFA01;</v>
      </c>
      <c r="Q5259" s="16"/>
      <c r="R5259" s="16"/>
      <c r="S5259"/>
      <c r="T5259"/>
      <c r="U5259"/>
      <c r="V5259"/>
    </row>
    <row r="5260" spans="1:22" x14ac:dyDescent="0.25">
      <c r="B5260" s="19" t="s">
        <v>6916</v>
      </c>
      <c r="C5260" s="16"/>
      <c r="D5260" s="16" t="s">
        <v>29</v>
      </c>
      <c r="E5260" s="16" t="s">
        <v>54</v>
      </c>
      <c r="F5260" s="16" t="s">
        <v>216</v>
      </c>
      <c r="G5260" s="16" t="s">
        <v>28</v>
      </c>
      <c r="H5260" s="16" t="s">
        <v>36</v>
      </c>
      <c r="I5260" s="16"/>
      <c r="J5260" s="16"/>
      <c r="K5260" s="16"/>
      <c r="L5260" s="16"/>
      <c r="M5260" s="16"/>
      <c r="N5260" s="16"/>
      <c r="O5260" s="17"/>
      <c r="P5260" s="16" t="str">
        <f t="shared" si="117"/>
        <v>Truncate table XWFA02;</v>
      </c>
      <c r="Q5260" s="16"/>
      <c r="R5260" s="16"/>
      <c r="S5260"/>
      <c r="T5260"/>
      <c r="U5260"/>
      <c r="V5260"/>
    </row>
    <row r="5261" spans="1:22" x14ac:dyDescent="0.25">
      <c r="B5261" s="19" t="s">
        <v>6917</v>
      </c>
      <c r="C5261" s="16"/>
      <c r="D5261" s="16" t="s">
        <v>29</v>
      </c>
      <c r="E5261" s="16" t="s">
        <v>54</v>
      </c>
      <c r="F5261" s="16" t="s">
        <v>216</v>
      </c>
      <c r="G5261" s="16" t="s">
        <v>28</v>
      </c>
      <c r="H5261" s="16" t="s">
        <v>36</v>
      </c>
      <c r="I5261" s="16"/>
      <c r="J5261" s="16"/>
      <c r="K5261" s="16"/>
      <c r="L5261" s="16"/>
      <c r="M5261" s="16"/>
      <c r="N5261" s="16"/>
      <c r="O5261" s="17"/>
      <c r="P5261" s="16" t="str">
        <f t="shared" si="117"/>
        <v>Truncate table XWFCNV;</v>
      </c>
      <c r="Q5261" s="16"/>
      <c r="R5261" s="16"/>
      <c r="S5261"/>
      <c r="T5261"/>
      <c r="U5261"/>
      <c r="V5261"/>
    </row>
    <row r="5262" spans="1:22" ht="67.5" x14ac:dyDescent="0.25">
      <c r="B5262" s="43" t="s">
        <v>6918</v>
      </c>
      <c r="C5262" s="242" t="s">
        <v>6919</v>
      </c>
      <c r="D5262" s="16" t="s">
        <v>29</v>
      </c>
      <c r="E5262" s="20" t="s">
        <v>54</v>
      </c>
      <c r="F5262" s="20" t="s">
        <v>216</v>
      </c>
      <c r="G5262" s="20" t="s">
        <v>35</v>
      </c>
      <c r="H5262" s="20" t="s">
        <v>36</v>
      </c>
      <c r="I5262" s="20"/>
      <c r="J5262" s="20"/>
      <c r="K5262" s="20"/>
      <c r="L5262" s="20" t="s">
        <v>6865</v>
      </c>
      <c r="M5262" s="20"/>
      <c r="N5262" s="20"/>
      <c r="O5262" s="44" t="s">
        <v>38</v>
      </c>
      <c r="P5262" s="20" t="str">
        <f t="shared" si="117"/>
        <v>Truncate table XWFD01;</v>
      </c>
      <c r="Q5262" s="20"/>
      <c r="R5262" s="20"/>
      <c r="S5262"/>
      <c r="T5262"/>
      <c r="U5262"/>
      <c r="V5262"/>
    </row>
    <row r="5263" spans="1:22" ht="67.5" x14ac:dyDescent="0.25">
      <c r="B5263" s="19" t="s">
        <v>6920</v>
      </c>
      <c r="C5263" s="20" t="s">
        <v>6919</v>
      </c>
      <c r="D5263" s="16" t="s">
        <v>29</v>
      </c>
      <c r="E5263" s="16" t="s">
        <v>54</v>
      </c>
      <c r="F5263" s="16" t="s">
        <v>216</v>
      </c>
      <c r="G5263" s="16" t="s">
        <v>35</v>
      </c>
      <c r="H5263" s="16" t="s">
        <v>36</v>
      </c>
      <c r="I5263" s="16"/>
      <c r="J5263" s="16"/>
      <c r="K5263" s="16"/>
      <c r="L5263" s="20" t="s">
        <v>6865</v>
      </c>
      <c r="M5263" s="20"/>
      <c r="N5263" s="16"/>
      <c r="O5263" s="17" t="s">
        <v>38</v>
      </c>
      <c r="P5263" s="16" t="str">
        <f t="shared" si="117"/>
        <v>Truncate table XWFD02;</v>
      </c>
      <c r="Q5263" s="16"/>
      <c r="R5263" s="16"/>
      <c r="S5263"/>
      <c r="T5263"/>
      <c r="U5263"/>
      <c r="V5263"/>
    </row>
    <row r="5264" spans="1:22" ht="67.5" x14ac:dyDescent="0.25">
      <c r="B5264" s="19" t="s">
        <v>6921</v>
      </c>
      <c r="C5264" s="20" t="s">
        <v>6919</v>
      </c>
      <c r="D5264" s="16" t="s">
        <v>29</v>
      </c>
      <c r="E5264" s="16" t="s">
        <v>54</v>
      </c>
      <c r="F5264" s="16" t="s">
        <v>216</v>
      </c>
      <c r="G5264" s="16" t="s">
        <v>35</v>
      </c>
      <c r="H5264" s="16" t="s">
        <v>36</v>
      </c>
      <c r="I5264" s="16"/>
      <c r="J5264" s="16"/>
      <c r="K5264" s="16"/>
      <c r="L5264" s="20" t="s">
        <v>6865</v>
      </c>
      <c r="M5264" s="20"/>
      <c r="N5264" s="16"/>
      <c r="O5264" s="17" t="s">
        <v>38</v>
      </c>
      <c r="P5264" s="16" t="str">
        <f t="shared" si="117"/>
        <v>Truncate table XWFD05;</v>
      </c>
      <c r="Q5264" s="16"/>
      <c r="R5264" s="16"/>
      <c r="S5264"/>
      <c r="T5264"/>
      <c r="U5264"/>
      <c r="V5264"/>
    </row>
    <row r="5265" spans="2:22" ht="67.5" x14ac:dyDescent="0.25">
      <c r="B5265" s="19" t="s">
        <v>6922</v>
      </c>
      <c r="C5265" s="20" t="s">
        <v>6919</v>
      </c>
      <c r="D5265" s="16" t="s">
        <v>29</v>
      </c>
      <c r="E5265" s="16" t="s">
        <v>54</v>
      </c>
      <c r="F5265" s="16" t="s">
        <v>216</v>
      </c>
      <c r="G5265" s="16" t="s">
        <v>35</v>
      </c>
      <c r="H5265" s="16" t="s">
        <v>36</v>
      </c>
      <c r="I5265" s="16"/>
      <c r="J5265" s="16"/>
      <c r="K5265" s="16"/>
      <c r="L5265" s="20" t="s">
        <v>6865</v>
      </c>
      <c r="M5265" s="20"/>
      <c r="N5265" s="16"/>
      <c r="O5265" s="17" t="s">
        <v>38</v>
      </c>
      <c r="P5265" s="16" t="str">
        <f t="shared" si="117"/>
        <v>Truncate table XWFD06;</v>
      </c>
      <c r="Q5265" s="16"/>
      <c r="R5265" s="16"/>
      <c r="S5265"/>
      <c r="T5265"/>
      <c r="U5265"/>
      <c r="V5265"/>
    </row>
    <row r="5266" spans="2:22" ht="67.5" x14ac:dyDescent="0.25">
      <c r="B5266" s="19" t="s">
        <v>6923</v>
      </c>
      <c r="C5266" s="20" t="s">
        <v>6919</v>
      </c>
      <c r="D5266" s="16" t="s">
        <v>29</v>
      </c>
      <c r="E5266" s="16" t="s">
        <v>54</v>
      </c>
      <c r="F5266" s="16" t="s">
        <v>216</v>
      </c>
      <c r="G5266" s="16" t="s">
        <v>35</v>
      </c>
      <c r="H5266" s="16" t="s">
        <v>36</v>
      </c>
      <c r="I5266" s="16"/>
      <c r="J5266" s="16"/>
      <c r="K5266" s="16"/>
      <c r="L5266" s="20" t="s">
        <v>6865</v>
      </c>
      <c r="M5266" s="20"/>
      <c r="N5266" s="16"/>
      <c r="O5266" s="17" t="s">
        <v>38</v>
      </c>
      <c r="P5266" s="16" t="str">
        <f t="shared" si="117"/>
        <v>Truncate table XWFD07;</v>
      </c>
      <c r="Q5266" s="16"/>
      <c r="R5266" s="16"/>
      <c r="S5266"/>
      <c r="T5266"/>
      <c r="U5266"/>
      <c r="V5266"/>
    </row>
    <row r="5267" spans="2:22" ht="67.5" x14ac:dyDescent="0.25">
      <c r="B5267" s="19" t="s">
        <v>6924</v>
      </c>
      <c r="C5267" s="20" t="s">
        <v>6919</v>
      </c>
      <c r="D5267" s="16" t="s">
        <v>29</v>
      </c>
      <c r="E5267" s="16" t="s">
        <v>54</v>
      </c>
      <c r="F5267" s="16" t="s">
        <v>216</v>
      </c>
      <c r="G5267" s="16" t="s">
        <v>35</v>
      </c>
      <c r="H5267" s="16" t="s">
        <v>36</v>
      </c>
      <c r="I5267" s="16"/>
      <c r="J5267" s="16"/>
      <c r="K5267" s="16"/>
      <c r="L5267" s="20" t="s">
        <v>6865</v>
      </c>
      <c r="M5267" s="20"/>
      <c r="N5267" s="16"/>
      <c r="O5267" s="17" t="s">
        <v>38</v>
      </c>
      <c r="P5267" s="16" t="str">
        <f t="shared" si="117"/>
        <v>Truncate table XWFD08;</v>
      </c>
      <c r="Q5267" s="16"/>
      <c r="R5267" s="16"/>
      <c r="S5267"/>
      <c r="T5267"/>
      <c r="U5267"/>
      <c r="V5267"/>
    </row>
    <row r="5268" spans="2:22" x14ac:dyDescent="0.25">
      <c r="B5268" s="19" t="s">
        <v>6925</v>
      </c>
      <c r="C5268" s="242" t="s">
        <v>6926</v>
      </c>
      <c r="D5268" s="16" t="s">
        <v>29</v>
      </c>
      <c r="E5268" s="16" t="s">
        <v>54</v>
      </c>
      <c r="F5268" s="16" t="s">
        <v>216</v>
      </c>
      <c r="G5268" s="16" t="s">
        <v>35</v>
      </c>
      <c r="H5268" s="16" t="s">
        <v>36</v>
      </c>
      <c r="I5268" s="16"/>
      <c r="J5268" s="16"/>
      <c r="K5268" s="16"/>
      <c r="L5268" s="16"/>
      <c r="M5268" s="16"/>
      <c r="N5268" s="16"/>
      <c r="O5268" s="17" t="s">
        <v>38</v>
      </c>
      <c r="P5268" s="16" t="str">
        <f t="shared" si="117"/>
        <v>Truncate table XWFDEBUG;</v>
      </c>
      <c r="Q5268" s="16"/>
      <c r="R5268" s="16"/>
      <c r="S5268"/>
      <c r="T5268"/>
      <c r="U5268"/>
      <c r="V5268"/>
    </row>
    <row r="5269" spans="2:22" x14ac:dyDescent="0.25">
      <c r="B5269" s="37" t="s">
        <v>6927</v>
      </c>
      <c r="C5269" s="38"/>
      <c r="D5269" s="16" t="s">
        <v>29</v>
      </c>
      <c r="E5269" s="16" t="s">
        <v>54</v>
      </c>
      <c r="F5269" s="38" t="s">
        <v>216</v>
      </c>
      <c r="G5269" s="16" t="s">
        <v>28</v>
      </c>
      <c r="H5269" s="16" t="s">
        <v>36</v>
      </c>
      <c r="I5269" s="38"/>
      <c r="J5269" s="38"/>
      <c r="K5269" s="38"/>
      <c r="L5269" s="38"/>
      <c r="M5269" s="38"/>
      <c r="N5269" s="38"/>
      <c r="O5269" s="48"/>
      <c r="P5269" s="38" t="str">
        <f t="shared" si="117"/>
        <v>Truncate table XWFGRD;</v>
      </c>
      <c r="Q5269" s="38"/>
      <c r="R5269" s="38"/>
      <c r="S5269"/>
      <c r="T5269"/>
      <c r="U5269"/>
      <c r="V5269"/>
    </row>
    <row r="5270" spans="2:22" x14ac:dyDescent="0.25">
      <c r="B5270" s="19" t="s">
        <v>6928</v>
      </c>
      <c r="C5270" s="20" t="s">
        <v>6929</v>
      </c>
      <c r="D5270" s="16" t="s">
        <v>29</v>
      </c>
      <c r="E5270" s="247" t="s">
        <v>54</v>
      </c>
      <c r="F5270" s="16" t="s">
        <v>216</v>
      </c>
      <c r="G5270" s="16" t="s">
        <v>35</v>
      </c>
      <c r="H5270" s="16" t="s">
        <v>36</v>
      </c>
      <c r="I5270" s="16"/>
      <c r="J5270" s="16"/>
      <c r="K5270" s="16"/>
      <c r="L5270" s="16"/>
      <c r="M5270" s="16"/>
      <c r="N5270" s="16"/>
      <c r="O5270" s="16" t="s">
        <v>38</v>
      </c>
      <c r="P5270" s="16" t="str">
        <f t="shared" ref="P5270:P5333" si="118">IF(D5270="Datos","Truncate table "&amp; B5270&amp; ";","")</f>
        <v>Truncate table XWFH01;</v>
      </c>
      <c r="Q5270" s="16"/>
      <c r="R5270" s="16"/>
      <c r="S5270"/>
      <c r="T5270"/>
      <c r="U5270"/>
      <c r="V5270"/>
    </row>
    <row r="5271" spans="2:22" x14ac:dyDescent="0.25">
      <c r="B5271" s="19" t="s">
        <v>6930</v>
      </c>
      <c r="C5271" s="20" t="s">
        <v>6931</v>
      </c>
      <c r="D5271" s="16" t="s">
        <v>29</v>
      </c>
      <c r="E5271" s="247" t="s">
        <v>54</v>
      </c>
      <c r="F5271" s="16" t="s">
        <v>216</v>
      </c>
      <c r="G5271" s="16" t="s">
        <v>35</v>
      </c>
      <c r="H5271" s="16" t="s">
        <v>36</v>
      </c>
      <c r="I5271" s="16"/>
      <c r="J5271" s="16"/>
      <c r="K5271" s="16"/>
      <c r="L5271" s="16"/>
      <c r="M5271" s="16"/>
      <c r="N5271" s="16"/>
      <c r="O5271" s="16" t="s">
        <v>38</v>
      </c>
      <c r="P5271" s="16" t="str">
        <f t="shared" si="118"/>
        <v>Truncate table XWFH02;</v>
      </c>
      <c r="Q5271" s="16"/>
      <c r="R5271" s="16"/>
      <c r="S5271"/>
      <c r="T5271"/>
      <c r="U5271"/>
      <c r="V5271"/>
    </row>
    <row r="5272" spans="2:22" ht="40.5" x14ac:dyDescent="0.25">
      <c r="B5272" s="49" t="s">
        <v>6932</v>
      </c>
      <c r="C5272" s="50" t="s">
        <v>6933</v>
      </c>
      <c r="D5272" s="16" t="s">
        <v>29</v>
      </c>
      <c r="E5272" s="16" t="s">
        <v>54</v>
      </c>
      <c r="F5272" s="50" t="s">
        <v>216</v>
      </c>
      <c r="G5272" s="16" t="s">
        <v>35</v>
      </c>
      <c r="H5272" s="16" t="s">
        <v>36</v>
      </c>
      <c r="I5272" s="257" t="s">
        <v>6934</v>
      </c>
      <c r="J5272" s="257" t="s">
        <v>6935</v>
      </c>
      <c r="K5272" s="50" t="s">
        <v>6936</v>
      </c>
      <c r="L5272" s="50"/>
      <c r="M5272" s="50"/>
      <c r="N5272" s="50"/>
      <c r="O5272" s="52" t="s">
        <v>38</v>
      </c>
      <c r="P5272" s="50" t="str">
        <f t="shared" si="118"/>
        <v>Truncate table XWFP01;</v>
      </c>
      <c r="Q5272" s="50"/>
      <c r="R5272" s="50"/>
      <c r="S5272"/>
      <c r="T5272"/>
      <c r="U5272"/>
      <c r="V5272"/>
    </row>
    <row r="5273" spans="2:22" x14ac:dyDescent="0.25">
      <c r="B5273" s="19" t="s">
        <v>6937</v>
      </c>
      <c r="C5273" s="16" t="s">
        <v>6554</v>
      </c>
      <c r="D5273" s="16" t="s">
        <v>29</v>
      </c>
      <c r="E5273" s="16" t="s">
        <v>54</v>
      </c>
      <c r="F5273" s="16" t="s">
        <v>216</v>
      </c>
      <c r="G5273" s="16" t="s">
        <v>35</v>
      </c>
      <c r="H5273" s="16" t="s">
        <v>36</v>
      </c>
      <c r="I5273" s="16"/>
      <c r="J5273" s="16"/>
      <c r="K5273" s="16"/>
      <c r="L5273" s="16"/>
      <c r="M5273" s="16"/>
      <c r="N5273" s="16"/>
      <c r="O5273" s="17" t="s">
        <v>38</v>
      </c>
      <c r="P5273" s="16" t="str">
        <f t="shared" si="118"/>
        <v>Truncate table XWFP02;</v>
      </c>
      <c r="Q5273" s="16"/>
      <c r="R5273" s="16"/>
      <c r="S5273"/>
      <c r="T5273"/>
      <c r="U5273"/>
      <c r="V5273"/>
    </row>
    <row r="5274" spans="2:22" x14ac:dyDescent="0.25">
      <c r="B5274" s="19" t="s">
        <v>6938</v>
      </c>
      <c r="C5274" s="242" t="s">
        <v>6939</v>
      </c>
      <c r="D5274" s="16" t="s">
        <v>29</v>
      </c>
      <c r="E5274" s="16" t="s">
        <v>54</v>
      </c>
      <c r="F5274" s="16" t="s">
        <v>216</v>
      </c>
      <c r="G5274" s="16" t="s">
        <v>35</v>
      </c>
      <c r="H5274" s="16" t="s">
        <v>36</v>
      </c>
      <c r="I5274" s="16"/>
      <c r="J5274" s="16"/>
      <c r="K5274" s="16" t="s">
        <v>9590</v>
      </c>
      <c r="L5274" s="16"/>
      <c r="M5274" s="16"/>
      <c r="N5274" s="16"/>
      <c r="O5274" s="17" t="s">
        <v>38</v>
      </c>
      <c r="P5274" s="16" t="str">
        <f t="shared" si="118"/>
        <v>Truncate table XWFV01;</v>
      </c>
      <c r="Q5274" s="16"/>
      <c r="R5274" s="16"/>
      <c r="S5274"/>
      <c r="T5274"/>
      <c r="U5274"/>
      <c r="V5274"/>
    </row>
    <row r="5275" spans="2:22" ht="54" x14ac:dyDescent="0.25">
      <c r="B5275" s="43" t="s">
        <v>6940</v>
      </c>
      <c r="C5275" s="20" t="s">
        <v>6941</v>
      </c>
      <c r="D5275" s="16" t="s">
        <v>29</v>
      </c>
      <c r="E5275" s="20" t="s">
        <v>54</v>
      </c>
      <c r="F5275" s="20" t="s">
        <v>216</v>
      </c>
      <c r="G5275" s="20" t="s">
        <v>35</v>
      </c>
      <c r="H5275" s="20" t="s">
        <v>36</v>
      </c>
      <c r="I5275" s="20"/>
      <c r="J5275" s="20"/>
      <c r="K5275" s="20"/>
      <c r="L5275" s="242" t="s">
        <v>5593</v>
      </c>
      <c r="M5275" s="242"/>
      <c r="N5275" s="20"/>
      <c r="O5275" s="44" t="s">
        <v>38</v>
      </c>
      <c r="P5275" s="20" t="str">
        <f t="shared" si="118"/>
        <v>Truncate table XWFV02;</v>
      </c>
      <c r="Q5275" s="20"/>
      <c r="R5275" s="20"/>
      <c r="S5275"/>
      <c r="T5275"/>
      <c r="U5275"/>
      <c r="V5275"/>
    </row>
    <row r="5276" spans="2:22" x14ac:dyDescent="0.25">
      <c r="B5276" s="19" t="s">
        <v>6942</v>
      </c>
      <c r="C5276" s="16"/>
      <c r="D5276" s="16" t="s">
        <v>29</v>
      </c>
      <c r="E5276" s="16" t="s">
        <v>54</v>
      </c>
      <c r="F5276" s="16" t="s">
        <v>216</v>
      </c>
      <c r="G5276" s="16" t="s">
        <v>35</v>
      </c>
      <c r="H5276" s="16" t="s">
        <v>36</v>
      </c>
      <c r="I5276" s="16"/>
      <c r="J5276" s="16"/>
      <c r="K5276" s="16"/>
      <c r="L5276" s="16"/>
      <c r="M5276" s="16"/>
      <c r="N5276" s="16"/>
      <c r="O5276" s="17"/>
      <c r="P5276" s="16" t="str">
        <f t="shared" si="118"/>
        <v>Truncate table XWFV03;</v>
      </c>
      <c r="Q5276" s="16"/>
      <c r="R5276" s="16"/>
      <c r="S5276"/>
      <c r="T5276"/>
      <c r="U5276"/>
      <c r="V5276"/>
    </row>
    <row r="5277" spans="2:22" x14ac:dyDescent="0.25">
      <c r="B5277" s="19" t="s">
        <v>6943</v>
      </c>
      <c r="C5277" s="16" t="s">
        <v>6554</v>
      </c>
      <c r="D5277" s="16" t="s">
        <v>29</v>
      </c>
      <c r="E5277" s="16" t="s">
        <v>54</v>
      </c>
      <c r="F5277" s="16" t="s">
        <v>216</v>
      </c>
      <c r="G5277" s="16" t="s">
        <v>35</v>
      </c>
      <c r="H5277" s="16" t="s">
        <v>36</v>
      </c>
      <c r="I5277" s="16"/>
      <c r="J5277" s="16"/>
      <c r="K5277" s="16"/>
      <c r="L5277" s="16"/>
      <c r="M5277" s="16"/>
      <c r="N5277" s="16"/>
      <c r="O5277" s="17" t="s">
        <v>38</v>
      </c>
      <c r="P5277" s="16" t="str">
        <f t="shared" si="118"/>
        <v>Truncate table XWFV04;</v>
      </c>
      <c r="Q5277" s="16"/>
      <c r="R5277" s="16"/>
      <c r="S5277"/>
      <c r="T5277"/>
      <c r="U5277"/>
      <c r="V5277"/>
    </row>
    <row r="5278" spans="2:22" x14ac:dyDescent="0.25">
      <c r="B5278" s="19" t="s">
        <v>6944</v>
      </c>
      <c r="C5278" s="16"/>
      <c r="D5278" s="16" t="s">
        <v>29</v>
      </c>
      <c r="E5278" s="16" t="s">
        <v>54</v>
      </c>
      <c r="F5278" s="5" t="s">
        <v>216</v>
      </c>
      <c r="G5278" s="16" t="s">
        <v>35</v>
      </c>
      <c r="H5278" s="16" t="s">
        <v>36</v>
      </c>
      <c r="I5278" s="16"/>
      <c r="J5278" s="16"/>
      <c r="K5278" s="16"/>
      <c r="L5278" s="16"/>
      <c r="M5278" s="16"/>
      <c r="N5278" s="16"/>
      <c r="O5278" s="17"/>
      <c r="P5278" s="5" t="str">
        <f t="shared" si="118"/>
        <v>Truncate table XWFV10;</v>
      </c>
      <c r="Q5278" s="5"/>
      <c r="R5278" s="5"/>
    </row>
    <row r="5279" spans="2:22" x14ac:dyDescent="0.25">
      <c r="B5279" s="19" t="s">
        <v>6945</v>
      </c>
      <c r="C5279" s="16"/>
      <c r="D5279" s="16" t="s">
        <v>29</v>
      </c>
      <c r="E5279" s="16" t="s">
        <v>54</v>
      </c>
      <c r="F5279" s="5" t="s">
        <v>216</v>
      </c>
      <c r="G5279" s="16" t="s">
        <v>35</v>
      </c>
      <c r="H5279" s="16" t="s">
        <v>36</v>
      </c>
      <c r="I5279" s="16"/>
      <c r="J5279" s="16"/>
      <c r="K5279" s="16"/>
      <c r="L5279" s="16"/>
      <c r="M5279" s="16"/>
      <c r="N5279" s="16"/>
      <c r="O5279" s="17"/>
      <c r="P5279" s="5" t="str">
        <f t="shared" si="118"/>
        <v>Truncate table XWFV11;</v>
      </c>
      <c r="Q5279" s="5"/>
      <c r="R5279" s="5"/>
    </row>
    <row r="5280" spans="2:22" x14ac:dyDescent="0.25">
      <c r="B5280" s="19" t="s">
        <v>6946</v>
      </c>
      <c r="C5280" s="16"/>
      <c r="D5280" s="16" t="s">
        <v>29</v>
      </c>
      <c r="E5280" s="16" t="s">
        <v>54</v>
      </c>
      <c r="F5280" s="5" t="s">
        <v>216</v>
      </c>
      <c r="G5280" s="16" t="s">
        <v>35</v>
      </c>
      <c r="H5280" s="16" t="s">
        <v>36</v>
      </c>
      <c r="I5280" s="16"/>
      <c r="J5280" s="16"/>
      <c r="K5280" s="16"/>
      <c r="L5280" s="16"/>
      <c r="M5280" s="16"/>
      <c r="N5280" s="16"/>
      <c r="O5280" s="17"/>
      <c r="P5280" s="5" t="str">
        <f t="shared" si="118"/>
        <v>Truncate table XWFV12;</v>
      </c>
      <c r="Q5280" s="5"/>
      <c r="R5280" s="5"/>
    </row>
    <row r="5281" spans="2:18" x14ac:dyDescent="0.25">
      <c r="B5281" s="19" t="s">
        <v>6947</v>
      </c>
      <c r="C5281" s="16"/>
      <c r="D5281" s="16" t="s">
        <v>29</v>
      </c>
      <c r="E5281" s="16" t="s">
        <v>54</v>
      </c>
      <c r="F5281" s="5" t="s">
        <v>216</v>
      </c>
      <c r="G5281" s="16" t="s">
        <v>35</v>
      </c>
      <c r="H5281" s="16" t="s">
        <v>36</v>
      </c>
      <c r="I5281" s="16"/>
      <c r="J5281" s="16"/>
      <c r="K5281" s="16"/>
      <c r="L5281" s="16"/>
      <c r="M5281" s="16"/>
      <c r="N5281" s="16"/>
      <c r="O5281" s="17"/>
      <c r="P5281" s="5" t="str">
        <f t="shared" si="118"/>
        <v>Truncate table XWFV13;</v>
      </c>
      <c r="Q5281" s="5"/>
      <c r="R5281" s="5"/>
    </row>
    <row r="5282" spans="2:18" x14ac:dyDescent="0.25">
      <c r="B5282" s="19" t="s">
        <v>6948</v>
      </c>
      <c r="C5282" s="16"/>
      <c r="D5282" s="16" t="s">
        <v>29</v>
      </c>
      <c r="E5282" s="16" t="s">
        <v>151</v>
      </c>
      <c r="F5282" s="5" t="s">
        <v>4752</v>
      </c>
      <c r="G5282" s="16" t="s">
        <v>35</v>
      </c>
      <c r="H5282" s="16"/>
      <c r="I5282" s="16"/>
      <c r="J5282" s="16"/>
      <c r="K5282" s="16"/>
      <c r="L5282" s="16"/>
      <c r="M5282" s="16"/>
      <c r="N5282" s="16"/>
      <c r="O5282" s="17"/>
      <c r="P5282" s="5" t="str">
        <f t="shared" si="118"/>
        <v>Truncate table Z00009;</v>
      </c>
      <c r="Q5282" s="5"/>
      <c r="R5282" s="5"/>
    </row>
    <row r="5283" spans="2:18" x14ac:dyDescent="0.25">
      <c r="B5283" s="19" t="s">
        <v>6949</v>
      </c>
      <c r="C5283" s="16"/>
      <c r="D5283" s="16" t="s">
        <v>29</v>
      </c>
      <c r="E5283" s="16" t="s">
        <v>151</v>
      </c>
      <c r="F5283" s="5" t="s">
        <v>4752</v>
      </c>
      <c r="G5283" s="16" t="s">
        <v>35</v>
      </c>
      <c r="H5283" s="16"/>
      <c r="I5283" s="16"/>
      <c r="J5283" s="16"/>
      <c r="K5283" s="16"/>
      <c r="L5283" s="16"/>
      <c r="M5283" s="16"/>
      <c r="N5283" s="16"/>
      <c r="O5283" s="17"/>
      <c r="P5283" s="5" t="str">
        <f t="shared" si="118"/>
        <v>Truncate table Z00010;</v>
      </c>
      <c r="Q5283" s="5"/>
      <c r="R5283" s="5"/>
    </row>
    <row r="5284" spans="2:18" x14ac:dyDescent="0.25">
      <c r="B5284" s="19" t="s">
        <v>6950</v>
      </c>
      <c r="C5284" s="16"/>
      <c r="D5284" s="16" t="s">
        <v>29</v>
      </c>
      <c r="E5284" s="16" t="s">
        <v>151</v>
      </c>
      <c r="F5284" s="5" t="s">
        <v>4752</v>
      </c>
      <c r="G5284" s="16" t="s">
        <v>35</v>
      </c>
      <c r="H5284" s="16"/>
      <c r="I5284" s="16"/>
      <c r="J5284" s="16"/>
      <c r="K5284" s="16"/>
      <c r="L5284" s="16"/>
      <c r="M5284" s="16"/>
      <c r="N5284" s="16"/>
      <c r="O5284" s="17"/>
      <c r="P5284" s="5" t="str">
        <f t="shared" si="118"/>
        <v>Truncate table Z00011;</v>
      </c>
      <c r="Q5284" s="5"/>
      <c r="R5284" s="5"/>
    </row>
    <row r="5285" spans="2:18" x14ac:dyDescent="0.25">
      <c r="B5285" s="19" t="s">
        <v>6951</v>
      </c>
      <c r="C5285" s="16"/>
      <c r="D5285" s="16" t="s">
        <v>29</v>
      </c>
      <c r="E5285" s="16" t="s">
        <v>151</v>
      </c>
      <c r="F5285" s="5" t="s">
        <v>4752</v>
      </c>
      <c r="G5285" s="16" t="s">
        <v>35</v>
      </c>
      <c r="H5285" s="16"/>
      <c r="I5285" s="16"/>
      <c r="J5285" s="16"/>
      <c r="K5285" s="16"/>
      <c r="L5285" s="16"/>
      <c r="M5285" s="16"/>
      <c r="N5285" s="16"/>
      <c r="O5285" s="17"/>
      <c r="P5285" s="5" t="str">
        <f t="shared" si="118"/>
        <v>Truncate table Z00024;</v>
      </c>
      <c r="Q5285" s="5"/>
      <c r="R5285" s="5"/>
    </row>
    <row r="5286" spans="2:18" x14ac:dyDescent="0.25">
      <c r="B5286" s="19" t="s">
        <v>6952</v>
      </c>
      <c r="C5286" s="16"/>
      <c r="D5286" s="16" t="s">
        <v>29</v>
      </c>
      <c r="E5286" s="16" t="s">
        <v>151</v>
      </c>
      <c r="F5286" s="5" t="s">
        <v>4752</v>
      </c>
      <c r="G5286" s="16" t="s">
        <v>35</v>
      </c>
      <c r="H5286" s="16"/>
      <c r="I5286" s="16"/>
      <c r="J5286" s="16"/>
      <c r="K5286" s="16"/>
      <c r="L5286" s="16"/>
      <c r="M5286" s="16"/>
      <c r="N5286" s="16"/>
      <c r="O5286" s="17"/>
      <c r="P5286" s="5" t="str">
        <f t="shared" si="118"/>
        <v>Truncate table Z00026;</v>
      </c>
      <c r="Q5286" s="5"/>
      <c r="R5286" s="5"/>
    </row>
    <row r="5287" spans="2:18" x14ac:dyDescent="0.25">
      <c r="B5287" s="19" t="s">
        <v>6953</v>
      </c>
      <c r="C5287" s="16"/>
      <c r="D5287" s="16" t="s">
        <v>29</v>
      </c>
      <c r="E5287" s="16" t="s">
        <v>151</v>
      </c>
      <c r="F5287" s="5" t="s">
        <v>4752</v>
      </c>
      <c r="G5287" s="16" t="s">
        <v>35</v>
      </c>
      <c r="H5287" s="16"/>
      <c r="I5287" s="16"/>
      <c r="J5287" s="16"/>
      <c r="K5287" s="16"/>
      <c r="L5287" s="16"/>
      <c r="M5287" s="16"/>
      <c r="N5287" s="16"/>
      <c r="O5287" s="17"/>
      <c r="P5287" s="5" t="str">
        <f t="shared" si="118"/>
        <v>Truncate table Z00029;</v>
      </c>
      <c r="Q5287" s="5"/>
      <c r="R5287" s="5"/>
    </row>
    <row r="5288" spans="2:18" x14ac:dyDescent="0.25">
      <c r="B5288" s="19" t="s">
        <v>6954</v>
      </c>
      <c r="C5288" s="16"/>
      <c r="D5288" s="16" t="s">
        <v>29</v>
      </c>
      <c r="E5288" s="16" t="s">
        <v>151</v>
      </c>
      <c r="F5288" s="5" t="s">
        <v>4752</v>
      </c>
      <c r="G5288" s="16" t="s">
        <v>35</v>
      </c>
      <c r="H5288" s="16"/>
      <c r="I5288" s="16"/>
      <c r="J5288" s="16"/>
      <c r="K5288" s="16"/>
      <c r="L5288" s="16"/>
      <c r="M5288" s="16"/>
      <c r="N5288" s="16"/>
      <c r="O5288" s="17"/>
      <c r="P5288" s="5" t="str">
        <f t="shared" si="118"/>
        <v>Truncate table Z00040;</v>
      </c>
      <c r="Q5288" s="5"/>
      <c r="R5288" s="5"/>
    </row>
    <row r="5289" spans="2:18" x14ac:dyDescent="0.25">
      <c r="B5289" s="19" t="s">
        <v>6955</v>
      </c>
      <c r="C5289" s="16"/>
      <c r="D5289" s="16" t="s">
        <v>29</v>
      </c>
      <c r="E5289" s="16" t="s">
        <v>151</v>
      </c>
      <c r="F5289" s="5" t="s">
        <v>4752</v>
      </c>
      <c r="G5289" s="16" t="s">
        <v>35</v>
      </c>
      <c r="H5289" s="16"/>
      <c r="I5289" s="16"/>
      <c r="J5289" s="16"/>
      <c r="K5289" s="16"/>
      <c r="L5289" s="16"/>
      <c r="M5289" s="16"/>
      <c r="N5289" s="16"/>
      <c r="O5289" s="17"/>
      <c r="P5289" s="5" t="str">
        <f t="shared" si="118"/>
        <v>Truncate table Z00041;</v>
      </c>
      <c r="Q5289" s="5"/>
      <c r="R5289" s="5"/>
    </row>
    <row r="5290" spans="2:18" x14ac:dyDescent="0.25">
      <c r="B5290" s="19" t="s">
        <v>6956</v>
      </c>
      <c r="C5290" s="16"/>
      <c r="D5290" s="16" t="s">
        <v>29</v>
      </c>
      <c r="E5290" s="16" t="s">
        <v>151</v>
      </c>
      <c r="F5290" s="5" t="s">
        <v>4752</v>
      </c>
      <c r="G5290" s="16" t="s">
        <v>35</v>
      </c>
      <c r="H5290" s="16"/>
      <c r="I5290" s="16"/>
      <c r="J5290" s="16"/>
      <c r="K5290" s="16"/>
      <c r="L5290" s="16"/>
      <c r="M5290" s="16"/>
      <c r="N5290" s="16"/>
      <c r="O5290" s="17"/>
      <c r="P5290" s="5" t="str">
        <f t="shared" si="118"/>
        <v>Truncate table Z00042;</v>
      </c>
      <c r="Q5290" s="5"/>
      <c r="R5290" s="5"/>
    </row>
    <row r="5291" spans="2:18" x14ac:dyDescent="0.25">
      <c r="B5291" s="19" t="s">
        <v>6957</v>
      </c>
      <c r="C5291" s="16"/>
      <c r="D5291" s="16" t="s">
        <v>29</v>
      </c>
      <c r="E5291" s="16" t="s">
        <v>151</v>
      </c>
      <c r="F5291" s="5" t="s">
        <v>4752</v>
      </c>
      <c r="G5291" s="16" t="s">
        <v>35</v>
      </c>
      <c r="H5291" s="16"/>
      <c r="I5291" s="16"/>
      <c r="J5291" s="16"/>
      <c r="K5291" s="16"/>
      <c r="L5291" s="16"/>
      <c r="M5291" s="16"/>
      <c r="N5291" s="16"/>
      <c r="O5291" s="17"/>
      <c r="P5291" s="5" t="str">
        <f t="shared" si="118"/>
        <v>Truncate table Z00049;</v>
      </c>
      <c r="Q5291" s="5"/>
      <c r="R5291" s="5"/>
    </row>
    <row r="5292" spans="2:18" x14ac:dyDescent="0.25">
      <c r="B5292" s="19" t="s">
        <v>6958</v>
      </c>
      <c r="C5292" s="16"/>
      <c r="D5292" s="16" t="s">
        <v>29</v>
      </c>
      <c r="E5292" s="16" t="s">
        <v>151</v>
      </c>
      <c r="F5292" s="5" t="s">
        <v>4752</v>
      </c>
      <c r="G5292" s="16" t="s">
        <v>35</v>
      </c>
      <c r="H5292" s="16"/>
      <c r="I5292" s="16"/>
      <c r="J5292" s="16"/>
      <c r="K5292" s="16"/>
      <c r="L5292" s="16"/>
      <c r="M5292" s="16"/>
      <c r="N5292" s="16"/>
      <c r="O5292" s="17"/>
      <c r="P5292" s="5" t="str">
        <f t="shared" si="118"/>
        <v>Truncate table Z00051;</v>
      </c>
      <c r="Q5292" s="5"/>
      <c r="R5292" s="5"/>
    </row>
    <row r="5293" spans="2:18" x14ac:dyDescent="0.25">
      <c r="B5293" s="19" t="s">
        <v>6959</v>
      </c>
      <c r="C5293" s="16"/>
      <c r="D5293" s="16" t="s">
        <v>29</v>
      </c>
      <c r="E5293" s="16" t="s">
        <v>151</v>
      </c>
      <c r="F5293" s="5" t="s">
        <v>4752</v>
      </c>
      <c r="G5293" s="16" t="s">
        <v>35</v>
      </c>
      <c r="H5293" s="16"/>
      <c r="I5293" s="16"/>
      <c r="J5293" s="16"/>
      <c r="K5293" s="16"/>
      <c r="L5293" s="16"/>
      <c r="M5293" s="16"/>
      <c r="N5293" s="16"/>
      <c r="O5293" s="17"/>
      <c r="P5293" s="5" t="str">
        <f t="shared" si="118"/>
        <v>Truncate table Z000551;</v>
      </c>
      <c r="Q5293" s="5"/>
      <c r="R5293" s="5"/>
    </row>
    <row r="5294" spans="2:18" x14ac:dyDescent="0.25">
      <c r="B5294" s="19" t="s">
        <v>6960</v>
      </c>
      <c r="C5294" s="16"/>
      <c r="D5294" s="16" t="s">
        <v>29</v>
      </c>
      <c r="E5294" s="16" t="s">
        <v>151</v>
      </c>
      <c r="F5294" s="5" t="s">
        <v>4752</v>
      </c>
      <c r="G5294" s="16" t="s">
        <v>35</v>
      </c>
      <c r="H5294" s="16"/>
      <c r="I5294" s="16"/>
      <c r="J5294" s="16"/>
      <c r="K5294" s="16"/>
      <c r="L5294" s="16"/>
      <c r="M5294" s="16"/>
      <c r="N5294" s="16"/>
      <c r="O5294" s="17"/>
      <c r="P5294" s="5" t="str">
        <f t="shared" si="118"/>
        <v>Truncate table Z00057;</v>
      </c>
      <c r="Q5294" s="5"/>
      <c r="R5294" s="5"/>
    </row>
    <row r="5295" spans="2:18" x14ac:dyDescent="0.25">
      <c r="B5295" s="19" t="s">
        <v>6961</v>
      </c>
      <c r="C5295" s="16"/>
      <c r="D5295" s="16" t="s">
        <v>29</v>
      </c>
      <c r="E5295" s="16" t="s">
        <v>151</v>
      </c>
      <c r="F5295" s="5" t="s">
        <v>4752</v>
      </c>
      <c r="G5295" s="16" t="s">
        <v>35</v>
      </c>
      <c r="H5295" s="16"/>
      <c r="I5295" s="16"/>
      <c r="J5295" s="16"/>
      <c r="K5295" s="16"/>
      <c r="L5295" s="16"/>
      <c r="M5295" s="16"/>
      <c r="N5295" s="16"/>
      <c r="O5295" s="17"/>
      <c r="P5295" s="5" t="str">
        <f t="shared" si="118"/>
        <v>Truncate table Z00059;</v>
      </c>
      <c r="Q5295" s="5"/>
      <c r="R5295" s="5"/>
    </row>
    <row r="5296" spans="2:18" x14ac:dyDescent="0.25">
      <c r="B5296" s="19" t="s">
        <v>6962</v>
      </c>
      <c r="C5296" s="16"/>
      <c r="D5296" s="16" t="s">
        <v>29</v>
      </c>
      <c r="E5296" s="16" t="s">
        <v>151</v>
      </c>
      <c r="F5296" s="5" t="s">
        <v>4752</v>
      </c>
      <c r="G5296" s="16" t="s">
        <v>35</v>
      </c>
      <c r="H5296" s="16"/>
      <c r="I5296" s="16"/>
      <c r="J5296" s="16"/>
      <c r="K5296" s="16"/>
      <c r="L5296" s="16"/>
      <c r="M5296" s="16"/>
      <c r="N5296" s="16"/>
      <c r="O5296" s="17"/>
      <c r="P5296" s="5" t="str">
        <f t="shared" si="118"/>
        <v>Truncate table Z00060;</v>
      </c>
      <c r="Q5296" s="5"/>
      <c r="R5296" s="5"/>
    </row>
    <row r="5297" spans="2:18" x14ac:dyDescent="0.25">
      <c r="B5297" s="19" t="s">
        <v>6963</v>
      </c>
      <c r="C5297" s="16"/>
      <c r="D5297" s="16" t="s">
        <v>29</v>
      </c>
      <c r="E5297" s="16" t="s">
        <v>151</v>
      </c>
      <c r="F5297" s="5" t="s">
        <v>4752</v>
      </c>
      <c r="G5297" s="16" t="s">
        <v>35</v>
      </c>
      <c r="H5297" s="16"/>
      <c r="I5297" s="16"/>
      <c r="J5297" s="16"/>
      <c r="K5297" s="16"/>
      <c r="L5297" s="16"/>
      <c r="M5297" s="16"/>
      <c r="N5297" s="16"/>
      <c r="O5297" s="17"/>
      <c r="P5297" s="5" t="str">
        <f t="shared" si="118"/>
        <v>Truncate table Z00061;</v>
      </c>
      <c r="Q5297" s="5"/>
      <c r="R5297" s="5"/>
    </row>
    <row r="5298" spans="2:18" x14ac:dyDescent="0.25">
      <c r="B5298" s="19" t="s">
        <v>6964</v>
      </c>
      <c r="C5298" s="16"/>
      <c r="D5298" s="16" t="s">
        <v>29</v>
      </c>
      <c r="E5298" s="16" t="s">
        <v>151</v>
      </c>
      <c r="F5298" s="5" t="s">
        <v>4752</v>
      </c>
      <c r="G5298" s="16" t="s">
        <v>35</v>
      </c>
      <c r="H5298" s="16"/>
      <c r="I5298" s="16"/>
      <c r="J5298" s="16"/>
      <c r="K5298" s="16"/>
      <c r="L5298" s="16"/>
      <c r="M5298" s="16"/>
      <c r="N5298" s="16"/>
      <c r="O5298" s="17"/>
      <c r="P5298" s="5" t="str">
        <f t="shared" si="118"/>
        <v>Truncate table Z00062;</v>
      </c>
      <c r="Q5298" s="5"/>
      <c r="R5298" s="5"/>
    </row>
    <row r="5299" spans="2:18" x14ac:dyDescent="0.25">
      <c r="B5299" s="19" t="s">
        <v>6965</v>
      </c>
      <c r="C5299" s="16"/>
      <c r="D5299" s="16" t="s">
        <v>29</v>
      </c>
      <c r="E5299" s="16" t="s">
        <v>151</v>
      </c>
      <c r="F5299" s="5" t="s">
        <v>4752</v>
      </c>
      <c r="G5299" s="16" t="s">
        <v>35</v>
      </c>
      <c r="H5299" s="16"/>
      <c r="I5299" s="16"/>
      <c r="J5299" s="16"/>
      <c r="K5299" s="16"/>
      <c r="L5299" s="16"/>
      <c r="M5299" s="16"/>
      <c r="N5299" s="16"/>
      <c r="O5299" s="17"/>
      <c r="P5299" s="5" t="str">
        <f t="shared" si="118"/>
        <v>Truncate table Z00068;</v>
      </c>
      <c r="Q5299" s="5"/>
      <c r="R5299" s="5"/>
    </row>
    <row r="5300" spans="2:18" x14ac:dyDescent="0.25">
      <c r="B5300" s="19" t="s">
        <v>6966</v>
      </c>
      <c r="C5300" s="16"/>
      <c r="D5300" s="16" t="s">
        <v>29</v>
      </c>
      <c r="E5300" s="16" t="s">
        <v>151</v>
      </c>
      <c r="F5300" s="5" t="s">
        <v>4752</v>
      </c>
      <c r="G5300" s="16" t="s">
        <v>35</v>
      </c>
      <c r="H5300" s="16"/>
      <c r="I5300" s="16"/>
      <c r="J5300" s="16"/>
      <c r="K5300" s="16"/>
      <c r="L5300" s="16"/>
      <c r="M5300" s="16"/>
      <c r="N5300" s="16"/>
      <c r="O5300" s="17"/>
      <c r="P5300" s="5" t="str">
        <f t="shared" si="118"/>
        <v>Truncate table Z00069;</v>
      </c>
      <c r="Q5300" s="5"/>
      <c r="R5300" s="5"/>
    </row>
    <row r="5301" spans="2:18" x14ac:dyDescent="0.25">
      <c r="B5301" s="19" t="s">
        <v>6967</v>
      </c>
      <c r="C5301" s="16"/>
      <c r="D5301" s="16" t="s">
        <v>29</v>
      </c>
      <c r="E5301" s="16" t="s">
        <v>151</v>
      </c>
      <c r="F5301" s="5" t="s">
        <v>4752</v>
      </c>
      <c r="G5301" s="16" t="s">
        <v>35</v>
      </c>
      <c r="H5301" s="16"/>
      <c r="I5301" s="16"/>
      <c r="J5301" s="16"/>
      <c r="K5301" s="16"/>
      <c r="L5301" s="16"/>
      <c r="M5301" s="16"/>
      <c r="N5301" s="16"/>
      <c r="O5301" s="17"/>
      <c r="P5301" s="5" t="str">
        <f t="shared" si="118"/>
        <v>Truncate table Z00070;</v>
      </c>
      <c r="Q5301" s="5"/>
      <c r="R5301" s="5"/>
    </row>
    <row r="5302" spans="2:18" x14ac:dyDescent="0.25">
      <c r="B5302" s="19" t="s">
        <v>6968</v>
      </c>
      <c r="C5302" s="16"/>
      <c r="D5302" s="16" t="s">
        <v>29</v>
      </c>
      <c r="E5302" s="16" t="s">
        <v>151</v>
      </c>
      <c r="F5302" s="5" t="s">
        <v>4752</v>
      </c>
      <c r="G5302" s="16" t="s">
        <v>35</v>
      </c>
      <c r="H5302" s="16"/>
      <c r="I5302" s="16"/>
      <c r="J5302" s="16"/>
      <c r="K5302" s="16"/>
      <c r="L5302" s="16"/>
      <c r="M5302" s="16"/>
      <c r="N5302" s="16"/>
      <c r="O5302" s="17"/>
      <c r="P5302" s="5" t="str">
        <f t="shared" si="118"/>
        <v>Truncate table Z00071;</v>
      </c>
      <c r="Q5302" s="5"/>
      <c r="R5302" s="5"/>
    </row>
    <row r="5303" spans="2:18" x14ac:dyDescent="0.25">
      <c r="B5303" s="19" t="s">
        <v>6969</v>
      </c>
      <c r="C5303" s="16"/>
      <c r="D5303" s="16" t="s">
        <v>29</v>
      </c>
      <c r="E5303" s="16" t="s">
        <v>151</v>
      </c>
      <c r="F5303" s="5" t="s">
        <v>4752</v>
      </c>
      <c r="G5303" s="16" t="s">
        <v>35</v>
      </c>
      <c r="H5303" s="16"/>
      <c r="I5303" s="16"/>
      <c r="J5303" s="16"/>
      <c r="K5303" s="16"/>
      <c r="L5303" s="16"/>
      <c r="M5303" s="16"/>
      <c r="N5303" s="16"/>
      <c r="O5303" s="17"/>
      <c r="P5303" s="5" t="str">
        <f t="shared" si="118"/>
        <v>Truncate table Z00072;</v>
      </c>
      <c r="Q5303" s="5"/>
      <c r="R5303" s="5"/>
    </row>
    <row r="5304" spans="2:18" x14ac:dyDescent="0.25">
      <c r="B5304" s="19" t="s">
        <v>6970</v>
      </c>
      <c r="C5304" s="16"/>
      <c r="D5304" s="16" t="s">
        <v>29</v>
      </c>
      <c r="E5304" s="16" t="s">
        <v>151</v>
      </c>
      <c r="F5304" s="5" t="s">
        <v>4752</v>
      </c>
      <c r="G5304" s="16" t="s">
        <v>35</v>
      </c>
      <c r="H5304" s="16"/>
      <c r="I5304" s="16"/>
      <c r="J5304" s="16"/>
      <c r="K5304" s="16"/>
      <c r="L5304" s="16"/>
      <c r="M5304" s="16"/>
      <c r="N5304" s="16"/>
      <c r="O5304" s="17"/>
      <c r="P5304" s="5" t="str">
        <f t="shared" si="118"/>
        <v>Truncate table Z00074;</v>
      </c>
      <c r="Q5304" s="5"/>
      <c r="R5304" s="5"/>
    </row>
    <row r="5305" spans="2:18" x14ac:dyDescent="0.25">
      <c r="B5305" s="19" t="s">
        <v>6971</v>
      </c>
      <c r="C5305" s="16"/>
      <c r="D5305" s="16" t="s">
        <v>29</v>
      </c>
      <c r="E5305" s="16" t="s">
        <v>151</v>
      </c>
      <c r="F5305" s="5" t="s">
        <v>4752</v>
      </c>
      <c r="G5305" s="16" t="s">
        <v>35</v>
      </c>
      <c r="H5305" s="16"/>
      <c r="I5305" s="16"/>
      <c r="J5305" s="16"/>
      <c r="K5305" s="16"/>
      <c r="L5305" s="16"/>
      <c r="M5305" s="16"/>
      <c r="N5305" s="16"/>
      <c r="O5305" s="17"/>
      <c r="P5305" s="5" t="str">
        <f t="shared" si="118"/>
        <v>Truncate table Z00076;</v>
      </c>
      <c r="Q5305" s="5"/>
      <c r="R5305" s="5"/>
    </row>
    <row r="5306" spans="2:18" x14ac:dyDescent="0.25">
      <c r="B5306" s="19" t="s">
        <v>6972</v>
      </c>
      <c r="C5306" s="16"/>
      <c r="D5306" s="16" t="s">
        <v>29</v>
      </c>
      <c r="E5306" s="16" t="s">
        <v>151</v>
      </c>
      <c r="F5306" s="5" t="s">
        <v>4752</v>
      </c>
      <c r="G5306" s="16" t="s">
        <v>35</v>
      </c>
      <c r="H5306" s="16"/>
      <c r="I5306" s="16"/>
      <c r="J5306" s="16"/>
      <c r="K5306" s="16"/>
      <c r="L5306" s="16"/>
      <c r="M5306" s="16"/>
      <c r="N5306" s="16"/>
      <c r="O5306" s="17"/>
      <c r="P5306" s="5" t="str">
        <f t="shared" si="118"/>
        <v>Truncate table Z00077;</v>
      </c>
      <c r="Q5306" s="5"/>
      <c r="R5306" s="5"/>
    </row>
    <row r="5307" spans="2:18" x14ac:dyDescent="0.25">
      <c r="B5307" s="19" t="s">
        <v>6973</v>
      </c>
      <c r="C5307" s="16"/>
      <c r="D5307" s="16" t="s">
        <v>29</v>
      </c>
      <c r="E5307" s="16" t="s">
        <v>151</v>
      </c>
      <c r="F5307" s="5" t="s">
        <v>4752</v>
      </c>
      <c r="G5307" s="16" t="s">
        <v>35</v>
      </c>
      <c r="H5307" s="16"/>
      <c r="I5307" s="16"/>
      <c r="J5307" s="16"/>
      <c r="K5307" s="16"/>
      <c r="L5307" s="16"/>
      <c r="M5307" s="16"/>
      <c r="N5307" s="16"/>
      <c r="O5307" s="17"/>
      <c r="P5307" s="5" t="str">
        <f t="shared" si="118"/>
        <v>Truncate table Z00078;</v>
      </c>
      <c r="Q5307" s="5"/>
      <c r="R5307" s="5"/>
    </row>
    <row r="5308" spans="2:18" x14ac:dyDescent="0.25">
      <c r="B5308" s="19" t="s">
        <v>6974</v>
      </c>
      <c r="C5308" s="16"/>
      <c r="D5308" s="16" t="s">
        <v>29</v>
      </c>
      <c r="E5308" s="16" t="s">
        <v>151</v>
      </c>
      <c r="F5308" s="5" t="s">
        <v>4752</v>
      </c>
      <c r="G5308" s="16" t="s">
        <v>35</v>
      </c>
      <c r="H5308" s="16"/>
      <c r="I5308" s="16"/>
      <c r="J5308" s="16"/>
      <c r="K5308" s="16"/>
      <c r="L5308" s="16"/>
      <c r="M5308" s="16"/>
      <c r="N5308" s="16"/>
      <c r="O5308" s="17"/>
      <c r="P5308" s="5" t="str">
        <f t="shared" si="118"/>
        <v>Truncate table Z00079;</v>
      </c>
      <c r="Q5308" s="5"/>
      <c r="R5308" s="5"/>
    </row>
    <row r="5309" spans="2:18" x14ac:dyDescent="0.25">
      <c r="B5309" s="19" t="s">
        <v>6975</v>
      </c>
      <c r="C5309" s="16"/>
      <c r="D5309" s="16" t="s">
        <v>29</v>
      </c>
      <c r="E5309" s="16" t="s">
        <v>151</v>
      </c>
      <c r="F5309" s="5" t="s">
        <v>4752</v>
      </c>
      <c r="G5309" s="16" t="s">
        <v>35</v>
      </c>
      <c r="H5309" s="16"/>
      <c r="I5309" s="16"/>
      <c r="J5309" s="16"/>
      <c r="K5309" s="16"/>
      <c r="L5309" s="16"/>
      <c r="M5309" s="16"/>
      <c r="N5309" s="16"/>
      <c r="O5309" s="17"/>
      <c r="P5309" s="5" t="str">
        <f t="shared" si="118"/>
        <v>Truncate table Z00090;</v>
      </c>
      <c r="Q5309" s="5"/>
      <c r="R5309" s="5"/>
    </row>
    <row r="5310" spans="2:18" x14ac:dyDescent="0.25">
      <c r="B5310" s="19" t="s">
        <v>6976</v>
      </c>
      <c r="C5310" s="16"/>
      <c r="D5310" s="16" t="s">
        <v>29</v>
      </c>
      <c r="E5310" s="16" t="s">
        <v>151</v>
      </c>
      <c r="F5310" s="5" t="s">
        <v>4752</v>
      </c>
      <c r="G5310" s="16" t="s">
        <v>35</v>
      </c>
      <c r="H5310" s="16"/>
      <c r="I5310" s="16"/>
      <c r="J5310" s="16"/>
      <c r="K5310" s="16"/>
      <c r="L5310" s="16"/>
      <c r="M5310" s="16"/>
      <c r="N5310" s="16"/>
      <c r="O5310" s="17"/>
      <c r="P5310" s="5" t="str">
        <f t="shared" si="118"/>
        <v>Truncate table Z000911;</v>
      </c>
      <c r="Q5310" s="5"/>
      <c r="R5310" s="5"/>
    </row>
    <row r="5311" spans="2:18" x14ac:dyDescent="0.25">
      <c r="B5311" s="19" t="s">
        <v>6977</v>
      </c>
      <c r="C5311" s="16"/>
      <c r="D5311" s="16" t="s">
        <v>29</v>
      </c>
      <c r="E5311" s="16" t="s">
        <v>151</v>
      </c>
      <c r="F5311" s="5" t="s">
        <v>4752</v>
      </c>
      <c r="G5311" s="16" t="s">
        <v>35</v>
      </c>
      <c r="H5311" s="16"/>
      <c r="I5311" s="16"/>
      <c r="J5311" s="16"/>
      <c r="K5311" s="16"/>
      <c r="L5311" s="16"/>
      <c r="M5311" s="16"/>
      <c r="N5311" s="16"/>
      <c r="O5311" s="17"/>
      <c r="P5311" s="5" t="str">
        <f t="shared" si="118"/>
        <v>Truncate table Z000AL;</v>
      </c>
      <c r="Q5311" s="5"/>
      <c r="R5311" s="5"/>
    </row>
    <row r="5312" spans="2:18" x14ac:dyDescent="0.25">
      <c r="B5312" s="19" t="s">
        <v>6978</v>
      </c>
      <c r="C5312" s="16"/>
      <c r="D5312" s="16" t="s">
        <v>29</v>
      </c>
      <c r="E5312" s="16" t="s">
        <v>151</v>
      </c>
      <c r="F5312" s="5" t="s">
        <v>4752</v>
      </c>
      <c r="G5312" s="16" t="s">
        <v>35</v>
      </c>
      <c r="H5312" s="16"/>
      <c r="I5312" s="16"/>
      <c r="J5312" s="16"/>
      <c r="K5312" s="16"/>
      <c r="L5312" s="16"/>
      <c r="M5312" s="16"/>
      <c r="N5312" s="16"/>
      <c r="O5312" s="17"/>
      <c r="P5312" s="5" t="str">
        <f t="shared" si="118"/>
        <v>Truncate table Z000AM;</v>
      </c>
      <c r="Q5312" s="5"/>
      <c r="R5312" s="5"/>
    </row>
    <row r="5313" spans="2:18" x14ac:dyDescent="0.25">
      <c r="B5313" s="19" t="s">
        <v>6979</v>
      </c>
      <c r="C5313" s="16"/>
      <c r="D5313" s="16" t="s">
        <v>29</v>
      </c>
      <c r="E5313" s="16" t="s">
        <v>151</v>
      </c>
      <c r="F5313" s="5" t="s">
        <v>4752</v>
      </c>
      <c r="G5313" s="16" t="s">
        <v>35</v>
      </c>
      <c r="H5313" s="16"/>
      <c r="I5313" s="16"/>
      <c r="J5313" s="16"/>
      <c r="K5313" s="16"/>
      <c r="L5313" s="16"/>
      <c r="M5313" s="16"/>
      <c r="N5313" s="16"/>
      <c r="O5313" s="17"/>
      <c r="P5313" s="5" t="str">
        <f t="shared" si="118"/>
        <v>Truncate table Z000AN;</v>
      </c>
      <c r="Q5313" s="5"/>
      <c r="R5313" s="5"/>
    </row>
    <row r="5314" spans="2:18" x14ac:dyDescent="0.25">
      <c r="B5314" s="19" t="s">
        <v>6980</v>
      </c>
      <c r="C5314" s="16"/>
      <c r="D5314" s="16" t="s">
        <v>29</v>
      </c>
      <c r="E5314" s="16" t="s">
        <v>151</v>
      </c>
      <c r="F5314" s="5" t="s">
        <v>4752</v>
      </c>
      <c r="G5314" s="16" t="s">
        <v>35</v>
      </c>
      <c r="H5314" s="16"/>
      <c r="I5314" s="16"/>
      <c r="J5314" s="16"/>
      <c r="K5314" s="16"/>
      <c r="L5314" s="16"/>
      <c r="M5314" s="16"/>
      <c r="N5314" s="16"/>
      <c r="O5314" s="17"/>
      <c r="P5314" s="5" t="str">
        <f t="shared" si="118"/>
        <v>Truncate table Z000AP;</v>
      </c>
      <c r="Q5314" s="5"/>
      <c r="R5314" s="5"/>
    </row>
    <row r="5315" spans="2:18" x14ac:dyDescent="0.25">
      <c r="B5315" s="19" t="s">
        <v>6981</v>
      </c>
      <c r="C5315" s="16"/>
      <c r="D5315" s="16" t="s">
        <v>29</v>
      </c>
      <c r="E5315" s="16" t="s">
        <v>151</v>
      </c>
      <c r="F5315" s="5" t="s">
        <v>4752</v>
      </c>
      <c r="G5315" s="16" t="s">
        <v>35</v>
      </c>
      <c r="H5315" s="16"/>
      <c r="I5315" s="16"/>
      <c r="J5315" s="16"/>
      <c r="K5315" s="16"/>
      <c r="L5315" s="16"/>
      <c r="M5315" s="16"/>
      <c r="N5315" s="16"/>
      <c r="O5315" s="17"/>
      <c r="P5315" s="5" t="str">
        <f t="shared" si="118"/>
        <v>Truncate table Z000AQ;</v>
      </c>
      <c r="Q5315" s="5"/>
      <c r="R5315" s="5"/>
    </row>
    <row r="5316" spans="2:18" x14ac:dyDescent="0.25">
      <c r="B5316" s="19" t="s">
        <v>6982</v>
      </c>
      <c r="C5316" s="16"/>
      <c r="D5316" s="16" t="s">
        <v>29</v>
      </c>
      <c r="E5316" s="16" t="s">
        <v>151</v>
      </c>
      <c r="F5316" s="5" t="s">
        <v>4752</v>
      </c>
      <c r="G5316" s="16" t="s">
        <v>35</v>
      </c>
      <c r="H5316" s="16"/>
      <c r="I5316" s="16"/>
      <c r="J5316" s="16"/>
      <c r="K5316" s="16"/>
      <c r="L5316" s="16"/>
      <c r="M5316" s="16"/>
      <c r="N5316" s="16"/>
      <c r="O5316" s="17"/>
      <c r="P5316" s="5" t="str">
        <f t="shared" si="118"/>
        <v>Truncate table Z000AR;</v>
      </c>
      <c r="Q5316" s="5"/>
      <c r="R5316" s="5"/>
    </row>
    <row r="5317" spans="2:18" x14ac:dyDescent="0.25">
      <c r="B5317" s="19" t="s">
        <v>6983</v>
      </c>
      <c r="C5317" s="16"/>
      <c r="D5317" s="16" t="s">
        <v>29</v>
      </c>
      <c r="E5317" s="16" t="s">
        <v>151</v>
      </c>
      <c r="F5317" s="5" t="s">
        <v>4752</v>
      </c>
      <c r="G5317" s="16" t="s">
        <v>35</v>
      </c>
      <c r="H5317" s="16"/>
      <c r="I5317" s="16"/>
      <c r="J5317" s="16"/>
      <c r="K5317" s="16"/>
      <c r="L5317" s="16"/>
      <c r="M5317" s="16"/>
      <c r="N5317" s="16"/>
      <c r="O5317" s="17"/>
      <c r="P5317" s="5" t="str">
        <f t="shared" si="118"/>
        <v>Truncate table Z000AS;</v>
      </c>
      <c r="Q5317" s="5"/>
      <c r="R5317" s="5"/>
    </row>
    <row r="5318" spans="2:18" x14ac:dyDescent="0.25">
      <c r="B5318" s="19" t="s">
        <v>6984</v>
      </c>
      <c r="C5318" s="16"/>
      <c r="D5318" s="16" t="s">
        <v>29</v>
      </c>
      <c r="E5318" s="16" t="s">
        <v>151</v>
      </c>
      <c r="F5318" s="5" t="s">
        <v>4752</v>
      </c>
      <c r="G5318" s="16" t="s">
        <v>35</v>
      </c>
      <c r="H5318" s="16"/>
      <c r="I5318" s="16"/>
      <c r="J5318" s="16"/>
      <c r="K5318" s="16"/>
      <c r="L5318" s="16"/>
      <c r="M5318" s="16"/>
      <c r="N5318" s="16"/>
      <c r="O5318" s="17"/>
      <c r="P5318" s="5" t="str">
        <f t="shared" si="118"/>
        <v>Truncate table Z05101;</v>
      </c>
      <c r="Q5318" s="5"/>
      <c r="R5318" s="5"/>
    </row>
    <row r="5319" spans="2:18" x14ac:dyDescent="0.25">
      <c r="B5319" s="19" t="s">
        <v>6985</v>
      </c>
      <c r="C5319" s="16"/>
      <c r="D5319" s="16" t="s">
        <v>29</v>
      </c>
      <c r="E5319" s="16" t="s">
        <v>151</v>
      </c>
      <c r="F5319" s="5" t="s">
        <v>4752</v>
      </c>
      <c r="G5319" s="16" t="s">
        <v>35</v>
      </c>
      <c r="H5319" s="16"/>
      <c r="I5319" s="16"/>
      <c r="J5319" s="16"/>
      <c r="K5319" s="16"/>
      <c r="L5319" s="16"/>
      <c r="M5319" s="16"/>
      <c r="N5319" s="16"/>
      <c r="O5319" s="17"/>
      <c r="P5319" s="5" t="str">
        <f t="shared" si="118"/>
        <v>Truncate table Z05102;</v>
      </c>
      <c r="Q5319" s="5"/>
      <c r="R5319" s="5"/>
    </row>
    <row r="5320" spans="2:18" x14ac:dyDescent="0.25">
      <c r="B5320" s="19" t="s">
        <v>6986</v>
      </c>
      <c r="C5320" s="16"/>
      <c r="D5320" s="16" t="s">
        <v>29</v>
      </c>
      <c r="E5320" s="16" t="s">
        <v>151</v>
      </c>
      <c r="F5320" s="5" t="s">
        <v>4752</v>
      </c>
      <c r="G5320" s="16" t="s">
        <v>35</v>
      </c>
      <c r="H5320" s="16"/>
      <c r="I5320" s="16"/>
      <c r="J5320" s="16"/>
      <c r="K5320" s="16"/>
      <c r="L5320" s="16"/>
      <c r="M5320" s="16"/>
      <c r="N5320" s="16"/>
      <c r="O5320" s="17"/>
      <c r="P5320" s="5" t="str">
        <f t="shared" si="118"/>
        <v>Truncate table Z05103;</v>
      </c>
      <c r="Q5320" s="5"/>
      <c r="R5320" s="5"/>
    </row>
    <row r="5321" spans="2:18" x14ac:dyDescent="0.25">
      <c r="B5321" s="19" t="s">
        <v>6987</v>
      </c>
      <c r="C5321" s="16"/>
      <c r="D5321" s="16" t="s">
        <v>29</v>
      </c>
      <c r="E5321" s="16" t="s">
        <v>151</v>
      </c>
      <c r="F5321" s="5" t="s">
        <v>4752</v>
      </c>
      <c r="G5321" s="16" t="s">
        <v>35</v>
      </c>
      <c r="H5321" s="16"/>
      <c r="I5321" s="16"/>
      <c r="J5321" s="16"/>
      <c r="K5321" s="16"/>
      <c r="L5321" s="16"/>
      <c r="M5321" s="16"/>
      <c r="N5321" s="16"/>
      <c r="O5321" s="17"/>
      <c r="P5321" s="5" t="str">
        <f t="shared" si="118"/>
        <v>Truncate table Z05104;</v>
      </c>
      <c r="Q5321" s="5"/>
      <c r="R5321" s="5"/>
    </row>
    <row r="5322" spans="2:18" x14ac:dyDescent="0.25">
      <c r="B5322" s="19" t="s">
        <v>6988</v>
      </c>
      <c r="C5322" s="16"/>
      <c r="D5322" s="16" t="s">
        <v>29</v>
      </c>
      <c r="E5322" s="16" t="s">
        <v>151</v>
      </c>
      <c r="F5322" s="5" t="s">
        <v>4752</v>
      </c>
      <c r="G5322" s="16" t="s">
        <v>35</v>
      </c>
      <c r="H5322" s="16"/>
      <c r="I5322" s="16"/>
      <c r="J5322" s="16"/>
      <c r="K5322" s="16"/>
      <c r="L5322" s="16"/>
      <c r="M5322" s="16"/>
      <c r="N5322" s="16"/>
      <c r="O5322" s="17"/>
      <c r="P5322" s="5" t="str">
        <f t="shared" si="118"/>
        <v>Truncate table Z05105;</v>
      </c>
      <c r="Q5322" s="5"/>
      <c r="R5322" s="5"/>
    </row>
    <row r="5323" spans="2:18" x14ac:dyDescent="0.25">
      <c r="B5323" s="19" t="s">
        <v>6989</v>
      </c>
      <c r="C5323" s="16"/>
      <c r="D5323" s="16" t="s">
        <v>29</v>
      </c>
      <c r="E5323" s="16" t="s">
        <v>151</v>
      </c>
      <c r="F5323" s="5" t="s">
        <v>4752</v>
      </c>
      <c r="G5323" s="16" t="s">
        <v>35</v>
      </c>
      <c r="H5323" s="16"/>
      <c r="I5323" s="16"/>
      <c r="J5323" s="16"/>
      <c r="K5323" s="16"/>
      <c r="L5323" s="16"/>
      <c r="M5323" s="16"/>
      <c r="N5323" s="16"/>
      <c r="O5323" s="17"/>
      <c r="P5323" s="5" t="str">
        <f t="shared" si="118"/>
        <v>Truncate table Z05106;</v>
      </c>
      <c r="Q5323" s="5"/>
      <c r="R5323" s="5"/>
    </row>
    <row r="5324" spans="2:18" x14ac:dyDescent="0.25">
      <c r="B5324" s="19" t="s">
        <v>6990</v>
      </c>
      <c r="C5324" s="16"/>
      <c r="D5324" s="16" t="s">
        <v>29</v>
      </c>
      <c r="E5324" s="16" t="s">
        <v>151</v>
      </c>
      <c r="F5324" s="5" t="s">
        <v>4752</v>
      </c>
      <c r="G5324" s="16" t="s">
        <v>35</v>
      </c>
      <c r="H5324" s="16"/>
      <c r="I5324" s="16"/>
      <c r="J5324" s="16"/>
      <c r="K5324" s="16"/>
      <c r="L5324" s="16"/>
      <c r="M5324" s="16"/>
      <c r="N5324" s="16"/>
      <c r="O5324" s="17"/>
      <c r="P5324" s="5" t="str">
        <f t="shared" si="118"/>
        <v>Truncate table Z05107;</v>
      </c>
      <c r="Q5324" s="5"/>
      <c r="R5324" s="5"/>
    </row>
    <row r="5325" spans="2:18" x14ac:dyDescent="0.25">
      <c r="B5325" s="19" t="s">
        <v>6991</v>
      </c>
      <c r="C5325" s="16"/>
      <c r="D5325" s="16" t="s">
        <v>29</v>
      </c>
      <c r="E5325" s="16" t="s">
        <v>151</v>
      </c>
      <c r="F5325" s="5" t="s">
        <v>4752</v>
      </c>
      <c r="G5325" s="16" t="s">
        <v>35</v>
      </c>
      <c r="H5325" s="16"/>
      <c r="I5325" s="16"/>
      <c r="J5325" s="16"/>
      <c r="K5325" s="16"/>
      <c r="L5325" s="16"/>
      <c r="M5325" s="16"/>
      <c r="N5325" s="16"/>
      <c r="O5325" s="17"/>
      <c r="P5325" s="5" t="str">
        <f t="shared" si="118"/>
        <v>Truncate table Z05108;</v>
      </c>
      <c r="Q5325" s="5"/>
      <c r="R5325" s="5"/>
    </row>
    <row r="5326" spans="2:18" x14ac:dyDescent="0.25">
      <c r="B5326" s="19" t="s">
        <v>6992</v>
      </c>
      <c r="C5326" s="16"/>
      <c r="D5326" s="16" t="s">
        <v>29</v>
      </c>
      <c r="E5326" s="16" t="s">
        <v>151</v>
      </c>
      <c r="F5326" s="5" t="s">
        <v>4752</v>
      </c>
      <c r="G5326" s="16" t="s">
        <v>35</v>
      </c>
      <c r="H5326" s="16"/>
      <c r="I5326" s="16"/>
      <c r="J5326" s="16"/>
      <c r="K5326" s="16"/>
      <c r="L5326" s="16"/>
      <c r="M5326" s="16"/>
      <c r="N5326" s="16"/>
      <c r="O5326" s="17"/>
      <c r="P5326" s="5" t="str">
        <f t="shared" si="118"/>
        <v>Truncate table Z05109;</v>
      </c>
      <c r="Q5326" s="5"/>
      <c r="R5326" s="5"/>
    </row>
    <row r="5327" spans="2:18" x14ac:dyDescent="0.25">
      <c r="B5327" s="19" t="s">
        <v>6993</v>
      </c>
      <c r="C5327" s="16"/>
      <c r="D5327" s="16" t="s">
        <v>29</v>
      </c>
      <c r="E5327" s="16" t="s">
        <v>151</v>
      </c>
      <c r="F5327" s="5" t="s">
        <v>4752</v>
      </c>
      <c r="G5327" s="16" t="s">
        <v>35</v>
      </c>
      <c r="H5327" s="16"/>
      <c r="I5327" s="16"/>
      <c r="J5327" s="16"/>
      <c r="K5327" s="16"/>
      <c r="L5327" s="16"/>
      <c r="M5327" s="16"/>
      <c r="N5327" s="16"/>
      <c r="O5327" s="17"/>
      <c r="P5327" s="5" t="str">
        <f t="shared" si="118"/>
        <v>Truncate table Z05110;</v>
      </c>
      <c r="Q5327" s="5"/>
      <c r="R5327" s="5"/>
    </row>
    <row r="5328" spans="2:18" x14ac:dyDescent="0.25">
      <c r="B5328" s="19" t="s">
        <v>6994</v>
      </c>
      <c r="C5328" s="16"/>
      <c r="D5328" s="16" t="s">
        <v>29</v>
      </c>
      <c r="E5328" s="16" t="s">
        <v>151</v>
      </c>
      <c r="F5328" s="5" t="s">
        <v>4752</v>
      </c>
      <c r="G5328" s="16" t="s">
        <v>35</v>
      </c>
      <c r="H5328" s="16"/>
      <c r="I5328" s="16"/>
      <c r="J5328" s="16"/>
      <c r="K5328" s="16"/>
      <c r="L5328" s="16"/>
      <c r="M5328" s="16"/>
      <c r="N5328" s="16"/>
      <c r="O5328" s="17"/>
      <c r="P5328" s="5" t="str">
        <f t="shared" si="118"/>
        <v>Truncate table Z05111;</v>
      </c>
      <c r="Q5328" s="5"/>
      <c r="R5328" s="5"/>
    </row>
    <row r="5329" spans="2:18" x14ac:dyDescent="0.25">
      <c r="B5329" s="19" t="s">
        <v>6995</v>
      </c>
      <c r="C5329" s="16"/>
      <c r="D5329" s="16" t="s">
        <v>29</v>
      </c>
      <c r="E5329" s="16" t="s">
        <v>151</v>
      </c>
      <c r="F5329" s="5" t="s">
        <v>4752</v>
      </c>
      <c r="G5329" s="16" t="s">
        <v>35</v>
      </c>
      <c r="H5329" s="16"/>
      <c r="I5329" s="16"/>
      <c r="J5329" s="16"/>
      <c r="K5329" s="16"/>
      <c r="L5329" s="16"/>
      <c r="M5329" s="16"/>
      <c r="N5329" s="16"/>
      <c r="O5329" s="17"/>
      <c r="P5329" s="5" t="str">
        <f t="shared" si="118"/>
        <v>Truncate table Z05112;</v>
      </c>
      <c r="Q5329" s="5"/>
      <c r="R5329" s="5"/>
    </row>
    <row r="5330" spans="2:18" x14ac:dyDescent="0.25">
      <c r="B5330" s="19" t="s">
        <v>6996</v>
      </c>
      <c r="C5330" s="16"/>
      <c r="D5330" s="16" t="s">
        <v>29</v>
      </c>
      <c r="E5330" s="16" t="s">
        <v>151</v>
      </c>
      <c r="F5330" s="5" t="s">
        <v>4752</v>
      </c>
      <c r="G5330" s="16" t="s">
        <v>35</v>
      </c>
      <c r="H5330" s="16"/>
      <c r="I5330" s="16"/>
      <c r="J5330" s="16"/>
      <c r="K5330" s="16"/>
      <c r="L5330" s="16"/>
      <c r="M5330" s="16"/>
      <c r="N5330" s="16"/>
      <c r="O5330" s="17"/>
      <c r="P5330" s="5" t="str">
        <f t="shared" si="118"/>
        <v>Truncate table Z05113;</v>
      </c>
      <c r="Q5330" s="5"/>
      <c r="R5330" s="5"/>
    </row>
    <row r="5331" spans="2:18" x14ac:dyDescent="0.25">
      <c r="B5331" s="19" t="s">
        <v>6997</v>
      </c>
      <c r="C5331" s="16"/>
      <c r="D5331" s="16" t="s">
        <v>29</v>
      </c>
      <c r="E5331" s="16" t="s">
        <v>151</v>
      </c>
      <c r="F5331" s="5" t="s">
        <v>4752</v>
      </c>
      <c r="G5331" s="16" t="s">
        <v>35</v>
      </c>
      <c r="H5331" s="16"/>
      <c r="I5331" s="16"/>
      <c r="J5331" s="16"/>
      <c r="K5331" s="16"/>
      <c r="L5331" s="16"/>
      <c r="M5331" s="16"/>
      <c r="N5331" s="16"/>
      <c r="O5331" s="17"/>
      <c r="P5331" s="5" t="str">
        <f t="shared" si="118"/>
        <v>Truncate table Z05114;</v>
      </c>
      <c r="Q5331" s="5"/>
      <c r="R5331" s="5"/>
    </row>
    <row r="5332" spans="2:18" x14ac:dyDescent="0.25">
      <c r="B5332" s="19" t="s">
        <v>6998</v>
      </c>
      <c r="C5332" s="16"/>
      <c r="D5332" s="16" t="s">
        <v>29</v>
      </c>
      <c r="E5332" s="16" t="s">
        <v>151</v>
      </c>
      <c r="F5332" s="5" t="s">
        <v>4752</v>
      </c>
      <c r="G5332" s="16" t="s">
        <v>35</v>
      </c>
      <c r="H5332" s="16"/>
      <c r="I5332" s="16"/>
      <c r="J5332" s="16"/>
      <c r="K5332" s="16"/>
      <c r="L5332" s="16"/>
      <c r="M5332" s="16"/>
      <c r="N5332" s="16"/>
      <c r="O5332" s="17"/>
      <c r="P5332" s="5" t="str">
        <f t="shared" si="118"/>
        <v>Truncate table Z05115;</v>
      </c>
      <c r="Q5332" s="5"/>
      <c r="R5332" s="5"/>
    </row>
    <row r="5333" spans="2:18" x14ac:dyDescent="0.25">
      <c r="B5333" s="19" t="s">
        <v>6999</v>
      </c>
      <c r="C5333" s="16"/>
      <c r="D5333" s="16" t="s">
        <v>29</v>
      </c>
      <c r="E5333" s="16" t="s">
        <v>151</v>
      </c>
      <c r="F5333" s="5" t="s">
        <v>4752</v>
      </c>
      <c r="G5333" s="16" t="s">
        <v>35</v>
      </c>
      <c r="H5333" s="16"/>
      <c r="I5333" s="16"/>
      <c r="J5333" s="16"/>
      <c r="K5333" s="16"/>
      <c r="L5333" s="16"/>
      <c r="M5333" s="16"/>
      <c r="N5333" s="16"/>
      <c r="O5333" s="17"/>
      <c r="P5333" s="5" t="str">
        <f t="shared" si="118"/>
        <v>Truncate table Z05116;</v>
      </c>
      <c r="Q5333" s="5"/>
      <c r="R5333" s="5"/>
    </row>
    <row r="5334" spans="2:18" x14ac:dyDescent="0.25">
      <c r="B5334" s="19" t="s">
        <v>7000</v>
      </c>
      <c r="C5334" s="16"/>
      <c r="D5334" s="16" t="s">
        <v>29</v>
      </c>
      <c r="E5334" s="16" t="s">
        <v>151</v>
      </c>
      <c r="F5334" s="5" t="s">
        <v>4752</v>
      </c>
      <c r="G5334" s="16" t="s">
        <v>35</v>
      </c>
      <c r="H5334" s="16"/>
      <c r="I5334" s="16"/>
      <c r="J5334" s="16"/>
      <c r="K5334" s="16"/>
      <c r="L5334" s="16"/>
      <c r="M5334" s="16"/>
      <c r="N5334" s="16"/>
      <c r="O5334" s="17"/>
      <c r="P5334" s="5" t="str">
        <f t="shared" ref="P5334:P5397" si="119">IF(D5334="Datos","Truncate table "&amp; B5334&amp; ";","")</f>
        <v>Truncate table Z05117;</v>
      </c>
      <c r="Q5334" s="5"/>
      <c r="R5334" s="5"/>
    </row>
    <row r="5335" spans="2:18" x14ac:dyDescent="0.25">
      <c r="B5335" s="19" t="s">
        <v>7001</v>
      </c>
      <c r="C5335" s="16"/>
      <c r="D5335" s="16" t="s">
        <v>29</v>
      </c>
      <c r="E5335" s="16" t="s">
        <v>151</v>
      </c>
      <c r="F5335" s="5" t="s">
        <v>4752</v>
      </c>
      <c r="G5335" s="16" t="s">
        <v>35</v>
      </c>
      <c r="H5335" s="16"/>
      <c r="I5335" s="16"/>
      <c r="J5335" s="16"/>
      <c r="K5335" s="16"/>
      <c r="L5335" s="16"/>
      <c r="M5335" s="16"/>
      <c r="N5335" s="16"/>
      <c r="O5335" s="17"/>
      <c r="P5335" s="5" t="str">
        <f t="shared" si="119"/>
        <v>Truncate table Z05118;</v>
      </c>
      <c r="Q5335" s="5"/>
      <c r="R5335" s="5"/>
    </row>
    <row r="5336" spans="2:18" x14ac:dyDescent="0.25">
      <c r="B5336" s="19" t="s">
        <v>7002</v>
      </c>
      <c r="C5336" s="16"/>
      <c r="D5336" s="16" t="s">
        <v>29</v>
      </c>
      <c r="E5336" s="16" t="s">
        <v>151</v>
      </c>
      <c r="F5336" s="5" t="s">
        <v>4752</v>
      </c>
      <c r="G5336" s="16" t="s">
        <v>35</v>
      </c>
      <c r="H5336" s="16"/>
      <c r="I5336" s="16"/>
      <c r="J5336" s="16"/>
      <c r="K5336" s="16"/>
      <c r="L5336" s="16"/>
      <c r="M5336" s="16"/>
      <c r="N5336" s="16"/>
      <c r="O5336" s="17"/>
      <c r="P5336" s="5" t="str">
        <f t="shared" si="119"/>
        <v>Truncate table Z05119;</v>
      </c>
      <c r="Q5336" s="5"/>
      <c r="R5336" s="5"/>
    </row>
    <row r="5337" spans="2:18" x14ac:dyDescent="0.25">
      <c r="B5337" s="19" t="s">
        <v>7003</v>
      </c>
      <c r="C5337" s="16"/>
      <c r="D5337" s="16" t="s">
        <v>29</v>
      </c>
      <c r="E5337" s="16" t="s">
        <v>151</v>
      </c>
      <c r="F5337" s="5" t="s">
        <v>4752</v>
      </c>
      <c r="G5337" s="16" t="s">
        <v>35</v>
      </c>
      <c r="H5337" s="16"/>
      <c r="I5337" s="16"/>
      <c r="J5337" s="16"/>
      <c r="K5337" s="16"/>
      <c r="L5337" s="16"/>
      <c r="M5337" s="16"/>
      <c r="N5337" s="16"/>
      <c r="O5337" s="17"/>
      <c r="P5337" s="5" t="str">
        <f t="shared" si="119"/>
        <v>Truncate table Z05120;</v>
      </c>
      <c r="Q5337" s="5"/>
      <c r="R5337" s="5"/>
    </row>
    <row r="5338" spans="2:18" x14ac:dyDescent="0.25">
      <c r="B5338" s="19" t="s">
        <v>7004</v>
      </c>
      <c r="C5338" s="16"/>
      <c r="D5338" s="16" t="s">
        <v>29</v>
      </c>
      <c r="E5338" s="16" t="s">
        <v>151</v>
      </c>
      <c r="F5338" s="5" t="s">
        <v>4752</v>
      </c>
      <c r="G5338" s="16" t="s">
        <v>35</v>
      </c>
      <c r="H5338" s="16"/>
      <c r="I5338" s="16"/>
      <c r="J5338" s="16"/>
      <c r="K5338" s="16"/>
      <c r="L5338" s="16"/>
      <c r="M5338" s="16"/>
      <c r="N5338" s="16"/>
      <c r="O5338" s="17"/>
      <c r="P5338" s="5" t="str">
        <f t="shared" si="119"/>
        <v>Truncate table Z05121;</v>
      </c>
      <c r="Q5338" s="5"/>
      <c r="R5338" s="5"/>
    </row>
    <row r="5339" spans="2:18" x14ac:dyDescent="0.25">
      <c r="B5339" s="19" t="s">
        <v>7005</v>
      </c>
      <c r="C5339" s="16"/>
      <c r="D5339" s="16" t="s">
        <v>29</v>
      </c>
      <c r="E5339" s="16" t="s">
        <v>151</v>
      </c>
      <c r="F5339" s="5" t="s">
        <v>4752</v>
      </c>
      <c r="G5339" s="16" t="s">
        <v>35</v>
      </c>
      <c r="H5339" s="16"/>
      <c r="I5339" s="16"/>
      <c r="J5339" s="16"/>
      <c r="K5339" s="16"/>
      <c r="L5339" s="16"/>
      <c r="M5339" s="16"/>
      <c r="N5339" s="16"/>
      <c r="O5339" s="17"/>
      <c r="P5339" s="5" t="str">
        <f t="shared" si="119"/>
        <v>Truncate table Z05122;</v>
      </c>
      <c r="Q5339" s="5"/>
      <c r="R5339" s="5"/>
    </row>
    <row r="5340" spans="2:18" x14ac:dyDescent="0.25">
      <c r="B5340" s="19" t="s">
        <v>7006</v>
      </c>
      <c r="C5340" s="16"/>
      <c r="D5340" s="16" t="s">
        <v>29</v>
      </c>
      <c r="E5340" s="16" t="s">
        <v>151</v>
      </c>
      <c r="F5340" s="5" t="s">
        <v>4752</v>
      </c>
      <c r="G5340" s="16" t="s">
        <v>35</v>
      </c>
      <c r="H5340" s="16"/>
      <c r="I5340" s="16"/>
      <c r="J5340" s="16"/>
      <c r="K5340" s="16"/>
      <c r="L5340" s="16"/>
      <c r="M5340" s="16"/>
      <c r="N5340" s="16"/>
      <c r="O5340" s="17"/>
      <c r="P5340" s="5" t="str">
        <f t="shared" si="119"/>
        <v>Truncate table Z05123;</v>
      </c>
      <c r="Q5340" s="5"/>
      <c r="R5340" s="5"/>
    </row>
    <row r="5341" spans="2:18" x14ac:dyDescent="0.25">
      <c r="B5341" s="19" t="s">
        <v>7007</v>
      </c>
      <c r="C5341" s="16"/>
      <c r="D5341" s="16" t="s">
        <v>29</v>
      </c>
      <c r="E5341" s="16" t="s">
        <v>151</v>
      </c>
      <c r="F5341" s="5" t="s">
        <v>4752</v>
      </c>
      <c r="G5341" s="16" t="s">
        <v>35</v>
      </c>
      <c r="H5341" s="16"/>
      <c r="I5341" s="16"/>
      <c r="J5341" s="16"/>
      <c r="K5341" s="16"/>
      <c r="L5341" s="16"/>
      <c r="M5341" s="16"/>
      <c r="N5341" s="16"/>
      <c r="O5341" s="17"/>
      <c r="P5341" s="5" t="str">
        <f t="shared" si="119"/>
        <v>Truncate table Z05124;</v>
      </c>
      <c r="Q5341" s="5"/>
      <c r="R5341" s="5"/>
    </row>
    <row r="5342" spans="2:18" x14ac:dyDescent="0.25">
      <c r="B5342" s="19" t="s">
        <v>7008</v>
      </c>
      <c r="C5342" s="16"/>
      <c r="D5342" s="16" t="s">
        <v>29</v>
      </c>
      <c r="E5342" s="16" t="s">
        <v>151</v>
      </c>
      <c r="F5342" s="5" t="s">
        <v>4752</v>
      </c>
      <c r="G5342" s="16" t="s">
        <v>35</v>
      </c>
      <c r="H5342" s="16"/>
      <c r="I5342" s="16"/>
      <c r="J5342" s="16"/>
      <c r="K5342" s="16"/>
      <c r="L5342" s="16"/>
      <c r="M5342" s="16"/>
      <c r="N5342" s="16"/>
      <c r="O5342" s="17"/>
      <c r="P5342" s="5" t="str">
        <f t="shared" si="119"/>
        <v>Truncate table Z05125;</v>
      </c>
      <c r="Q5342" s="5"/>
      <c r="R5342" s="5"/>
    </row>
    <row r="5343" spans="2:18" x14ac:dyDescent="0.25">
      <c r="B5343" s="19" t="s">
        <v>7009</v>
      </c>
      <c r="C5343" s="16"/>
      <c r="D5343" s="16" t="s">
        <v>29</v>
      </c>
      <c r="E5343" s="16" t="s">
        <v>151</v>
      </c>
      <c r="F5343" s="5" t="s">
        <v>4752</v>
      </c>
      <c r="G5343" s="16" t="s">
        <v>35</v>
      </c>
      <c r="H5343" s="16"/>
      <c r="I5343" s="16"/>
      <c r="J5343" s="16"/>
      <c r="K5343" s="16"/>
      <c r="L5343" s="16"/>
      <c r="M5343" s="16"/>
      <c r="N5343" s="16"/>
      <c r="O5343" s="17"/>
      <c r="P5343" s="5" t="str">
        <f t="shared" si="119"/>
        <v>Truncate table Z05126;</v>
      </c>
      <c r="Q5343" s="5"/>
      <c r="R5343" s="5"/>
    </row>
    <row r="5344" spans="2:18" x14ac:dyDescent="0.25">
      <c r="B5344" s="19" t="s">
        <v>7010</v>
      </c>
      <c r="C5344" s="16"/>
      <c r="D5344" s="16" t="s">
        <v>29</v>
      </c>
      <c r="E5344" s="16" t="s">
        <v>151</v>
      </c>
      <c r="F5344" s="5" t="s">
        <v>4752</v>
      </c>
      <c r="G5344" s="16" t="s">
        <v>35</v>
      </c>
      <c r="H5344" s="16"/>
      <c r="I5344" s="16"/>
      <c r="J5344" s="16"/>
      <c r="K5344" s="16"/>
      <c r="L5344" s="16"/>
      <c r="M5344" s="16"/>
      <c r="N5344" s="16"/>
      <c r="O5344" s="17"/>
      <c r="P5344" s="5" t="str">
        <f t="shared" si="119"/>
        <v>Truncate table Z05127;</v>
      </c>
      <c r="Q5344" s="5"/>
      <c r="R5344" s="5"/>
    </row>
    <row r="5345" spans="2:18" x14ac:dyDescent="0.25">
      <c r="B5345" s="19" t="s">
        <v>7011</v>
      </c>
      <c r="C5345" s="16"/>
      <c r="D5345" s="16" t="s">
        <v>29</v>
      </c>
      <c r="E5345" s="16" t="s">
        <v>151</v>
      </c>
      <c r="F5345" s="5" t="s">
        <v>4752</v>
      </c>
      <c r="G5345" s="16" t="s">
        <v>35</v>
      </c>
      <c r="H5345" s="16"/>
      <c r="I5345" s="16"/>
      <c r="J5345" s="16"/>
      <c r="K5345" s="16"/>
      <c r="L5345" s="16"/>
      <c r="M5345" s="16"/>
      <c r="N5345" s="16"/>
      <c r="O5345" s="17"/>
      <c r="P5345" s="5" t="str">
        <f t="shared" si="119"/>
        <v>Truncate table Z05128;</v>
      </c>
      <c r="Q5345" s="5"/>
      <c r="R5345" s="5"/>
    </row>
    <row r="5346" spans="2:18" x14ac:dyDescent="0.25">
      <c r="B5346" s="19" t="s">
        <v>7012</v>
      </c>
      <c r="C5346" s="16"/>
      <c r="D5346" s="16" t="s">
        <v>29</v>
      </c>
      <c r="E5346" s="16" t="s">
        <v>151</v>
      </c>
      <c r="F5346" s="5" t="s">
        <v>4752</v>
      </c>
      <c r="G5346" s="16" t="s">
        <v>35</v>
      </c>
      <c r="H5346" s="16"/>
      <c r="I5346" s="16"/>
      <c r="J5346" s="16"/>
      <c r="K5346" s="16"/>
      <c r="L5346" s="16"/>
      <c r="M5346" s="16"/>
      <c r="N5346" s="16"/>
      <c r="O5346" s="17"/>
      <c r="P5346" s="5" t="str">
        <f t="shared" si="119"/>
        <v>Truncate table Z05131;</v>
      </c>
      <c r="Q5346" s="5"/>
      <c r="R5346" s="5"/>
    </row>
    <row r="5347" spans="2:18" x14ac:dyDescent="0.25">
      <c r="B5347" s="19" t="s">
        <v>7013</v>
      </c>
      <c r="C5347" s="16"/>
      <c r="D5347" s="16" t="s">
        <v>29</v>
      </c>
      <c r="E5347" s="16" t="s">
        <v>151</v>
      </c>
      <c r="F5347" s="5" t="s">
        <v>4752</v>
      </c>
      <c r="G5347" s="16" t="s">
        <v>35</v>
      </c>
      <c r="H5347" s="16"/>
      <c r="I5347" s="16"/>
      <c r="J5347" s="16"/>
      <c r="K5347" s="16"/>
      <c r="L5347" s="16"/>
      <c r="M5347" s="16"/>
      <c r="N5347" s="16"/>
      <c r="O5347" s="17"/>
      <c r="P5347" s="5" t="str">
        <f t="shared" si="119"/>
        <v>Truncate table Z05201;</v>
      </c>
      <c r="Q5347" s="5"/>
      <c r="R5347" s="5"/>
    </row>
    <row r="5348" spans="2:18" x14ac:dyDescent="0.25">
      <c r="B5348" s="19" t="s">
        <v>7014</v>
      </c>
      <c r="C5348" s="16"/>
      <c r="D5348" s="16" t="s">
        <v>29</v>
      </c>
      <c r="E5348" s="16" t="s">
        <v>151</v>
      </c>
      <c r="F5348" s="5" t="s">
        <v>4752</v>
      </c>
      <c r="G5348" s="16" t="s">
        <v>35</v>
      </c>
      <c r="H5348" s="16"/>
      <c r="I5348" s="16"/>
      <c r="J5348" s="16"/>
      <c r="K5348" s="16"/>
      <c r="L5348" s="16"/>
      <c r="M5348" s="16"/>
      <c r="N5348" s="16"/>
      <c r="O5348" s="17"/>
      <c r="P5348" s="5" t="str">
        <f t="shared" si="119"/>
        <v>Truncate table Z05202;</v>
      </c>
      <c r="Q5348" s="5"/>
      <c r="R5348" s="5"/>
    </row>
    <row r="5349" spans="2:18" x14ac:dyDescent="0.25">
      <c r="B5349" s="19" t="s">
        <v>7015</v>
      </c>
      <c r="C5349" s="16"/>
      <c r="D5349" s="16" t="s">
        <v>29</v>
      </c>
      <c r="E5349" s="16" t="s">
        <v>151</v>
      </c>
      <c r="F5349" s="5" t="s">
        <v>4752</v>
      </c>
      <c r="G5349" s="16" t="s">
        <v>35</v>
      </c>
      <c r="H5349" s="16"/>
      <c r="I5349" s="16"/>
      <c r="J5349" s="16"/>
      <c r="K5349" s="16"/>
      <c r="L5349" s="16"/>
      <c r="M5349" s="16"/>
      <c r="N5349" s="16"/>
      <c r="O5349" s="17"/>
      <c r="P5349" s="5" t="str">
        <f t="shared" si="119"/>
        <v>Truncate table Z05203;</v>
      </c>
      <c r="Q5349" s="5"/>
      <c r="R5349" s="5"/>
    </row>
    <row r="5350" spans="2:18" x14ac:dyDescent="0.25">
      <c r="B5350" s="19" t="s">
        <v>7016</v>
      </c>
      <c r="C5350" s="16"/>
      <c r="D5350" s="16" t="s">
        <v>29</v>
      </c>
      <c r="E5350" s="16" t="s">
        <v>151</v>
      </c>
      <c r="F5350" s="5" t="s">
        <v>4752</v>
      </c>
      <c r="G5350" s="16" t="s">
        <v>35</v>
      </c>
      <c r="H5350" s="16"/>
      <c r="I5350" s="16"/>
      <c r="J5350" s="16"/>
      <c r="K5350" s="16"/>
      <c r="L5350" s="16"/>
      <c r="M5350" s="16"/>
      <c r="N5350" s="16"/>
      <c r="O5350" s="17"/>
      <c r="P5350" s="5" t="str">
        <f t="shared" si="119"/>
        <v>Truncate table Z05204;</v>
      </c>
      <c r="Q5350" s="5"/>
      <c r="R5350" s="5"/>
    </row>
    <row r="5351" spans="2:18" x14ac:dyDescent="0.25">
      <c r="B5351" s="19" t="s">
        <v>7017</v>
      </c>
      <c r="C5351" s="16"/>
      <c r="D5351" s="16" t="s">
        <v>29</v>
      </c>
      <c r="E5351" s="16" t="s">
        <v>151</v>
      </c>
      <c r="F5351" s="5" t="s">
        <v>4752</v>
      </c>
      <c r="G5351" s="16" t="s">
        <v>35</v>
      </c>
      <c r="H5351" s="16"/>
      <c r="I5351" s="16"/>
      <c r="J5351" s="16"/>
      <c r="K5351" s="16"/>
      <c r="L5351" s="16"/>
      <c r="M5351" s="16"/>
      <c r="N5351" s="16"/>
      <c r="O5351" s="17"/>
      <c r="P5351" s="5" t="str">
        <f t="shared" si="119"/>
        <v>Truncate table Z05205;</v>
      </c>
      <c r="Q5351" s="5"/>
      <c r="R5351" s="5"/>
    </row>
    <row r="5352" spans="2:18" x14ac:dyDescent="0.25">
      <c r="B5352" s="19" t="s">
        <v>7018</v>
      </c>
      <c r="C5352" s="16"/>
      <c r="D5352" s="16" t="s">
        <v>29</v>
      </c>
      <c r="E5352" s="16" t="s">
        <v>151</v>
      </c>
      <c r="F5352" s="5" t="s">
        <v>4752</v>
      </c>
      <c r="G5352" s="16" t="s">
        <v>35</v>
      </c>
      <c r="H5352" s="16"/>
      <c r="I5352" s="16"/>
      <c r="J5352" s="16"/>
      <c r="K5352" s="16"/>
      <c r="L5352" s="16"/>
      <c r="M5352" s="16"/>
      <c r="N5352" s="16"/>
      <c r="O5352" s="17"/>
      <c r="P5352" s="5" t="str">
        <f t="shared" si="119"/>
        <v>Truncate table Z05206;</v>
      </c>
      <c r="Q5352" s="5"/>
      <c r="R5352" s="5"/>
    </row>
    <row r="5353" spans="2:18" x14ac:dyDescent="0.25">
      <c r="B5353" s="19" t="s">
        <v>7019</v>
      </c>
      <c r="C5353" s="16"/>
      <c r="D5353" s="16" t="s">
        <v>29</v>
      </c>
      <c r="E5353" s="16" t="s">
        <v>151</v>
      </c>
      <c r="F5353" s="5" t="s">
        <v>4752</v>
      </c>
      <c r="G5353" s="16" t="s">
        <v>35</v>
      </c>
      <c r="H5353" s="16"/>
      <c r="I5353" s="16"/>
      <c r="J5353" s="16"/>
      <c r="K5353" s="16"/>
      <c r="L5353" s="16"/>
      <c r="M5353" s="16"/>
      <c r="N5353" s="16"/>
      <c r="O5353" s="17"/>
      <c r="P5353" s="5" t="str">
        <f t="shared" si="119"/>
        <v>Truncate table Z05207;</v>
      </c>
      <c r="Q5353" s="5"/>
      <c r="R5353" s="5"/>
    </row>
    <row r="5354" spans="2:18" x14ac:dyDescent="0.25">
      <c r="B5354" s="19" t="s">
        <v>7020</v>
      </c>
      <c r="C5354" s="16"/>
      <c r="D5354" s="16" t="s">
        <v>29</v>
      </c>
      <c r="E5354" s="16" t="s">
        <v>151</v>
      </c>
      <c r="F5354" s="5" t="s">
        <v>4752</v>
      </c>
      <c r="G5354" s="16" t="s">
        <v>35</v>
      </c>
      <c r="H5354" s="16"/>
      <c r="I5354" s="16"/>
      <c r="J5354" s="16"/>
      <c r="K5354" s="16"/>
      <c r="L5354" s="16"/>
      <c r="M5354" s="16"/>
      <c r="N5354" s="16"/>
      <c r="O5354" s="17"/>
      <c r="P5354" s="5" t="str">
        <f t="shared" si="119"/>
        <v>Truncate table Z05208;</v>
      </c>
      <c r="Q5354" s="5"/>
      <c r="R5354" s="5"/>
    </row>
    <row r="5355" spans="2:18" x14ac:dyDescent="0.25">
      <c r="B5355" s="19" t="s">
        <v>7021</v>
      </c>
      <c r="C5355" s="16"/>
      <c r="D5355" s="16" t="s">
        <v>29</v>
      </c>
      <c r="E5355" s="16" t="s">
        <v>151</v>
      </c>
      <c r="F5355" s="5" t="s">
        <v>4752</v>
      </c>
      <c r="G5355" s="16" t="s">
        <v>35</v>
      </c>
      <c r="H5355" s="16"/>
      <c r="I5355" s="16"/>
      <c r="J5355" s="16"/>
      <c r="K5355" s="16"/>
      <c r="L5355" s="16"/>
      <c r="M5355" s="16"/>
      <c r="N5355" s="16"/>
      <c r="O5355" s="17"/>
      <c r="P5355" s="5" t="str">
        <f t="shared" si="119"/>
        <v>Truncate table Z05209;</v>
      </c>
      <c r="Q5355" s="5"/>
      <c r="R5355" s="5"/>
    </row>
    <row r="5356" spans="2:18" x14ac:dyDescent="0.25">
      <c r="B5356" s="19" t="s">
        <v>7022</v>
      </c>
      <c r="C5356" s="16"/>
      <c r="D5356" s="16" t="s">
        <v>29</v>
      </c>
      <c r="E5356" s="16" t="s">
        <v>151</v>
      </c>
      <c r="F5356" s="5" t="s">
        <v>4752</v>
      </c>
      <c r="G5356" s="16" t="s">
        <v>35</v>
      </c>
      <c r="H5356" s="16"/>
      <c r="I5356" s="16"/>
      <c r="J5356" s="16"/>
      <c r="K5356" s="16"/>
      <c r="L5356" s="16"/>
      <c r="M5356" s="16"/>
      <c r="N5356" s="16"/>
      <c r="O5356" s="17"/>
      <c r="P5356" s="5" t="str">
        <f t="shared" si="119"/>
        <v>Truncate table Z05210;</v>
      </c>
      <c r="Q5356" s="5"/>
      <c r="R5356" s="5"/>
    </row>
    <row r="5357" spans="2:18" x14ac:dyDescent="0.25">
      <c r="B5357" s="19" t="s">
        <v>7023</v>
      </c>
      <c r="C5357" s="16"/>
      <c r="D5357" s="16" t="s">
        <v>29</v>
      </c>
      <c r="E5357" s="16" t="s">
        <v>151</v>
      </c>
      <c r="F5357" s="5" t="s">
        <v>4752</v>
      </c>
      <c r="G5357" s="16" t="s">
        <v>35</v>
      </c>
      <c r="H5357" s="16"/>
      <c r="I5357" s="16"/>
      <c r="J5357" s="16"/>
      <c r="K5357" s="16"/>
      <c r="L5357" s="16"/>
      <c r="M5357" s="16"/>
      <c r="N5357" s="16"/>
      <c r="O5357" s="17"/>
      <c r="P5357" s="5" t="str">
        <f t="shared" si="119"/>
        <v>Truncate table Z05211;</v>
      </c>
      <c r="Q5357" s="5"/>
      <c r="R5357" s="5"/>
    </row>
    <row r="5358" spans="2:18" x14ac:dyDescent="0.25">
      <c r="B5358" s="19" t="s">
        <v>7024</v>
      </c>
      <c r="C5358" s="16"/>
      <c r="D5358" s="16" t="s">
        <v>29</v>
      </c>
      <c r="E5358" s="16" t="s">
        <v>151</v>
      </c>
      <c r="F5358" s="5" t="s">
        <v>4752</v>
      </c>
      <c r="G5358" s="16" t="s">
        <v>35</v>
      </c>
      <c r="H5358" s="16"/>
      <c r="I5358" s="16"/>
      <c r="J5358" s="16"/>
      <c r="K5358" s="16"/>
      <c r="L5358" s="16"/>
      <c r="M5358" s="16"/>
      <c r="N5358" s="16"/>
      <c r="O5358" s="17"/>
      <c r="P5358" s="5" t="str">
        <f t="shared" si="119"/>
        <v>Truncate table Z05213;</v>
      </c>
      <c r="Q5358" s="5"/>
      <c r="R5358" s="5"/>
    </row>
    <row r="5359" spans="2:18" x14ac:dyDescent="0.25">
      <c r="B5359" s="19" t="s">
        <v>7025</v>
      </c>
      <c r="C5359" s="16"/>
      <c r="D5359" s="16" t="s">
        <v>29</v>
      </c>
      <c r="E5359" s="16" t="s">
        <v>151</v>
      </c>
      <c r="F5359" s="5" t="s">
        <v>4752</v>
      </c>
      <c r="G5359" s="16" t="s">
        <v>35</v>
      </c>
      <c r="H5359" s="16"/>
      <c r="I5359" s="16"/>
      <c r="J5359" s="16"/>
      <c r="K5359" s="16"/>
      <c r="L5359" s="16"/>
      <c r="M5359" s="16"/>
      <c r="N5359" s="16"/>
      <c r="O5359" s="17"/>
      <c r="P5359" s="5" t="str">
        <f t="shared" si="119"/>
        <v>Truncate table Z05214;</v>
      </c>
      <c r="Q5359" s="5"/>
      <c r="R5359" s="5"/>
    </row>
    <row r="5360" spans="2:18" x14ac:dyDescent="0.25">
      <c r="B5360" s="19" t="s">
        <v>7026</v>
      </c>
      <c r="C5360" s="16"/>
      <c r="D5360" s="16" t="s">
        <v>29</v>
      </c>
      <c r="E5360" s="16" t="s">
        <v>151</v>
      </c>
      <c r="F5360" s="5" t="s">
        <v>4752</v>
      </c>
      <c r="G5360" s="16" t="s">
        <v>35</v>
      </c>
      <c r="H5360" s="16"/>
      <c r="I5360" s="16"/>
      <c r="J5360" s="16"/>
      <c r="K5360" s="16"/>
      <c r="L5360" s="16"/>
      <c r="M5360" s="16"/>
      <c r="N5360" s="16"/>
      <c r="O5360" s="17"/>
      <c r="P5360" s="5" t="str">
        <f t="shared" si="119"/>
        <v>Truncate table Z05215;</v>
      </c>
      <c r="Q5360" s="5"/>
      <c r="R5360" s="5"/>
    </row>
    <row r="5361" spans="2:18" x14ac:dyDescent="0.25">
      <c r="B5361" s="19" t="s">
        <v>7027</v>
      </c>
      <c r="C5361" s="16"/>
      <c r="D5361" s="16" t="s">
        <v>29</v>
      </c>
      <c r="E5361" s="16" t="s">
        <v>151</v>
      </c>
      <c r="F5361" s="5" t="s">
        <v>4752</v>
      </c>
      <c r="G5361" s="16" t="s">
        <v>35</v>
      </c>
      <c r="H5361" s="16"/>
      <c r="I5361" s="16"/>
      <c r="J5361" s="16"/>
      <c r="K5361" s="16"/>
      <c r="L5361" s="16"/>
      <c r="M5361" s="16"/>
      <c r="N5361" s="16"/>
      <c r="O5361" s="17"/>
      <c r="P5361" s="5" t="str">
        <f t="shared" si="119"/>
        <v>Truncate table Z05216;</v>
      </c>
      <c r="Q5361" s="5"/>
      <c r="R5361" s="5"/>
    </row>
    <row r="5362" spans="2:18" x14ac:dyDescent="0.25">
      <c r="B5362" s="19" t="s">
        <v>7028</v>
      </c>
      <c r="C5362" s="16"/>
      <c r="D5362" s="16" t="s">
        <v>29</v>
      </c>
      <c r="E5362" s="16" t="s">
        <v>151</v>
      </c>
      <c r="F5362" s="5" t="s">
        <v>4752</v>
      </c>
      <c r="G5362" s="16" t="s">
        <v>35</v>
      </c>
      <c r="H5362" s="16"/>
      <c r="I5362" s="16"/>
      <c r="J5362" s="16"/>
      <c r="K5362" s="16"/>
      <c r="L5362" s="16"/>
      <c r="M5362" s="16"/>
      <c r="N5362" s="16"/>
      <c r="O5362" s="17"/>
      <c r="P5362" s="5" t="str">
        <f t="shared" si="119"/>
        <v>Truncate table Z05217;</v>
      </c>
      <c r="Q5362" s="5"/>
      <c r="R5362" s="5"/>
    </row>
    <row r="5363" spans="2:18" x14ac:dyDescent="0.25">
      <c r="B5363" s="19" t="s">
        <v>7029</v>
      </c>
      <c r="C5363" s="16"/>
      <c r="D5363" s="16" t="s">
        <v>29</v>
      </c>
      <c r="E5363" s="16" t="s">
        <v>151</v>
      </c>
      <c r="F5363" s="5" t="s">
        <v>4752</v>
      </c>
      <c r="G5363" s="16" t="s">
        <v>35</v>
      </c>
      <c r="H5363" s="16"/>
      <c r="I5363" s="16"/>
      <c r="J5363" s="16"/>
      <c r="K5363" s="16"/>
      <c r="L5363" s="16"/>
      <c r="M5363" s="16"/>
      <c r="N5363" s="16"/>
      <c r="O5363" s="17"/>
      <c r="P5363" s="5" t="str">
        <f t="shared" si="119"/>
        <v>Truncate table Z05218;</v>
      </c>
      <c r="Q5363" s="5"/>
      <c r="R5363" s="5"/>
    </row>
    <row r="5364" spans="2:18" x14ac:dyDescent="0.25">
      <c r="B5364" s="19" t="s">
        <v>7030</v>
      </c>
      <c r="C5364" s="16"/>
      <c r="D5364" s="16" t="s">
        <v>29</v>
      </c>
      <c r="E5364" s="16" t="s">
        <v>151</v>
      </c>
      <c r="F5364" s="5" t="s">
        <v>4752</v>
      </c>
      <c r="G5364" s="16" t="s">
        <v>35</v>
      </c>
      <c r="H5364" s="16"/>
      <c r="I5364" s="16"/>
      <c r="J5364" s="16"/>
      <c r="K5364" s="16"/>
      <c r="L5364" s="16"/>
      <c r="M5364" s="16"/>
      <c r="N5364" s="16"/>
      <c r="O5364" s="17"/>
      <c r="P5364" s="5" t="str">
        <f t="shared" si="119"/>
        <v>Truncate table Z05219;</v>
      </c>
      <c r="Q5364" s="5"/>
      <c r="R5364" s="5"/>
    </row>
    <row r="5365" spans="2:18" x14ac:dyDescent="0.25">
      <c r="B5365" s="19" t="s">
        <v>7031</v>
      </c>
      <c r="C5365" s="16"/>
      <c r="D5365" s="16" t="s">
        <v>29</v>
      </c>
      <c r="E5365" s="16" t="s">
        <v>151</v>
      </c>
      <c r="F5365" s="5" t="s">
        <v>4752</v>
      </c>
      <c r="G5365" s="16" t="s">
        <v>35</v>
      </c>
      <c r="H5365" s="16"/>
      <c r="I5365" s="16"/>
      <c r="J5365" s="16"/>
      <c r="K5365" s="16"/>
      <c r="L5365" s="16"/>
      <c r="M5365" s="16"/>
      <c r="N5365" s="16"/>
      <c r="O5365" s="17"/>
      <c r="P5365" s="5" t="str">
        <f t="shared" si="119"/>
        <v>Truncate table Z05501;</v>
      </c>
      <c r="Q5365" s="5"/>
      <c r="R5365" s="5"/>
    </row>
    <row r="5366" spans="2:18" x14ac:dyDescent="0.25">
      <c r="B5366" s="19" t="s">
        <v>7032</v>
      </c>
      <c r="C5366" s="16"/>
      <c r="D5366" s="16" t="s">
        <v>29</v>
      </c>
      <c r="E5366" s="16" t="s">
        <v>151</v>
      </c>
      <c r="F5366" s="5" t="s">
        <v>4752</v>
      </c>
      <c r="G5366" s="16" t="s">
        <v>35</v>
      </c>
      <c r="H5366" s="16"/>
      <c r="I5366" s="16"/>
      <c r="J5366" s="16"/>
      <c r="K5366" s="16"/>
      <c r="L5366" s="16"/>
      <c r="M5366" s="16"/>
      <c r="N5366" s="16"/>
      <c r="O5366" s="17"/>
      <c r="P5366" s="5" t="str">
        <f t="shared" si="119"/>
        <v>Truncate table Z05502;</v>
      </c>
      <c r="Q5366" s="5"/>
      <c r="R5366" s="5"/>
    </row>
    <row r="5367" spans="2:18" x14ac:dyDescent="0.25">
      <c r="B5367" s="19" t="s">
        <v>7033</v>
      </c>
      <c r="C5367" s="16"/>
      <c r="D5367" s="16" t="s">
        <v>29</v>
      </c>
      <c r="E5367" s="16" t="s">
        <v>151</v>
      </c>
      <c r="F5367" s="5" t="s">
        <v>4752</v>
      </c>
      <c r="G5367" s="16" t="s">
        <v>35</v>
      </c>
      <c r="H5367" s="16"/>
      <c r="I5367" s="16"/>
      <c r="J5367" s="16"/>
      <c r="K5367" s="16"/>
      <c r="L5367" s="16"/>
      <c r="M5367" s="16"/>
      <c r="N5367" s="16"/>
      <c r="O5367" s="17"/>
      <c r="P5367" s="5" t="str">
        <f t="shared" si="119"/>
        <v>Truncate table Z05503;</v>
      </c>
      <c r="Q5367" s="5"/>
      <c r="R5367" s="5"/>
    </row>
    <row r="5368" spans="2:18" x14ac:dyDescent="0.25">
      <c r="B5368" s="19" t="s">
        <v>7034</v>
      </c>
      <c r="C5368" s="16"/>
      <c r="D5368" s="16" t="s">
        <v>29</v>
      </c>
      <c r="E5368" s="16" t="s">
        <v>151</v>
      </c>
      <c r="F5368" s="5" t="s">
        <v>4752</v>
      </c>
      <c r="G5368" s="16" t="s">
        <v>35</v>
      </c>
      <c r="H5368" s="16"/>
      <c r="I5368" s="16"/>
      <c r="J5368" s="16"/>
      <c r="K5368" s="16"/>
      <c r="L5368" s="16"/>
      <c r="M5368" s="16"/>
      <c r="N5368" s="16"/>
      <c r="O5368" s="17"/>
      <c r="P5368" s="5" t="str">
        <f t="shared" si="119"/>
        <v>Truncate table Z05504;</v>
      </c>
      <c r="Q5368" s="5"/>
      <c r="R5368" s="5"/>
    </row>
    <row r="5369" spans="2:18" x14ac:dyDescent="0.25">
      <c r="B5369" s="19" t="s">
        <v>7035</v>
      </c>
      <c r="C5369" s="16"/>
      <c r="D5369" s="16" t="s">
        <v>29</v>
      </c>
      <c r="E5369" s="16" t="s">
        <v>151</v>
      </c>
      <c r="F5369" s="5" t="s">
        <v>4752</v>
      </c>
      <c r="G5369" s="16" t="s">
        <v>35</v>
      </c>
      <c r="H5369" s="16"/>
      <c r="I5369" s="16"/>
      <c r="J5369" s="16"/>
      <c r="K5369" s="16"/>
      <c r="L5369" s="16"/>
      <c r="M5369" s="16"/>
      <c r="N5369" s="16"/>
      <c r="O5369" s="17"/>
      <c r="P5369" s="5" t="str">
        <f t="shared" si="119"/>
        <v>Truncate table Z05505;</v>
      </c>
      <c r="Q5369" s="5"/>
      <c r="R5369" s="5"/>
    </row>
    <row r="5370" spans="2:18" x14ac:dyDescent="0.25">
      <c r="B5370" s="19" t="s">
        <v>7036</v>
      </c>
      <c r="C5370" s="16"/>
      <c r="D5370" s="16" t="s">
        <v>29</v>
      </c>
      <c r="E5370" s="16" t="s">
        <v>151</v>
      </c>
      <c r="F5370" s="5" t="s">
        <v>4752</v>
      </c>
      <c r="G5370" s="16" t="s">
        <v>35</v>
      </c>
      <c r="H5370" s="16"/>
      <c r="I5370" s="16"/>
      <c r="J5370" s="16"/>
      <c r="K5370" s="16"/>
      <c r="L5370" s="16"/>
      <c r="M5370" s="16"/>
      <c r="N5370" s="16"/>
      <c r="O5370" s="17"/>
      <c r="P5370" s="5" t="str">
        <f t="shared" si="119"/>
        <v>Truncate table Z05506;</v>
      </c>
      <c r="Q5370" s="5"/>
      <c r="R5370" s="5"/>
    </row>
    <row r="5371" spans="2:18" x14ac:dyDescent="0.25">
      <c r="B5371" s="19" t="s">
        <v>7037</v>
      </c>
      <c r="C5371" s="16"/>
      <c r="D5371" s="16" t="s">
        <v>29</v>
      </c>
      <c r="E5371" s="16" t="s">
        <v>151</v>
      </c>
      <c r="F5371" s="5" t="s">
        <v>4752</v>
      </c>
      <c r="G5371" s="16" t="s">
        <v>35</v>
      </c>
      <c r="H5371" s="16"/>
      <c r="I5371" s="16"/>
      <c r="J5371" s="16"/>
      <c r="K5371" s="16"/>
      <c r="L5371" s="16"/>
      <c r="M5371" s="16"/>
      <c r="N5371" s="16"/>
      <c r="O5371" s="17"/>
      <c r="P5371" s="5" t="str">
        <f t="shared" si="119"/>
        <v>Truncate table Z05508;</v>
      </c>
      <c r="Q5371" s="5"/>
      <c r="R5371" s="5"/>
    </row>
    <row r="5372" spans="2:18" x14ac:dyDescent="0.25">
      <c r="B5372" s="19" t="s">
        <v>7038</v>
      </c>
      <c r="C5372" s="16"/>
      <c r="D5372" s="16" t="s">
        <v>29</v>
      </c>
      <c r="E5372" s="16" t="s">
        <v>151</v>
      </c>
      <c r="F5372" s="5" t="s">
        <v>4752</v>
      </c>
      <c r="G5372" s="16" t="s">
        <v>35</v>
      </c>
      <c r="H5372" s="16"/>
      <c r="I5372" s="16"/>
      <c r="J5372" s="16"/>
      <c r="K5372" s="16"/>
      <c r="L5372" s="16"/>
      <c r="M5372" s="16"/>
      <c r="N5372" s="16"/>
      <c r="O5372" s="17"/>
      <c r="P5372" s="5" t="str">
        <f t="shared" si="119"/>
        <v>Truncate table Z05509;</v>
      </c>
      <c r="Q5372" s="5"/>
      <c r="R5372" s="5"/>
    </row>
    <row r="5373" spans="2:18" x14ac:dyDescent="0.25">
      <c r="B5373" s="19" t="s">
        <v>7039</v>
      </c>
      <c r="C5373" s="16"/>
      <c r="D5373" s="16" t="s">
        <v>29</v>
      </c>
      <c r="E5373" s="16" t="s">
        <v>151</v>
      </c>
      <c r="F5373" s="5" t="s">
        <v>4752</v>
      </c>
      <c r="G5373" s="16" t="s">
        <v>35</v>
      </c>
      <c r="H5373" s="16"/>
      <c r="I5373" s="16"/>
      <c r="J5373" s="16"/>
      <c r="K5373" s="16"/>
      <c r="L5373" s="16"/>
      <c r="M5373" s="16"/>
      <c r="N5373" s="16"/>
      <c r="O5373" s="17"/>
      <c r="P5373" s="5" t="str">
        <f t="shared" si="119"/>
        <v>Truncate table Z05510;</v>
      </c>
      <c r="Q5373" s="5"/>
      <c r="R5373" s="5"/>
    </row>
    <row r="5374" spans="2:18" x14ac:dyDescent="0.25">
      <c r="B5374" s="19" t="s">
        <v>7040</v>
      </c>
      <c r="C5374" s="16"/>
      <c r="D5374" s="16" t="s">
        <v>29</v>
      </c>
      <c r="E5374" s="16" t="s">
        <v>151</v>
      </c>
      <c r="F5374" s="5" t="s">
        <v>4752</v>
      </c>
      <c r="G5374" s="16" t="s">
        <v>35</v>
      </c>
      <c r="H5374" s="16"/>
      <c r="I5374" s="16"/>
      <c r="J5374" s="16"/>
      <c r="K5374" s="16"/>
      <c r="L5374" s="16"/>
      <c r="M5374" s="16"/>
      <c r="N5374" s="16"/>
      <c r="O5374" s="17"/>
      <c r="P5374" s="5" t="str">
        <f t="shared" si="119"/>
        <v>Truncate table Z05511;</v>
      </c>
      <c r="Q5374" s="5"/>
      <c r="R5374" s="5"/>
    </row>
    <row r="5375" spans="2:18" x14ac:dyDescent="0.25">
      <c r="B5375" s="19" t="s">
        <v>7041</v>
      </c>
      <c r="C5375" s="16"/>
      <c r="D5375" s="16" t="s">
        <v>29</v>
      </c>
      <c r="E5375" s="16" t="s">
        <v>151</v>
      </c>
      <c r="F5375" s="5" t="s">
        <v>4752</v>
      </c>
      <c r="G5375" s="16" t="s">
        <v>35</v>
      </c>
      <c r="H5375" s="16"/>
      <c r="I5375" s="16"/>
      <c r="J5375" s="16"/>
      <c r="K5375" s="16"/>
      <c r="L5375" s="16"/>
      <c r="M5375" s="16"/>
      <c r="N5375" s="16"/>
      <c r="O5375" s="17"/>
      <c r="P5375" s="5" t="str">
        <f t="shared" si="119"/>
        <v>Truncate table Z05512;</v>
      </c>
      <c r="Q5375" s="5"/>
      <c r="R5375" s="5"/>
    </row>
    <row r="5376" spans="2:18" x14ac:dyDescent="0.25">
      <c r="B5376" s="19" t="s">
        <v>7042</v>
      </c>
      <c r="C5376" s="16"/>
      <c r="D5376" s="16" t="s">
        <v>29</v>
      </c>
      <c r="E5376" s="16" t="s">
        <v>151</v>
      </c>
      <c r="F5376" s="5" t="s">
        <v>4752</v>
      </c>
      <c r="G5376" s="16" t="s">
        <v>35</v>
      </c>
      <c r="H5376" s="16"/>
      <c r="I5376" s="16"/>
      <c r="J5376" s="16"/>
      <c r="K5376" s="16"/>
      <c r="L5376" s="16"/>
      <c r="M5376" s="16"/>
      <c r="N5376" s="16"/>
      <c r="O5376" s="17"/>
      <c r="P5376" s="5" t="str">
        <f t="shared" si="119"/>
        <v>Truncate table Z05513;</v>
      </c>
      <c r="Q5376" s="5"/>
      <c r="R5376" s="5"/>
    </row>
    <row r="5377" spans="2:18" x14ac:dyDescent="0.25">
      <c r="B5377" s="19" t="s">
        <v>7043</v>
      </c>
      <c r="C5377" s="16"/>
      <c r="D5377" s="16" t="s">
        <v>29</v>
      </c>
      <c r="E5377" s="16" t="s">
        <v>151</v>
      </c>
      <c r="F5377" s="5" t="s">
        <v>4752</v>
      </c>
      <c r="G5377" s="16" t="s">
        <v>35</v>
      </c>
      <c r="H5377" s="16"/>
      <c r="I5377" s="16"/>
      <c r="J5377" s="16"/>
      <c r="K5377" s="16"/>
      <c r="L5377" s="16"/>
      <c r="M5377" s="16"/>
      <c r="N5377" s="16"/>
      <c r="O5377" s="17"/>
      <c r="P5377" s="5" t="str">
        <f t="shared" si="119"/>
        <v>Truncate table Z05514;</v>
      </c>
      <c r="Q5377" s="5"/>
      <c r="R5377" s="5"/>
    </row>
    <row r="5378" spans="2:18" x14ac:dyDescent="0.25">
      <c r="B5378" s="19" t="s">
        <v>7044</v>
      </c>
      <c r="C5378" s="16"/>
      <c r="D5378" s="16" t="s">
        <v>29</v>
      </c>
      <c r="E5378" s="16" t="s">
        <v>151</v>
      </c>
      <c r="F5378" s="5" t="s">
        <v>4752</v>
      </c>
      <c r="G5378" s="16" t="s">
        <v>35</v>
      </c>
      <c r="H5378" s="16"/>
      <c r="I5378" s="16"/>
      <c r="J5378" s="16"/>
      <c r="K5378" s="16"/>
      <c r="L5378" s="16"/>
      <c r="M5378" s="16"/>
      <c r="N5378" s="16"/>
      <c r="O5378" s="17"/>
      <c r="P5378" s="5" t="str">
        <f t="shared" si="119"/>
        <v>Truncate table Z05515;</v>
      </c>
      <c r="Q5378" s="5"/>
      <c r="R5378" s="5"/>
    </row>
    <row r="5379" spans="2:18" x14ac:dyDescent="0.25">
      <c r="B5379" s="19" t="s">
        <v>7045</v>
      </c>
      <c r="C5379" s="16"/>
      <c r="D5379" s="16" t="s">
        <v>29</v>
      </c>
      <c r="E5379" s="16" t="s">
        <v>151</v>
      </c>
      <c r="F5379" s="5" t="s">
        <v>4752</v>
      </c>
      <c r="G5379" s="16" t="s">
        <v>35</v>
      </c>
      <c r="H5379" s="16"/>
      <c r="I5379" s="16"/>
      <c r="J5379" s="16"/>
      <c r="K5379" s="16"/>
      <c r="L5379" s="16"/>
      <c r="M5379" s="16"/>
      <c r="N5379" s="16"/>
      <c r="O5379" s="17"/>
      <c r="P5379" s="5" t="str">
        <f t="shared" si="119"/>
        <v>Truncate table Z05521;</v>
      </c>
      <c r="Q5379" s="5"/>
      <c r="R5379" s="5"/>
    </row>
    <row r="5380" spans="2:18" x14ac:dyDescent="0.25">
      <c r="B5380" s="19" t="s">
        <v>7046</v>
      </c>
      <c r="C5380" s="16"/>
      <c r="D5380" s="16" t="s">
        <v>29</v>
      </c>
      <c r="E5380" s="16" t="s">
        <v>151</v>
      </c>
      <c r="F5380" s="5" t="s">
        <v>4752</v>
      </c>
      <c r="G5380" s="16" t="s">
        <v>35</v>
      </c>
      <c r="H5380" s="16"/>
      <c r="I5380" s="16"/>
      <c r="J5380" s="16"/>
      <c r="K5380" s="16"/>
      <c r="L5380" s="16"/>
      <c r="M5380" s="16"/>
      <c r="N5380" s="16"/>
      <c r="O5380" s="17"/>
      <c r="P5380" s="5" t="str">
        <f t="shared" si="119"/>
        <v>Truncate table Z05523;</v>
      </c>
      <c r="Q5380" s="5"/>
      <c r="R5380" s="5"/>
    </row>
    <row r="5381" spans="2:18" x14ac:dyDescent="0.25">
      <c r="B5381" s="19" t="s">
        <v>7047</v>
      </c>
      <c r="C5381" s="16"/>
      <c r="D5381" s="16" t="s">
        <v>29</v>
      </c>
      <c r="E5381" s="16" t="s">
        <v>151</v>
      </c>
      <c r="F5381" s="5" t="s">
        <v>4752</v>
      </c>
      <c r="G5381" s="16" t="s">
        <v>35</v>
      </c>
      <c r="H5381" s="16"/>
      <c r="I5381" s="16"/>
      <c r="J5381" s="16"/>
      <c r="K5381" s="16"/>
      <c r="L5381" s="16"/>
      <c r="M5381" s="16"/>
      <c r="N5381" s="16"/>
      <c r="O5381" s="17"/>
      <c r="P5381" s="5" t="str">
        <f t="shared" si="119"/>
        <v>Truncate table Z07312;</v>
      </c>
      <c r="Q5381" s="5"/>
      <c r="R5381" s="5"/>
    </row>
    <row r="5382" spans="2:18" x14ac:dyDescent="0.25">
      <c r="B5382" s="19" t="s">
        <v>7048</v>
      </c>
      <c r="C5382" s="16"/>
      <c r="D5382" s="16" t="s">
        <v>29</v>
      </c>
      <c r="E5382" s="16" t="s">
        <v>151</v>
      </c>
      <c r="F5382" s="5" t="s">
        <v>4752</v>
      </c>
      <c r="G5382" s="16" t="s">
        <v>35</v>
      </c>
      <c r="H5382" s="16"/>
      <c r="I5382" s="16"/>
      <c r="J5382" s="16"/>
      <c r="K5382" s="16"/>
      <c r="L5382" s="16"/>
      <c r="M5382" s="16"/>
      <c r="N5382" s="16"/>
      <c r="O5382" s="17"/>
      <c r="P5382" s="5" t="str">
        <f t="shared" si="119"/>
        <v>Truncate table Z07313;</v>
      </c>
      <c r="Q5382" s="5"/>
      <c r="R5382" s="5"/>
    </row>
    <row r="5383" spans="2:18" x14ac:dyDescent="0.25">
      <c r="B5383" s="19" t="s">
        <v>7049</v>
      </c>
      <c r="C5383" s="16"/>
      <c r="D5383" s="16" t="s">
        <v>29</v>
      </c>
      <c r="E5383" s="16" t="s">
        <v>151</v>
      </c>
      <c r="F5383" s="5" t="s">
        <v>4752</v>
      </c>
      <c r="G5383" s="16" t="s">
        <v>35</v>
      </c>
      <c r="H5383" s="16"/>
      <c r="I5383" s="16"/>
      <c r="J5383" s="16"/>
      <c r="K5383" s="16"/>
      <c r="L5383" s="16"/>
      <c r="M5383" s="16"/>
      <c r="N5383" s="16"/>
      <c r="O5383" s="17"/>
      <c r="P5383" s="5" t="str">
        <f t="shared" si="119"/>
        <v>Truncate table Z07314;</v>
      </c>
      <c r="Q5383" s="5"/>
      <c r="R5383" s="5"/>
    </row>
    <row r="5384" spans="2:18" x14ac:dyDescent="0.25">
      <c r="B5384" s="19" t="s">
        <v>7050</v>
      </c>
      <c r="C5384" s="16"/>
      <c r="D5384" s="16" t="s">
        <v>29</v>
      </c>
      <c r="E5384" s="16" t="s">
        <v>151</v>
      </c>
      <c r="F5384" s="5" t="s">
        <v>4752</v>
      </c>
      <c r="G5384" s="16" t="s">
        <v>35</v>
      </c>
      <c r="H5384" s="16"/>
      <c r="I5384" s="16"/>
      <c r="J5384" s="16"/>
      <c r="K5384" s="16"/>
      <c r="L5384" s="16"/>
      <c r="M5384" s="16"/>
      <c r="N5384" s="16"/>
      <c r="O5384" s="17"/>
      <c r="P5384" s="5" t="str">
        <f t="shared" si="119"/>
        <v>Truncate table Z07325;</v>
      </c>
      <c r="Q5384" s="5"/>
      <c r="R5384" s="5"/>
    </row>
    <row r="5385" spans="2:18" x14ac:dyDescent="0.25">
      <c r="B5385" s="19" t="s">
        <v>7051</v>
      </c>
      <c r="C5385" s="16"/>
      <c r="D5385" s="16" t="s">
        <v>29</v>
      </c>
      <c r="E5385" s="16" t="s">
        <v>151</v>
      </c>
      <c r="F5385" s="5" t="s">
        <v>4752</v>
      </c>
      <c r="G5385" s="16" t="s">
        <v>35</v>
      </c>
      <c r="H5385" s="16"/>
      <c r="I5385" s="16"/>
      <c r="J5385" s="16"/>
      <c r="K5385" s="16"/>
      <c r="L5385" s="16"/>
      <c r="M5385" s="16"/>
      <c r="N5385" s="16"/>
      <c r="O5385" s="17"/>
      <c r="P5385" s="5" t="str">
        <f t="shared" si="119"/>
        <v>Truncate table Z07327;</v>
      </c>
      <c r="Q5385" s="5"/>
      <c r="R5385" s="5"/>
    </row>
    <row r="5386" spans="2:18" x14ac:dyDescent="0.25">
      <c r="B5386" s="19" t="s">
        <v>7052</v>
      </c>
      <c r="C5386" s="16"/>
      <c r="D5386" s="16" t="s">
        <v>29</v>
      </c>
      <c r="E5386" s="16" t="s">
        <v>151</v>
      </c>
      <c r="F5386" s="5" t="s">
        <v>4752</v>
      </c>
      <c r="G5386" s="16" t="s">
        <v>35</v>
      </c>
      <c r="H5386" s="16"/>
      <c r="I5386" s="16"/>
      <c r="J5386" s="16"/>
      <c r="K5386" s="16"/>
      <c r="L5386" s="16"/>
      <c r="M5386" s="16"/>
      <c r="N5386" s="16"/>
      <c r="O5386" s="17"/>
      <c r="P5386" s="5" t="str">
        <f t="shared" si="119"/>
        <v>Truncate table Z07331;</v>
      </c>
      <c r="Q5386" s="5"/>
      <c r="R5386" s="5"/>
    </row>
    <row r="5387" spans="2:18" x14ac:dyDescent="0.25">
      <c r="B5387" s="19" t="s">
        <v>7053</v>
      </c>
      <c r="C5387" s="16"/>
      <c r="D5387" s="16" t="s">
        <v>29</v>
      </c>
      <c r="E5387" s="16" t="s">
        <v>151</v>
      </c>
      <c r="F5387" s="5" t="s">
        <v>4752</v>
      </c>
      <c r="G5387" s="16" t="s">
        <v>35</v>
      </c>
      <c r="H5387" s="16"/>
      <c r="I5387" s="16"/>
      <c r="J5387" s="16"/>
      <c r="K5387" s="16"/>
      <c r="L5387" s="16"/>
      <c r="M5387" s="16"/>
      <c r="N5387" s="16"/>
      <c r="O5387" s="17"/>
      <c r="P5387" s="5" t="str">
        <f t="shared" si="119"/>
        <v>Truncate table Z07343;</v>
      </c>
      <c r="Q5387" s="5"/>
      <c r="R5387" s="5"/>
    </row>
    <row r="5388" spans="2:18" x14ac:dyDescent="0.25">
      <c r="B5388" s="19" t="s">
        <v>7054</v>
      </c>
      <c r="C5388" s="16"/>
      <c r="D5388" s="16" t="s">
        <v>29</v>
      </c>
      <c r="E5388" s="16" t="s">
        <v>151</v>
      </c>
      <c r="F5388" s="5" t="s">
        <v>4752</v>
      </c>
      <c r="G5388" s="16" t="s">
        <v>35</v>
      </c>
      <c r="H5388" s="16"/>
      <c r="I5388" s="16"/>
      <c r="J5388" s="16"/>
      <c r="K5388" s="16"/>
      <c r="L5388" s="16"/>
      <c r="M5388" s="16"/>
      <c r="N5388" s="16"/>
      <c r="O5388" s="17"/>
      <c r="P5388" s="5" t="str">
        <f t="shared" si="119"/>
        <v>Truncate table Z07351;</v>
      </c>
      <c r="Q5388" s="5"/>
      <c r="R5388" s="5"/>
    </row>
    <row r="5389" spans="2:18" x14ac:dyDescent="0.25">
      <c r="B5389" s="19" t="s">
        <v>7055</v>
      </c>
      <c r="C5389" s="16"/>
      <c r="D5389" s="16" t="s">
        <v>29</v>
      </c>
      <c r="E5389" s="16" t="s">
        <v>151</v>
      </c>
      <c r="F5389" s="5" t="s">
        <v>4752</v>
      </c>
      <c r="G5389" s="16" t="s">
        <v>35</v>
      </c>
      <c r="H5389" s="16"/>
      <c r="I5389" s="16"/>
      <c r="J5389" s="16"/>
      <c r="K5389" s="16"/>
      <c r="L5389" s="16"/>
      <c r="M5389" s="16"/>
      <c r="N5389" s="16"/>
      <c r="O5389" s="17"/>
      <c r="P5389" s="5" t="str">
        <f t="shared" si="119"/>
        <v>Truncate table Z07352;</v>
      </c>
      <c r="Q5389" s="5"/>
      <c r="R5389" s="5"/>
    </row>
    <row r="5390" spans="2:18" x14ac:dyDescent="0.25">
      <c r="B5390" s="19" t="s">
        <v>7056</v>
      </c>
      <c r="C5390" s="16"/>
      <c r="D5390" s="16" t="s">
        <v>29</v>
      </c>
      <c r="E5390" s="16" t="s">
        <v>151</v>
      </c>
      <c r="F5390" s="5" t="s">
        <v>4752</v>
      </c>
      <c r="G5390" s="16" t="s">
        <v>35</v>
      </c>
      <c r="H5390" s="16"/>
      <c r="I5390" s="16"/>
      <c r="J5390" s="16"/>
      <c r="K5390" s="16"/>
      <c r="L5390" s="16"/>
      <c r="M5390" s="16"/>
      <c r="N5390" s="16"/>
      <c r="O5390" s="17"/>
      <c r="P5390" s="5" t="str">
        <f t="shared" si="119"/>
        <v>Truncate table Z07353;</v>
      </c>
      <c r="Q5390" s="5"/>
      <c r="R5390" s="5"/>
    </row>
    <row r="5391" spans="2:18" x14ac:dyDescent="0.25">
      <c r="B5391" s="19" t="s">
        <v>7057</v>
      </c>
      <c r="C5391" s="16"/>
      <c r="D5391" s="16" t="s">
        <v>29</v>
      </c>
      <c r="E5391" s="16" t="s">
        <v>151</v>
      </c>
      <c r="F5391" s="5" t="s">
        <v>4752</v>
      </c>
      <c r="G5391" s="16" t="s">
        <v>35</v>
      </c>
      <c r="H5391" s="16"/>
      <c r="I5391" s="16"/>
      <c r="J5391" s="16"/>
      <c r="K5391" s="16"/>
      <c r="L5391" s="16"/>
      <c r="M5391" s="16"/>
      <c r="N5391" s="16"/>
      <c r="O5391" s="17"/>
      <c r="P5391" s="5" t="str">
        <f t="shared" si="119"/>
        <v>Truncate table Z07354;</v>
      </c>
      <c r="Q5391" s="5"/>
      <c r="R5391" s="5"/>
    </row>
    <row r="5392" spans="2:18" x14ac:dyDescent="0.25">
      <c r="B5392" s="19" t="s">
        <v>7058</v>
      </c>
      <c r="C5392" s="16"/>
      <c r="D5392" s="16" t="s">
        <v>29</v>
      </c>
      <c r="E5392" s="16" t="s">
        <v>151</v>
      </c>
      <c r="F5392" s="5" t="s">
        <v>4752</v>
      </c>
      <c r="G5392" s="16" t="s">
        <v>35</v>
      </c>
      <c r="H5392" s="16"/>
      <c r="I5392" s="16"/>
      <c r="J5392" s="16"/>
      <c r="K5392" s="16"/>
      <c r="L5392" s="16"/>
      <c r="M5392" s="16"/>
      <c r="N5392" s="16"/>
      <c r="O5392" s="17"/>
      <c r="P5392" s="5" t="str">
        <f t="shared" si="119"/>
        <v>Truncate table Z07355;</v>
      </c>
      <c r="Q5392" s="5"/>
      <c r="R5392" s="5"/>
    </row>
    <row r="5393" spans="2:18" x14ac:dyDescent="0.25">
      <c r="B5393" s="19" t="s">
        <v>7059</v>
      </c>
      <c r="C5393" s="16"/>
      <c r="D5393" s="16" t="s">
        <v>29</v>
      </c>
      <c r="E5393" s="16" t="s">
        <v>151</v>
      </c>
      <c r="F5393" s="5" t="s">
        <v>4752</v>
      </c>
      <c r="G5393" s="16" t="s">
        <v>35</v>
      </c>
      <c r="H5393" s="16"/>
      <c r="I5393" s="16"/>
      <c r="J5393" s="16"/>
      <c r="K5393" s="16"/>
      <c r="L5393" s="16"/>
      <c r="M5393" s="16"/>
      <c r="N5393" s="16"/>
      <c r="O5393" s="17"/>
      <c r="P5393" s="5" t="str">
        <f t="shared" si="119"/>
        <v>Truncate table Z07356;</v>
      </c>
      <c r="Q5393" s="5"/>
      <c r="R5393" s="5"/>
    </row>
    <row r="5394" spans="2:18" x14ac:dyDescent="0.25">
      <c r="B5394" s="19" t="s">
        <v>7060</v>
      </c>
      <c r="C5394" s="16"/>
      <c r="D5394" s="16" t="s">
        <v>29</v>
      </c>
      <c r="E5394" s="16" t="s">
        <v>151</v>
      </c>
      <c r="F5394" s="5" t="s">
        <v>4752</v>
      </c>
      <c r="G5394" s="16" t="s">
        <v>35</v>
      </c>
      <c r="H5394" s="16"/>
      <c r="I5394" s="16"/>
      <c r="J5394" s="16"/>
      <c r="K5394" s="16"/>
      <c r="L5394" s="16"/>
      <c r="M5394" s="16"/>
      <c r="N5394" s="16"/>
      <c r="O5394" s="17"/>
      <c r="P5394" s="5" t="str">
        <f t="shared" si="119"/>
        <v>Truncate table Z07369;</v>
      </c>
      <c r="Q5394" s="5"/>
      <c r="R5394" s="5"/>
    </row>
    <row r="5395" spans="2:18" x14ac:dyDescent="0.25">
      <c r="B5395" s="19" t="s">
        <v>7061</v>
      </c>
      <c r="C5395" s="16"/>
      <c r="D5395" s="16" t="s">
        <v>29</v>
      </c>
      <c r="E5395" s="16" t="s">
        <v>151</v>
      </c>
      <c r="F5395" s="5" t="s">
        <v>4752</v>
      </c>
      <c r="G5395" s="16" t="s">
        <v>35</v>
      </c>
      <c r="H5395" s="16"/>
      <c r="I5395" s="16"/>
      <c r="J5395" s="16"/>
      <c r="K5395" s="16"/>
      <c r="L5395" s="16"/>
      <c r="M5395" s="16"/>
      <c r="N5395" s="16"/>
      <c r="O5395" s="17"/>
      <c r="P5395" s="5" t="str">
        <f t="shared" si="119"/>
        <v>Truncate table Z07374;</v>
      </c>
      <c r="Q5395" s="5"/>
      <c r="R5395" s="5"/>
    </row>
    <row r="5396" spans="2:18" x14ac:dyDescent="0.25">
      <c r="B5396" s="19" t="s">
        <v>7062</v>
      </c>
      <c r="C5396" s="16"/>
      <c r="D5396" s="16" t="s">
        <v>29</v>
      </c>
      <c r="E5396" s="16" t="s">
        <v>151</v>
      </c>
      <c r="F5396" s="5" t="s">
        <v>4752</v>
      </c>
      <c r="G5396" s="16" t="s">
        <v>35</v>
      </c>
      <c r="H5396" s="16"/>
      <c r="I5396" s="16"/>
      <c r="J5396" s="16"/>
      <c r="K5396" s="16"/>
      <c r="L5396" s="16"/>
      <c r="M5396" s="16"/>
      <c r="N5396" s="16"/>
      <c r="O5396" s="17"/>
      <c r="P5396" s="5" t="str">
        <f t="shared" si="119"/>
        <v>Truncate table Z07375;</v>
      </c>
      <c r="Q5396" s="5"/>
      <c r="R5396" s="5"/>
    </row>
    <row r="5397" spans="2:18" x14ac:dyDescent="0.25">
      <c r="B5397" s="19" t="s">
        <v>7063</v>
      </c>
      <c r="C5397" s="16"/>
      <c r="D5397" s="16" t="s">
        <v>29</v>
      </c>
      <c r="E5397" s="16" t="s">
        <v>151</v>
      </c>
      <c r="F5397" s="5" t="s">
        <v>4752</v>
      </c>
      <c r="G5397" s="16" t="s">
        <v>35</v>
      </c>
      <c r="H5397" s="16"/>
      <c r="I5397" s="16"/>
      <c r="J5397" s="16"/>
      <c r="K5397" s="16"/>
      <c r="L5397" s="16"/>
      <c r="M5397" s="16"/>
      <c r="N5397" s="16"/>
      <c r="O5397" s="17"/>
      <c r="P5397" s="5" t="str">
        <f t="shared" si="119"/>
        <v>Truncate table Z07378;</v>
      </c>
      <c r="Q5397" s="5"/>
      <c r="R5397" s="5"/>
    </row>
    <row r="5398" spans="2:18" x14ac:dyDescent="0.25">
      <c r="B5398" s="19" t="s">
        <v>7064</v>
      </c>
      <c r="C5398" s="16"/>
      <c r="D5398" s="16" t="s">
        <v>29</v>
      </c>
      <c r="E5398" s="16" t="s">
        <v>151</v>
      </c>
      <c r="F5398" s="5" t="s">
        <v>4752</v>
      </c>
      <c r="G5398" s="16" t="s">
        <v>35</v>
      </c>
      <c r="H5398" s="16"/>
      <c r="I5398" s="16"/>
      <c r="J5398" s="16"/>
      <c r="K5398" s="16"/>
      <c r="L5398" s="16"/>
      <c r="M5398" s="16"/>
      <c r="N5398" s="16"/>
      <c r="O5398" s="17"/>
      <c r="P5398" s="5" t="str">
        <f t="shared" ref="P5398:P5461" si="120">IF(D5398="Datos","Truncate table "&amp; B5398&amp; ";","")</f>
        <v>Truncate table Z07386;</v>
      </c>
      <c r="Q5398" s="5"/>
      <c r="R5398" s="5"/>
    </row>
    <row r="5399" spans="2:18" x14ac:dyDescent="0.25">
      <c r="B5399" s="19" t="s">
        <v>7065</v>
      </c>
      <c r="C5399" s="16"/>
      <c r="D5399" s="16" t="s">
        <v>29</v>
      </c>
      <c r="E5399" s="16" t="s">
        <v>151</v>
      </c>
      <c r="F5399" s="5" t="s">
        <v>4752</v>
      </c>
      <c r="G5399" s="16" t="s">
        <v>35</v>
      </c>
      <c r="H5399" s="16"/>
      <c r="I5399" s="16"/>
      <c r="J5399" s="16"/>
      <c r="K5399" s="16"/>
      <c r="L5399" s="16"/>
      <c r="M5399" s="16"/>
      <c r="N5399" s="16"/>
      <c r="O5399" s="17"/>
      <c r="P5399" s="5" t="str">
        <f t="shared" si="120"/>
        <v>Truncate table Z07387;</v>
      </c>
      <c r="Q5399" s="5"/>
      <c r="R5399" s="5"/>
    </row>
    <row r="5400" spans="2:18" x14ac:dyDescent="0.25">
      <c r="B5400" s="19" t="s">
        <v>7066</v>
      </c>
      <c r="C5400" s="16"/>
      <c r="D5400" s="16" t="s">
        <v>29</v>
      </c>
      <c r="E5400" s="16" t="s">
        <v>151</v>
      </c>
      <c r="F5400" s="5" t="s">
        <v>4752</v>
      </c>
      <c r="G5400" s="16" t="s">
        <v>35</v>
      </c>
      <c r="H5400" s="16"/>
      <c r="I5400" s="16"/>
      <c r="J5400" s="16"/>
      <c r="K5400" s="16"/>
      <c r="L5400" s="16"/>
      <c r="M5400" s="16"/>
      <c r="N5400" s="16"/>
      <c r="O5400" s="17"/>
      <c r="P5400" s="5" t="str">
        <f t="shared" si="120"/>
        <v>Truncate table Z07399;</v>
      </c>
      <c r="Q5400" s="5"/>
      <c r="R5400" s="5"/>
    </row>
    <row r="5401" spans="2:18" x14ac:dyDescent="0.25">
      <c r="B5401" s="19" t="s">
        <v>7067</v>
      </c>
      <c r="C5401" s="16"/>
      <c r="D5401" s="16" t="s">
        <v>29</v>
      </c>
      <c r="E5401" s="16" t="s">
        <v>151</v>
      </c>
      <c r="F5401" s="5" t="s">
        <v>4752</v>
      </c>
      <c r="G5401" s="16" t="s">
        <v>35</v>
      </c>
      <c r="H5401" s="16"/>
      <c r="I5401" s="16"/>
      <c r="J5401" s="16"/>
      <c r="K5401" s="16"/>
      <c r="L5401" s="16"/>
      <c r="M5401" s="16"/>
      <c r="N5401" s="16"/>
      <c r="O5401" s="17"/>
      <c r="P5401" s="5" t="str">
        <f t="shared" si="120"/>
        <v>Truncate table Z073AM;</v>
      </c>
      <c r="Q5401" s="5"/>
      <c r="R5401" s="5"/>
    </row>
    <row r="5402" spans="2:18" x14ac:dyDescent="0.25">
      <c r="B5402" s="19" t="s">
        <v>7068</v>
      </c>
      <c r="C5402" s="16"/>
      <c r="D5402" s="16" t="s">
        <v>29</v>
      </c>
      <c r="E5402" s="16" t="s">
        <v>151</v>
      </c>
      <c r="F5402" s="5" t="s">
        <v>4752</v>
      </c>
      <c r="G5402" s="16" t="s">
        <v>35</v>
      </c>
      <c r="H5402" s="16"/>
      <c r="I5402" s="16"/>
      <c r="J5402" s="16"/>
      <c r="K5402" s="16"/>
      <c r="L5402" s="16"/>
      <c r="M5402" s="16"/>
      <c r="N5402" s="16"/>
      <c r="O5402" s="17"/>
      <c r="P5402" s="5" t="str">
        <f t="shared" si="120"/>
        <v>Truncate table Z073AS;</v>
      </c>
      <c r="Q5402" s="5"/>
      <c r="R5402" s="5"/>
    </row>
    <row r="5403" spans="2:18" x14ac:dyDescent="0.25">
      <c r="B5403" s="19" t="s">
        <v>7069</v>
      </c>
      <c r="C5403" s="16"/>
      <c r="D5403" s="16" t="s">
        <v>29</v>
      </c>
      <c r="E5403" s="16" t="s">
        <v>151</v>
      </c>
      <c r="F5403" s="5" t="s">
        <v>4752</v>
      </c>
      <c r="G5403" s="16" t="s">
        <v>35</v>
      </c>
      <c r="H5403" s="16"/>
      <c r="I5403" s="16"/>
      <c r="J5403" s="16"/>
      <c r="K5403" s="16"/>
      <c r="L5403" s="16"/>
      <c r="M5403" s="16"/>
      <c r="N5403" s="16"/>
      <c r="O5403" s="17"/>
      <c r="P5403" s="5" t="str">
        <f t="shared" si="120"/>
        <v>Truncate table Z073AT;</v>
      </c>
      <c r="Q5403" s="5"/>
      <c r="R5403" s="5"/>
    </row>
    <row r="5404" spans="2:18" x14ac:dyDescent="0.25">
      <c r="B5404" s="19" t="s">
        <v>7070</v>
      </c>
      <c r="C5404" s="16"/>
      <c r="D5404" s="16" t="s">
        <v>29</v>
      </c>
      <c r="E5404" s="16" t="s">
        <v>151</v>
      </c>
      <c r="F5404" s="5" t="s">
        <v>4752</v>
      </c>
      <c r="G5404" s="16" t="s">
        <v>35</v>
      </c>
      <c r="H5404" s="16"/>
      <c r="I5404" s="16"/>
      <c r="J5404" s="16"/>
      <c r="K5404" s="16"/>
      <c r="L5404" s="16"/>
      <c r="M5404" s="16"/>
      <c r="N5404" s="16"/>
      <c r="O5404" s="17"/>
      <c r="P5404" s="5" t="str">
        <f t="shared" si="120"/>
        <v>Truncate table Z073B1;</v>
      </c>
      <c r="Q5404" s="5"/>
      <c r="R5404" s="5"/>
    </row>
    <row r="5405" spans="2:18" x14ac:dyDescent="0.25">
      <c r="B5405" s="19" t="s">
        <v>7071</v>
      </c>
      <c r="C5405" s="16"/>
      <c r="D5405" s="16" t="s">
        <v>29</v>
      </c>
      <c r="E5405" s="16" t="s">
        <v>151</v>
      </c>
      <c r="F5405" s="5" t="s">
        <v>4752</v>
      </c>
      <c r="G5405" s="16" t="s">
        <v>35</v>
      </c>
      <c r="H5405" s="16"/>
      <c r="I5405" s="16"/>
      <c r="J5405" s="16"/>
      <c r="K5405" s="16"/>
      <c r="L5405" s="16"/>
      <c r="M5405" s="16"/>
      <c r="N5405" s="16"/>
      <c r="O5405" s="17"/>
      <c r="P5405" s="5" t="str">
        <f t="shared" si="120"/>
        <v>Truncate table Z073B3;</v>
      </c>
      <c r="Q5405" s="5"/>
      <c r="R5405" s="5"/>
    </row>
    <row r="5406" spans="2:18" x14ac:dyDescent="0.25">
      <c r="B5406" s="19" t="s">
        <v>7072</v>
      </c>
      <c r="C5406" s="16"/>
      <c r="D5406" s="16" t="s">
        <v>29</v>
      </c>
      <c r="E5406" s="16" t="s">
        <v>151</v>
      </c>
      <c r="F5406" s="5" t="s">
        <v>4752</v>
      </c>
      <c r="G5406" s="16" t="s">
        <v>35</v>
      </c>
      <c r="H5406" s="16"/>
      <c r="I5406" s="16"/>
      <c r="J5406" s="16"/>
      <c r="K5406" s="16"/>
      <c r="L5406" s="16"/>
      <c r="M5406" s="16"/>
      <c r="N5406" s="16"/>
      <c r="O5406" s="17"/>
      <c r="P5406" s="5" t="str">
        <f t="shared" si="120"/>
        <v>Truncate table Z073B5;</v>
      </c>
      <c r="Q5406" s="5"/>
      <c r="R5406" s="5"/>
    </row>
    <row r="5407" spans="2:18" x14ac:dyDescent="0.25">
      <c r="B5407" s="19" t="s">
        <v>7073</v>
      </c>
      <c r="C5407" s="16"/>
      <c r="D5407" s="16" t="s">
        <v>29</v>
      </c>
      <c r="E5407" s="16" t="s">
        <v>151</v>
      </c>
      <c r="F5407" s="5" t="s">
        <v>4752</v>
      </c>
      <c r="G5407" s="16" t="s">
        <v>35</v>
      </c>
      <c r="H5407" s="16"/>
      <c r="I5407" s="16"/>
      <c r="J5407" s="16"/>
      <c r="K5407" s="16"/>
      <c r="L5407" s="16"/>
      <c r="M5407" s="16"/>
      <c r="N5407" s="16"/>
      <c r="O5407" s="17"/>
      <c r="P5407" s="5" t="str">
        <f t="shared" si="120"/>
        <v>Truncate table Z073B6;</v>
      </c>
      <c r="Q5407" s="5"/>
      <c r="R5407" s="5"/>
    </row>
    <row r="5408" spans="2:18" x14ac:dyDescent="0.25">
      <c r="B5408" s="19" t="s">
        <v>7074</v>
      </c>
      <c r="C5408" s="16"/>
      <c r="D5408" s="16" t="s">
        <v>29</v>
      </c>
      <c r="E5408" s="16" t="s">
        <v>151</v>
      </c>
      <c r="F5408" s="5" t="s">
        <v>4752</v>
      </c>
      <c r="G5408" s="16" t="s">
        <v>35</v>
      </c>
      <c r="H5408" s="16"/>
      <c r="I5408" s="16"/>
      <c r="J5408" s="16"/>
      <c r="K5408" s="16"/>
      <c r="L5408" s="16"/>
      <c r="M5408" s="16"/>
      <c r="N5408" s="16"/>
      <c r="O5408" s="17"/>
      <c r="P5408" s="5" t="str">
        <f t="shared" si="120"/>
        <v>Truncate table Z073CE;</v>
      </c>
      <c r="Q5408" s="5"/>
      <c r="R5408" s="5"/>
    </row>
    <row r="5409" spans="2:18" x14ac:dyDescent="0.25">
      <c r="B5409" s="19" t="s">
        <v>7075</v>
      </c>
      <c r="C5409" s="16"/>
      <c r="D5409" s="16" t="s">
        <v>29</v>
      </c>
      <c r="E5409" s="16" t="s">
        <v>151</v>
      </c>
      <c r="F5409" s="5" t="s">
        <v>4752</v>
      </c>
      <c r="G5409" s="16" t="s">
        <v>35</v>
      </c>
      <c r="H5409" s="16"/>
      <c r="I5409" s="16"/>
      <c r="J5409" s="16"/>
      <c r="K5409" s="16"/>
      <c r="L5409" s="16"/>
      <c r="M5409" s="16"/>
      <c r="N5409" s="16"/>
      <c r="O5409" s="17"/>
      <c r="P5409" s="5" t="str">
        <f t="shared" si="120"/>
        <v>Truncate table Z073CH;</v>
      </c>
      <c r="Q5409" s="5"/>
      <c r="R5409" s="5"/>
    </row>
    <row r="5410" spans="2:18" x14ac:dyDescent="0.25">
      <c r="B5410" s="19" t="s">
        <v>7076</v>
      </c>
      <c r="C5410" s="16"/>
      <c r="D5410" s="16" t="s">
        <v>29</v>
      </c>
      <c r="E5410" s="16" t="s">
        <v>151</v>
      </c>
      <c r="F5410" s="5" t="s">
        <v>4752</v>
      </c>
      <c r="G5410" s="16" t="s">
        <v>35</v>
      </c>
      <c r="H5410" s="16"/>
      <c r="I5410" s="16"/>
      <c r="J5410" s="16"/>
      <c r="K5410" s="16"/>
      <c r="L5410" s="16"/>
      <c r="M5410" s="16"/>
      <c r="N5410" s="16"/>
      <c r="O5410" s="17"/>
      <c r="P5410" s="5" t="str">
        <f t="shared" si="120"/>
        <v>Truncate table Z073GB;</v>
      </c>
      <c r="Q5410" s="5"/>
      <c r="R5410" s="5"/>
    </row>
    <row r="5411" spans="2:18" x14ac:dyDescent="0.25">
      <c r="B5411" s="19" t="s">
        <v>7077</v>
      </c>
      <c r="C5411" s="16"/>
      <c r="D5411" s="16" t="s">
        <v>29</v>
      </c>
      <c r="E5411" s="16" t="s">
        <v>151</v>
      </c>
      <c r="F5411" s="5" t="s">
        <v>4752</v>
      </c>
      <c r="G5411" s="16" t="s">
        <v>35</v>
      </c>
      <c r="H5411" s="16"/>
      <c r="I5411" s="16"/>
      <c r="J5411" s="16"/>
      <c r="K5411" s="16"/>
      <c r="L5411" s="16"/>
      <c r="M5411" s="16"/>
      <c r="N5411" s="16"/>
      <c r="O5411" s="17"/>
      <c r="P5411" s="5" t="str">
        <f t="shared" si="120"/>
        <v>Truncate table Z073GE;</v>
      </c>
      <c r="Q5411" s="5"/>
      <c r="R5411" s="5"/>
    </row>
    <row r="5412" spans="2:18" x14ac:dyDescent="0.25">
      <c r="B5412" s="19" t="s">
        <v>7078</v>
      </c>
      <c r="C5412" s="16"/>
      <c r="D5412" s="16" t="s">
        <v>29</v>
      </c>
      <c r="E5412" s="16" t="s">
        <v>151</v>
      </c>
      <c r="F5412" s="5" t="s">
        <v>4752</v>
      </c>
      <c r="G5412" s="16" t="s">
        <v>35</v>
      </c>
      <c r="H5412" s="16"/>
      <c r="I5412" s="16"/>
      <c r="J5412" s="16"/>
      <c r="K5412" s="16"/>
      <c r="L5412" s="16"/>
      <c r="M5412" s="16"/>
      <c r="N5412" s="16"/>
      <c r="O5412" s="17"/>
      <c r="P5412" s="5" t="str">
        <f t="shared" si="120"/>
        <v>Truncate table Z073GF;</v>
      </c>
      <c r="Q5412" s="5"/>
      <c r="R5412" s="5"/>
    </row>
    <row r="5413" spans="2:18" x14ac:dyDescent="0.25">
      <c r="B5413" s="19" t="s">
        <v>7079</v>
      </c>
      <c r="C5413" s="16"/>
      <c r="D5413" s="16" t="s">
        <v>29</v>
      </c>
      <c r="E5413" s="16" t="s">
        <v>151</v>
      </c>
      <c r="F5413" s="5" t="s">
        <v>4752</v>
      </c>
      <c r="G5413" s="16" t="s">
        <v>35</v>
      </c>
      <c r="H5413" s="16"/>
      <c r="I5413" s="16"/>
      <c r="J5413" s="16"/>
      <c r="K5413" s="16"/>
      <c r="L5413" s="16"/>
      <c r="M5413" s="16"/>
      <c r="N5413" s="16"/>
      <c r="O5413" s="17"/>
      <c r="P5413" s="5" t="str">
        <f t="shared" si="120"/>
        <v>Truncate table Z073GG;</v>
      </c>
      <c r="Q5413" s="5"/>
      <c r="R5413" s="5"/>
    </row>
    <row r="5414" spans="2:18" x14ac:dyDescent="0.25">
      <c r="B5414" s="19" t="s">
        <v>7080</v>
      </c>
      <c r="C5414" s="16"/>
      <c r="D5414" s="16" t="s">
        <v>29</v>
      </c>
      <c r="E5414" s="16" t="s">
        <v>151</v>
      </c>
      <c r="F5414" s="5" t="s">
        <v>4752</v>
      </c>
      <c r="G5414" s="16" t="s">
        <v>35</v>
      </c>
      <c r="H5414" s="16"/>
      <c r="I5414" s="16"/>
      <c r="J5414" s="16"/>
      <c r="K5414" s="16"/>
      <c r="L5414" s="16"/>
      <c r="M5414" s="16"/>
      <c r="N5414" s="16"/>
      <c r="O5414" s="17"/>
      <c r="P5414" s="5" t="str">
        <f t="shared" si="120"/>
        <v>Truncate table Z073GH;</v>
      </c>
      <c r="Q5414" s="5"/>
      <c r="R5414" s="5"/>
    </row>
    <row r="5415" spans="2:18" x14ac:dyDescent="0.25">
      <c r="B5415" s="19" t="s">
        <v>7081</v>
      </c>
      <c r="C5415" s="16"/>
      <c r="D5415" s="16" t="s">
        <v>29</v>
      </c>
      <c r="E5415" s="16" t="s">
        <v>151</v>
      </c>
      <c r="F5415" s="5" t="s">
        <v>4752</v>
      </c>
      <c r="G5415" s="16" t="s">
        <v>35</v>
      </c>
      <c r="H5415" s="16"/>
      <c r="I5415" s="16"/>
      <c r="J5415" s="16"/>
      <c r="K5415" s="16"/>
      <c r="L5415" s="16"/>
      <c r="M5415" s="16"/>
      <c r="N5415" s="16"/>
      <c r="O5415" s="17"/>
      <c r="P5415" s="5" t="str">
        <f t="shared" si="120"/>
        <v>Truncate table Z073H4;</v>
      </c>
      <c r="Q5415" s="5"/>
      <c r="R5415" s="5"/>
    </row>
    <row r="5416" spans="2:18" x14ac:dyDescent="0.25">
      <c r="B5416" s="19" t="s">
        <v>7082</v>
      </c>
      <c r="C5416" s="16"/>
      <c r="D5416" s="16" t="s">
        <v>29</v>
      </c>
      <c r="E5416" s="16" t="s">
        <v>151</v>
      </c>
      <c r="F5416" s="5" t="s">
        <v>4752</v>
      </c>
      <c r="G5416" s="16" t="s">
        <v>35</v>
      </c>
      <c r="H5416" s="16"/>
      <c r="I5416" s="16"/>
      <c r="J5416" s="16"/>
      <c r="K5416" s="16"/>
      <c r="L5416" s="16"/>
      <c r="M5416" s="16"/>
      <c r="N5416" s="16"/>
      <c r="O5416" s="17"/>
      <c r="P5416" s="5" t="str">
        <f t="shared" si="120"/>
        <v>Truncate table Z073O8;</v>
      </c>
      <c r="Q5416" s="5"/>
      <c r="R5416" s="5"/>
    </row>
    <row r="5417" spans="2:18" x14ac:dyDescent="0.25">
      <c r="B5417" s="19" t="s">
        <v>7083</v>
      </c>
      <c r="C5417" s="16"/>
      <c r="D5417" s="16" t="s">
        <v>29</v>
      </c>
      <c r="E5417" s="16" t="s">
        <v>151</v>
      </c>
      <c r="F5417" s="5" t="s">
        <v>4752</v>
      </c>
      <c r="G5417" s="16" t="s">
        <v>35</v>
      </c>
      <c r="H5417" s="16"/>
      <c r="I5417" s="16"/>
      <c r="J5417" s="16"/>
      <c r="K5417" s="16"/>
      <c r="L5417" s="16"/>
      <c r="M5417" s="16"/>
      <c r="N5417" s="16"/>
      <c r="O5417" s="17"/>
      <c r="P5417" s="5" t="str">
        <f t="shared" si="120"/>
        <v>Truncate table Z0E401;</v>
      </c>
      <c r="Q5417" s="5"/>
      <c r="R5417" s="5"/>
    </row>
    <row r="5418" spans="2:18" x14ac:dyDescent="0.25">
      <c r="B5418" s="19" t="s">
        <v>7084</v>
      </c>
      <c r="C5418" s="16"/>
      <c r="D5418" s="16" t="s">
        <v>29</v>
      </c>
      <c r="E5418" s="16" t="s">
        <v>151</v>
      </c>
      <c r="F5418" s="5" t="s">
        <v>4752</v>
      </c>
      <c r="G5418" s="16" t="s">
        <v>35</v>
      </c>
      <c r="H5418" s="16"/>
      <c r="I5418" s="16"/>
      <c r="J5418" s="16"/>
      <c r="K5418" s="16"/>
      <c r="L5418" s="16"/>
      <c r="M5418" s="16"/>
      <c r="N5418" s="16"/>
      <c r="O5418" s="17"/>
      <c r="P5418" s="5" t="str">
        <f t="shared" si="120"/>
        <v>Truncate table Z0E402;</v>
      </c>
      <c r="Q5418" s="5"/>
      <c r="R5418" s="5"/>
    </row>
    <row r="5419" spans="2:18" x14ac:dyDescent="0.25">
      <c r="B5419" s="19" t="s">
        <v>7085</v>
      </c>
      <c r="C5419" s="16"/>
      <c r="D5419" s="16" t="s">
        <v>29</v>
      </c>
      <c r="E5419" s="16" t="s">
        <v>151</v>
      </c>
      <c r="F5419" s="5" t="s">
        <v>4752</v>
      </c>
      <c r="G5419" s="16" t="s">
        <v>35</v>
      </c>
      <c r="H5419" s="16"/>
      <c r="I5419" s="16"/>
      <c r="J5419" s="16"/>
      <c r="K5419" s="16"/>
      <c r="L5419" s="16"/>
      <c r="M5419" s="16"/>
      <c r="N5419" s="16"/>
      <c r="O5419" s="17"/>
      <c r="P5419" s="5" t="str">
        <f t="shared" si="120"/>
        <v>Truncate table Z0E403;</v>
      </c>
      <c r="Q5419" s="5"/>
      <c r="R5419" s="5"/>
    </row>
    <row r="5420" spans="2:18" x14ac:dyDescent="0.25">
      <c r="B5420" s="19" t="s">
        <v>7086</v>
      </c>
      <c r="C5420" s="16"/>
      <c r="D5420" s="16" t="s">
        <v>29</v>
      </c>
      <c r="E5420" s="16" t="s">
        <v>151</v>
      </c>
      <c r="F5420" s="5" t="s">
        <v>4752</v>
      </c>
      <c r="G5420" s="16" t="s">
        <v>35</v>
      </c>
      <c r="H5420" s="16"/>
      <c r="I5420" s="16"/>
      <c r="J5420" s="16"/>
      <c r="K5420" s="16"/>
      <c r="L5420" s="16"/>
      <c r="M5420" s="16"/>
      <c r="N5420" s="16"/>
      <c r="O5420" s="17"/>
      <c r="P5420" s="5" t="str">
        <f t="shared" si="120"/>
        <v>Truncate table Z0E404;</v>
      </c>
      <c r="Q5420" s="5"/>
      <c r="R5420" s="5"/>
    </row>
    <row r="5421" spans="2:18" x14ac:dyDescent="0.25">
      <c r="B5421" s="19" t="s">
        <v>7087</v>
      </c>
      <c r="C5421" s="16"/>
      <c r="D5421" s="16" t="s">
        <v>29</v>
      </c>
      <c r="E5421" s="16" t="s">
        <v>151</v>
      </c>
      <c r="F5421" s="5" t="s">
        <v>4752</v>
      </c>
      <c r="G5421" s="16" t="s">
        <v>35</v>
      </c>
      <c r="H5421" s="16"/>
      <c r="I5421" s="16"/>
      <c r="J5421" s="16"/>
      <c r="K5421" s="16"/>
      <c r="L5421" s="16"/>
      <c r="M5421" s="16"/>
      <c r="N5421" s="16"/>
      <c r="O5421" s="17"/>
      <c r="P5421" s="5" t="str">
        <f t="shared" si="120"/>
        <v>Truncate table Z0E405;</v>
      </c>
      <c r="Q5421" s="5"/>
      <c r="R5421" s="5"/>
    </row>
    <row r="5422" spans="2:18" x14ac:dyDescent="0.25">
      <c r="B5422" s="19" t="s">
        <v>7088</v>
      </c>
      <c r="C5422" s="16"/>
      <c r="D5422" s="16" t="s">
        <v>29</v>
      </c>
      <c r="E5422" s="16" t="s">
        <v>151</v>
      </c>
      <c r="F5422" s="5" t="s">
        <v>4752</v>
      </c>
      <c r="G5422" s="16" t="s">
        <v>35</v>
      </c>
      <c r="H5422" s="16"/>
      <c r="I5422" s="16"/>
      <c r="J5422" s="16"/>
      <c r="K5422" s="16"/>
      <c r="L5422" s="16"/>
      <c r="M5422" s="16"/>
      <c r="N5422" s="16"/>
      <c r="O5422" s="17"/>
      <c r="P5422" s="5" t="str">
        <f t="shared" si="120"/>
        <v>Truncate table Z0E406;</v>
      </c>
      <c r="Q5422" s="5"/>
      <c r="R5422" s="5"/>
    </row>
    <row r="5423" spans="2:18" x14ac:dyDescent="0.25">
      <c r="B5423" s="19" t="s">
        <v>7089</v>
      </c>
      <c r="C5423" s="16"/>
      <c r="D5423" s="16" t="s">
        <v>29</v>
      </c>
      <c r="E5423" s="16" t="s">
        <v>151</v>
      </c>
      <c r="F5423" s="5" t="s">
        <v>4752</v>
      </c>
      <c r="G5423" s="16" t="s">
        <v>35</v>
      </c>
      <c r="H5423" s="16"/>
      <c r="I5423" s="16"/>
      <c r="J5423" s="16"/>
      <c r="K5423" s="16"/>
      <c r="L5423" s="16"/>
      <c r="M5423" s="16"/>
      <c r="N5423" s="16"/>
      <c r="O5423" s="17"/>
      <c r="P5423" s="5" t="str">
        <f t="shared" si="120"/>
        <v>Truncate table Z0E407;</v>
      </c>
      <c r="Q5423" s="5"/>
      <c r="R5423" s="5"/>
    </row>
    <row r="5424" spans="2:18" x14ac:dyDescent="0.25">
      <c r="B5424" s="19" t="s">
        <v>7090</v>
      </c>
      <c r="C5424" s="16"/>
      <c r="D5424" s="16" t="s">
        <v>29</v>
      </c>
      <c r="E5424" s="16" t="s">
        <v>151</v>
      </c>
      <c r="F5424" s="5" t="s">
        <v>4752</v>
      </c>
      <c r="G5424" s="16" t="s">
        <v>35</v>
      </c>
      <c r="H5424" s="16"/>
      <c r="I5424" s="16"/>
      <c r="J5424" s="16"/>
      <c r="K5424" s="16"/>
      <c r="L5424" s="16"/>
      <c r="M5424" s="16"/>
      <c r="N5424" s="16"/>
      <c r="O5424" s="17"/>
      <c r="P5424" s="5" t="str">
        <f t="shared" si="120"/>
        <v>Truncate table Z0E408;</v>
      </c>
      <c r="Q5424" s="5"/>
      <c r="R5424" s="5"/>
    </row>
    <row r="5425" spans="2:18" x14ac:dyDescent="0.25">
      <c r="B5425" s="19" t="s">
        <v>7091</v>
      </c>
      <c r="C5425" s="16"/>
      <c r="D5425" s="16" t="s">
        <v>29</v>
      </c>
      <c r="E5425" s="16" t="s">
        <v>151</v>
      </c>
      <c r="F5425" s="5" t="s">
        <v>4752</v>
      </c>
      <c r="G5425" s="16" t="s">
        <v>35</v>
      </c>
      <c r="H5425" s="16"/>
      <c r="I5425" s="16"/>
      <c r="J5425" s="16"/>
      <c r="K5425" s="16"/>
      <c r="L5425" s="16"/>
      <c r="M5425" s="16"/>
      <c r="N5425" s="16"/>
      <c r="O5425" s="17"/>
      <c r="P5425" s="5" t="str">
        <f t="shared" si="120"/>
        <v>Truncate table Z0E409;</v>
      </c>
      <c r="Q5425" s="5"/>
      <c r="R5425" s="5"/>
    </row>
    <row r="5426" spans="2:18" x14ac:dyDescent="0.25">
      <c r="B5426" s="19" t="s">
        <v>7092</v>
      </c>
      <c r="C5426" s="16"/>
      <c r="D5426" s="16" t="s">
        <v>29</v>
      </c>
      <c r="E5426" s="16" t="s">
        <v>151</v>
      </c>
      <c r="F5426" s="5" t="s">
        <v>4752</v>
      </c>
      <c r="G5426" s="16" t="s">
        <v>35</v>
      </c>
      <c r="H5426" s="16"/>
      <c r="I5426" s="16"/>
      <c r="J5426" s="16"/>
      <c r="K5426" s="16"/>
      <c r="L5426" s="16"/>
      <c r="M5426" s="16"/>
      <c r="N5426" s="16"/>
      <c r="O5426" s="17"/>
      <c r="P5426" s="5" t="str">
        <f t="shared" si="120"/>
        <v>Truncate table Z0E410;</v>
      </c>
      <c r="Q5426" s="5"/>
      <c r="R5426" s="5"/>
    </row>
    <row r="5427" spans="2:18" x14ac:dyDescent="0.25">
      <c r="B5427" s="19" t="s">
        <v>7093</v>
      </c>
      <c r="C5427" s="16"/>
      <c r="D5427" s="16" t="s">
        <v>29</v>
      </c>
      <c r="E5427" s="16" t="s">
        <v>151</v>
      </c>
      <c r="F5427" s="5" t="s">
        <v>4752</v>
      </c>
      <c r="G5427" s="16" t="s">
        <v>35</v>
      </c>
      <c r="H5427" s="16"/>
      <c r="I5427" s="16"/>
      <c r="J5427" s="16"/>
      <c r="K5427" s="16"/>
      <c r="L5427" s="16"/>
      <c r="M5427" s="16"/>
      <c r="N5427" s="16"/>
      <c r="O5427" s="17"/>
      <c r="P5427" s="5" t="str">
        <f t="shared" si="120"/>
        <v>Truncate table Z0E411;</v>
      </c>
      <c r="Q5427" s="5"/>
      <c r="R5427" s="5"/>
    </row>
    <row r="5428" spans="2:18" x14ac:dyDescent="0.25">
      <c r="B5428" s="19" t="s">
        <v>7094</v>
      </c>
      <c r="C5428" s="16"/>
      <c r="D5428" s="16" t="s">
        <v>29</v>
      </c>
      <c r="E5428" s="16" t="s">
        <v>151</v>
      </c>
      <c r="F5428" s="5" t="s">
        <v>4752</v>
      </c>
      <c r="G5428" s="16" t="s">
        <v>35</v>
      </c>
      <c r="H5428" s="16"/>
      <c r="I5428" s="16"/>
      <c r="J5428" s="16"/>
      <c r="K5428" s="16"/>
      <c r="L5428" s="16"/>
      <c r="M5428" s="16"/>
      <c r="N5428" s="16"/>
      <c r="O5428" s="17"/>
      <c r="P5428" s="5" t="str">
        <f t="shared" si="120"/>
        <v>Truncate table Z0E412;</v>
      </c>
      <c r="Q5428" s="5"/>
      <c r="R5428" s="5"/>
    </row>
    <row r="5429" spans="2:18" x14ac:dyDescent="0.25">
      <c r="B5429" s="19" t="s">
        <v>7095</v>
      </c>
      <c r="C5429" s="16"/>
      <c r="D5429" s="16" t="s">
        <v>29</v>
      </c>
      <c r="E5429" s="16" t="s">
        <v>151</v>
      </c>
      <c r="F5429" s="5" t="s">
        <v>4752</v>
      </c>
      <c r="G5429" s="16" t="s">
        <v>35</v>
      </c>
      <c r="H5429" s="16"/>
      <c r="I5429" s="16"/>
      <c r="J5429" s="16"/>
      <c r="K5429" s="16"/>
      <c r="L5429" s="16"/>
      <c r="M5429" s="16"/>
      <c r="N5429" s="16"/>
      <c r="O5429" s="17"/>
      <c r="P5429" s="5" t="str">
        <f t="shared" si="120"/>
        <v>Truncate table Z0E413;</v>
      </c>
      <c r="Q5429" s="5"/>
      <c r="R5429" s="5"/>
    </row>
    <row r="5430" spans="2:18" x14ac:dyDescent="0.25">
      <c r="B5430" s="19" t="s">
        <v>7096</v>
      </c>
      <c r="C5430" s="16"/>
      <c r="D5430" s="16" t="s">
        <v>29</v>
      </c>
      <c r="E5430" s="16" t="s">
        <v>151</v>
      </c>
      <c r="F5430" s="5" t="s">
        <v>4752</v>
      </c>
      <c r="G5430" s="16" t="s">
        <v>35</v>
      </c>
      <c r="H5430" s="16"/>
      <c r="I5430" s="16"/>
      <c r="J5430" s="16"/>
      <c r="K5430" s="16"/>
      <c r="L5430" s="16"/>
      <c r="M5430" s="16"/>
      <c r="N5430" s="16"/>
      <c r="O5430" s="17"/>
      <c r="P5430" s="5" t="str">
        <f t="shared" si="120"/>
        <v>Truncate table Z0E414;</v>
      </c>
      <c r="Q5430" s="5"/>
      <c r="R5430" s="5"/>
    </row>
    <row r="5431" spans="2:18" x14ac:dyDescent="0.25">
      <c r="B5431" s="19" t="s">
        <v>7097</v>
      </c>
      <c r="C5431" s="16"/>
      <c r="D5431" s="16" t="s">
        <v>29</v>
      </c>
      <c r="E5431" s="16" t="s">
        <v>151</v>
      </c>
      <c r="F5431" s="5" t="s">
        <v>4752</v>
      </c>
      <c r="G5431" s="16" t="s">
        <v>35</v>
      </c>
      <c r="H5431" s="16"/>
      <c r="I5431" s="16"/>
      <c r="J5431" s="16"/>
      <c r="K5431" s="16"/>
      <c r="L5431" s="16"/>
      <c r="M5431" s="16"/>
      <c r="N5431" s="16"/>
      <c r="O5431" s="17"/>
      <c r="P5431" s="5" t="str">
        <f t="shared" si="120"/>
        <v>Truncate table Z0E416;</v>
      </c>
      <c r="Q5431" s="5"/>
      <c r="R5431" s="5"/>
    </row>
    <row r="5432" spans="2:18" x14ac:dyDescent="0.25">
      <c r="B5432" s="19" t="s">
        <v>7098</v>
      </c>
      <c r="C5432" s="16"/>
      <c r="D5432" s="16" t="s">
        <v>29</v>
      </c>
      <c r="E5432" s="16" t="s">
        <v>151</v>
      </c>
      <c r="F5432" s="5" t="s">
        <v>4752</v>
      </c>
      <c r="G5432" s="16" t="s">
        <v>35</v>
      </c>
      <c r="H5432" s="16"/>
      <c r="I5432" s="16"/>
      <c r="J5432" s="16"/>
      <c r="K5432" s="16"/>
      <c r="L5432" s="16"/>
      <c r="M5432" s="16"/>
      <c r="N5432" s="16"/>
      <c r="O5432" s="17"/>
      <c r="P5432" s="5" t="str">
        <f t="shared" si="120"/>
        <v>Truncate table Z0E417;</v>
      </c>
      <c r="Q5432" s="5"/>
      <c r="R5432" s="5"/>
    </row>
    <row r="5433" spans="2:18" x14ac:dyDescent="0.25">
      <c r="B5433" s="19" t="s">
        <v>7099</v>
      </c>
      <c r="C5433" s="16"/>
      <c r="D5433" s="16" t="s">
        <v>29</v>
      </c>
      <c r="E5433" s="16" t="s">
        <v>151</v>
      </c>
      <c r="F5433" s="5" t="s">
        <v>4752</v>
      </c>
      <c r="G5433" s="16" t="s">
        <v>35</v>
      </c>
      <c r="H5433" s="16"/>
      <c r="I5433" s="16"/>
      <c r="J5433" s="16"/>
      <c r="K5433" s="16"/>
      <c r="L5433" s="16"/>
      <c r="M5433" s="16"/>
      <c r="N5433" s="16"/>
      <c r="O5433" s="17"/>
      <c r="P5433" s="5" t="str">
        <f t="shared" si="120"/>
        <v>Truncate table Z0E418;</v>
      </c>
      <c r="Q5433" s="5"/>
      <c r="R5433" s="5"/>
    </row>
    <row r="5434" spans="2:18" x14ac:dyDescent="0.25">
      <c r="B5434" s="19" t="s">
        <v>7100</v>
      </c>
      <c r="C5434" s="16"/>
      <c r="D5434" s="16" t="s">
        <v>29</v>
      </c>
      <c r="E5434" s="16" t="s">
        <v>151</v>
      </c>
      <c r="F5434" s="5" t="s">
        <v>4752</v>
      </c>
      <c r="G5434" s="16" t="s">
        <v>35</v>
      </c>
      <c r="H5434" s="16"/>
      <c r="I5434" s="16"/>
      <c r="J5434" s="16"/>
      <c r="K5434" s="16"/>
      <c r="L5434" s="16"/>
      <c r="M5434" s="16"/>
      <c r="N5434" s="16"/>
      <c r="O5434" s="17"/>
      <c r="P5434" s="5" t="str">
        <f t="shared" si="120"/>
        <v>Truncate table Z0E420;</v>
      </c>
      <c r="Q5434" s="5"/>
      <c r="R5434" s="5"/>
    </row>
    <row r="5435" spans="2:18" x14ac:dyDescent="0.25">
      <c r="B5435" s="19" t="s">
        <v>7101</v>
      </c>
      <c r="C5435" s="16"/>
      <c r="D5435" s="16" t="s">
        <v>29</v>
      </c>
      <c r="E5435" s="16" t="s">
        <v>151</v>
      </c>
      <c r="F5435" s="5" t="s">
        <v>4752</v>
      </c>
      <c r="G5435" s="16" t="s">
        <v>35</v>
      </c>
      <c r="H5435" s="16"/>
      <c r="I5435" s="16"/>
      <c r="J5435" s="16"/>
      <c r="K5435" s="16"/>
      <c r="L5435" s="16"/>
      <c r="M5435" s="16"/>
      <c r="N5435" s="16"/>
      <c r="O5435" s="17"/>
      <c r="P5435" s="5" t="str">
        <f t="shared" si="120"/>
        <v>Truncate table Z0E423;</v>
      </c>
      <c r="Q5435" s="5"/>
      <c r="R5435" s="5"/>
    </row>
    <row r="5436" spans="2:18" x14ac:dyDescent="0.25">
      <c r="B5436" s="19" t="s">
        <v>7102</v>
      </c>
      <c r="C5436" s="16"/>
      <c r="D5436" s="16" t="s">
        <v>29</v>
      </c>
      <c r="E5436" s="16" t="s">
        <v>151</v>
      </c>
      <c r="F5436" s="5" t="s">
        <v>4752</v>
      </c>
      <c r="G5436" s="16" t="s">
        <v>35</v>
      </c>
      <c r="H5436" s="16"/>
      <c r="I5436" s="16"/>
      <c r="J5436" s="16"/>
      <c r="K5436" s="16"/>
      <c r="L5436" s="16"/>
      <c r="M5436" s="16"/>
      <c r="N5436" s="16"/>
      <c r="O5436" s="17"/>
      <c r="P5436" s="5" t="str">
        <f t="shared" si="120"/>
        <v>Truncate table Z0E424;</v>
      </c>
      <c r="Q5436" s="5"/>
      <c r="R5436" s="5"/>
    </row>
    <row r="5437" spans="2:18" x14ac:dyDescent="0.25">
      <c r="B5437" s="19" t="s">
        <v>7103</v>
      </c>
      <c r="C5437" s="16"/>
      <c r="D5437" s="16" t="s">
        <v>29</v>
      </c>
      <c r="E5437" s="16" t="s">
        <v>151</v>
      </c>
      <c r="F5437" s="5" t="s">
        <v>4752</v>
      </c>
      <c r="G5437" s="16" t="s">
        <v>35</v>
      </c>
      <c r="H5437" s="16"/>
      <c r="I5437" s="16"/>
      <c r="J5437" s="16"/>
      <c r="K5437" s="16"/>
      <c r="L5437" s="16"/>
      <c r="M5437" s="16"/>
      <c r="N5437" s="16"/>
      <c r="O5437" s="17"/>
      <c r="P5437" s="5" t="str">
        <f t="shared" si="120"/>
        <v>Truncate table Z0E427;</v>
      </c>
      <c r="Q5437" s="5"/>
      <c r="R5437" s="5"/>
    </row>
    <row r="5438" spans="2:18" x14ac:dyDescent="0.25">
      <c r="B5438" s="19" t="s">
        <v>7104</v>
      </c>
      <c r="C5438" s="16"/>
      <c r="D5438" s="16" t="s">
        <v>29</v>
      </c>
      <c r="E5438" s="16" t="s">
        <v>151</v>
      </c>
      <c r="F5438" s="5" t="s">
        <v>4752</v>
      </c>
      <c r="G5438" s="16" t="s">
        <v>35</v>
      </c>
      <c r="H5438" s="16"/>
      <c r="I5438" s="16"/>
      <c r="J5438" s="16"/>
      <c r="K5438" s="16"/>
      <c r="L5438" s="16"/>
      <c r="M5438" s="16"/>
      <c r="N5438" s="16"/>
      <c r="O5438" s="17"/>
      <c r="P5438" s="5" t="str">
        <f t="shared" si="120"/>
        <v>Truncate table Z0E428;</v>
      </c>
      <c r="Q5438" s="5"/>
      <c r="R5438" s="5"/>
    </row>
    <row r="5439" spans="2:18" x14ac:dyDescent="0.25">
      <c r="B5439" s="19" t="s">
        <v>7105</v>
      </c>
      <c r="C5439" s="16"/>
      <c r="D5439" s="16" t="s">
        <v>29</v>
      </c>
      <c r="E5439" s="16" t="s">
        <v>151</v>
      </c>
      <c r="F5439" s="5" t="s">
        <v>4752</v>
      </c>
      <c r="G5439" s="16" t="s">
        <v>35</v>
      </c>
      <c r="H5439" s="16"/>
      <c r="I5439" s="16"/>
      <c r="J5439" s="16"/>
      <c r="K5439" s="16"/>
      <c r="L5439" s="16"/>
      <c r="M5439" s="16"/>
      <c r="N5439" s="16"/>
      <c r="O5439" s="17"/>
      <c r="P5439" s="5" t="str">
        <f t="shared" si="120"/>
        <v>Truncate table Z0E437;</v>
      </c>
      <c r="Q5439" s="5"/>
      <c r="R5439" s="5"/>
    </row>
    <row r="5440" spans="2:18" x14ac:dyDescent="0.25">
      <c r="B5440" s="19" t="s">
        <v>7106</v>
      </c>
      <c r="C5440" s="16"/>
      <c r="D5440" s="16" t="s">
        <v>29</v>
      </c>
      <c r="E5440" s="16" t="s">
        <v>151</v>
      </c>
      <c r="F5440" s="5" t="s">
        <v>4752</v>
      </c>
      <c r="G5440" s="16" t="s">
        <v>35</v>
      </c>
      <c r="H5440" s="16"/>
      <c r="I5440" s="16"/>
      <c r="J5440" s="16"/>
      <c r="K5440" s="16"/>
      <c r="L5440" s="16"/>
      <c r="M5440" s="16"/>
      <c r="N5440" s="16"/>
      <c r="O5440" s="17"/>
      <c r="P5440" s="5" t="str">
        <f t="shared" si="120"/>
        <v>Truncate table Z0E438;</v>
      </c>
      <c r="Q5440" s="5"/>
      <c r="R5440" s="5"/>
    </row>
    <row r="5441" spans="2:18" x14ac:dyDescent="0.25">
      <c r="B5441" s="19" t="s">
        <v>7107</v>
      </c>
      <c r="C5441" s="16"/>
      <c r="D5441" s="16" t="s">
        <v>29</v>
      </c>
      <c r="E5441" s="16" t="s">
        <v>151</v>
      </c>
      <c r="F5441" s="5" t="s">
        <v>4752</v>
      </c>
      <c r="G5441" s="16" t="s">
        <v>35</v>
      </c>
      <c r="H5441" s="16"/>
      <c r="I5441" s="16"/>
      <c r="J5441" s="16"/>
      <c r="K5441" s="16"/>
      <c r="L5441" s="16"/>
      <c r="M5441" s="16"/>
      <c r="N5441" s="16"/>
      <c r="O5441" s="17"/>
      <c r="P5441" s="5" t="str">
        <f t="shared" si="120"/>
        <v>Truncate table Z0E440;</v>
      </c>
      <c r="Q5441" s="5"/>
      <c r="R5441" s="5"/>
    </row>
    <row r="5442" spans="2:18" x14ac:dyDescent="0.25">
      <c r="B5442" s="19" t="s">
        <v>7108</v>
      </c>
      <c r="C5442" s="16"/>
      <c r="D5442" s="16" t="s">
        <v>29</v>
      </c>
      <c r="E5442" s="16" t="s">
        <v>151</v>
      </c>
      <c r="F5442" s="5" t="s">
        <v>4752</v>
      </c>
      <c r="G5442" s="16" t="s">
        <v>35</v>
      </c>
      <c r="H5442" s="16"/>
      <c r="I5442" s="16"/>
      <c r="J5442" s="16"/>
      <c r="K5442" s="16"/>
      <c r="L5442" s="16"/>
      <c r="M5442" s="16"/>
      <c r="N5442" s="16"/>
      <c r="O5442" s="17"/>
      <c r="P5442" s="5" t="str">
        <f t="shared" si="120"/>
        <v>Truncate table Z0E441;</v>
      </c>
      <c r="Q5442" s="5"/>
      <c r="R5442" s="5"/>
    </row>
    <row r="5443" spans="2:18" x14ac:dyDescent="0.25">
      <c r="B5443" s="19" t="s">
        <v>7109</v>
      </c>
      <c r="C5443" s="16"/>
      <c r="D5443" s="16" t="s">
        <v>29</v>
      </c>
      <c r="E5443" s="16" t="s">
        <v>151</v>
      </c>
      <c r="F5443" s="5" t="s">
        <v>4752</v>
      </c>
      <c r="G5443" s="16" t="s">
        <v>35</v>
      </c>
      <c r="H5443" s="16"/>
      <c r="I5443" s="16"/>
      <c r="J5443" s="16"/>
      <c r="K5443" s="16"/>
      <c r="L5443" s="16"/>
      <c r="M5443" s="16"/>
      <c r="N5443" s="16"/>
      <c r="O5443" s="17"/>
      <c r="P5443" s="5" t="str">
        <f t="shared" si="120"/>
        <v>Truncate table Z0E442;</v>
      </c>
      <c r="Q5443" s="5"/>
      <c r="R5443" s="5"/>
    </row>
    <row r="5444" spans="2:18" x14ac:dyDescent="0.25">
      <c r="B5444" s="19" t="s">
        <v>7110</v>
      </c>
      <c r="C5444" s="16"/>
      <c r="D5444" s="16" t="s">
        <v>29</v>
      </c>
      <c r="E5444" s="16" t="s">
        <v>151</v>
      </c>
      <c r="F5444" s="5" t="s">
        <v>4752</v>
      </c>
      <c r="G5444" s="16" t="s">
        <v>35</v>
      </c>
      <c r="H5444" s="16"/>
      <c r="I5444" s="16"/>
      <c r="J5444" s="16"/>
      <c r="K5444" s="16"/>
      <c r="L5444" s="16"/>
      <c r="M5444" s="16"/>
      <c r="N5444" s="16"/>
      <c r="O5444" s="17"/>
      <c r="P5444" s="5" t="str">
        <f t="shared" si="120"/>
        <v>Truncate table Z0E443;</v>
      </c>
      <c r="Q5444" s="5"/>
      <c r="R5444" s="5"/>
    </row>
    <row r="5445" spans="2:18" x14ac:dyDescent="0.25">
      <c r="B5445" s="19" t="s">
        <v>7111</v>
      </c>
      <c r="C5445" s="16"/>
      <c r="D5445" s="16" t="s">
        <v>29</v>
      </c>
      <c r="E5445" s="16" t="s">
        <v>151</v>
      </c>
      <c r="F5445" s="5" t="s">
        <v>4752</v>
      </c>
      <c r="G5445" s="16" t="s">
        <v>35</v>
      </c>
      <c r="H5445" s="16"/>
      <c r="I5445" s="16"/>
      <c r="J5445" s="16"/>
      <c r="K5445" s="16"/>
      <c r="L5445" s="16"/>
      <c r="M5445" s="16"/>
      <c r="N5445" s="16"/>
      <c r="O5445" s="17"/>
      <c r="P5445" s="5" t="str">
        <f t="shared" si="120"/>
        <v>Truncate table Z0E444;</v>
      </c>
      <c r="Q5445" s="5"/>
      <c r="R5445" s="5"/>
    </row>
    <row r="5446" spans="2:18" x14ac:dyDescent="0.25">
      <c r="B5446" s="19" t="s">
        <v>7112</v>
      </c>
      <c r="C5446" s="16"/>
      <c r="D5446" s="16" t="s">
        <v>29</v>
      </c>
      <c r="E5446" s="16" t="s">
        <v>151</v>
      </c>
      <c r="F5446" s="5" t="s">
        <v>4752</v>
      </c>
      <c r="G5446" s="16" t="s">
        <v>35</v>
      </c>
      <c r="H5446" s="16"/>
      <c r="I5446" s="16"/>
      <c r="J5446" s="16"/>
      <c r="K5446" s="16"/>
      <c r="L5446" s="16"/>
      <c r="M5446" s="16"/>
      <c r="N5446" s="16"/>
      <c r="O5446" s="17"/>
      <c r="P5446" s="5" t="str">
        <f t="shared" si="120"/>
        <v>Truncate table Z0E445;</v>
      </c>
      <c r="Q5446" s="5"/>
      <c r="R5446" s="5"/>
    </row>
    <row r="5447" spans="2:18" x14ac:dyDescent="0.25">
      <c r="B5447" s="19" t="s">
        <v>7113</v>
      </c>
      <c r="C5447" s="16"/>
      <c r="D5447" s="16" t="s">
        <v>29</v>
      </c>
      <c r="E5447" s="16" t="s">
        <v>151</v>
      </c>
      <c r="F5447" s="5" t="s">
        <v>4752</v>
      </c>
      <c r="G5447" s="16" t="s">
        <v>35</v>
      </c>
      <c r="H5447" s="16"/>
      <c r="I5447" s="16"/>
      <c r="J5447" s="16"/>
      <c r="K5447" s="16"/>
      <c r="L5447" s="16"/>
      <c r="M5447" s="16"/>
      <c r="N5447" s="16"/>
      <c r="O5447" s="17"/>
      <c r="P5447" s="5" t="str">
        <f t="shared" si="120"/>
        <v>Truncate table Z0E450;</v>
      </c>
      <c r="Q5447" s="5"/>
      <c r="R5447" s="5"/>
    </row>
    <row r="5448" spans="2:18" x14ac:dyDescent="0.25">
      <c r="B5448" s="19" t="s">
        <v>7114</v>
      </c>
      <c r="C5448" s="16"/>
      <c r="D5448" s="16" t="s">
        <v>29</v>
      </c>
      <c r="E5448" s="16" t="s">
        <v>151</v>
      </c>
      <c r="F5448" s="5" t="s">
        <v>4752</v>
      </c>
      <c r="G5448" s="16" t="s">
        <v>35</v>
      </c>
      <c r="H5448" s="16"/>
      <c r="I5448" s="16"/>
      <c r="J5448" s="16"/>
      <c r="K5448" s="16"/>
      <c r="L5448" s="16"/>
      <c r="M5448" s="16"/>
      <c r="N5448" s="16"/>
      <c r="O5448" s="17"/>
      <c r="P5448" s="5" t="str">
        <f t="shared" si="120"/>
        <v>Truncate table Z0E460;</v>
      </c>
      <c r="Q5448" s="5"/>
      <c r="R5448" s="5"/>
    </row>
    <row r="5449" spans="2:18" x14ac:dyDescent="0.25">
      <c r="B5449" s="19" t="s">
        <v>7115</v>
      </c>
      <c r="C5449" s="16" t="s">
        <v>7116</v>
      </c>
      <c r="D5449" s="16" t="s">
        <v>29</v>
      </c>
      <c r="E5449" s="16" t="s">
        <v>151</v>
      </c>
      <c r="F5449" s="5" t="s">
        <v>4752</v>
      </c>
      <c r="G5449" s="16" t="s">
        <v>35</v>
      </c>
      <c r="H5449" s="16" t="s">
        <v>36</v>
      </c>
      <c r="I5449" s="16"/>
      <c r="J5449" s="16"/>
      <c r="K5449" s="16"/>
      <c r="L5449" s="16"/>
      <c r="M5449" s="16"/>
      <c r="N5449" s="16"/>
      <c r="O5449" s="17" t="s">
        <v>38</v>
      </c>
      <c r="P5449" s="5" t="str">
        <f t="shared" si="120"/>
        <v>Truncate table Z0E461;</v>
      </c>
      <c r="Q5449" s="5"/>
      <c r="R5449" s="5"/>
    </row>
    <row r="5450" spans="2:18" x14ac:dyDescent="0.25">
      <c r="B5450" s="19" t="s">
        <v>7117</v>
      </c>
      <c r="C5450" s="16" t="s">
        <v>7116</v>
      </c>
      <c r="D5450" s="16" t="s">
        <v>29</v>
      </c>
      <c r="E5450" s="16" t="s">
        <v>151</v>
      </c>
      <c r="F5450" s="5" t="s">
        <v>4752</v>
      </c>
      <c r="G5450" s="16" t="s">
        <v>35</v>
      </c>
      <c r="H5450" s="16" t="s">
        <v>36</v>
      </c>
      <c r="I5450" s="16"/>
      <c r="J5450" s="16"/>
      <c r="K5450" s="16"/>
      <c r="L5450" s="16"/>
      <c r="M5450" s="16"/>
      <c r="N5450" s="16"/>
      <c r="O5450" s="17" t="s">
        <v>38</v>
      </c>
      <c r="P5450" s="5" t="str">
        <f t="shared" si="120"/>
        <v>Truncate table Z0E462;</v>
      </c>
      <c r="Q5450" s="5"/>
      <c r="R5450" s="5"/>
    </row>
    <row r="5451" spans="2:18" x14ac:dyDescent="0.25">
      <c r="B5451" s="19" t="s">
        <v>7118</v>
      </c>
      <c r="C5451" s="16" t="s">
        <v>7116</v>
      </c>
      <c r="D5451" s="16" t="s">
        <v>29</v>
      </c>
      <c r="E5451" s="16" t="s">
        <v>151</v>
      </c>
      <c r="F5451" s="5" t="s">
        <v>4752</v>
      </c>
      <c r="G5451" s="16" t="s">
        <v>35</v>
      </c>
      <c r="H5451" s="16" t="s">
        <v>36</v>
      </c>
      <c r="I5451" s="16"/>
      <c r="J5451" s="16"/>
      <c r="K5451" s="16"/>
      <c r="L5451" s="16"/>
      <c r="M5451" s="16"/>
      <c r="N5451" s="16"/>
      <c r="O5451" s="17" t="s">
        <v>38</v>
      </c>
      <c r="P5451" s="5" t="str">
        <f t="shared" si="120"/>
        <v>Truncate table Z0E463;</v>
      </c>
      <c r="Q5451" s="5"/>
      <c r="R5451" s="5"/>
    </row>
    <row r="5452" spans="2:18" x14ac:dyDescent="0.25">
      <c r="B5452" s="19" t="s">
        <v>7119</v>
      </c>
      <c r="C5452" s="16" t="s">
        <v>7116</v>
      </c>
      <c r="D5452" s="16" t="s">
        <v>29</v>
      </c>
      <c r="E5452" s="16" t="s">
        <v>151</v>
      </c>
      <c r="F5452" s="5" t="s">
        <v>4752</v>
      </c>
      <c r="G5452" s="16" t="s">
        <v>35</v>
      </c>
      <c r="H5452" s="16" t="s">
        <v>36</v>
      </c>
      <c r="I5452" s="16"/>
      <c r="J5452" s="16"/>
      <c r="K5452" s="16"/>
      <c r="L5452" s="16"/>
      <c r="M5452" s="16"/>
      <c r="N5452" s="16"/>
      <c r="O5452" s="17" t="s">
        <v>38</v>
      </c>
      <c r="P5452" s="5" t="str">
        <f t="shared" si="120"/>
        <v>Truncate table Z0E464;</v>
      </c>
      <c r="Q5452" s="5"/>
      <c r="R5452" s="5"/>
    </row>
    <row r="5453" spans="2:18" x14ac:dyDescent="0.25">
      <c r="B5453" s="19" t="s">
        <v>7120</v>
      </c>
      <c r="C5453" s="16"/>
      <c r="D5453" s="16" t="s">
        <v>29</v>
      </c>
      <c r="E5453" s="16" t="s">
        <v>151</v>
      </c>
      <c r="F5453" s="5" t="s">
        <v>4752</v>
      </c>
      <c r="G5453" s="16" t="s">
        <v>35</v>
      </c>
      <c r="H5453" s="16"/>
      <c r="I5453" s="16"/>
      <c r="J5453" s="16"/>
      <c r="K5453" s="16"/>
      <c r="L5453" s="16"/>
      <c r="M5453" s="16"/>
      <c r="N5453" s="16"/>
      <c r="O5453" s="17"/>
      <c r="P5453" s="5" t="str">
        <f t="shared" si="120"/>
        <v>Truncate table Z0E465;</v>
      </c>
      <c r="Q5453" s="5"/>
      <c r="R5453" s="5"/>
    </row>
    <row r="5454" spans="2:18" x14ac:dyDescent="0.25">
      <c r="B5454" s="19" t="s">
        <v>7121</v>
      </c>
      <c r="C5454" s="16" t="s">
        <v>7116</v>
      </c>
      <c r="D5454" s="16" t="s">
        <v>29</v>
      </c>
      <c r="E5454" s="16" t="s">
        <v>151</v>
      </c>
      <c r="F5454" s="5" t="s">
        <v>4752</v>
      </c>
      <c r="G5454" s="16" t="s">
        <v>35</v>
      </c>
      <c r="H5454" s="16" t="s">
        <v>36</v>
      </c>
      <c r="I5454" s="16"/>
      <c r="J5454" s="16"/>
      <c r="K5454" s="16"/>
      <c r="L5454" s="16"/>
      <c r="M5454" s="16"/>
      <c r="N5454" s="16"/>
      <c r="O5454" s="17" t="s">
        <v>38</v>
      </c>
      <c r="P5454" s="5" t="str">
        <f t="shared" si="120"/>
        <v>Truncate table Z0E466;</v>
      </c>
      <c r="Q5454" s="5"/>
      <c r="R5454" s="5"/>
    </row>
    <row r="5455" spans="2:18" x14ac:dyDescent="0.25">
      <c r="B5455" s="19" t="s">
        <v>7122</v>
      </c>
      <c r="C5455" s="16" t="s">
        <v>7116</v>
      </c>
      <c r="D5455" s="16" t="s">
        <v>29</v>
      </c>
      <c r="E5455" s="16" t="s">
        <v>151</v>
      </c>
      <c r="F5455" s="5" t="s">
        <v>4752</v>
      </c>
      <c r="G5455" s="16" t="s">
        <v>35</v>
      </c>
      <c r="H5455" s="16" t="s">
        <v>36</v>
      </c>
      <c r="I5455" s="16"/>
      <c r="J5455" s="16"/>
      <c r="K5455" s="16"/>
      <c r="L5455" s="16"/>
      <c r="M5455" s="16"/>
      <c r="N5455" s="16"/>
      <c r="O5455" s="17" t="s">
        <v>38</v>
      </c>
      <c r="P5455" s="5" t="str">
        <f t="shared" si="120"/>
        <v>Truncate table Z0E467;</v>
      </c>
      <c r="Q5455" s="5"/>
      <c r="R5455" s="5"/>
    </row>
    <row r="5456" spans="2:18" x14ac:dyDescent="0.25">
      <c r="B5456" s="19" t="s">
        <v>7123</v>
      </c>
      <c r="C5456" s="16" t="s">
        <v>7116</v>
      </c>
      <c r="D5456" s="16" t="s">
        <v>29</v>
      </c>
      <c r="E5456" s="16" t="s">
        <v>151</v>
      </c>
      <c r="F5456" s="5" t="s">
        <v>4752</v>
      </c>
      <c r="G5456" s="16" t="s">
        <v>35</v>
      </c>
      <c r="H5456" s="16" t="s">
        <v>36</v>
      </c>
      <c r="I5456" s="16"/>
      <c r="J5456" s="16"/>
      <c r="K5456" s="16"/>
      <c r="L5456" s="16"/>
      <c r="M5456" s="16"/>
      <c r="N5456" s="16"/>
      <c r="O5456" s="17" t="s">
        <v>38</v>
      </c>
      <c r="P5456" s="5" t="str">
        <f t="shared" si="120"/>
        <v>Truncate table Z0E468;</v>
      </c>
      <c r="Q5456" s="5"/>
      <c r="R5456" s="5"/>
    </row>
    <row r="5457" spans="2:18" x14ac:dyDescent="0.25">
      <c r="B5457" s="19" t="s">
        <v>7124</v>
      </c>
      <c r="C5457" s="16" t="s">
        <v>7116</v>
      </c>
      <c r="D5457" s="16" t="s">
        <v>29</v>
      </c>
      <c r="E5457" s="16" t="s">
        <v>151</v>
      </c>
      <c r="F5457" s="5" t="s">
        <v>4752</v>
      </c>
      <c r="G5457" s="16" t="s">
        <v>35</v>
      </c>
      <c r="H5457" s="16" t="s">
        <v>36</v>
      </c>
      <c r="I5457" s="16"/>
      <c r="J5457" s="16"/>
      <c r="K5457" s="16"/>
      <c r="L5457" s="16"/>
      <c r="M5457" s="16"/>
      <c r="N5457" s="16"/>
      <c r="O5457" s="17" t="s">
        <v>38</v>
      </c>
      <c r="P5457" s="5" t="str">
        <f t="shared" si="120"/>
        <v>Truncate table Z0E469;</v>
      </c>
      <c r="Q5457" s="5"/>
      <c r="R5457" s="5"/>
    </row>
    <row r="5458" spans="2:18" x14ac:dyDescent="0.25">
      <c r="B5458" s="19" t="s">
        <v>7125</v>
      </c>
      <c r="C5458" s="16" t="s">
        <v>7116</v>
      </c>
      <c r="D5458" s="16" t="s">
        <v>29</v>
      </c>
      <c r="E5458" s="16" t="s">
        <v>151</v>
      </c>
      <c r="F5458" s="5" t="s">
        <v>4752</v>
      </c>
      <c r="G5458" s="16" t="s">
        <v>35</v>
      </c>
      <c r="H5458" s="16" t="s">
        <v>36</v>
      </c>
      <c r="I5458" s="16"/>
      <c r="J5458" s="16"/>
      <c r="K5458" s="16"/>
      <c r="L5458" s="16"/>
      <c r="M5458" s="16"/>
      <c r="N5458" s="16"/>
      <c r="O5458" s="17" t="s">
        <v>38</v>
      </c>
      <c r="P5458" s="5" t="str">
        <f t="shared" si="120"/>
        <v>Truncate table Z0E470;</v>
      </c>
      <c r="Q5458" s="5"/>
      <c r="R5458" s="5"/>
    </row>
    <row r="5459" spans="2:18" x14ac:dyDescent="0.25">
      <c r="B5459" s="19" t="s">
        <v>7126</v>
      </c>
      <c r="C5459" s="16" t="s">
        <v>7116</v>
      </c>
      <c r="D5459" s="16" t="s">
        <v>29</v>
      </c>
      <c r="E5459" s="16" t="s">
        <v>151</v>
      </c>
      <c r="F5459" s="5" t="s">
        <v>4752</v>
      </c>
      <c r="G5459" s="16" t="s">
        <v>35</v>
      </c>
      <c r="H5459" s="16" t="s">
        <v>36</v>
      </c>
      <c r="I5459" s="16"/>
      <c r="J5459" s="16"/>
      <c r="K5459" s="16"/>
      <c r="L5459" s="16"/>
      <c r="M5459" s="16"/>
      <c r="N5459" s="16"/>
      <c r="O5459" s="17" t="s">
        <v>38</v>
      </c>
      <c r="P5459" s="5" t="str">
        <f t="shared" si="120"/>
        <v>Truncate table Z0E471;</v>
      </c>
      <c r="Q5459" s="5"/>
      <c r="R5459" s="5"/>
    </row>
    <row r="5460" spans="2:18" x14ac:dyDescent="0.25">
      <c r="B5460" s="19" t="s">
        <v>7127</v>
      </c>
      <c r="C5460" s="16"/>
      <c r="D5460" s="16" t="s">
        <v>29</v>
      </c>
      <c r="E5460" s="16" t="s">
        <v>151</v>
      </c>
      <c r="F5460" s="5" t="s">
        <v>4752</v>
      </c>
      <c r="G5460" s="16" t="s">
        <v>35</v>
      </c>
      <c r="H5460" s="16"/>
      <c r="I5460" s="16"/>
      <c r="J5460" s="16"/>
      <c r="K5460" s="16"/>
      <c r="L5460" s="16"/>
      <c r="M5460" s="16"/>
      <c r="N5460" s="16"/>
      <c r="O5460" s="17"/>
      <c r="P5460" s="5" t="str">
        <f t="shared" si="120"/>
        <v>Truncate table Z0E472;</v>
      </c>
      <c r="Q5460" s="5"/>
      <c r="R5460" s="5"/>
    </row>
    <row r="5461" spans="2:18" x14ac:dyDescent="0.25">
      <c r="B5461" s="19" t="s">
        <v>7128</v>
      </c>
      <c r="C5461" s="16" t="s">
        <v>7116</v>
      </c>
      <c r="D5461" s="16" t="s">
        <v>29</v>
      </c>
      <c r="E5461" s="16" t="s">
        <v>151</v>
      </c>
      <c r="F5461" s="5" t="s">
        <v>4752</v>
      </c>
      <c r="G5461" s="16" t="s">
        <v>35</v>
      </c>
      <c r="H5461" s="16" t="s">
        <v>36</v>
      </c>
      <c r="I5461" s="16"/>
      <c r="J5461" s="16"/>
      <c r="K5461" s="16"/>
      <c r="L5461" s="16"/>
      <c r="M5461" s="16"/>
      <c r="N5461" s="16"/>
      <c r="O5461" s="17" t="s">
        <v>38</v>
      </c>
      <c r="P5461" s="5" t="str">
        <f t="shared" si="120"/>
        <v>Truncate table Z0E473;</v>
      </c>
      <c r="Q5461" s="5"/>
      <c r="R5461" s="5"/>
    </row>
    <row r="5462" spans="2:18" x14ac:dyDescent="0.25">
      <c r="B5462" s="19" t="s">
        <v>7129</v>
      </c>
      <c r="C5462" s="16" t="s">
        <v>7116</v>
      </c>
      <c r="D5462" s="16" t="s">
        <v>29</v>
      </c>
      <c r="E5462" s="16" t="s">
        <v>151</v>
      </c>
      <c r="F5462" s="5" t="s">
        <v>4752</v>
      </c>
      <c r="G5462" s="16" t="s">
        <v>35</v>
      </c>
      <c r="H5462" s="16" t="s">
        <v>36</v>
      </c>
      <c r="I5462" s="16"/>
      <c r="J5462" s="16"/>
      <c r="K5462" s="16"/>
      <c r="L5462" s="16"/>
      <c r="M5462" s="16"/>
      <c r="N5462" s="16"/>
      <c r="O5462" s="17" t="s">
        <v>38</v>
      </c>
      <c r="P5462" s="5" t="str">
        <f t="shared" ref="P5462:P5525" si="121">IF(D5462="Datos","Truncate table "&amp; B5462&amp; ";","")</f>
        <v>Truncate table Z0E474;</v>
      </c>
      <c r="Q5462" s="5"/>
      <c r="R5462" s="5"/>
    </row>
    <row r="5463" spans="2:18" x14ac:dyDescent="0.25">
      <c r="B5463" s="19" t="s">
        <v>7130</v>
      </c>
      <c r="C5463" s="16" t="s">
        <v>7116</v>
      </c>
      <c r="D5463" s="16" t="s">
        <v>29</v>
      </c>
      <c r="E5463" s="16" t="s">
        <v>151</v>
      </c>
      <c r="F5463" s="5" t="s">
        <v>4752</v>
      </c>
      <c r="G5463" s="16" t="s">
        <v>35</v>
      </c>
      <c r="H5463" s="16" t="s">
        <v>36</v>
      </c>
      <c r="I5463" s="16"/>
      <c r="J5463" s="16"/>
      <c r="K5463" s="16"/>
      <c r="L5463" s="16"/>
      <c r="M5463" s="16"/>
      <c r="N5463" s="16"/>
      <c r="O5463" s="17" t="s">
        <v>38</v>
      </c>
      <c r="P5463" s="5" t="str">
        <f t="shared" si="121"/>
        <v>Truncate table Z0E475;</v>
      </c>
      <c r="Q5463" s="5"/>
      <c r="R5463" s="5"/>
    </row>
    <row r="5464" spans="2:18" x14ac:dyDescent="0.25">
      <c r="B5464" s="19" t="s">
        <v>7131</v>
      </c>
      <c r="C5464" s="16" t="s">
        <v>7116</v>
      </c>
      <c r="D5464" s="16" t="s">
        <v>29</v>
      </c>
      <c r="E5464" s="16" t="s">
        <v>151</v>
      </c>
      <c r="F5464" s="5" t="s">
        <v>4752</v>
      </c>
      <c r="G5464" s="16" t="s">
        <v>35</v>
      </c>
      <c r="H5464" s="16" t="s">
        <v>36</v>
      </c>
      <c r="I5464" s="16"/>
      <c r="J5464" s="16"/>
      <c r="K5464" s="16"/>
      <c r="L5464" s="16"/>
      <c r="M5464" s="16"/>
      <c r="N5464" s="16"/>
      <c r="O5464" s="17" t="s">
        <v>38</v>
      </c>
      <c r="P5464" s="5" t="str">
        <f t="shared" si="121"/>
        <v>Truncate table Z0E476;</v>
      </c>
      <c r="Q5464" s="5"/>
      <c r="R5464" s="5"/>
    </row>
    <row r="5465" spans="2:18" x14ac:dyDescent="0.25">
      <c r="B5465" s="19" t="s">
        <v>7132</v>
      </c>
      <c r="C5465" s="16" t="s">
        <v>7116</v>
      </c>
      <c r="D5465" s="16" t="s">
        <v>29</v>
      </c>
      <c r="E5465" s="16" t="s">
        <v>151</v>
      </c>
      <c r="F5465" s="5" t="s">
        <v>4752</v>
      </c>
      <c r="G5465" s="16" t="s">
        <v>35</v>
      </c>
      <c r="H5465" s="16" t="s">
        <v>36</v>
      </c>
      <c r="I5465" s="16"/>
      <c r="J5465" s="16"/>
      <c r="K5465" s="16"/>
      <c r="L5465" s="16"/>
      <c r="M5465" s="16"/>
      <c r="N5465" s="16"/>
      <c r="O5465" s="17" t="s">
        <v>38</v>
      </c>
      <c r="P5465" s="5" t="str">
        <f t="shared" si="121"/>
        <v>Truncate table Z0E477;</v>
      </c>
      <c r="Q5465" s="5"/>
      <c r="R5465" s="5"/>
    </row>
    <row r="5466" spans="2:18" x14ac:dyDescent="0.25">
      <c r="B5466" s="19" t="s">
        <v>7133</v>
      </c>
      <c r="C5466" s="16" t="s">
        <v>7116</v>
      </c>
      <c r="D5466" s="16" t="s">
        <v>29</v>
      </c>
      <c r="E5466" s="16" t="s">
        <v>151</v>
      </c>
      <c r="F5466" s="5" t="s">
        <v>4752</v>
      </c>
      <c r="G5466" s="16" t="s">
        <v>35</v>
      </c>
      <c r="H5466" s="16" t="s">
        <v>36</v>
      </c>
      <c r="I5466" s="16"/>
      <c r="J5466" s="16"/>
      <c r="K5466" s="16"/>
      <c r="L5466" s="16"/>
      <c r="M5466" s="16"/>
      <c r="N5466" s="16"/>
      <c r="O5466" s="17" t="s">
        <v>38</v>
      </c>
      <c r="P5466" s="5" t="str">
        <f t="shared" si="121"/>
        <v>Truncate table Z0E478;</v>
      </c>
      <c r="Q5466" s="5"/>
      <c r="R5466" s="5"/>
    </row>
    <row r="5467" spans="2:18" x14ac:dyDescent="0.25">
      <c r="B5467" s="19" t="s">
        <v>7134</v>
      </c>
      <c r="C5467" s="16" t="s">
        <v>7116</v>
      </c>
      <c r="D5467" s="16" t="s">
        <v>29</v>
      </c>
      <c r="E5467" s="16" t="s">
        <v>151</v>
      </c>
      <c r="F5467" s="5" t="s">
        <v>4752</v>
      </c>
      <c r="G5467" s="16" t="s">
        <v>35</v>
      </c>
      <c r="H5467" s="16" t="s">
        <v>36</v>
      </c>
      <c r="I5467" s="16"/>
      <c r="J5467" s="16"/>
      <c r="K5467" s="16"/>
      <c r="L5467" s="16"/>
      <c r="M5467" s="16"/>
      <c r="N5467" s="16"/>
      <c r="O5467" s="17" t="s">
        <v>38</v>
      </c>
      <c r="P5467" s="5" t="str">
        <f t="shared" si="121"/>
        <v>Truncate table Z0E479;</v>
      </c>
      <c r="Q5467" s="5"/>
      <c r="R5467" s="5"/>
    </row>
    <row r="5468" spans="2:18" x14ac:dyDescent="0.25">
      <c r="B5468" s="19" t="s">
        <v>7135</v>
      </c>
      <c r="C5468" s="16"/>
      <c r="D5468" s="16" t="s">
        <v>29</v>
      </c>
      <c r="E5468" s="16" t="s">
        <v>151</v>
      </c>
      <c r="F5468" s="5" t="s">
        <v>4752</v>
      </c>
      <c r="G5468" s="16" t="s">
        <v>35</v>
      </c>
      <c r="H5468" s="16"/>
      <c r="I5468" s="16"/>
      <c r="J5468" s="16"/>
      <c r="K5468" s="16"/>
      <c r="L5468" s="16"/>
      <c r="M5468" s="16"/>
      <c r="N5468" s="16"/>
      <c r="O5468" s="17"/>
      <c r="P5468" s="5" t="str">
        <f t="shared" si="121"/>
        <v>Truncate table Z0E480;</v>
      </c>
      <c r="Q5468" s="5"/>
      <c r="R5468" s="5"/>
    </row>
    <row r="5469" spans="2:18" x14ac:dyDescent="0.25">
      <c r="B5469" s="19" t="s">
        <v>7136</v>
      </c>
      <c r="C5469" s="16" t="s">
        <v>7116</v>
      </c>
      <c r="D5469" s="16" t="s">
        <v>29</v>
      </c>
      <c r="E5469" s="16" t="s">
        <v>151</v>
      </c>
      <c r="F5469" s="5" t="s">
        <v>4752</v>
      </c>
      <c r="G5469" s="16" t="s">
        <v>35</v>
      </c>
      <c r="H5469" s="16" t="s">
        <v>36</v>
      </c>
      <c r="I5469" s="16"/>
      <c r="J5469" s="16"/>
      <c r="K5469" s="16"/>
      <c r="L5469" s="16"/>
      <c r="M5469" s="16"/>
      <c r="N5469" s="16"/>
      <c r="O5469" s="17" t="s">
        <v>38</v>
      </c>
      <c r="P5469" s="5" t="str">
        <f t="shared" si="121"/>
        <v>Truncate table Z0E481;</v>
      </c>
      <c r="Q5469" s="5"/>
      <c r="R5469" s="5"/>
    </row>
    <row r="5470" spans="2:18" x14ac:dyDescent="0.25">
      <c r="B5470" s="19" t="s">
        <v>7137</v>
      </c>
      <c r="C5470" s="16" t="s">
        <v>7116</v>
      </c>
      <c r="D5470" s="16" t="s">
        <v>29</v>
      </c>
      <c r="E5470" s="16" t="s">
        <v>151</v>
      </c>
      <c r="F5470" s="5" t="s">
        <v>4752</v>
      </c>
      <c r="G5470" s="16" t="s">
        <v>35</v>
      </c>
      <c r="H5470" s="16" t="s">
        <v>36</v>
      </c>
      <c r="I5470" s="16"/>
      <c r="J5470" s="16"/>
      <c r="K5470" s="16"/>
      <c r="L5470" s="16"/>
      <c r="M5470" s="16"/>
      <c r="N5470" s="16"/>
      <c r="O5470" s="17" t="s">
        <v>38</v>
      </c>
      <c r="P5470" s="5" t="str">
        <f t="shared" si="121"/>
        <v>Truncate table Z0E482;</v>
      </c>
      <c r="Q5470" s="5"/>
      <c r="R5470" s="5"/>
    </row>
    <row r="5471" spans="2:18" x14ac:dyDescent="0.25">
      <c r="B5471" s="19" t="s">
        <v>7138</v>
      </c>
      <c r="C5471" s="16" t="s">
        <v>7116</v>
      </c>
      <c r="D5471" s="16" t="s">
        <v>29</v>
      </c>
      <c r="E5471" s="16" t="s">
        <v>151</v>
      </c>
      <c r="F5471" s="5" t="s">
        <v>4752</v>
      </c>
      <c r="G5471" s="16" t="s">
        <v>35</v>
      </c>
      <c r="H5471" s="16" t="s">
        <v>36</v>
      </c>
      <c r="I5471" s="16"/>
      <c r="J5471" s="16"/>
      <c r="K5471" s="16"/>
      <c r="L5471" s="16"/>
      <c r="M5471" s="16"/>
      <c r="N5471" s="16"/>
      <c r="O5471" s="17" t="s">
        <v>38</v>
      </c>
      <c r="P5471" s="5" t="str">
        <f t="shared" si="121"/>
        <v>Truncate table Z0E483;</v>
      </c>
      <c r="Q5471" s="5"/>
      <c r="R5471" s="5"/>
    </row>
    <row r="5472" spans="2:18" x14ac:dyDescent="0.25">
      <c r="B5472" s="19" t="s">
        <v>7139</v>
      </c>
      <c r="C5472" s="16" t="s">
        <v>7116</v>
      </c>
      <c r="D5472" s="16" t="s">
        <v>29</v>
      </c>
      <c r="E5472" s="16" t="s">
        <v>151</v>
      </c>
      <c r="F5472" s="5" t="s">
        <v>4752</v>
      </c>
      <c r="G5472" s="16" t="s">
        <v>35</v>
      </c>
      <c r="H5472" s="16" t="s">
        <v>36</v>
      </c>
      <c r="I5472" s="16"/>
      <c r="J5472" s="16"/>
      <c r="K5472" s="16"/>
      <c r="L5472" s="16"/>
      <c r="M5472" s="16"/>
      <c r="N5472" s="16"/>
      <c r="O5472" s="17" t="s">
        <v>38</v>
      </c>
      <c r="P5472" s="5" t="str">
        <f t="shared" si="121"/>
        <v>Truncate table Z0E484;</v>
      </c>
      <c r="Q5472" s="5"/>
      <c r="R5472" s="5"/>
    </row>
    <row r="5473" spans="2:18" x14ac:dyDescent="0.25">
      <c r="B5473" s="19" t="s">
        <v>7140</v>
      </c>
      <c r="C5473" s="16"/>
      <c r="D5473" s="16" t="s">
        <v>29</v>
      </c>
      <c r="E5473" s="16" t="s">
        <v>151</v>
      </c>
      <c r="F5473" s="5" t="s">
        <v>4752</v>
      </c>
      <c r="G5473" s="16" t="s">
        <v>35</v>
      </c>
      <c r="H5473" s="16"/>
      <c r="I5473" s="16"/>
      <c r="J5473" s="16"/>
      <c r="K5473" s="16"/>
      <c r="L5473" s="16"/>
      <c r="M5473" s="16"/>
      <c r="N5473" s="16"/>
      <c r="O5473" s="17"/>
      <c r="P5473" s="5" t="str">
        <f t="shared" si="121"/>
        <v>Truncate table Z0E494;</v>
      </c>
      <c r="Q5473" s="5"/>
      <c r="R5473" s="5"/>
    </row>
    <row r="5474" spans="2:18" x14ac:dyDescent="0.25">
      <c r="B5474" s="19" t="s">
        <v>7141</v>
      </c>
      <c r="C5474" s="16" t="s">
        <v>7116</v>
      </c>
      <c r="D5474" s="16" t="s">
        <v>29</v>
      </c>
      <c r="E5474" s="16" t="s">
        <v>151</v>
      </c>
      <c r="F5474" s="5" t="s">
        <v>4752</v>
      </c>
      <c r="G5474" s="16" t="s">
        <v>35</v>
      </c>
      <c r="H5474" s="16" t="s">
        <v>36</v>
      </c>
      <c r="I5474" s="16"/>
      <c r="J5474" s="16"/>
      <c r="K5474" s="16"/>
      <c r="L5474" s="16"/>
      <c r="M5474" s="16"/>
      <c r="N5474" s="16"/>
      <c r="O5474" s="17" t="s">
        <v>38</v>
      </c>
      <c r="P5474" s="5" t="str">
        <f t="shared" si="121"/>
        <v>Truncate table Z0E495;</v>
      </c>
      <c r="Q5474" s="5"/>
      <c r="R5474" s="5"/>
    </row>
    <row r="5475" spans="2:18" x14ac:dyDescent="0.25">
      <c r="B5475" s="19" t="s">
        <v>7142</v>
      </c>
      <c r="C5475" s="16" t="s">
        <v>7116</v>
      </c>
      <c r="D5475" s="16" t="s">
        <v>29</v>
      </c>
      <c r="E5475" s="16" t="s">
        <v>151</v>
      </c>
      <c r="F5475" s="5" t="s">
        <v>4752</v>
      </c>
      <c r="G5475" s="16" t="s">
        <v>35</v>
      </c>
      <c r="H5475" s="16" t="s">
        <v>36</v>
      </c>
      <c r="I5475" s="16"/>
      <c r="J5475" s="16"/>
      <c r="K5475" s="16"/>
      <c r="L5475" s="16"/>
      <c r="M5475" s="16"/>
      <c r="N5475" s="16"/>
      <c r="O5475" s="17" t="s">
        <v>38</v>
      </c>
      <c r="P5475" s="5" t="str">
        <f t="shared" si="121"/>
        <v>Truncate table Z0E498;</v>
      </c>
      <c r="Q5475" s="5"/>
      <c r="R5475" s="5"/>
    </row>
    <row r="5476" spans="2:18" x14ac:dyDescent="0.25">
      <c r="B5476" s="19" t="s">
        <v>7143</v>
      </c>
      <c r="C5476" s="16" t="s">
        <v>7116</v>
      </c>
      <c r="D5476" s="16" t="s">
        <v>29</v>
      </c>
      <c r="E5476" s="16" t="s">
        <v>151</v>
      </c>
      <c r="F5476" s="5" t="s">
        <v>4752</v>
      </c>
      <c r="G5476" s="16" t="s">
        <v>35</v>
      </c>
      <c r="H5476" s="16" t="s">
        <v>36</v>
      </c>
      <c r="I5476" s="16"/>
      <c r="J5476" s="16"/>
      <c r="K5476" s="16"/>
      <c r="L5476" s="16"/>
      <c r="M5476" s="16"/>
      <c r="N5476" s="16"/>
      <c r="O5476" s="17" t="s">
        <v>38</v>
      </c>
      <c r="P5476" s="5" t="str">
        <f t="shared" si="121"/>
        <v>Truncate table Z0E499;</v>
      </c>
      <c r="Q5476" s="5"/>
      <c r="R5476" s="5"/>
    </row>
    <row r="5477" spans="2:18" x14ac:dyDescent="0.25">
      <c r="B5477" s="19" t="s">
        <v>7144</v>
      </c>
      <c r="C5477" s="16"/>
      <c r="D5477" s="16" t="s">
        <v>29</v>
      </c>
      <c r="E5477" s="16" t="s">
        <v>151</v>
      </c>
      <c r="F5477" s="5" t="s">
        <v>4752</v>
      </c>
      <c r="G5477" s="16" t="s">
        <v>35</v>
      </c>
      <c r="H5477" s="16"/>
      <c r="I5477" s="16"/>
      <c r="J5477" s="16"/>
      <c r="K5477" s="16"/>
      <c r="L5477" s="16"/>
      <c r="M5477" s="16"/>
      <c r="N5477" s="16"/>
      <c r="O5477" s="17"/>
      <c r="P5477" s="5" t="str">
        <f t="shared" si="121"/>
        <v>Truncate table Z0E4BD;</v>
      </c>
      <c r="Q5477" s="5"/>
      <c r="R5477" s="5"/>
    </row>
    <row r="5478" spans="2:18" x14ac:dyDescent="0.25">
      <c r="B5478" s="19" t="s">
        <v>7145</v>
      </c>
      <c r="C5478" s="16" t="s">
        <v>7116</v>
      </c>
      <c r="D5478" s="16" t="s">
        <v>29</v>
      </c>
      <c r="E5478" s="16" t="s">
        <v>151</v>
      </c>
      <c r="F5478" s="5" t="s">
        <v>4752</v>
      </c>
      <c r="G5478" s="16" t="s">
        <v>35</v>
      </c>
      <c r="H5478" s="16" t="s">
        <v>36</v>
      </c>
      <c r="I5478" s="16"/>
      <c r="J5478" s="16"/>
      <c r="K5478" s="16"/>
      <c r="L5478" s="16"/>
      <c r="M5478" s="16"/>
      <c r="N5478" s="16"/>
      <c r="O5478" s="17" t="s">
        <v>38</v>
      </c>
      <c r="P5478" s="5" t="str">
        <f t="shared" si="121"/>
        <v>Truncate table Z0E4D0;</v>
      </c>
      <c r="Q5478" s="5"/>
      <c r="R5478" s="5"/>
    </row>
    <row r="5479" spans="2:18" x14ac:dyDescent="0.25">
      <c r="B5479" s="19" t="s">
        <v>7146</v>
      </c>
      <c r="C5479" s="16" t="s">
        <v>7116</v>
      </c>
      <c r="D5479" s="16" t="s">
        <v>29</v>
      </c>
      <c r="E5479" s="16" t="s">
        <v>151</v>
      </c>
      <c r="F5479" s="5" t="s">
        <v>4752</v>
      </c>
      <c r="G5479" s="16" t="s">
        <v>35</v>
      </c>
      <c r="H5479" s="16" t="s">
        <v>36</v>
      </c>
      <c r="I5479" s="16"/>
      <c r="J5479" s="16"/>
      <c r="K5479" s="16"/>
      <c r="L5479" s="16"/>
      <c r="M5479" s="16"/>
      <c r="N5479" s="16"/>
      <c r="O5479" s="17" t="s">
        <v>38</v>
      </c>
      <c r="P5479" s="5" t="str">
        <f t="shared" si="121"/>
        <v>Truncate table Z0E4D1;</v>
      </c>
      <c r="Q5479" s="5"/>
      <c r="R5479" s="5"/>
    </row>
    <row r="5480" spans="2:18" x14ac:dyDescent="0.25">
      <c r="B5480" s="19" t="s">
        <v>7147</v>
      </c>
      <c r="C5480" s="16"/>
      <c r="D5480" s="16" t="s">
        <v>29</v>
      </c>
      <c r="E5480" s="16" t="s">
        <v>151</v>
      </c>
      <c r="F5480" s="5" t="s">
        <v>4752</v>
      </c>
      <c r="G5480" s="16" t="s">
        <v>35</v>
      </c>
      <c r="H5480" s="16"/>
      <c r="I5480" s="16"/>
      <c r="J5480" s="16"/>
      <c r="K5480" s="16"/>
      <c r="L5480" s="16"/>
      <c r="M5480" s="16"/>
      <c r="N5480" s="16"/>
      <c r="O5480" s="17"/>
      <c r="P5480" s="5" t="str">
        <f t="shared" si="121"/>
        <v>Truncate table Z0E4D2;</v>
      </c>
      <c r="Q5480" s="5"/>
      <c r="R5480" s="5"/>
    </row>
    <row r="5481" spans="2:18" x14ac:dyDescent="0.25">
      <c r="B5481" s="19" t="s">
        <v>7148</v>
      </c>
      <c r="C5481" s="16"/>
      <c r="D5481" s="16" t="s">
        <v>29</v>
      </c>
      <c r="E5481" s="16" t="s">
        <v>151</v>
      </c>
      <c r="F5481" s="5" t="s">
        <v>4752</v>
      </c>
      <c r="G5481" s="16" t="s">
        <v>35</v>
      </c>
      <c r="H5481" s="16"/>
      <c r="I5481" s="16"/>
      <c r="J5481" s="16"/>
      <c r="K5481" s="16"/>
      <c r="L5481" s="16"/>
      <c r="M5481" s="16"/>
      <c r="N5481" s="16"/>
      <c r="O5481" s="17"/>
      <c r="P5481" s="5" t="str">
        <f t="shared" si="121"/>
        <v>Truncate table Z0E4D3;</v>
      </c>
      <c r="Q5481" s="5"/>
      <c r="R5481" s="5"/>
    </row>
    <row r="5482" spans="2:18" x14ac:dyDescent="0.25">
      <c r="B5482" s="19" t="s">
        <v>7149</v>
      </c>
      <c r="C5482" s="16"/>
      <c r="D5482" s="16" t="s">
        <v>29</v>
      </c>
      <c r="E5482" s="16" t="s">
        <v>151</v>
      </c>
      <c r="F5482" s="5" t="s">
        <v>4752</v>
      </c>
      <c r="G5482" s="16" t="s">
        <v>35</v>
      </c>
      <c r="H5482" s="16"/>
      <c r="I5482" s="16"/>
      <c r="J5482" s="16"/>
      <c r="K5482" s="16"/>
      <c r="L5482" s="16"/>
      <c r="M5482" s="16"/>
      <c r="N5482" s="16"/>
      <c r="O5482" s="17"/>
      <c r="P5482" s="5" t="str">
        <f t="shared" si="121"/>
        <v>Truncate table Z0E4D4;</v>
      </c>
      <c r="Q5482" s="5"/>
      <c r="R5482" s="5"/>
    </row>
    <row r="5483" spans="2:18" x14ac:dyDescent="0.25">
      <c r="B5483" s="19" t="s">
        <v>7150</v>
      </c>
      <c r="C5483" s="16"/>
      <c r="D5483" s="16" t="s">
        <v>29</v>
      </c>
      <c r="E5483" s="16" t="s">
        <v>151</v>
      </c>
      <c r="F5483" s="5" t="s">
        <v>4752</v>
      </c>
      <c r="G5483" s="16" t="s">
        <v>35</v>
      </c>
      <c r="H5483" s="16"/>
      <c r="I5483" s="16"/>
      <c r="J5483" s="16"/>
      <c r="K5483" s="16"/>
      <c r="L5483" s="16"/>
      <c r="M5483" s="16"/>
      <c r="N5483" s="16"/>
      <c r="O5483" s="17"/>
      <c r="P5483" s="5" t="str">
        <f t="shared" si="121"/>
        <v>Truncate table Z0E4D5;</v>
      </c>
      <c r="Q5483" s="5"/>
      <c r="R5483" s="5"/>
    </row>
    <row r="5484" spans="2:18" x14ac:dyDescent="0.25">
      <c r="B5484" s="19" t="s">
        <v>7151</v>
      </c>
      <c r="C5484" s="16" t="s">
        <v>7116</v>
      </c>
      <c r="D5484" s="16" t="s">
        <v>29</v>
      </c>
      <c r="E5484" s="16" t="s">
        <v>151</v>
      </c>
      <c r="F5484" s="5" t="s">
        <v>4752</v>
      </c>
      <c r="G5484" s="16" t="s">
        <v>35</v>
      </c>
      <c r="H5484" s="16" t="s">
        <v>36</v>
      </c>
      <c r="I5484" s="16"/>
      <c r="J5484" s="16"/>
      <c r="K5484" s="16"/>
      <c r="L5484" s="16"/>
      <c r="M5484" s="16"/>
      <c r="N5484" s="16"/>
      <c r="O5484" s="17" t="s">
        <v>38</v>
      </c>
      <c r="P5484" s="5" t="str">
        <f t="shared" si="121"/>
        <v>Truncate table Z0E4D6;</v>
      </c>
      <c r="Q5484" s="5"/>
      <c r="R5484" s="5"/>
    </row>
    <row r="5485" spans="2:18" x14ac:dyDescent="0.25">
      <c r="B5485" s="19" t="s">
        <v>7152</v>
      </c>
      <c r="C5485" s="16" t="s">
        <v>7116</v>
      </c>
      <c r="D5485" s="16" t="s">
        <v>29</v>
      </c>
      <c r="E5485" s="16" t="s">
        <v>151</v>
      </c>
      <c r="F5485" s="5" t="s">
        <v>4752</v>
      </c>
      <c r="G5485" s="16" t="s">
        <v>35</v>
      </c>
      <c r="H5485" s="16" t="s">
        <v>36</v>
      </c>
      <c r="I5485" s="16"/>
      <c r="J5485" s="16"/>
      <c r="K5485" s="16"/>
      <c r="L5485" s="16"/>
      <c r="M5485" s="16"/>
      <c r="N5485" s="16"/>
      <c r="O5485" s="17" t="s">
        <v>38</v>
      </c>
      <c r="P5485" s="5" t="str">
        <f t="shared" si="121"/>
        <v>Truncate table Z0E4D7;</v>
      </c>
      <c r="Q5485" s="5"/>
      <c r="R5485" s="5"/>
    </row>
    <row r="5486" spans="2:18" x14ac:dyDescent="0.25">
      <c r="B5486" s="19" t="s">
        <v>7153</v>
      </c>
      <c r="C5486" s="16"/>
      <c r="D5486" s="16" t="s">
        <v>29</v>
      </c>
      <c r="E5486" s="16" t="s">
        <v>151</v>
      </c>
      <c r="F5486" s="5" t="s">
        <v>4752</v>
      </c>
      <c r="G5486" s="16" t="s">
        <v>35</v>
      </c>
      <c r="H5486" s="16"/>
      <c r="I5486" s="16"/>
      <c r="J5486" s="16"/>
      <c r="K5486" s="16"/>
      <c r="L5486" s="16"/>
      <c r="M5486" s="16"/>
      <c r="N5486" s="16"/>
      <c r="O5486" s="17"/>
      <c r="P5486" s="5" t="str">
        <f t="shared" si="121"/>
        <v>Truncate table Z0E4D8;</v>
      </c>
      <c r="Q5486" s="5"/>
      <c r="R5486" s="5"/>
    </row>
    <row r="5487" spans="2:18" x14ac:dyDescent="0.25">
      <c r="B5487" s="19" t="s">
        <v>7154</v>
      </c>
      <c r="C5487" s="16"/>
      <c r="D5487" s="16" t="s">
        <v>29</v>
      </c>
      <c r="E5487" s="16" t="s">
        <v>151</v>
      </c>
      <c r="F5487" s="5" t="s">
        <v>4752</v>
      </c>
      <c r="G5487" s="16" t="s">
        <v>35</v>
      </c>
      <c r="H5487" s="16"/>
      <c r="I5487" s="16"/>
      <c r="J5487" s="16"/>
      <c r="K5487" s="16"/>
      <c r="L5487" s="16"/>
      <c r="M5487" s="16"/>
      <c r="N5487" s="16"/>
      <c r="O5487" s="17"/>
      <c r="P5487" s="5" t="str">
        <f t="shared" si="121"/>
        <v>Truncate table Z0E4D9;</v>
      </c>
      <c r="Q5487" s="5"/>
      <c r="R5487" s="5"/>
    </row>
    <row r="5488" spans="2:18" x14ac:dyDescent="0.25">
      <c r="B5488" s="19" t="s">
        <v>7155</v>
      </c>
      <c r="C5488" s="16"/>
      <c r="D5488" s="16" t="s">
        <v>29</v>
      </c>
      <c r="E5488" s="16" t="s">
        <v>151</v>
      </c>
      <c r="F5488" s="5" t="s">
        <v>4752</v>
      </c>
      <c r="G5488" s="16" t="s">
        <v>35</v>
      </c>
      <c r="H5488" s="16"/>
      <c r="I5488" s="16"/>
      <c r="J5488" s="16"/>
      <c r="K5488" s="16"/>
      <c r="L5488" s="16"/>
      <c r="M5488" s="16"/>
      <c r="N5488" s="16"/>
      <c r="O5488" s="17"/>
      <c r="P5488" s="5" t="str">
        <f t="shared" si="121"/>
        <v>Truncate table Z0E4DA;</v>
      </c>
      <c r="Q5488" s="5"/>
      <c r="R5488" s="5"/>
    </row>
    <row r="5489" spans="2:18" x14ac:dyDescent="0.25">
      <c r="B5489" s="19" t="s">
        <v>7156</v>
      </c>
      <c r="C5489" s="16"/>
      <c r="D5489" s="16" t="s">
        <v>29</v>
      </c>
      <c r="E5489" s="16" t="s">
        <v>151</v>
      </c>
      <c r="F5489" s="5" t="s">
        <v>4752</v>
      </c>
      <c r="G5489" s="16" t="s">
        <v>35</v>
      </c>
      <c r="H5489" s="16"/>
      <c r="I5489" s="16"/>
      <c r="J5489" s="16"/>
      <c r="K5489" s="16"/>
      <c r="L5489" s="16"/>
      <c r="M5489" s="16"/>
      <c r="N5489" s="16"/>
      <c r="O5489" s="17"/>
      <c r="P5489" s="5" t="str">
        <f t="shared" si="121"/>
        <v>Truncate table Z0E4DB;</v>
      </c>
      <c r="Q5489" s="5"/>
      <c r="R5489" s="5"/>
    </row>
    <row r="5490" spans="2:18" x14ac:dyDescent="0.25">
      <c r="B5490" s="19" t="s">
        <v>7157</v>
      </c>
      <c r="C5490" s="16"/>
      <c r="D5490" s="16" t="s">
        <v>29</v>
      </c>
      <c r="E5490" s="16" t="s">
        <v>151</v>
      </c>
      <c r="F5490" s="5" t="s">
        <v>4752</v>
      </c>
      <c r="G5490" s="16" t="s">
        <v>35</v>
      </c>
      <c r="H5490" s="16"/>
      <c r="I5490" s="16"/>
      <c r="J5490" s="16"/>
      <c r="K5490" s="16"/>
      <c r="L5490" s="16"/>
      <c r="M5490" s="16"/>
      <c r="N5490" s="16"/>
      <c r="O5490" s="17"/>
      <c r="P5490" s="5" t="str">
        <f t="shared" si="121"/>
        <v>Truncate table Z0E4DC;</v>
      </c>
      <c r="Q5490" s="5"/>
      <c r="R5490" s="5"/>
    </row>
    <row r="5491" spans="2:18" x14ac:dyDescent="0.25">
      <c r="B5491" s="19" t="s">
        <v>7158</v>
      </c>
      <c r="C5491" s="16"/>
      <c r="D5491" s="16" t="s">
        <v>29</v>
      </c>
      <c r="E5491" s="16" t="s">
        <v>151</v>
      </c>
      <c r="F5491" s="5" t="s">
        <v>4752</v>
      </c>
      <c r="G5491" s="16" t="s">
        <v>35</v>
      </c>
      <c r="H5491" s="16"/>
      <c r="I5491" s="16"/>
      <c r="J5491" s="16"/>
      <c r="K5491" s="16"/>
      <c r="L5491" s="16"/>
      <c r="M5491" s="16"/>
      <c r="N5491" s="16"/>
      <c r="O5491" s="17"/>
      <c r="P5491" s="5" t="str">
        <f t="shared" si="121"/>
        <v>Truncate table Z0E4DD;</v>
      </c>
      <c r="Q5491" s="5"/>
      <c r="R5491" s="5"/>
    </row>
    <row r="5492" spans="2:18" x14ac:dyDescent="0.25">
      <c r="B5492" s="19" t="s">
        <v>7159</v>
      </c>
      <c r="C5492" s="16"/>
      <c r="D5492" s="16" t="s">
        <v>29</v>
      </c>
      <c r="E5492" s="16" t="s">
        <v>151</v>
      </c>
      <c r="F5492" s="5" t="s">
        <v>4752</v>
      </c>
      <c r="G5492" s="16" t="s">
        <v>35</v>
      </c>
      <c r="H5492" s="16"/>
      <c r="I5492" s="16"/>
      <c r="J5492" s="16"/>
      <c r="K5492" s="16"/>
      <c r="L5492" s="16"/>
      <c r="M5492" s="16"/>
      <c r="N5492" s="16"/>
      <c r="O5492" s="17"/>
      <c r="P5492" s="5" t="str">
        <f t="shared" si="121"/>
        <v>Truncate table Z0E4DE;</v>
      </c>
      <c r="Q5492" s="5"/>
      <c r="R5492" s="5"/>
    </row>
    <row r="5493" spans="2:18" x14ac:dyDescent="0.25">
      <c r="B5493" s="19" t="s">
        <v>7160</v>
      </c>
      <c r="C5493" s="16"/>
      <c r="D5493" s="16" t="s">
        <v>29</v>
      </c>
      <c r="E5493" s="16" t="s">
        <v>151</v>
      </c>
      <c r="F5493" s="5" t="s">
        <v>4752</v>
      </c>
      <c r="G5493" s="16" t="s">
        <v>35</v>
      </c>
      <c r="H5493" s="16"/>
      <c r="I5493" s="16"/>
      <c r="J5493" s="16"/>
      <c r="K5493" s="16"/>
      <c r="L5493" s="16"/>
      <c r="M5493" s="16"/>
      <c r="N5493" s="16"/>
      <c r="O5493" s="17"/>
      <c r="P5493" s="5" t="str">
        <f t="shared" si="121"/>
        <v>Truncate table Z0E4DF;</v>
      </c>
      <c r="Q5493" s="5"/>
      <c r="R5493" s="5"/>
    </row>
    <row r="5494" spans="2:18" x14ac:dyDescent="0.25">
      <c r="B5494" s="19" t="s">
        <v>7161</v>
      </c>
      <c r="C5494" s="16"/>
      <c r="D5494" s="16" t="s">
        <v>29</v>
      </c>
      <c r="E5494" s="16" t="s">
        <v>151</v>
      </c>
      <c r="F5494" s="5" t="s">
        <v>4752</v>
      </c>
      <c r="G5494" s="16" t="s">
        <v>35</v>
      </c>
      <c r="H5494" s="16"/>
      <c r="I5494" s="16"/>
      <c r="J5494" s="16"/>
      <c r="K5494" s="16"/>
      <c r="L5494" s="16"/>
      <c r="M5494" s="16"/>
      <c r="N5494" s="16"/>
      <c r="O5494" s="17"/>
      <c r="P5494" s="5" t="str">
        <f t="shared" si="121"/>
        <v>Truncate table Z0E4DG;</v>
      </c>
      <c r="Q5494" s="5"/>
      <c r="R5494" s="5"/>
    </row>
    <row r="5495" spans="2:18" x14ac:dyDescent="0.25">
      <c r="B5495" s="19" t="s">
        <v>7162</v>
      </c>
      <c r="C5495" s="16" t="s">
        <v>7116</v>
      </c>
      <c r="D5495" s="16" t="s">
        <v>29</v>
      </c>
      <c r="E5495" s="16" t="s">
        <v>151</v>
      </c>
      <c r="F5495" s="5" t="s">
        <v>4752</v>
      </c>
      <c r="G5495" s="16" t="s">
        <v>35</v>
      </c>
      <c r="H5495" s="16" t="s">
        <v>36</v>
      </c>
      <c r="I5495" s="16"/>
      <c r="J5495" s="16"/>
      <c r="K5495" s="16"/>
      <c r="L5495" s="16"/>
      <c r="M5495" s="16"/>
      <c r="N5495" s="16"/>
      <c r="O5495" s="17" t="s">
        <v>38</v>
      </c>
      <c r="P5495" s="5" t="str">
        <f t="shared" si="121"/>
        <v>Truncate table Z0E4DH;</v>
      </c>
      <c r="Q5495" s="5"/>
      <c r="R5495" s="5"/>
    </row>
    <row r="5496" spans="2:18" x14ac:dyDescent="0.25">
      <c r="B5496" s="19" t="s">
        <v>7163</v>
      </c>
      <c r="C5496" s="16"/>
      <c r="D5496" s="16" t="s">
        <v>29</v>
      </c>
      <c r="E5496" s="16" t="s">
        <v>151</v>
      </c>
      <c r="F5496" s="5" t="s">
        <v>4752</v>
      </c>
      <c r="G5496" s="16" t="s">
        <v>35</v>
      </c>
      <c r="H5496" s="16"/>
      <c r="I5496" s="16"/>
      <c r="J5496" s="16"/>
      <c r="K5496" s="16"/>
      <c r="L5496" s="16"/>
      <c r="M5496" s="16"/>
      <c r="N5496" s="16"/>
      <c r="O5496" s="17"/>
      <c r="P5496" s="5" t="str">
        <f t="shared" si="121"/>
        <v>Truncate table Z0E4DI;</v>
      </c>
      <c r="Q5496" s="5"/>
      <c r="R5496" s="5"/>
    </row>
    <row r="5497" spans="2:18" x14ac:dyDescent="0.25">
      <c r="B5497" s="19" t="s">
        <v>7164</v>
      </c>
      <c r="C5497" s="16"/>
      <c r="D5497" s="16" t="s">
        <v>29</v>
      </c>
      <c r="E5497" s="16" t="s">
        <v>151</v>
      </c>
      <c r="F5497" s="5" t="s">
        <v>4752</v>
      </c>
      <c r="G5497" s="16" t="s">
        <v>35</v>
      </c>
      <c r="H5497" s="16"/>
      <c r="I5497" s="16"/>
      <c r="J5497" s="16"/>
      <c r="K5497" s="16"/>
      <c r="L5497" s="16"/>
      <c r="M5497" s="16"/>
      <c r="N5497" s="16"/>
      <c r="O5497" s="17"/>
      <c r="P5497" s="5" t="str">
        <f t="shared" si="121"/>
        <v>Truncate table Z0E4DJ;</v>
      </c>
      <c r="Q5497" s="5"/>
      <c r="R5497" s="5"/>
    </row>
    <row r="5498" spans="2:18" x14ac:dyDescent="0.25">
      <c r="B5498" s="19" t="s">
        <v>7165</v>
      </c>
      <c r="C5498" s="16"/>
      <c r="D5498" s="16" t="s">
        <v>29</v>
      </c>
      <c r="E5498" s="16" t="s">
        <v>151</v>
      </c>
      <c r="F5498" s="5" t="s">
        <v>4752</v>
      </c>
      <c r="G5498" s="16" t="s">
        <v>35</v>
      </c>
      <c r="H5498" s="16"/>
      <c r="I5498" s="16"/>
      <c r="J5498" s="16"/>
      <c r="K5498" s="16"/>
      <c r="L5498" s="16"/>
      <c r="M5498" s="16"/>
      <c r="N5498" s="16"/>
      <c r="O5498" s="17"/>
      <c r="P5498" s="5" t="str">
        <f t="shared" si="121"/>
        <v>Truncate table Z0E4DK;</v>
      </c>
      <c r="Q5498" s="5"/>
      <c r="R5498" s="5"/>
    </row>
    <row r="5499" spans="2:18" x14ac:dyDescent="0.25">
      <c r="B5499" s="19" t="s">
        <v>7166</v>
      </c>
      <c r="C5499" s="16"/>
      <c r="D5499" s="16" t="s">
        <v>29</v>
      </c>
      <c r="E5499" s="16" t="s">
        <v>151</v>
      </c>
      <c r="F5499" s="5" t="s">
        <v>4752</v>
      </c>
      <c r="G5499" s="16" t="s">
        <v>35</v>
      </c>
      <c r="H5499" s="16"/>
      <c r="I5499" s="16"/>
      <c r="J5499" s="16"/>
      <c r="K5499" s="16"/>
      <c r="L5499" s="16"/>
      <c r="M5499" s="16"/>
      <c r="N5499" s="16"/>
      <c r="O5499" s="17"/>
      <c r="P5499" s="5" t="str">
        <f t="shared" si="121"/>
        <v>Truncate table Z0E4DL;</v>
      </c>
      <c r="Q5499" s="5"/>
      <c r="R5499" s="5"/>
    </row>
    <row r="5500" spans="2:18" x14ac:dyDescent="0.25">
      <c r="B5500" s="19" t="s">
        <v>7167</v>
      </c>
      <c r="C5500" s="16"/>
      <c r="D5500" s="16" t="s">
        <v>29</v>
      </c>
      <c r="E5500" s="16" t="s">
        <v>151</v>
      </c>
      <c r="F5500" s="5" t="s">
        <v>4752</v>
      </c>
      <c r="G5500" s="16" t="s">
        <v>35</v>
      </c>
      <c r="H5500" s="16"/>
      <c r="I5500" s="16"/>
      <c r="J5500" s="16"/>
      <c r="K5500" s="16"/>
      <c r="L5500" s="16"/>
      <c r="M5500" s="16"/>
      <c r="N5500" s="16"/>
      <c r="O5500" s="17"/>
      <c r="P5500" s="5" t="str">
        <f t="shared" si="121"/>
        <v>Truncate table Z0E4DM;</v>
      </c>
      <c r="Q5500" s="5"/>
      <c r="R5500" s="5"/>
    </row>
    <row r="5501" spans="2:18" x14ac:dyDescent="0.25">
      <c r="B5501" s="19" t="s">
        <v>7168</v>
      </c>
      <c r="C5501" s="16"/>
      <c r="D5501" s="16" t="s">
        <v>29</v>
      </c>
      <c r="E5501" s="16" t="s">
        <v>151</v>
      </c>
      <c r="F5501" s="5" t="s">
        <v>4752</v>
      </c>
      <c r="G5501" s="16" t="s">
        <v>35</v>
      </c>
      <c r="H5501" s="16"/>
      <c r="I5501" s="16"/>
      <c r="J5501" s="16"/>
      <c r="K5501" s="16"/>
      <c r="L5501" s="16"/>
      <c r="M5501" s="16"/>
      <c r="N5501" s="16"/>
      <c r="O5501" s="17"/>
      <c r="P5501" s="5" t="str">
        <f t="shared" si="121"/>
        <v>Truncate table Z0E4DN;</v>
      </c>
      <c r="Q5501" s="5"/>
      <c r="R5501" s="5"/>
    </row>
    <row r="5502" spans="2:18" x14ac:dyDescent="0.25">
      <c r="B5502" s="19" t="s">
        <v>7169</v>
      </c>
      <c r="C5502" s="16"/>
      <c r="D5502" s="16" t="s">
        <v>29</v>
      </c>
      <c r="E5502" s="16" t="s">
        <v>151</v>
      </c>
      <c r="F5502" s="5" t="s">
        <v>4752</v>
      </c>
      <c r="G5502" s="16" t="s">
        <v>35</v>
      </c>
      <c r="H5502" s="16"/>
      <c r="I5502" s="16"/>
      <c r="J5502" s="16"/>
      <c r="K5502" s="16"/>
      <c r="L5502" s="16"/>
      <c r="M5502" s="16"/>
      <c r="N5502" s="16"/>
      <c r="O5502" s="17"/>
      <c r="P5502" s="5" t="str">
        <f t="shared" si="121"/>
        <v>Truncate table Z0E4DO;</v>
      </c>
      <c r="Q5502" s="5"/>
      <c r="R5502" s="5"/>
    </row>
    <row r="5503" spans="2:18" x14ac:dyDescent="0.25">
      <c r="B5503" s="19" t="s">
        <v>7170</v>
      </c>
      <c r="C5503" s="16"/>
      <c r="D5503" s="16" t="s">
        <v>29</v>
      </c>
      <c r="E5503" s="16" t="s">
        <v>151</v>
      </c>
      <c r="F5503" s="5" t="s">
        <v>4752</v>
      </c>
      <c r="G5503" s="16" t="s">
        <v>35</v>
      </c>
      <c r="H5503" s="16"/>
      <c r="I5503" s="16"/>
      <c r="J5503" s="16"/>
      <c r="K5503" s="16"/>
      <c r="L5503" s="16"/>
      <c r="M5503" s="16"/>
      <c r="N5503" s="16"/>
      <c r="O5503" s="17"/>
      <c r="P5503" s="5" t="str">
        <f t="shared" si="121"/>
        <v>Truncate table Z0E4DP;</v>
      </c>
      <c r="Q5503" s="5"/>
      <c r="R5503" s="5"/>
    </row>
    <row r="5504" spans="2:18" x14ac:dyDescent="0.25">
      <c r="B5504" s="19" t="s">
        <v>7171</v>
      </c>
      <c r="C5504" s="16"/>
      <c r="D5504" s="16" t="s">
        <v>29</v>
      </c>
      <c r="E5504" s="16" t="s">
        <v>151</v>
      </c>
      <c r="F5504" s="5" t="s">
        <v>4752</v>
      </c>
      <c r="G5504" s="16" t="s">
        <v>35</v>
      </c>
      <c r="H5504" s="16"/>
      <c r="I5504" s="16"/>
      <c r="J5504" s="16"/>
      <c r="K5504" s="16"/>
      <c r="L5504" s="16"/>
      <c r="M5504" s="16"/>
      <c r="N5504" s="16"/>
      <c r="O5504" s="17"/>
      <c r="P5504" s="5" t="str">
        <f t="shared" si="121"/>
        <v>Truncate table Z0E4DQ;</v>
      </c>
      <c r="Q5504" s="5"/>
      <c r="R5504" s="5"/>
    </row>
    <row r="5505" spans="2:18" x14ac:dyDescent="0.25">
      <c r="B5505" s="19" t="s">
        <v>7172</v>
      </c>
      <c r="C5505" s="16" t="s">
        <v>7116</v>
      </c>
      <c r="D5505" s="16" t="s">
        <v>29</v>
      </c>
      <c r="E5505" s="16" t="s">
        <v>151</v>
      </c>
      <c r="F5505" s="5" t="s">
        <v>4752</v>
      </c>
      <c r="G5505" s="16" t="s">
        <v>35</v>
      </c>
      <c r="H5505" s="16" t="s">
        <v>36</v>
      </c>
      <c r="I5505" s="16"/>
      <c r="J5505" s="16"/>
      <c r="K5505" s="16"/>
      <c r="L5505" s="16"/>
      <c r="M5505" s="16"/>
      <c r="N5505" s="16"/>
      <c r="O5505" s="17" t="s">
        <v>38</v>
      </c>
      <c r="P5505" s="5" t="str">
        <f t="shared" si="121"/>
        <v>Truncate table Z0E4DR;</v>
      </c>
      <c r="Q5505" s="5"/>
      <c r="R5505" s="5"/>
    </row>
    <row r="5506" spans="2:18" x14ac:dyDescent="0.25">
      <c r="B5506" s="19" t="s">
        <v>7173</v>
      </c>
      <c r="C5506" s="16"/>
      <c r="D5506" s="16" t="s">
        <v>29</v>
      </c>
      <c r="E5506" s="16" t="s">
        <v>151</v>
      </c>
      <c r="F5506" s="5" t="s">
        <v>4752</v>
      </c>
      <c r="G5506" s="16" t="s">
        <v>35</v>
      </c>
      <c r="H5506" s="16"/>
      <c r="I5506" s="16"/>
      <c r="J5506" s="16"/>
      <c r="K5506" s="16"/>
      <c r="L5506" s="16"/>
      <c r="M5506" s="16"/>
      <c r="N5506" s="16"/>
      <c r="O5506" s="17"/>
      <c r="P5506" s="5" t="str">
        <f t="shared" si="121"/>
        <v>Truncate table Z0E4DS;</v>
      </c>
      <c r="Q5506" s="5"/>
      <c r="R5506" s="5"/>
    </row>
    <row r="5507" spans="2:18" x14ac:dyDescent="0.25">
      <c r="B5507" s="19" t="s">
        <v>7174</v>
      </c>
      <c r="C5507" s="16"/>
      <c r="D5507" s="16" t="s">
        <v>29</v>
      </c>
      <c r="E5507" s="16" t="s">
        <v>151</v>
      </c>
      <c r="F5507" s="5" t="s">
        <v>4752</v>
      </c>
      <c r="G5507" s="16" t="s">
        <v>35</v>
      </c>
      <c r="H5507" s="16"/>
      <c r="I5507" s="16"/>
      <c r="J5507" s="16"/>
      <c r="K5507" s="16"/>
      <c r="L5507" s="16"/>
      <c r="M5507" s="16"/>
      <c r="N5507" s="16"/>
      <c r="O5507" s="17"/>
      <c r="P5507" s="5" t="str">
        <f t="shared" si="121"/>
        <v>Truncate table Z0E4DT;</v>
      </c>
      <c r="Q5507" s="5"/>
      <c r="R5507" s="5"/>
    </row>
    <row r="5508" spans="2:18" x14ac:dyDescent="0.25">
      <c r="B5508" s="19" t="s">
        <v>7175</v>
      </c>
      <c r="C5508" s="16"/>
      <c r="D5508" s="16" t="s">
        <v>29</v>
      </c>
      <c r="E5508" s="16" t="s">
        <v>151</v>
      </c>
      <c r="F5508" s="5" t="s">
        <v>4752</v>
      </c>
      <c r="G5508" s="16" t="s">
        <v>35</v>
      </c>
      <c r="H5508" s="16"/>
      <c r="I5508" s="16"/>
      <c r="J5508" s="16"/>
      <c r="K5508" s="16"/>
      <c r="L5508" s="16"/>
      <c r="M5508" s="16"/>
      <c r="N5508" s="16"/>
      <c r="O5508" s="17"/>
      <c r="P5508" s="5" t="str">
        <f t="shared" si="121"/>
        <v>Truncate table Z0E4DU;</v>
      </c>
      <c r="Q5508" s="5"/>
      <c r="R5508" s="5"/>
    </row>
    <row r="5509" spans="2:18" x14ac:dyDescent="0.25">
      <c r="B5509" s="19" t="s">
        <v>7176</v>
      </c>
      <c r="C5509" s="16"/>
      <c r="D5509" s="16" t="s">
        <v>29</v>
      </c>
      <c r="E5509" s="16" t="s">
        <v>151</v>
      </c>
      <c r="F5509" s="5" t="s">
        <v>4752</v>
      </c>
      <c r="G5509" s="16" t="s">
        <v>35</v>
      </c>
      <c r="H5509" s="16"/>
      <c r="I5509" s="16"/>
      <c r="J5509" s="16"/>
      <c r="K5509" s="16"/>
      <c r="L5509" s="16"/>
      <c r="M5509" s="16"/>
      <c r="N5509" s="16"/>
      <c r="O5509" s="17"/>
      <c r="P5509" s="5" t="str">
        <f t="shared" si="121"/>
        <v>Truncate table Z0E4DV;</v>
      </c>
      <c r="Q5509" s="5"/>
      <c r="R5509" s="5"/>
    </row>
    <row r="5510" spans="2:18" x14ac:dyDescent="0.25">
      <c r="B5510" s="19" t="s">
        <v>7177</v>
      </c>
      <c r="C5510" s="16"/>
      <c r="D5510" s="16" t="s">
        <v>29</v>
      </c>
      <c r="E5510" s="16" t="s">
        <v>151</v>
      </c>
      <c r="F5510" s="5" t="s">
        <v>4752</v>
      </c>
      <c r="G5510" s="16" t="s">
        <v>35</v>
      </c>
      <c r="H5510" s="16"/>
      <c r="I5510" s="16"/>
      <c r="J5510" s="16"/>
      <c r="K5510" s="16"/>
      <c r="L5510" s="16"/>
      <c r="M5510" s="16"/>
      <c r="N5510" s="16"/>
      <c r="O5510" s="17"/>
      <c r="P5510" s="5" t="str">
        <f t="shared" si="121"/>
        <v>Truncate table Z0E4DW;</v>
      </c>
      <c r="Q5510" s="5"/>
      <c r="R5510" s="5"/>
    </row>
    <row r="5511" spans="2:18" x14ac:dyDescent="0.25">
      <c r="B5511" s="19" t="s">
        <v>7178</v>
      </c>
      <c r="C5511" s="16"/>
      <c r="D5511" s="16" t="s">
        <v>29</v>
      </c>
      <c r="E5511" s="16" t="s">
        <v>151</v>
      </c>
      <c r="F5511" s="5" t="s">
        <v>4752</v>
      </c>
      <c r="G5511" s="16" t="s">
        <v>35</v>
      </c>
      <c r="H5511" s="16"/>
      <c r="I5511" s="16"/>
      <c r="J5511" s="16"/>
      <c r="K5511" s="16"/>
      <c r="L5511" s="16"/>
      <c r="M5511" s="16"/>
      <c r="N5511" s="16"/>
      <c r="O5511" s="17"/>
      <c r="P5511" s="5" t="str">
        <f t="shared" si="121"/>
        <v>Truncate table Z0E4DX;</v>
      </c>
      <c r="Q5511" s="5"/>
      <c r="R5511" s="5"/>
    </row>
    <row r="5512" spans="2:18" x14ac:dyDescent="0.25">
      <c r="B5512" s="19" t="s">
        <v>7179</v>
      </c>
      <c r="C5512" s="16"/>
      <c r="D5512" s="16" t="s">
        <v>29</v>
      </c>
      <c r="E5512" s="16" t="s">
        <v>151</v>
      </c>
      <c r="F5512" s="5" t="s">
        <v>4752</v>
      </c>
      <c r="G5512" s="16" t="s">
        <v>35</v>
      </c>
      <c r="H5512" s="16"/>
      <c r="I5512" s="16"/>
      <c r="J5512" s="16"/>
      <c r="K5512" s="16"/>
      <c r="L5512" s="16"/>
      <c r="M5512" s="16"/>
      <c r="N5512" s="16"/>
      <c r="O5512" s="17"/>
      <c r="P5512" s="5" t="str">
        <f t="shared" si="121"/>
        <v>Truncate table Z0E4DY;</v>
      </c>
      <c r="Q5512" s="5"/>
      <c r="R5512" s="5"/>
    </row>
    <row r="5513" spans="2:18" x14ac:dyDescent="0.25">
      <c r="B5513" s="19" t="s">
        <v>7180</v>
      </c>
      <c r="C5513" s="16"/>
      <c r="D5513" s="16" t="s">
        <v>29</v>
      </c>
      <c r="E5513" s="16" t="s">
        <v>151</v>
      </c>
      <c r="F5513" s="5" t="s">
        <v>4752</v>
      </c>
      <c r="G5513" s="16" t="s">
        <v>35</v>
      </c>
      <c r="H5513" s="16"/>
      <c r="I5513" s="16"/>
      <c r="J5513" s="16"/>
      <c r="K5513" s="16"/>
      <c r="L5513" s="16"/>
      <c r="M5513" s="16"/>
      <c r="N5513" s="16"/>
      <c r="O5513" s="17"/>
      <c r="P5513" s="5" t="str">
        <f t="shared" si="121"/>
        <v>Truncate table Z0E4DZ;</v>
      </c>
      <c r="Q5513" s="5"/>
      <c r="R5513" s="5"/>
    </row>
    <row r="5514" spans="2:18" x14ac:dyDescent="0.25">
      <c r="B5514" s="19" t="s">
        <v>7181</v>
      </c>
      <c r="C5514" s="16"/>
      <c r="D5514" s="16" t="s">
        <v>29</v>
      </c>
      <c r="E5514" s="16" t="s">
        <v>151</v>
      </c>
      <c r="F5514" s="5" t="s">
        <v>4752</v>
      </c>
      <c r="G5514" s="16" t="s">
        <v>35</v>
      </c>
      <c r="H5514" s="16"/>
      <c r="I5514" s="16"/>
      <c r="J5514" s="16"/>
      <c r="K5514" s="16"/>
      <c r="L5514" s="16"/>
      <c r="M5514" s="16"/>
      <c r="N5514" s="16"/>
      <c r="O5514" s="17"/>
      <c r="P5514" s="5" t="str">
        <f t="shared" si="121"/>
        <v>Truncate table Z0E4E0;</v>
      </c>
      <c r="Q5514" s="5"/>
      <c r="R5514" s="5"/>
    </row>
    <row r="5515" spans="2:18" x14ac:dyDescent="0.25">
      <c r="B5515" s="19" t="s">
        <v>7182</v>
      </c>
      <c r="C5515" s="16"/>
      <c r="D5515" s="16" t="s">
        <v>29</v>
      </c>
      <c r="E5515" s="16" t="s">
        <v>151</v>
      </c>
      <c r="F5515" s="5" t="s">
        <v>4752</v>
      </c>
      <c r="G5515" s="16" t="s">
        <v>35</v>
      </c>
      <c r="H5515" s="16"/>
      <c r="I5515" s="16"/>
      <c r="J5515" s="16"/>
      <c r="K5515" s="16"/>
      <c r="L5515" s="16"/>
      <c r="M5515" s="16"/>
      <c r="N5515" s="16"/>
      <c r="O5515" s="17"/>
      <c r="P5515" s="5" t="str">
        <f t="shared" si="121"/>
        <v>Truncate table Z0E4E1;</v>
      </c>
      <c r="Q5515" s="5"/>
      <c r="R5515" s="5"/>
    </row>
    <row r="5516" spans="2:18" x14ac:dyDescent="0.25">
      <c r="B5516" s="19" t="s">
        <v>7183</v>
      </c>
      <c r="C5516" s="16"/>
      <c r="D5516" s="16" t="s">
        <v>29</v>
      </c>
      <c r="E5516" s="16" t="s">
        <v>151</v>
      </c>
      <c r="F5516" s="5" t="s">
        <v>4752</v>
      </c>
      <c r="G5516" s="16" t="s">
        <v>35</v>
      </c>
      <c r="H5516" s="16"/>
      <c r="I5516" s="16"/>
      <c r="J5516" s="16"/>
      <c r="K5516" s="16"/>
      <c r="L5516" s="16"/>
      <c r="M5516" s="16"/>
      <c r="N5516" s="16"/>
      <c r="O5516" s="17"/>
      <c r="P5516" s="5" t="str">
        <f t="shared" si="121"/>
        <v>Truncate table Z0E4E2;</v>
      </c>
      <c r="Q5516" s="5"/>
      <c r="R5516" s="5"/>
    </row>
    <row r="5517" spans="2:18" x14ac:dyDescent="0.25">
      <c r="B5517" s="19" t="s">
        <v>7184</v>
      </c>
      <c r="C5517" s="16"/>
      <c r="D5517" s="16" t="s">
        <v>29</v>
      </c>
      <c r="E5517" s="16" t="s">
        <v>151</v>
      </c>
      <c r="F5517" s="5" t="s">
        <v>4752</v>
      </c>
      <c r="G5517" s="16" t="s">
        <v>35</v>
      </c>
      <c r="H5517" s="16"/>
      <c r="I5517" s="16"/>
      <c r="J5517" s="16"/>
      <c r="K5517" s="16"/>
      <c r="L5517" s="16"/>
      <c r="M5517" s="16"/>
      <c r="N5517" s="16"/>
      <c r="O5517" s="17"/>
      <c r="P5517" s="5" t="str">
        <f t="shared" si="121"/>
        <v>Truncate table Z0E4E3;</v>
      </c>
      <c r="Q5517" s="5"/>
      <c r="R5517" s="5"/>
    </row>
    <row r="5518" spans="2:18" x14ac:dyDescent="0.25">
      <c r="B5518" s="19" t="s">
        <v>7185</v>
      </c>
      <c r="C5518" s="16"/>
      <c r="D5518" s="16" t="s">
        <v>29</v>
      </c>
      <c r="E5518" s="16" t="s">
        <v>151</v>
      </c>
      <c r="F5518" s="5" t="s">
        <v>4752</v>
      </c>
      <c r="G5518" s="16" t="s">
        <v>35</v>
      </c>
      <c r="H5518" s="16"/>
      <c r="I5518" s="16"/>
      <c r="J5518" s="16"/>
      <c r="K5518" s="16"/>
      <c r="L5518" s="16"/>
      <c r="M5518" s="16"/>
      <c r="N5518" s="16"/>
      <c r="O5518" s="17"/>
      <c r="P5518" s="5" t="str">
        <f t="shared" si="121"/>
        <v>Truncate table Z0E4E4;</v>
      </c>
      <c r="Q5518" s="5"/>
      <c r="R5518" s="5"/>
    </row>
    <row r="5519" spans="2:18" x14ac:dyDescent="0.25">
      <c r="B5519" s="19" t="s">
        <v>7186</v>
      </c>
      <c r="C5519" s="16"/>
      <c r="D5519" s="16" t="s">
        <v>29</v>
      </c>
      <c r="E5519" s="16" t="s">
        <v>151</v>
      </c>
      <c r="F5519" s="5" t="s">
        <v>4752</v>
      </c>
      <c r="G5519" s="16" t="s">
        <v>35</v>
      </c>
      <c r="H5519" s="16"/>
      <c r="I5519" s="16"/>
      <c r="J5519" s="16"/>
      <c r="K5519" s="16"/>
      <c r="L5519" s="16"/>
      <c r="M5519" s="16"/>
      <c r="N5519" s="16"/>
      <c r="O5519" s="17"/>
      <c r="P5519" s="5" t="str">
        <f t="shared" si="121"/>
        <v>Truncate table Z0E4E5;</v>
      </c>
      <c r="Q5519" s="5"/>
      <c r="R5519" s="5"/>
    </row>
    <row r="5520" spans="2:18" x14ac:dyDescent="0.25">
      <c r="B5520" s="19" t="s">
        <v>7187</v>
      </c>
      <c r="C5520" s="16"/>
      <c r="D5520" s="16" t="s">
        <v>29</v>
      </c>
      <c r="E5520" s="16" t="s">
        <v>151</v>
      </c>
      <c r="F5520" s="5" t="s">
        <v>4752</v>
      </c>
      <c r="G5520" s="16" t="s">
        <v>35</v>
      </c>
      <c r="H5520" s="16"/>
      <c r="I5520" s="16"/>
      <c r="J5520" s="16"/>
      <c r="K5520" s="16"/>
      <c r="L5520" s="16"/>
      <c r="M5520" s="16"/>
      <c r="N5520" s="16"/>
      <c r="O5520" s="17"/>
      <c r="P5520" s="5" t="str">
        <f t="shared" si="121"/>
        <v>Truncate table Z0E4E6;</v>
      </c>
      <c r="Q5520" s="5"/>
      <c r="R5520" s="5"/>
    </row>
    <row r="5521" spans="2:18" x14ac:dyDescent="0.25">
      <c r="B5521" s="19" t="s">
        <v>7188</v>
      </c>
      <c r="C5521" s="16"/>
      <c r="D5521" s="16" t="s">
        <v>29</v>
      </c>
      <c r="E5521" s="16" t="s">
        <v>151</v>
      </c>
      <c r="F5521" s="5" t="s">
        <v>4752</v>
      </c>
      <c r="G5521" s="16" t="s">
        <v>35</v>
      </c>
      <c r="H5521" s="16"/>
      <c r="I5521" s="16"/>
      <c r="J5521" s="16"/>
      <c r="K5521" s="16"/>
      <c r="L5521" s="16"/>
      <c r="M5521" s="16"/>
      <c r="N5521" s="16"/>
      <c r="O5521" s="17"/>
      <c r="P5521" s="5" t="str">
        <f t="shared" si="121"/>
        <v>Truncate table Z0E4E7;</v>
      </c>
      <c r="Q5521" s="5"/>
      <c r="R5521" s="5"/>
    </row>
    <row r="5522" spans="2:18" x14ac:dyDescent="0.25">
      <c r="B5522" s="19" t="s">
        <v>7189</v>
      </c>
      <c r="C5522" s="16"/>
      <c r="D5522" s="16" t="s">
        <v>29</v>
      </c>
      <c r="E5522" s="16" t="s">
        <v>151</v>
      </c>
      <c r="F5522" s="5" t="s">
        <v>4752</v>
      </c>
      <c r="G5522" s="16" t="s">
        <v>35</v>
      </c>
      <c r="H5522" s="16"/>
      <c r="I5522" s="16"/>
      <c r="J5522" s="16"/>
      <c r="K5522" s="16"/>
      <c r="L5522" s="16"/>
      <c r="M5522" s="16"/>
      <c r="N5522" s="16"/>
      <c r="O5522" s="17"/>
      <c r="P5522" s="5" t="str">
        <f t="shared" si="121"/>
        <v>Truncate table Z0E4E8;</v>
      </c>
      <c r="Q5522" s="5"/>
      <c r="R5522" s="5"/>
    </row>
    <row r="5523" spans="2:18" x14ac:dyDescent="0.25">
      <c r="B5523" s="19" t="s">
        <v>7190</v>
      </c>
      <c r="C5523" s="16"/>
      <c r="D5523" s="16" t="s">
        <v>29</v>
      </c>
      <c r="E5523" s="16" t="s">
        <v>151</v>
      </c>
      <c r="F5523" s="5" t="s">
        <v>4752</v>
      </c>
      <c r="G5523" s="16" t="s">
        <v>35</v>
      </c>
      <c r="H5523" s="16"/>
      <c r="I5523" s="16"/>
      <c r="J5523" s="16"/>
      <c r="K5523" s="16"/>
      <c r="L5523" s="16"/>
      <c r="M5523" s="16"/>
      <c r="N5523" s="16"/>
      <c r="O5523" s="17"/>
      <c r="P5523" s="5" t="str">
        <f t="shared" si="121"/>
        <v>Truncate table Z0E4E9;</v>
      </c>
      <c r="Q5523" s="5"/>
      <c r="R5523" s="5"/>
    </row>
    <row r="5524" spans="2:18" x14ac:dyDescent="0.25">
      <c r="B5524" s="19" t="s">
        <v>7191</v>
      </c>
      <c r="C5524" s="16"/>
      <c r="D5524" s="16" t="s">
        <v>29</v>
      </c>
      <c r="E5524" s="16" t="s">
        <v>151</v>
      </c>
      <c r="F5524" s="5" t="s">
        <v>4752</v>
      </c>
      <c r="G5524" s="16" t="s">
        <v>35</v>
      </c>
      <c r="H5524" s="16"/>
      <c r="I5524" s="16"/>
      <c r="J5524" s="16"/>
      <c r="K5524" s="16"/>
      <c r="L5524" s="16"/>
      <c r="M5524" s="16"/>
      <c r="N5524" s="16"/>
      <c r="O5524" s="17"/>
      <c r="P5524" s="5" t="str">
        <f t="shared" si="121"/>
        <v>Truncate table Z0E4EA;</v>
      </c>
      <c r="Q5524" s="5"/>
      <c r="R5524" s="5"/>
    </row>
    <row r="5525" spans="2:18" x14ac:dyDescent="0.25">
      <c r="B5525" s="19" t="s">
        <v>7192</v>
      </c>
      <c r="C5525" s="16"/>
      <c r="D5525" s="16" t="s">
        <v>29</v>
      </c>
      <c r="E5525" s="16" t="s">
        <v>151</v>
      </c>
      <c r="F5525" s="5" t="s">
        <v>4752</v>
      </c>
      <c r="G5525" s="16" t="s">
        <v>35</v>
      </c>
      <c r="H5525" s="16"/>
      <c r="I5525" s="16"/>
      <c r="J5525" s="16"/>
      <c r="K5525" s="16"/>
      <c r="L5525" s="16"/>
      <c r="M5525" s="16"/>
      <c r="N5525" s="16"/>
      <c r="O5525" s="17"/>
      <c r="P5525" s="5" t="str">
        <f t="shared" si="121"/>
        <v>Truncate table Z0E4EB;</v>
      </c>
      <c r="Q5525" s="5"/>
      <c r="R5525" s="5"/>
    </row>
    <row r="5526" spans="2:18" x14ac:dyDescent="0.25">
      <c r="B5526" s="19" t="s">
        <v>7193</v>
      </c>
      <c r="C5526" s="16"/>
      <c r="D5526" s="16" t="s">
        <v>29</v>
      </c>
      <c r="E5526" s="16" t="s">
        <v>151</v>
      </c>
      <c r="F5526" s="5" t="s">
        <v>4752</v>
      </c>
      <c r="G5526" s="16" t="s">
        <v>35</v>
      </c>
      <c r="H5526" s="16"/>
      <c r="I5526" s="16"/>
      <c r="J5526" s="16"/>
      <c r="K5526" s="16"/>
      <c r="L5526" s="16"/>
      <c r="M5526" s="16"/>
      <c r="N5526" s="16"/>
      <c r="O5526" s="17"/>
      <c r="P5526" s="5" t="str">
        <f t="shared" ref="P5526:P5589" si="122">IF(D5526="Datos","Truncate table "&amp; B5526&amp; ";","")</f>
        <v>Truncate table Z0E4EC;</v>
      </c>
      <c r="Q5526" s="5"/>
      <c r="R5526" s="5"/>
    </row>
    <row r="5527" spans="2:18" x14ac:dyDescent="0.25">
      <c r="B5527" s="19" t="s">
        <v>7194</v>
      </c>
      <c r="C5527" s="16"/>
      <c r="D5527" s="16" t="s">
        <v>29</v>
      </c>
      <c r="E5527" s="16" t="s">
        <v>151</v>
      </c>
      <c r="F5527" s="5" t="s">
        <v>4752</v>
      </c>
      <c r="G5527" s="16" t="s">
        <v>35</v>
      </c>
      <c r="H5527" s="16"/>
      <c r="I5527" s="16"/>
      <c r="J5527" s="16"/>
      <c r="K5527" s="16"/>
      <c r="L5527" s="16"/>
      <c r="M5527" s="16"/>
      <c r="N5527" s="16"/>
      <c r="O5527" s="17"/>
      <c r="P5527" s="5" t="str">
        <f t="shared" si="122"/>
        <v>Truncate table Z0E4ED;</v>
      </c>
      <c r="Q5527" s="5"/>
      <c r="R5527" s="5"/>
    </row>
    <row r="5528" spans="2:18" x14ac:dyDescent="0.25">
      <c r="B5528" s="19" t="s">
        <v>7195</v>
      </c>
      <c r="C5528" s="16"/>
      <c r="D5528" s="16" t="s">
        <v>29</v>
      </c>
      <c r="E5528" s="16" t="s">
        <v>151</v>
      </c>
      <c r="F5528" s="5" t="s">
        <v>4752</v>
      </c>
      <c r="G5528" s="16" t="s">
        <v>35</v>
      </c>
      <c r="H5528" s="16"/>
      <c r="I5528" s="16"/>
      <c r="J5528" s="16"/>
      <c r="K5528" s="16"/>
      <c r="L5528" s="16"/>
      <c r="M5528" s="16"/>
      <c r="N5528" s="16"/>
      <c r="O5528" s="17"/>
      <c r="P5528" s="5" t="str">
        <f t="shared" si="122"/>
        <v>Truncate table Z0E4EE;</v>
      </c>
      <c r="Q5528" s="5"/>
      <c r="R5528" s="5"/>
    </row>
    <row r="5529" spans="2:18" x14ac:dyDescent="0.25">
      <c r="B5529" s="19" t="s">
        <v>7196</v>
      </c>
      <c r="C5529" s="16"/>
      <c r="D5529" s="16" t="s">
        <v>29</v>
      </c>
      <c r="E5529" s="16" t="s">
        <v>151</v>
      </c>
      <c r="F5529" s="5" t="s">
        <v>4752</v>
      </c>
      <c r="G5529" s="16" t="s">
        <v>35</v>
      </c>
      <c r="H5529" s="16"/>
      <c r="I5529" s="16"/>
      <c r="J5529" s="16"/>
      <c r="K5529" s="16"/>
      <c r="L5529" s="16"/>
      <c r="M5529" s="16"/>
      <c r="N5529" s="16"/>
      <c r="O5529" s="17"/>
      <c r="P5529" s="5" t="str">
        <f t="shared" si="122"/>
        <v>Truncate table Z0E4EF;</v>
      </c>
      <c r="Q5529" s="5"/>
      <c r="R5529" s="5"/>
    </row>
    <row r="5530" spans="2:18" x14ac:dyDescent="0.25">
      <c r="B5530" s="19" t="s">
        <v>7197</v>
      </c>
      <c r="C5530" s="16"/>
      <c r="D5530" s="16" t="s">
        <v>29</v>
      </c>
      <c r="E5530" s="16" t="s">
        <v>151</v>
      </c>
      <c r="F5530" s="5" t="s">
        <v>4752</v>
      </c>
      <c r="G5530" s="16" t="s">
        <v>35</v>
      </c>
      <c r="H5530" s="16"/>
      <c r="I5530" s="16"/>
      <c r="J5530" s="16"/>
      <c r="K5530" s="16"/>
      <c r="L5530" s="16"/>
      <c r="M5530" s="16"/>
      <c r="N5530" s="16"/>
      <c r="O5530" s="17"/>
      <c r="P5530" s="5" t="str">
        <f t="shared" si="122"/>
        <v>Truncate table Z0E4EG;</v>
      </c>
      <c r="Q5530" s="5"/>
      <c r="R5530" s="5"/>
    </row>
    <row r="5531" spans="2:18" x14ac:dyDescent="0.25">
      <c r="B5531" s="19" t="s">
        <v>7198</v>
      </c>
      <c r="C5531" s="16"/>
      <c r="D5531" s="16" t="s">
        <v>29</v>
      </c>
      <c r="E5531" s="16" t="s">
        <v>151</v>
      </c>
      <c r="F5531" s="5" t="s">
        <v>4752</v>
      </c>
      <c r="G5531" s="16" t="s">
        <v>35</v>
      </c>
      <c r="H5531" s="16"/>
      <c r="I5531" s="16"/>
      <c r="J5531" s="16"/>
      <c r="K5531" s="16"/>
      <c r="L5531" s="16"/>
      <c r="M5531" s="16"/>
      <c r="N5531" s="16"/>
      <c r="O5531" s="17"/>
      <c r="P5531" s="5" t="str">
        <f t="shared" si="122"/>
        <v>Truncate table Z0E4EH;</v>
      </c>
      <c r="Q5531" s="5"/>
      <c r="R5531" s="5"/>
    </row>
    <row r="5532" spans="2:18" x14ac:dyDescent="0.25">
      <c r="B5532" s="19" t="s">
        <v>7199</v>
      </c>
      <c r="C5532" s="16"/>
      <c r="D5532" s="16" t="s">
        <v>29</v>
      </c>
      <c r="E5532" s="16" t="s">
        <v>151</v>
      </c>
      <c r="F5532" s="5" t="s">
        <v>4752</v>
      </c>
      <c r="G5532" s="16" t="s">
        <v>35</v>
      </c>
      <c r="H5532" s="16"/>
      <c r="I5532" s="16"/>
      <c r="J5532" s="16"/>
      <c r="K5532" s="16"/>
      <c r="L5532" s="16"/>
      <c r="M5532" s="16"/>
      <c r="N5532" s="16"/>
      <c r="O5532" s="17"/>
      <c r="P5532" s="5" t="str">
        <f t="shared" si="122"/>
        <v>Truncate table Z0E4EI;</v>
      </c>
      <c r="Q5532" s="5"/>
      <c r="R5532" s="5"/>
    </row>
    <row r="5533" spans="2:18" x14ac:dyDescent="0.25">
      <c r="B5533" s="19" t="s">
        <v>7200</v>
      </c>
      <c r="C5533" s="16"/>
      <c r="D5533" s="16" t="s">
        <v>29</v>
      </c>
      <c r="E5533" s="16" t="s">
        <v>151</v>
      </c>
      <c r="F5533" s="5" t="s">
        <v>4752</v>
      </c>
      <c r="G5533" s="16" t="s">
        <v>35</v>
      </c>
      <c r="H5533" s="16"/>
      <c r="I5533" s="16"/>
      <c r="J5533" s="16"/>
      <c r="K5533" s="16"/>
      <c r="L5533" s="16"/>
      <c r="M5533" s="16"/>
      <c r="N5533" s="16"/>
      <c r="O5533" s="17"/>
      <c r="P5533" s="5" t="str">
        <f t="shared" si="122"/>
        <v>Truncate table Z0E4EL;</v>
      </c>
      <c r="Q5533" s="5"/>
      <c r="R5533" s="5"/>
    </row>
    <row r="5534" spans="2:18" x14ac:dyDescent="0.25">
      <c r="B5534" s="19" t="s">
        <v>7201</v>
      </c>
      <c r="C5534" s="16"/>
      <c r="D5534" s="16" t="s">
        <v>29</v>
      </c>
      <c r="E5534" s="16" t="s">
        <v>151</v>
      </c>
      <c r="F5534" s="5" t="s">
        <v>4752</v>
      </c>
      <c r="G5534" s="16" t="s">
        <v>35</v>
      </c>
      <c r="H5534" s="16"/>
      <c r="I5534" s="16"/>
      <c r="J5534" s="16"/>
      <c r="K5534" s="16"/>
      <c r="L5534" s="16"/>
      <c r="M5534" s="16"/>
      <c r="N5534" s="16"/>
      <c r="O5534" s="17"/>
      <c r="P5534" s="5" t="str">
        <f t="shared" si="122"/>
        <v>Truncate table Z0E4EM;</v>
      </c>
      <c r="Q5534" s="5"/>
      <c r="R5534" s="5"/>
    </row>
    <row r="5535" spans="2:18" x14ac:dyDescent="0.25">
      <c r="B5535" s="19" t="s">
        <v>7202</v>
      </c>
      <c r="C5535" s="16"/>
      <c r="D5535" s="16" t="s">
        <v>29</v>
      </c>
      <c r="E5535" s="16" t="s">
        <v>151</v>
      </c>
      <c r="F5535" s="5" t="s">
        <v>4752</v>
      </c>
      <c r="G5535" s="16" t="s">
        <v>35</v>
      </c>
      <c r="H5535" s="16"/>
      <c r="I5535" s="16"/>
      <c r="J5535" s="16"/>
      <c r="K5535" s="16"/>
      <c r="L5535" s="16"/>
      <c r="M5535" s="16"/>
      <c r="N5535" s="16"/>
      <c r="O5535" s="17"/>
      <c r="P5535" s="5" t="str">
        <f t="shared" si="122"/>
        <v>Truncate table Z0E4EN;</v>
      </c>
      <c r="Q5535" s="5"/>
      <c r="R5535" s="5"/>
    </row>
    <row r="5536" spans="2:18" x14ac:dyDescent="0.25">
      <c r="B5536" s="19" t="s">
        <v>7203</v>
      </c>
      <c r="C5536" s="16"/>
      <c r="D5536" s="16" t="s">
        <v>29</v>
      </c>
      <c r="E5536" s="16" t="s">
        <v>151</v>
      </c>
      <c r="F5536" s="5" t="s">
        <v>4752</v>
      </c>
      <c r="G5536" s="16" t="s">
        <v>35</v>
      </c>
      <c r="H5536" s="16"/>
      <c r="I5536" s="16"/>
      <c r="J5536" s="16"/>
      <c r="K5536" s="16"/>
      <c r="L5536" s="16"/>
      <c r="M5536" s="16"/>
      <c r="N5536" s="16"/>
      <c r="O5536" s="17"/>
      <c r="P5536" s="5" t="str">
        <f t="shared" si="122"/>
        <v>Truncate table Z0E4EO;</v>
      </c>
      <c r="Q5536" s="5"/>
      <c r="R5536" s="5"/>
    </row>
    <row r="5537" spans="2:18" x14ac:dyDescent="0.25">
      <c r="B5537" s="19" t="s">
        <v>7204</v>
      </c>
      <c r="C5537" s="16"/>
      <c r="D5537" s="16" t="s">
        <v>29</v>
      </c>
      <c r="E5537" s="16" t="s">
        <v>151</v>
      </c>
      <c r="F5537" s="5" t="s">
        <v>4752</v>
      </c>
      <c r="G5537" s="16" t="s">
        <v>35</v>
      </c>
      <c r="H5537" s="16"/>
      <c r="I5537" s="16"/>
      <c r="J5537" s="16"/>
      <c r="K5537" s="16"/>
      <c r="L5537" s="16"/>
      <c r="M5537" s="16"/>
      <c r="N5537" s="16"/>
      <c r="O5537" s="17"/>
      <c r="P5537" s="5" t="str">
        <f t="shared" si="122"/>
        <v>Truncate table Z0E4EP;</v>
      </c>
      <c r="Q5537" s="5"/>
      <c r="R5537" s="5"/>
    </row>
    <row r="5538" spans="2:18" x14ac:dyDescent="0.25">
      <c r="B5538" s="19" t="s">
        <v>7205</v>
      </c>
      <c r="C5538" s="16"/>
      <c r="D5538" s="16" t="s">
        <v>29</v>
      </c>
      <c r="E5538" s="16" t="s">
        <v>151</v>
      </c>
      <c r="F5538" s="5" t="s">
        <v>4752</v>
      </c>
      <c r="G5538" s="16" t="s">
        <v>35</v>
      </c>
      <c r="H5538" s="16"/>
      <c r="I5538" s="16"/>
      <c r="J5538" s="16"/>
      <c r="K5538" s="16"/>
      <c r="L5538" s="16"/>
      <c r="M5538" s="16"/>
      <c r="N5538" s="16"/>
      <c r="O5538" s="17"/>
      <c r="P5538" s="5" t="str">
        <f t="shared" si="122"/>
        <v>Truncate table Z0E4EQ;</v>
      </c>
      <c r="Q5538" s="5"/>
      <c r="R5538" s="5"/>
    </row>
    <row r="5539" spans="2:18" x14ac:dyDescent="0.25">
      <c r="B5539" s="19" t="s">
        <v>7206</v>
      </c>
      <c r="C5539" s="16"/>
      <c r="D5539" s="16" t="s">
        <v>29</v>
      </c>
      <c r="E5539" s="16" t="s">
        <v>151</v>
      </c>
      <c r="F5539" s="5" t="s">
        <v>4752</v>
      </c>
      <c r="G5539" s="16" t="s">
        <v>35</v>
      </c>
      <c r="H5539" s="16"/>
      <c r="I5539" s="16"/>
      <c r="J5539" s="16"/>
      <c r="K5539" s="16"/>
      <c r="L5539" s="16"/>
      <c r="M5539" s="16"/>
      <c r="N5539" s="16"/>
      <c r="O5539" s="17"/>
      <c r="P5539" s="5" t="str">
        <f t="shared" si="122"/>
        <v>Truncate table Z0E4ER;</v>
      </c>
      <c r="Q5539" s="5"/>
      <c r="R5539" s="5"/>
    </row>
    <row r="5540" spans="2:18" x14ac:dyDescent="0.25">
      <c r="B5540" s="19" t="s">
        <v>7207</v>
      </c>
      <c r="C5540" s="16"/>
      <c r="D5540" s="16" t="s">
        <v>29</v>
      </c>
      <c r="E5540" s="16" t="s">
        <v>151</v>
      </c>
      <c r="F5540" s="5" t="s">
        <v>4752</v>
      </c>
      <c r="G5540" s="16" t="s">
        <v>35</v>
      </c>
      <c r="H5540" s="16"/>
      <c r="I5540" s="16"/>
      <c r="J5540" s="16"/>
      <c r="K5540" s="16"/>
      <c r="L5540" s="16"/>
      <c r="M5540" s="16"/>
      <c r="N5540" s="16"/>
      <c r="O5540" s="17"/>
      <c r="P5540" s="5" t="str">
        <f t="shared" si="122"/>
        <v>Truncate table Z0E4ES;</v>
      </c>
      <c r="Q5540" s="5"/>
      <c r="R5540" s="5"/>
    </row>
    <row r="5541" spans="2:18" x14ac:dyDescent="0.25">
      <c r="B5541" s="19" t="s">
        <v>7208</v>
      </c>
      <c r="C5541" s="16"/>
      <c r="D5541" s="16" t="s">
        <v>29</v>
      </c>
      <c r="E5541" s="16" t="s">
        <v>151</v>
      </c>
      <c r="F5541" s="5" t="s">
        <v>4752</v>
      </c>
      <c r="G5541" s="16" t="s">
        <v>35</v>
      </c>
      <c r="H5541" s="16"/>
      <c r="I5541" s="16"/>
      <c r="J5541" s="16"/>
      <c r="K5541" s="16"/>
      <c r="L5541" s="16"/>
      <c r="M5541" s="16"/>
      <c r="N5541" s="16"/>
      <c r="O5541" s="17"/>
      <c r="P5541" s="5" t="str">
        <f t="shared" si="122"/>
        <v>Truncate table Z0E4ET;</v>
      </c>
      <c r="Q5541" s="5"/>
      <c r="R5541" s="5"/>
    </row>
    <row r="5542" spans="2:18" x14ac:dyDescent="0.25">
      <c r="B5542" s="19" t="s">
        <v>7209</v>
      </c>
      <c r="C5542" s="16"/>
      <c r="D5542" s="16" t="s">
        <v>29</v>
      </c>
      <c r="E5542" s="16" t="s">
        <v>151</v>
      </c>
      <c r="F5542" s="5" t="s">
        <v>4752</v>
      </c>
      <c r="G5542" s="16" t="s">
        <v>35</v>
      </c>
      <c r="H5542" s="16"/>
      <c r="I5542" s="16"/>
      <c r="J5542" s="16"/>
      <c r="K5542" s="16"/>
      <c r="L5542" s="16"/>
      <c r="M5542" s="16"/>
      <c r="N5542" s="16"/>
      <c r="O5542" s="17"/>
      <c r="P5542" s="5" t="str">
        <f t="shared" si="122"/>
        <v>Truncate table Z0E4EU;</v>
      </c>
      <c r="Q5542" s="5"/>
      <c r="R5542" s="5"/>
    </row>
    <row r="5543" spans="2:18" x14ac:dyDescent="0.25">
      <c r="B5543" s="19" t="s">
        <v>7210</v>
      </c>
      <c r="C5543" s="16"/>
      <c r="D5543" s="16" t="s">
        <v>29</v>
      </c>
      <c r="E5543" s="16" t="s">
        <v>151</v>
      </c>
      <c r="F5543" s="5" t="s">
        <v>4752</v>
      </c>
      <c r="G5543" s="16" t="s">
        <v>35</v>
      </c>
      <c r="H5543" s="16"/>
      <c r="I5543" s="16"/>
      <c r="J5543" s="16"/>
      <c r="K5543" s="16"/>
      <c r="L5543" s="16"/>
      <c r="M5543" s="16"/>
      <c r="N5543" s="16"/>
      <c r="O5543" s="17"/>
      <c r="P5543" s="5" t="str">
        <f t="shared" si="122"/>
        <v>Truncate table Z0E4EV;</v>
      </c>
      <c r="Q5543" s="5"/>
      <c r="R5543" s="5"/>
    </row>
    <row r="5544" spans="2:18" x14ac:dyDescent="0.25">
      <c r="B5544" s="19" t="s">
        <v>7211</v>
      </c>
      <c r="C5544" s="16"/>
      <c r="D5544" s="16" t="s">
        <v>29</v>
      </c>
      <c r="E5544" s="16" t="s">
        <v>151</v>
      </c>
      <c r="F5544" s="5" t="s">
        <v>4752</v>
      </c>
      <c r="G5544" s="16" t="s">
        <v>35</v>
      </c>
      <c r="H5544" s="16"/>
      <c r="I5544" s="16"/>
      <c r="J5544" s="16"/>
      <c r="K5544" s="16"/>
      <c r="L5544" s="16"/>
      <c r="M5544" s="16"/>
      <c r="N5544" s="16"/>
      <c r="O5544" s="17"/>
      <c r="P5544" s="5" t="str">
        <f t="shared" si="122"/>
        <v>Truncate table Z0E4EW;</v>
      </c>
      <c r="Q5544" s="5"/>
      <c r="R5544" s="5"/>
    </row>
    <row r="5545" spans="2:18" x14ac:dyDescent="0.25">
      <c r="B5545" s="19" t="s">
        <v>7212</v>
      </c>
      <c r="C5545" s="16"/>
      <c r="D5545" s="16" t="s">
        <v>29</v>
      </c>
      <c r="E5545" s="16" t="s">
        <v>151</v>
      </c>
      <c r="F5545" s="5" t="s">
        <v>4752</v>
      </c>
      <c r="G5545" s="16" t="s">
        <v>35</v>
      </c>
      <c r="H5545" s="16"/>
      <c r="I5545" s="16"/>
      <c r="J5545" s="16"/>
      <c r="K5545" s="16"/>
      <c r="L5545" s="16"/>
      <c r="M5545" s="16"/>
      <c r="N5545" s="16"/>
      <c r="O5545" s="17"/>
      <c r="P5545" s="5" t="str">
        <f t="shared" si="122"/>
        <v>Truncate table Z0E4EX;</v>
      </c>
      <c r="Q5545" s="5"/>
      <c r="R5545" s="5"/>
    </row>
    <row r="5546" spans="2:18" x14ac:dyDescent="0.25">
      <c r="B5546" s="19" t="s">
        <v>7213</v>
      </c>
      <c r="C5546" s="16"/>
      <c r="D5546" s="16" t="s">
        <v>29</v>
      </c>
      <c r="E5546" s="16" t="s">
        <v>151</v>
      </c>
      <c r="F5546" s="5" t="s">
        <v>4752</v>
      </c>
      <c r="G5546" s="16" t="s">
        <v>35</v>
      </c>
      <c r="H5546" s="16"/>
      <c r="I5546" s="16"/>
      <c r="J5546" s="16"/>
      <c r="K5546" s="16"/>
      <c r="L5546" s="16"/>
      <c r="M5546" s="16"/>
      <c r="N5546" s="16"/>
      <c r="O5546" s="17"/>
      <c r="P5546" s="5" t="str">
        <f t="shared" si="122"/>
        <v>Truncate table Z0E4F0;</v>
      </c>
      <c r="Q5546" s="5"/>
      <c r="R5546" s="5"/>
    </row>
    <row r="5547" spans="2:18" x14ac:dyDescent="0.25">
      <c r="B5547" s="19" t="s">
        <v>7214</v>
      </c>
      <c r="C5547" s="16"/>
      <c r="D5547" s="16" t="s">
        <v>29</v>
      </c>
      <c r="E5547" s="16" t="s">
        <v>151</v>
      </c>
      <c r="F5547" s="5" t="s">
        <v>4752</v>
      </c>
      <c r="G5547" s="16" t="s">
        <v>35</v>
      </c>
      <c r="H5547" s="16"/>
      <c r="I5547" s="16"/>
      <c r="J5547" s="16"/>
      <c r="K5547" s="16"/>
      <c r="L5547" s="16"/>
      <c r="M5547" s="16"/>
      <c r="N5547" s="16"/>
      <c r="O5547" s="17"/>
      <c r="P5547" s="5" t="str">
        <f t="shared" si="122"/>
        <v>Truncate table Z0E4F1;</v>
      </c>
      <c r="Q5547" s="5"/>
      <c r="R5547" s="5"/>
    </row>
    <row r="5548" spans="2:18" x14ac:dyDescent="0.25">
      <c r="B5548" s="19" t="s">
        <v>7215</v>
      </c>
      <c r="C5548" s="16"/>
      <c r="D5548" s="16" t="s">
        <v>29</v>
      </c>
      <c r="E5548" s="16" t="s">
        <v>151</v>
      </c>
      <c r="F5548" s="5" t="s">
        <v>4752</v>
      </c>
      <c r="G5548" s="16" t="s">
        <v>35</v>
      </c>
      <c r="H5548" s="16"/>
      <c r="I5548" s="16"/>
      <c r="J5548" s="16"/>
      <c r="K5548" s="16"/>
      <c r="L5548" s="16"/>
      <c r="M5548" s="16"/>
      <c r="N5548" s="16"/>
      <c r="O5548" s="17"/>
      <c r="P5548" s="5" t="str">
        <f t="shared" si="122"/>
        <v>Truncate table Z0E4F2;</v>
      </c>
      <c r="Q5548" s="5"/>
      <c r="R5548" s="5"/>
    </row>
    <row r="5549" spans="2:18" x14ac:dyDescent="0.25">
      <c r="B5549" s="19" t="s">
        <v>7216</v>
      </c>
      <c r="C5549" s="16"/>
      <c r="D5549" s="16" t="s">
        <v>29</v>
      </c>
      <c r="E5549" s="16" t="s">
        <v>151</v>
      </c>
      <c r="F5549" s="5" t="s">
        <v>4752</v>
      </c>
      <c r="G5549" s="16" t="s">
        <v>35</v>
      </c>
      <c r="H5549" s="16"/>
      <c r="I5549" s="16"/>
      <c r="J5549" s="16"/>
      <c r="K5549" s="16"/>
      <c r="L5549" s="16"/>
      <c r="M5549" s="16"/>
      <c r="N5549" s="16"/>
      <c r="O5549" s="17"/>
      <c r="P5549" s="5" t="str">
        <f t="shared" si="122"/>
        <v>Truncate table Z0E4F3;</v>
      </c>
      <c r="Q5549" s="5"/>
      <c r="R5549" s="5"/>
    </row>
    <row r="5550" spans="2:18" x14ac:dyDescent="0.25">
      <c r="B5550" s="19" t="s">
        <v>7217</v>
      </c>
      <c r="C5550" s="16"/>
      <c r="D5550" s="16" t="s">
        <v>29</v>
      </c>
      <c r="E5550" s="16" t="s">
        <v>151</v>
      </c>
      <c r="F5550" s="5" t="s">
        <v>4752</v>
      </c>
      <c r="G5550" s="16" t="s">
        <v>35</v>
      </c>
      <c r="H5550" s="16"/>
      <c r="I5550" s="16"/>
      <c r="J5550" s="16"/>
      <c r="K5550" s="16"/>
      <c r="L5550" s="16"/>
      <c r="M5550" s="16"/>
      <c r="N5550" s="16"/>
      <c r="O5550" s="17"/>
      <c r="P5550" s="5" t="str">
        <f t="shared" si="122"/>
        <v>Truncate table Z0E4F4;</v>
      </c>
      <c r="Q5550" s="5"/>
      <c r="R5550" s="5"/>
    </row>
    <row r="5551" spans="2:18" x14ac:dyDescent="0.25">
      <c r="B5551" s="19" t="s">
        <v>7218</v>
      </c>
      <c r="C5551" s="16"/>
      <c r="D5551" s="16" t="s">
        <v>29</v>
      </c>
      <c r="E5551" s="16" t="s">
        <v>151</v>
      </c>
      <c r="F5551" s="5" t="s">
        <v>4752</v>
      </c>
      <c r="G5551" s="16" t="s">
        <v>35</v>
      </c>
      <c r="H5551" s="16"/>
      <c r="I5551" s="16"/>
      <c r="J5551" s="16"/>
      <c r="K5551" s="16"/>
      <c r="L5551" s="16"/>
      <c r="M5551" s="16"/>
      <c r="N5551" s="16"/>
      <c r="O5551" s="17"/>
      <c r="P5551" s="5" t="str">
        <f t="shared" si="122"/>
        <v>Truncate table Z0E4F5;</v>
      </c>
      <c r="Q5551" s="5"/>
      <c r="R5551" s="5"/>
    </row>
    <row r="5552" spans="2:18" x14ac:dyDescent="0.25">
      <c r="B5552" s="19" t="s">
        <v>7219</v>
      </c>
      <c r="C5552" s="16"/>
      <c r="D5552" s="16" t="s">
        <v>29</v>
      </c>
      <c r="E5552" s="16" t="s">
        <v>151</v>
      </c>
      <c r="F5552" s="5" t="s">
        <v>4752</v>
      </c>
      <c r="G5552" s="16" t="s">
        <v>35</v>
      </c>
      <c r="H5552" s="16"/>
      <c r="I5552" s="16"/>
      <c r="J5552" s="16"/>
      <c r="K5552" s="16"/>
      <c r="L5552" s="16"/>
      <c r="M5552" s="16"/>
      <c r="N5552" s="16"/>
      <c r="O5552" s="17"/>
      <c r="P5552" s="5" t="str">
        <f t="shared" si="122"/>
        <v>Truncate table Z0E4F6;</v>
      </c>
      <c r="Q5552" s="5"/>
      <c r="R5552" s="5"/>
    </row>
    <row r="5553" spans="2:18" x14ac:dyDescent="0.25">
      <c r="B5553" s="19" t="s">
        <v>7220</v>
      </c>
      <c r="C5553" s="16"/>
      <c r="D5553" s="16" t="s">
        <v>29</v>
      </c>
      <c r="E5553" s="16" t="s">
        <v>151</v>
      </c>
      <c r="F5553" s="5" t="s">
        <v>4752</v>
      </c>
      <c r="G5553" s="16" t="s">
        <v>35</v>
      </c>
      <c r="H5553" s="16"/>
      <c r="I5553" s="16"/>
      <c r="J5553" s="16"/>
      <c r="K5553" s="16"/>
      <c r="L5553" s="16"/>
      <c r="M5553" s="16"/>
      <c r="N5553" s="16"/>
      <c r="O5553" s="17"/>
      <c r="P5553" s="5" t="str">
        <f t="shared" si="122"/>
        <v>Truncate table Z0E4F7;</v>
      </c>
      <c r="Q5553" s="5"/>
      <c r="R5553" s="5"/>
    </row>
    <row r="5554" spans="2:18" x14ac:dyDescent="0.25">
      <c r="B5554" s="19" t="s">
        <v>7221</v>
      </c>
      <c r="C5554" s="16" t="s">
        <v>7116</v>
      </c>
      <c r="D5554" s="16" t="s">
        <v>29</v>
      </c>
      <c r="E5554" s="16" t="s">
        <v>151</v>
      </c>
      <c r="F5554" s="5" t="s">
        <v>4752</v>
      </c>
      <c r="G5554" s="16" t="s">
        <v>35</v>
      </c>
      <c r="H5554" s="16" t="s">
        <v>36</v>
      </c>
      <c r="I5554" s="16"/>
      <c r="J5554" s="16"/>
      <c r="K5554" s="16"/>
      <c r="L5554" s="16"/>
      <c r="M5554" s="16"/>
      <c r="N5554" s="16"/>
      <c r="O5554" s="17" t="s">
        <v>38</v>
      </c>
      <c r="P5554" s="5" t="str">
        <f t="shared" si="122"/>
        <v>Truncate table Z0E4FC;</v>
      </c>
      <c r="Q5554" s="5"/>
      <c r="R5554" s="5"/>
    </row>
    <row r="5555" spans="2:18" x14ac:dyDescent="0.25">
      <c r="B5555" s="19" t="s">
        <v>7222</v>
      </c>
      <c r="C5555" s="16" t="s">
        <v>7116</v>
      </c>
      <c r="D5555" s="16" t="s">
        <v>29</v>
      </c>
      <c r="E5555" s="16" t="s">
        <v>151</v>
      </c>
      <c r="F5555" s="5" t="s">
        <v>4752</v>
      </c>
      <c r="G5555" s="16" t="s">
        <v>35</v>
      </c>
      <c r="H5555" s="16" t="s">
        <v>36</v>
      </c>
      <c r="I5555" s="16"/>
      <c r="J5555" s="16"/>
      <c r="K5555" s="16"/>
      <c r="L5555" s="16"/>
      <c r="M5555" s="16"/>
      <c r="N5555" s="16"/>
      <c r="O5555" s="17" t="s">
        <v>38</v>
      </c>
      <c r="P5555" s="5" t="str">
        <f t="shared" si="122"/>
        <v>Truncate table Z0E4FE;</v>
      </c>
      <c r="Q5555" s="5"/>
      <c r="R5555" s="5"/>
    </row>
    <row r="5556" spans="2:18" x14ac:dyDescent="0.25">
      <c r="B5556" s="19" t="s">
        <v>7223</v>
      </c>
      <c r="C5556" s="16"/>
      <c r="D5556" s="16" t="s">
        <v>29</v>
      </c>
      <c r="E5556" s="16" t="s">
        <v>151</v>
      </c>
      <c r="F5556" s="5" t="s">
        <v>4752</v>
      </c>
      <c r="G5556" s="16" t="s">
        <v>35</v>
      </c>
      <c r="H5556" s="16"/>
      <c r="I5556" s="16"/>
      <c r="J5556" s="16"/>
      <c r="K5556" s="16"/>
      <c r="L5556" s="16"/>
      <c r="M5556" s="16"/>
      <c r="N5556" s="16"/>
      <c r="O5556" s="17"/>
      <c r="P5556" s="5" t="str">
        <f t="shared" si="122"/>
        <v>Truncate table Z0E4G0;</v>
      </c>
      <c r="Q5556" s="5"/>
      <c r="R5556" s="5"/>
    </row>
    <row r="5557" spans="2:18" ht="15.75" thickBot="1" x14ac:dyDescent="0.3">
      <c r="B5557" s="19" t="s">
        <v>7224</v>
      </c>
      <c r="C5557" s="16"/>
      <c r="D5557" s="16" t="s">
        <v>29</v>
      </c>
      <c r="E5557" s="16" t="s">
        <v>151</v>
      </c>
      <c r="F5557" s="5" t="s">
        <v>4752</v>
      </c>
      <c r="G5557" s="16" t="s">
        <v>35</v>
      </c>
      <c r="H5557" s="16"/>
      <c r="I5557" s="16"/>
      <c r="J5557" s="16"/>
      <c r="K5557" s="16"/>
      <c r="L5557" s="16"/>
      <c r="M5557" s="16"/>
      <c r="N5557" s="16"/>
      <c r="O5557" s="17"/>
      <c r="P5557" s="5" t="str">
        <f t="shared" si="122"/>
        <v>Truncate table Z0E4G1;</v>
      </c>
      <c r="Q5557" s="5"/>
      <c r="R5557" s="5"/>
    </row>
    <row r="5558" spans="2:18" x14ac:dyDescent="0.25">
      <c r="B5558" s="53" t="s">
        <v>7225</v>
      </c>
      <c r="C5558" s="16"/>
      <c r="D5558" s="16" t="s">
        <v>29</v>
      </c>
      <c r="E5558" s="16" t="s">
        <v>151</v>
      </c>
      <c r="F5558" s="5" t="s">
        <v>4752</v>
      </c>
      <c r="G5558" s="16" t="s">
        <v>35</v>
      </c>
      <c r="H5558" s="16"/>
      <c r="I5558" s="16"/>
      <c r="J5558" s="16"/>
      <c r="K5558" s="16"/>
      <c r="L5558" s="16"/>
      <c r="M5558" s="16"/>
      <c r="N5558" s="16"/>
      <c r="O5558" s="17"/>
      <c r="P5558" s="5" t="str">
        <f t="shared" si="122"/>
        <v>Truncate table Z0E4G2;</v>
      </c>
      <c r="Q5558" s="5"/>
      <c r="R5558" s="5"/>
    </row>
    <row r="5559" spans="2:18" x14ac:dyDescent="0.25">
      <c r="B5559" s="19" t="s">
        <v>7226</v>
      </c>
      <c r="C5559" s="16"/>
      <c r="D5559" s="16" t="s">
        <v>29</v>
      </c>
      <c r="E5559" s="16" t="s">
        <v>151</v>
      </c>
      <c r="F5559" s="5" t="s">
        <v>4752</v>
      </c>
      <c r="G5559" s="16" t="s">
        <v>35</v>
      </c>
      <c r="H5559" s="16"/>
      <c r="I5559" s="16"/>
      <c r="J5559" s="16"/>
      <c r="K5559" s="16"/>
      <c r="L5559" s="16"/>
      <c r="M5559" s="16"/>
      <c r="N5559" s="16"/>
      <c r="O5559" s="17"/>
      <c r="P5559" s="5" t="str">
        <f t="shared" si="122"/>
        <v>Truncate table Z0E4G3;</v>
      </c>
      <c r="Q5559" s="5"/>
      <c r="R5559" s="5"/>
    </row>
    <row r="5560" spans="2:18" x14ac:dyDescent="0.25">
      <c r="B5560" s="19" t="s">
        <v>7227</v>
      </c>
      <c r="C5560" s="16"/>
      <c r="D5560" s="16" t="s">
        <v>29</v>
      </c>
      <c r="E5560" s="16" t="s">
        <v>151</v>
      </c>
      <c r="F5560" s="5" t="s">
        <v>4752</v>
      </c>
      <c r="G5560" s="16" t="s">
        <v>35</v>
      </c>
      <c r="H5560" s="16"/>
      <c r="I5560" s="16"/>
      <c r="J5560" s="16"/>
      <c r="K5560" s="16"/>
      <c r="L5560" s="16"/>
      <c r="M5560" s="16"/>
      <c r="N5560" s="16"/>
      <c r="O5560" s="17"/>
      <c r="P5560" s="5" t="str">
        <f t="shared" si="122"/>
        <v>Truncate table Z0E4G4;</v>
      </c>
      <c r="Q5560" s="5"/>
      <c r="R5560" s="5"/>
    </row>
    <row r="5561" spans="2:18" x14ac:dyDescent="0.25">
      <c r="B5561" s="19" t="s">
        <v>7228</v>
      </c>
      <c r="C5561" s="16"/>
      <c r="D5561" s="16" t="s">
        <v>29</v>
      </c>
      <c r="E5561" s="16" t="s">
        <v>151</v>
      </c>
      <c r="F5561" s="5" t="s">
        <v>4752</v>
      </c>
      <c r="G5561" s="16" t="s">
        <v>35</v>
      </c>
      <c r="H5561" s="16"/>
      <c r="I5561" s="16"/>
      <c r="J5561" s="16"/>
      <c r="K5561" s="16"/>
      <c r="L5561" s="16"/>
      <c r="M5561" s="16"/>
      <c r="N5561" s="16"/>
      <c r="O5561" s="17"/>
      <c r="P5561" s="5" t="str">
        <f t="shared" si="122"/>
        <v>Truncate table Z0E4G5;</v>
      </c>
      <c r="Q5561" s="5"/>
      <c r="R5561" s="5"/>
    </row>
    <row r="5562" spans="2:18" x14ac:dyDescent="0.25">
      <c r="B5562" s="19" t="s">
        <v>7229</v>
      </c>
      <c r="C5562" s="16"/>
      <c r="D5562" s="16" t="s">
        <v>29</v>
      </c>
      <c r="E5562" s="16" t="s">
        <v>151</v>
      </c>
      <c r="F5562" s="5" t="s">
        <v>4752</v>
      </c>
      <c r="G5562" s="16" t="s">
        <v>35</v>
      </c>
      <c r="H5562" s="16"/>
      <c r="I5562" s="16"/>
      <c r="J5562" s="16"/>
      <c r="K5562" s="16"/>
      <c r="L5562" s="16"/>
      <c r="M5562" s="16"/>
      <c r="N5562" s="16"/>
      <c r="O5562" s="17"/>
      <c r="P5562" s="5" t="str">
        <f t="shared" si="122"/>
        <v>Truncate table Z0E4G6;</v>
      </c>
      <c r="Q5562" s="5"/>
      <c r="R5562" s="5"/>
    </row>
    <row r="5563" spans="2:18" x14ac:dyDescent="0.25">
      <c r="B5563" s="19" t="s">
        <v>7230</v>
      </c>
      <c r="C5563" s="16"/>
      <c r="D5563" s="16" t="s">
        <v>29</v>
      </c>
      <c r="E5563" s="16" t="s">
        <v>151</v>
      </c>
      <c r="F5563" s="5" t="s">
        <v>4752</v>
      </c>
      <c r="G5563" s="16" t="s">
        <v>35</v>
      </c>
      <c r="H5563" s="16"/>
      <c r="I5563" s="16"/>
      <c r="J5563" s="16"/>
      <c r="K5563" s="16"/>
      <c r="L5563" s="16"/>
      <c r="M5563" s="16"/>
      <c r="N5563" s="16"/>
      <c r="O5563" s="17"/>
      <c r="P5563" s="5" t="str">
        <f t="shared" si="122"/>
        <v>Truncate table Z0E4G7;</v>
      </c>
      <c r="Q5563" s="5"/>
      <c r="R5563" s="5"/>
    </row>
    <row r="5564" spans="2:18" x14ac:dyDescent="0.25">
      <c r="B5564" s="19" t="s">
        <v>7231</v>
      </c>
      <c r="C5564" s="16"/>
      <c r="D5564" s="16" t="s">
        <v>29</v>
      </c>
      <c r="E5564" s="16" t="s">
        <v>151</v>
      </c>
      <c r="F5564" s="5" t="s">
        <v>4752</v>
      </c>
      <c r="G5564" s="16" t="s">
        <v>35</v>
      </c>
      <c r="H5564" s="16"/>
      <c r="I5564" s="16"/>
      <c r="J5564" s="16"/>
      <c r="K5564" s="16"/>
      <c r="L5564" s="16"/>
      <c r="M5564" s="16"/>
      <c r="N5564" s="16"/>
      <c r="O5564" s="17"/>
      <c r="P5564" s="5" t="str">
        <f t="shared" si="122"/>
        <v>Truncate table Z0E4G8;</v>
      </c>
      <c r="Q5564" s="5"/>
      <c r="R5564" s="5"/>
    </row>
    <row r="5565" spans="2:18" x14ac:dyDescent="0.25">
      <c r="B5565" s="19" t="s">
        <v>7232</v>
      </c>
      <c r="C5565" s="16"/>
      <c r="D5565" s="16" t="s">
        <v>29</v>
      </c>
      <c r="E5565" s="16" t="s">
        <v>151</v>
      </c>
      <c r="F5565" s="5" t="s">
        <v>4752</v>
      </c>
      <c r="G5565" s="16" t="s">
        <v>35</v>
      </c>
      <c r="H5565" s="16"/>
      <c r="I5565" s="16"/>
      <c r="J5565" s="16"/>
      <c r="K5565" s="16"/>
      <c r="L5565" s="16"/>
      <c r="M5565" s="16"/>
      <c r="N5565" s="16"/>
      <c r="O5565" s="17"/>
      <c r="P5565" s="5" t="str">
        <f t="shared" si="122"/>
        <v>Truncate table Z0E4G9;</v>
      </c>
      <c r="Q5565" s="5"/>
      <c r="R5565" s="5"/>
    </row>
    <row r="5566" spans="2:18" x14ac:dyDescent="0.25">
      <c r="B5566" s="19" t="s">
        <v>7233</v>
      </c>
      <c r="C5566" s="16"/>
      <c r="D5566" s="16" t="s">
        <v>29</v>
      </c>
      <c r="E5566" s="16" t="s">
        <v>151</v>
      </c>
      <c r="F5566" s="5" t="s">
        <v>4752</v>
      </c>
      <c r="G5566" s="16" t="s">
        <v>35</v>
      </c>
      <c r="H5566" s="16"/>
      <c r="I5566" s="16"/>
      <c r="J5566" s="16"/>
      <c r="K5566" s="16"/>
      <c r="L5566" s="16"/>
      <c r="M5566" s="16"/>
      <c r="N5566" s="16"/>
      <c r="O5566" s="17"/>
      <c r="P5566" s="5" t="str">
        <f t="shared" si="122"/>
        <v>Truncate table Z0E4GA;</v>
      </c>
      <c r="Q5566" s="5"/>
      <c r="R5566" s="5"/>
    </row>
    <row r="5567" spans="2:18" x14ac:dyDescent="0.25">
      <c r="B5567" s="19" t="s">
        <v>7234</v>
      </c>
      <c r="C5567" s="16"/>
      <c r="D5567" s="16" t="s">
        <v>29</v>
      </c>
      <c r="E5567" s="16" t="s">
        <v>151</v>
      </c>
      <c r="F5567" s="5" t="s">
        <v>4752</v>
      </c>
      <c r="G5567" s="16" t="s">
        <v>35</v>
      </c>
      <c r="H5567" s="16"/>
      <c r="I5567" s="16"/>
      <c r="J5567" s="16"/>
      <c r="K5567" s="16"/>
      <c r="L5567" s="16"/>
      <c r="M5567" s="16"/>
      <c r="N5567" s="16"/>
      <c r="O5567" s="17"/>
      <c r="P5567" s="5" t="str">
        <f t="shared" si="122"/>
        <v>Truncate table Z0E4GB;</v>
      </c>
      <c r="Q5567" s="5"/>
      <c r="R5567" s="5"/>
    </row>
    <row r="5568" spans="2:18" x14ac:dyDescent="0.25">
      <c r="B5568" s="19" t="s">
        <v>7235</v>
      </c>
      <c r="C5568" s="16" t="s">
        <v>7116</v>
      </c>
      <c r="D5568" s="16" t="s">
        <v>29</v>
      </c>
      <c r="E5568" s="16" t="s">
        <v>151</v>
      </c>
      <c r="F5568" s="5" t="s">
        <v>4752</v>
      </c>
      <c r="G5568" s="16" t="s">
        <v>35</v>
      </c>
      <c r="H5568" s="16" t="s">
        <v>36</v>
      </c>
      <c r="I5568" s="16"/>
      <c r="J5568" s="16"/>
      <c r="K5568" s="16"/>
      <c r="L5568" s="16"/>
      <c r="M5568" s="16"/>
      <c r="N5568" s="16"/>
      <c r="O5568" s="17" t="s">
        <v>38</v>
      </c>
      <c r="P5568" s="5" t="str">
        <f t="shared" si="122"/>
        <v>Truncate table Z0E4GC;</v>
      </c>
      <c r="Q5568" s="5"/>
      <c r="R5568" s="5"/>
    </row>
    <row r="5569" spans="2:18" x14ac:dyDescent="0.25">
      <c r="B5569" s="19" t="s">
        <v>7236</v>
      </c>
      <c r="C5569" s="16" t="s">
        <v>7116</v>
      </c>
      <c r="D5569" s="16" t="s">
        <v>29</v>
      </c>
      <c r="E5569" s="16" t="s">
        <v>151</v>
      </c>
      <c r="F5569" s="5" t="s">
        <v>4752</v>
      </c>
      <c r="G5569" s="16" t="s">
        <v>35</v>
      </c>
      <c r="H5569" s="16" t="s">
        <v>36</v>
      </c>
      <c r="I5569" s="16"/>
      <c r="J5569" s="16"/>
      <c r="K5569" s="16"/>
      <c r="L5569" s="16"/>
      <c r="M5569" s="16"/>
      <c r="N5569" s="16"/>
      <c r="O5569" s="17" t="s">
        <v>38</v>
      </c>
      <c r="P5569" s="5" t="str">
        <f t="shared" si="122"/>
        <v>Truncate table Z0E4GD;</v>
      </c>
      <c r="Q5569" s="5"/>
      <c r="R5569" s="5"/>
    </row>
    <row r="5570" spans="2:18" x14ac:dyDescent="0.25">
      <c r="B5570" s="19" t="s">
        <v>7237</v>
      </c>
      <c r="C5570" s="16" t="s">
        <v>7116</v>
      </c>
      <c r="D5570" s="16" t="s">
        <v>29</v>
      </c>
      <c r="E5570" s="16" t="s">
        <v>151</v>
      </c>
      <c r="F5570" s="5" t="s">
        <v>4752</v>
      </c>
      <c r="G5570" s="16" t="s">
        <v>35</v>
      </c>
      <c r="H5570" s="16" t="s">
        <v>36</v>
      </c>
      <c r="I5570" s="16"/>
      <c r="J5570" s="16"/>
      <c r="K5570" s="16"/>
      <c r="L5570" s="16"/>
      <c r="M5570" s="16"/>
      <c r="N5570" s="16"/>
      <c r="O5570" s="17" t="s">
        <v>38</v>
      </c>
      <c r="P5570" s="5" t="str">
        <f t="shared" si="122"/>
        <v>Truncate table Z0E4GE;</v>
      </c>
      <c r="Q5570" s="5"/>
      <c r="R5570" s="5"/>
    </row>
    <row r="5571" spans="2:18" x14ac:dyDescent="0.25">
      <c r="B5571" s="19" t="s">
        <v>7238</v>
      </c>
      <c r="C5571" s="16"/>
      <c r="D5571" s="16" t="s">
        <v>29</v>
      </c>
      <c r="E5571" s="16" t="s">
        <v>151</v>
      </c>
      <c r="F5571" s="5" t="s">
        <v>4752</v>
      </c>
      <c r="G5571" s="16" t="s">
        <v>35</v>
      </c>
      <c r="H5571" s="16"/>
      <c r="I5571" s="16"/>
      <c r="J5571" s="16"/>
      <c r="K5571" s="16"/>
      <c r="L5571" s="16"/>
      <c r="M5571" s="16"/>
      <c r="N5571" s="16"/>
      <c r="O5571" s="17"/>
      <c r="P5571" s="5" t="str">
        <f t="shared" si="122"/>
        <v>Truncate table Z0E4GF;</v>
      </c>
      <c r="Q5571" s="5"/>
      <c r="R5571" s="5"/>
    </row>
    <row r="5572" spans="2:18" x14ac:dyDescent="0.25">
      <c r="B5572" s="19" t="s">
        <v>7239</v>
      </c>
      <c r="C5572" s="16"/>
      <c r="D5572" s="16" t="s">
        <v>29</v>
      </c>
      <c r="E5572" s="16" t="s">
        <v>151</v>
      </c>
      <c r="F5572" s="5" t="s">
        <v>4752</v>
      </c>
      <c r="G5572" s="16" t="s">
        <v>35</v>
      </c>
      <c r="H5572" s="16"/>
      <c r="I5572" s="16"/>
      <c r="J5572" s="16"/>
      <c r="K5572" s="16"/>
      <c r="L5572" s="16"/>
      <c r="M5572" s="16"/>
      <c r="N5572" s="16"/>
      <c r="O5572" s="17"/>
      <c r="P5572" s="5" t="str">
        <f t="shared" si="122"/>
        <v>Truncate table Z0E4GG;</v>
      </c>
      <c r="Q5572" s="5"/>
      <c r="R5572" s="5"/>
    </row>
    <row r="5573" spans="2:18" x14ac:dyDescent="0.25">
      <c r="B5573" s="19" t="s">
        <v>7240</v>
      </c>
      <c r="C5573" s="16" t="s">
        <v>7116</v>
      </c>
      <c r="D5573" s="16" t="s">
        <v>29</v>
      </c>
      <c r="E5573" s="16" t="s">
        <v>151</v>
      </c>
      <c r="F5573" s="5" t="s">
        <v>4752</v>
      </c>
      <c r="G5573" s="16" t="s">
        <v>35</v>
      </c>
      <c r="H5573" s="16" t="s">
        <v>36</v>
      </c>
      <c r="I5573" s="16"/>
      <c r="J5573" s="16"/>
      <c r="K5573" s="16"/>
      <c r="L5573" s="16"/>
      <c r="M5573" s="16"/>
      <c r="N5573" s="16"/>
      <c r="O5573" s="17" t="s">
        <v>38</v>
      </c>
      <c r="P5573" s="5" t="str">
        <f t="shared" si="122"/>
        <v>Truncate table Z0E4GH;</v>
      </c>
      <c r="Q5573" s="5"/>
      <c r="R5573" s="5"/>
    </row>
    <row r="5574" spans="2:18" x14ac:dyDescent="0.25">
      <c r="B5574" s="19" t="s">
        <v>7241</v>
      </c>
      <c r="C5574" s="16" t="s">
        <v>7116</v>
      </c>
      <c r="D5574" s="16" t="s">
        <v>29</v>
      </c>
      <c r="E5574" s="16" t="s">
        <v>151</v>
      </c>
      <c r="F5574" s="5" t="s">
        <v>4752</v>
      </c>
      <c r="G5574" s="16" t="s">
        <v>35</v>
      </c>
      <c r="H5574" s="16" t="s">
        <v>36</v>
      </c>
      <c r="I5574" s="16"/>
      <c r="J5574" s="16"/>
      <c r="K5574" s="16"/>
      <c r="L5574" s="16"/>
      <c r="M5574" s="16"/>
      <c r="N5574" s="16"/>
      <c r="O5574" s="17" t="s">
        <v>38</v>
      </c>
      <c r="P5574" s="5" t="str">
        <f t="shared" si="122"/>
        <v>Truncate table Z0E4GI;</v>
      </c>
      <c r="Q5574" s="5"/>
      <c r="R5574" s="5"/>
    </row>
    <row r="5575" spans="2:18" x14ac:dyDescent="0.25">
      <c r="B5575" s="19" t="s">
        <v>7242</v>
      </c>
      <c r="C5575" s="16"/>
      <c r="D5575" s="16" t="s">
        <v>29</v>
      </c>
      <c r="E5575" s="16" t="s">
        <v>151</v>
      </c>
      <c r="F5575" s="5" t="s">
        <v>4752</v>
      </c>
      <c r="G5575" s="16" t="s">
        <v>35</v>
      </c>
      <c r="H5575" s="16"/>
      <c r="I5575" s="16"/>
      <c r="J5575" s="16"/>
      <c r="K5575" s="16"/>
      <c r="L5575" s="16"/>
      <c r="M5575" s="16"/>
      <c r="N5575" s="16"/>
      <c r="O5575" s="17"/>
      <c r="P5575" s="5" t="str">
        <f t="shared" si="122"/>
        <v>Truncate table Z0E4GJ;</v>
      </c>
      <c r="Q5575" s="5"/>
      <c r="R5575" s="5"/>
    </row>
    <row r="5576" spans="2:18" x14ac:dyDescent="0.25">
      <c r="B5576" s="19" t="s">
        <v>7243</v>
      </c>
      <c r="C5576" s="16" t="s">
        <v>7116</v>
      </c>
      <c r="D5576" s="16" t="s">
        <v>29</v>
      </c>
      <c r="E5576" s="16" t="s">
        <v>151</v>
      </c>
      <c r="F5576" s="5" t="s">
        <v>4752</v>
      </c>
      <c r="G5576" s="16" t="s">
        <v>35</v>
      </c>
      <c r="H5576" s="16" t="s">
        <v>36</v>
      </c>
      <c r="I5576" s="16"/>
      <c r="J5576" s="16"/>
      <c r="K5576" s="16"/>
      <c r="L5576" s="16"/>
      <c r="M5576" s="16"/>
      <c r="N5576" s="16"/>
      <c r="O5576" s="17" t="s">
        <v>38</v>
      </c>
      <c r="P5576" s="5" t="str">
        <f t="shared" si="122"/>
        <v>Truncate table Z0E4GK;</v>
      </c>
      <c r="Q5576" s="5"/>
      <c r="R5576" s="5"/>
    </row>
    <row r="5577" spans="2:18" x14ac:dyDescent="0.25">
      <c r="B5577" s="19" t="s">
        <v>7244</v>
      </c>
      <c r="C5577" s="16"/>
      <c r="D5577" s="16" t="s">
        <v>29</v>
      </c>
      <c r="E5577" s="16" t="s">
        <v>151</v>
      </c>
      <c r="F5577" s="5" t="s">
        <v>4752</v>
      </c>
      <c r="G5577" s="16" t="s">
        <v>35</v>
      </c>
      <c r="H5577" s="16"/>
      <c r="I5577" s="16"/>
      <c r="J5577" s="16"/>
      <c r="K5577" s="16"/>
      <c r="L5577" s="16"/>
      <c r="M5577" s="16"/>
      <c r="N5577" s="16"/>
      <c r="O5577" s="17"/>
      <c r="P5577" s="5" t="str">
        <f t="shared" si="122"/>
        <v>Truncate table Z0E4GL;</v>
      </c>
      <c r="Q5577" s="5"/>
      <c r="R5577" s="5"/>
    </row>
    <row r="5578" spans="2:18" x14ac:dyDescent="0.25">
      <c r="B5578" s="19" t="s">
        <v>7245</v>
      </c>
      <c r="C5578" s="16" t="s">
        <v>7116</v>
      </c>
      <c r="D5578" s="16" t="s">
        <v>29</v>
      </c>
      <c r="E5578" s="16" t="s">
        <v>151</v>
      </c>
      <c r="F5578" s="5" t="s">
        <v>4752</v>
      </c>
      <c r="G5578" s="16" t="s">
        <v>35</v>
      </c>
      <c r="H5578" s="16" t="s">
        <v>36</v>
      </c>
      <c r="I5578" s="16"/>
      <c r="J5578" s="16"/>
      <c r="K5578" s="16"/>
      <c r="L5578" s="16"/>
      <c r="M5578" s="16"/>
      <c r="N5578" s="16"/>
      <c r="O5578" s="17" t="s">
        <v>38</v>
      </c>
      <c r="P5578" s="5" t="str">
        <f t="shared" si="122"/>
        <v>Truncate table Z0E4GM;</v>
      </c>
      <c r="Q5578" s="5"/>
      <c r="R5578" s="5"/>
    </row>
    <row r="5579" spans="2:18" x14ac:dyDescent="0.25">
      <c r="B5579" s="19" t="s">
        <v>7246</v>
      </c>
      <c r="C5579" s="16" t="s">
        <v>7116</v>
      </c>
      <c r="D5579" s="16" t="s">
        <v>29</v>
      </c>
      <c r="E5579" s="16" t="s">
        <v>151</v>
      </c>
      <c r="F5579" s="5" t="s">
        <v>4752</v>
      </c>
      <c r="G5579" s="16" t="s">
        <v>35</v>
      </c>
      <c r="H5579" s="16" t="s">
        <v>36</v>
      </c>
      <c r="I5579" s="16"/>
      <c r="J5579" s="16"/>
      <c r="K5579" s="16"/>
      <c r="L5579" s="16"/>
      <c r="M5579" s="16"/>
      <c r="N5579" s="16"/>
      <c r="O5579" s="17" t="s">
        <v>38</v>
      </c>
      <c r="P5579" s="5" t="str">
        <f t="shared" si="122"/>
        <v>Truncate table Z0E4GN;</v>
      </c>
      <c r="Q5579" s="5"/>
      <c r="R5579" s="5"/>
    </row>
    <row r="5580" spans="2:18" x14ac:dyDescent="0.25">
      <c r="B5580" s="19" t="s">
        <v>7247</v>
      </c>
      <c r="C5580" s="16" t="s">
        <v>7116</v>
      </c>
      <c r="D5580" s="16" t="s">
        <v>29</v>
      </c>
      <c r="E5580" s="16" t="s">
        <v>151</v>
      </c>
      <c r="F5580" s="5" t="s">
        <v>4752</v>
      </c>
      <c r="G5580" s="16" t="s">
        <v>35</v>
      </c>
      <c r="H5580" s="16" t="s">
        <v>36</v>
      </c>
      <c r="I5580" s="16"/>
      <c r="J5580" s="16"/>
      <c r="K5580" s="16"/>
      <c r="L5580" s="16"/>
      <c r="M5580" s="16"/>
      <c r="N5580" s="16"/>
      <c r="O5580" s="17" t="s">
        <v>38</v>
      </c>
      <c r="P5580" s="5" t="str">
        <f t="shared" si="122"/>
        <v>Truncate table Z0E4GO;</v>
      </c>
      <c r="Q5580" s="5"/>
      <c r="R5580" s="5"/>
    </row>
    <row r="5581" spans="2:18" x14ac:dyDescent="0.25">
      <c r="B5581" s="19" t="s">
        <v>7248</v>
      </c>
      <c r="C5581" s="16"/>
      <c r="D5581" s="16" t="s">
        <v>29</v>
      </c>
      <c r="E5581" s="16" t="s">
        <v>151</v>
      </c>
      <c r="F5581" s="5" t="s">
        <v>4752</v>
      </c>
      <c r="G5581" s="16" t="s">
        <v>35</v>
      </c>
      <c r="H5581" s="16"/>
      <c r="I5581" s="16"/>
      <c r="J5581" s="16"/>
      <c r="K5581" s="16"/>
      <c r="L5581" s="16"/>
      <c r="M5581" s="16"/>
      <c r="N5581" s="16"/>
      <c r="O5581" s="17"/>
      <c r="P5581" s="5" t="str">
        <f t="shared" si="122"/>
        <v>Truncate table Z0E4GP;</v>
      </c>
      <c r="Q5581" s="5"/>
      <c r="R5581" s="5"/>
    </row>
    <row r="5582" spans="2:18" x14ac:dyDescent="0.25">
      <c r="B5582" s="19" t="s">
        <v>7249</v>
      </c>
      <c r="C5582" s="16"/>
      <c r="D5582" s="16" t="s">
        <v>29</v>
      </c>
      <c r="E5582" s="16" t="s">
        <v>151</v>
      </c>
      <c r="F5582" s="5" t="s">
        <v>4752</v>
      </c>
      <c r="G5582" s="16" t="s">
        <v>35</v>
      </c>
      <c r="H5582" s="16"/>
      <c r="I5582" s="16"/>
      <c r="J5582" s="16"/>
      <c r="K5582" s="16"/>
      <c r="L5582" s="16"/>
      <c r="M5582" s="16"/>
      <c r="N5582" s="16"/>
      <c r="O5582" s="17"/>
      <c r="P5582" s="5" t="str">
        <f t="shared" si="122"/>
        <v>Truncate table Z0E4GQ;</v>
      </c>
      <c r="Q5582" s="5"/>
      <c r="R5582" s="5"/>
    </row>
    <row r="5583" spans="2:18" x14ac:dyDescent="0.25">
      <c r="B5583" s="19" t="s">
        <v>7250</v>
      </c>
      <c r="C5583" s="16"/>
      <c r="D5583" s="16" t="s">
        <v>29</v>
      </c>
      <c r="E5583" s="16" t="s">
        <v>151</v>
      </c>
      <c r="F5583" s="5" t="s">
        <v>4752</v>
      </c>
      <c r="G5583" s="16" t="s">
        <v>35</v>
      </c>
      <c r="H5583" s="16"/>
      <c r="I5583" s="16"/>
      <c r="J5583" s="16"/>
      <c r="K5583" s="16"/>
      <c r="L5583" s="16"/>
      <c r="M5583" s="16"/>
      <c r="N5583" s="16"/>
      <c r="O5583" s="17"/>
      <c r="P5583" s="5" t="str">
        <f t="shared" si="122"/>
        <v>Truncate table Z0E4GR;</v>
      </c>
      <c r="Q5583" s="5"/>
      <c r="R5583" s="5"/>
    </row>
    <row r="5584" spans="2:18" x14ac:dyDescent="0.25">
      <c r="B5584" s="19" t="s">
        <v>7251</v>
      </c>
      <c r="C5584" s="16"/>
      <c r="D5584" s="16" t="s">
        <v>29</v>
      </c>
      <c r="E5584" s="16" t="s">
        <v>151</v>
      </c>
      <c r="F5584" s="5" t="s">
        <v>4752</v>
      </c>
      <c r="G5584" s="16" t="s">
        <v>35</v>
      </c>
      <c r="H5584" s="16"/>
      <c r="I5584" s="16"/>
      <c r="J5584" s="16"/>
      <c r="K5584" s="16"/>
      <c r="L5584" s="16"/>
      <c r="M5584" s="16"/>
      <c r="N5584" s="16"/>
      <c r="O5584" s="17"/>
      <c r="P5584" s="5" t="str">
        <f t="shared" si="122"/>
        <v>Truncate table Z0E4GS;</v>
      </c>
      <c r="Q5584" s="5"/>
      <c r="R5584" s="5"/>
    </row>
    <row r="5585" spans="2:18" x14ac:dyDescent="0.25">
      <c r="B5585" s="19" t="s">
        <v>7252</v>
      </c>
      <c r="C5585" s="16" t="s">
        <v>7116</v>
      </c>
      <c r="D5585" s="16" t="s">
        <v>29</v>
      </c>
      <c r="E5585" s="16" t="s">
        <v>151</v>
      </c>
      <c r="F5585" s="5" t="s">
        <v>4752</v>
      </c>
      <c r="G5585" s="16" t="s">
        <v>35</v>
      </c>
      <c r="H5585" s="16" t="s">
        <v>36</v>
      </c>
      <c r="I5585" s="16"/>
      <c r="J5585" s="16"/>
      <c r="K5585" s="16"/>
      <c r="L5585" s="16"/>
      <c r="M5585" s="16"/>
      <c r="N5585" s="16"/>
      <c r="O5585" s="17" t="s">
        <v>38</v>
      </c>
      <c r="P5585" s="5" t="str">
        <f t="shared" si="122"/>
        <v>Truncate table Z0E4GT;</v>
      </c>
      <c r="Q5585" s="5"/>
      <c r="R5585" s="5"/>
    </row>
    <row r="5586" spans="2:18" x14ac:dyDescent="0.25">
      <c r="B5586" s="19" t="s">
        <v>7253</v>
      </c>
      <c r="C5586" s="16"/>
      <c r="D5586" s="16" t="s">
        <v>29</v>
      </c>
      <c r="E5586" s="16" t="s">
        <v>151</v>
      </c>
      <c r="F5586" s="5" t="s">
        <v>4752</v>
      </c>
      <c r="G5586" s="16" t="s">
        <v>35</v>
      </c>
      <c r="H5586" s="16"/>
      <c r="I5586" s="16"/>
      <c r="J5586" s="16"/>
      <c r="K5586" s="16"/>
      <c r="L5586" s="16"/>
      <c r="M5586" s="16"/>
      <c r="N5586" s="16"/>
      <c r="O5586" s="17"/>
      <c r="P5586" s="5" t="str">
        <f t="shared" si="122"/>
        <v>Truncate table Z0E4GU;</v>
      </c>
      <c r="Q5586" s="5"/>
      <c r="R5586" s="5"/>
    </row>
    <row r="5587" spans="2:18" x14ac:dyDescent="0.25">
      <c r="B5587" s="19" t="s">
        <v>7254</v>
      </c>
      <c r="C5587" s="16"/>
      <c r="D5587" s="16" t="s">
        <v>29</v>
      </c>
      <c r="E5587" s="16" t="s">
        <v>151</v>
      </c>
      <c r="F5587" s="5" t="s">
        <v>4752</v>
      </c>
      <c r="G5587" s="16" t="s">
        <v>35</v>
      </c>
      <c r="H5587" s="16"/>
      <c r="I5587" s="16"/>
      <c r="J5587" s="16"/>
      <c r="K5587" s="16"/>
      <c r="L5587" s="16"/>
      <c r="M5587" s="16"/>
      <c r="N5587" s="16"/>
      <c r="O5587" s="17"/>
      <c r="P5587" s="5" t="str">
        <f t="shared" si="122"/>
        <v>Truncate table Z0E4GV;</v>
      </c>
      <c r="Q5587" s="5"/>
      <c r="R5587" s="5"/>
    </row>
    <row r="5588" spans="2:18" x14ac:dyDescent="0.25">
      <c r="B5588" s="19" t="s">
        <v>7255</v>
      </c>
      <c r="C5588" s="16"/>
      <c r="D5588" s="16" t="s">
        <v>29</v>
      </c>
      <c r="E5588" s="16" t="s">
        <v>151</v>
      </c>
      <c r="F5588" s="5" t="s">
        <v>4752</v>
      </c>
      <c r="G5588" s="16" t="s">
        <v>35</v>
      </c>
      <c r="H5588" s="16"/>
      <c r="I5588" s="16"/>
      <c r="J5588" s="16"/>
      <c r="K5588" s="16"/>
      <c r="L5588" s="16"/>
      <c r="M5588" s="16"/>
      <c r="N5588" s="16"/>
      <c r="O5588" s="17"/>
      <c r="P5588" s="5" t="str">
        <f t="shared" si="122"/>
        <v>Truncate table Z0E4GW;</v>
      </c>
      <c r="Q5588" s="5"/>
      <c r="R5588" s="5"/>
    </row>
    <row r="5589" spans="2:18" x14ac:dyDescent="0.25">
      <c r="B5589" s="19" t="s">
        <v>7256</v>
      </c>
      <c r="C5589" s="16"/>
      <c r="D5589" s="16" t="s">
        <v>29</v>
      </c>
      <c r="E5589" s="16" t="s">
        <v>151</v>
      </c>
      <c r="F5589" s="5" t="s">
        <v>4752</v>
      </c>
      <c r="G5589" s="16" t="s">
        <v>35</v>
      </c>
      <c r="H5589" s="16"/>
      <c r="I5589" s="16"/>
      <c r="J5589" s="16"/>
      <c r="K5589" s="16"/>
      <c r="L5589" s="16"/>
      <c r="M5589" s="16"/>
      <c r="N5589" s="16"/>
      <c r="O5589" s="17"/>
      <c r="P5589" s="5" t="str">
        <f t="shared" si="122"/>
        <v>Truncate table Z0E4GX;</v>
      </c>
      <c r="Q5589" s="5"/>
      <c r="R5589" s="5"/>
    </row>
    <row r="5590" spans="2:18" x14ac:dyDescent="0.25">
      <c r="B5590" s="19" t="s">
        <v>7257</v>
      </c>
      <c r="C5590" s="16"/>
      <c r="D5590" s="16" t="s">
        <v>29</v>
      </c>
      <c r="E5590" s="16" t="s">
        <v>151</v>
      </c>
      <c r="F5590" s="5" t="s">
        <v>4752</v>
      </c>
      <c r="G5590" s="16" t="s">
        <v>35</v>
      </c>
      <c r="H5590" s="16"/>
      <c r="I5590" s="16"/>
      <c r="J5590" s="16"/>
      <c r="K5590" s="16"/>
      <c r="L5590" s="16"/>
      <c r="M5590" s="16"/>
      <c r="N5590" s="16"/>
      <c r="O5590" s="17"/>
      <c r="P5590" s="5" t="str">
        <f t="shared" ref="P5590:P5653" si="123">IF(D5590="Datos","Truncate table "&amp; B5590&amp; ";","")</f>
        <v>Truncate table Z0E4GY;</v>
      </c>
      <c r="Q5590" s="5"/>
      <c r="R5590" s="5"/>
    </row>
    <row r="5591" spans="2:18" x14ac:dyDescent="0.25">
      <c r="B5591" s="19" t="s">
        <v>7258</v>
      </c>
      <c r="C5591" s="16"/>
      <c r="D5591" s="16" t="s">
        <v>29</v>
      </c>
      <c r="E5591" s="16" t="s">
        <v>151</v>
      </c>
      <c r="F5591" s="5" t="s">
        <v>4752</v>
      </c>
      <c r="G5591" s="16" t="s">
        <v>35</v>
      </c>
      <c r="H5591" s="16"/>
      <c r="I5591" s="16"/>
      <c r="J5591" s="16"/>
      <c r="K5591" s="16"/>
      <c r="L5591" s="16"/>
      <c r="M5591" s="16"/>
      <c r="N5591" s="16"/>
      <c r="O5591" s="17"/>
      <c r="P5591" s="5" t="str">
        <f t="shared" si="123"/>
        <v>Truncate table Z0E4GZ;</v>
      </c>
      <c r="Q5591" s="5"/>
      <c r="R5591" s="5"/>
    </row>
    <row r="5592" spans="2:18" x14ac:dyDescent="0.25">
      <c r="B5592" s="19" t="s">
        <v>7259</v>
      </c>
      <c r="C5592" s="16"/>
      <c r="D5592" s="16" t="s">
        <v>29</v>
      </c>
      <c r="E5592" s="16" t="s">
        <v>151</v>
      </c>
      <c r="F5592" s="5" t="s">
        <v>4752</v>
      </c>
      <c r="G5592" s="16" t="s">
        <v>35</v>
      </c>
      <c r="H5592" s="16"/>
      <c r="I5592" s="16"/>
      <c r="J5592" s="16"/>
      <c r="K5592" s="16"/>
      <c r="L5592" s="16"/>
      <c r="M5592" s="16"/>
      <c r="N5592" s="16"/>
      <c r="O5592" s="17"/>
      <c r="P5592" s="5" t="str">
        <f t="shared" si="123"/>
        <v>Truncate table Z0E4H4;</v>
      </c>
      <c r="Q5592" s="5"/>
      <c r="R5592" s="5"/>
    </row>
    <row r="5593" spans="2:18" x14ac:dyDescent="0.25">
      <c r="B5593" s="19" t="s">
        <v>7260</v>
      </c>
      <c r="C5593" s="16"/>
      <c r="D5593" s="16" t="s">
        <v>29</v>
      </c>
      <c r="E5593" s="16" t="s">
        <v>151</v>
      </c>
      <c r="F5593" s="5" t="s">
        <v>4752</v>
      </c>
      <c r="G5593" s="16" t="s">
        <v>35</v>
      </c>
      <c r="H5593" s="16"/>
      <c r="I5593" s="16"/>
      <c r="J5593" s="16"/>
      <c r="K5593" s="16"/>
      <c r="L5593" s="16"/>
      <c r="M5593" s="16"/>
      <c r="N5593" s="16"/>
      <c r="O5593" s="17"/>
      <c r="P5593" s="5" t="str">
        <f t="shared" si="123"/>
        <v>Truncate table Z0E4I0;</v>
      </c>
      <c r="Q5593" s="5"/>
      <c r="R5593" s="5"/>
    </row>
    <row r="5594" spans="2:18" x14ac:dyDescent="0.25">
      <c r="B5594" s="19" t="s">
        <v>7261</v>
      </c>
      <c r="C5594" s="16"/>
      <c r="D5594" s="16" t="s">
        <v>29</v>
      </c>
      <c r="E5594" s="16" t="s">
        <v>151</v>
      </c>
      <c r="F5594" s="5" t="s">
        <v>4752</v>
      </c>
      <c r="G5594" s="16" t="s">
        <v>35</v>
      </c>
      <c r="H5594" s="16"/>
      <c r="I5594" s="16"/>
      <c r="J5594" s="16"/>
      <c r="K5594" s="16"/>
      <c r="L5594" s="16"/>
      <c r="M5594" s="16"/>
      <c r="N5594" s="16"/>
      <c r="O5594" s="17"/>
      <c r="P5594" s="5" t="str">
        <f t="shared" si="123"/>
        <v>Truncate table Z0E4I1;</v>
      </c>
      <c r="Q5594" s="5"/>
      <c r="R5594" s="5"/>
    </row>
    <row r="5595" spans="2:18" x14ac:dyDescent="0.25">
      <c r="B5595" s="19" t="s">
        <v>7262</v>
      </c>
      <c r="C5595" s="16"/>
      <c r="D5595" s="16" t="s">
        <v>29</v>
      </c>
      <c r="E5595" s="16" t="s">
        <v>151</v>
      </c>
      <c r="F5595" s="5" t="s">
        <v>4752</v>
      </c>
      <c r="G5595" s="16" t="s">
        <v>35</v>
      </c>
      <c r="H5595" s="16"/>
      <c r="I5595" s="16"/>
      <c r="J5595" s="16"/>
      <c r="K5595" s="16"/>
      <c r="L5595" s="16"/>
      <c r="M5595" s="16"/>
      <c r="N5595" s="16"/>
      <c r="O5595" s="17"/>
      <c r="P5595" s="5" t="str">
        <f t="shared" si="123"/>
        <v>Truncate table Z0E4I2;</v>
      </c>
      <c r="Q5595" s="5"/>
      <c r="R5595" s="5"/>
    </row>
    <row r="5596" spans="2:18" x14ac:dyDescent="0.25">
      <c r="B5596" s="19" t="s">
        <v>7263</v>
      </c>
      <c r="C5596" s="16"/>
      <c r="D5596" s="16" t="s">
        <v>29</v>
      </c>
      <c r="E5596" s="16" t="s">
        <v>151</v>
      </c>
      <c r="F5596" s="5" t="s">
        <v>4752</v>
      </c>
      <c r="G5596" s="16" t="s">
        <v>35</v>
      </c>
      <c r="H5596" s="16"/>
      <c r="I5596" s="16"/>
      <c r="J5596" s="16"/>
      <c r="K5596" s="16"/>
      <c r="L5596" s="16"/>
      <c r="M5596" s="16"/>
      <c r="N5596" s="16"/>
      <c r="O5596" s="17"/>
      <c r="P5596" s="5" t="str">
        <f t="shared" si="123"/>
        <v>Truncate table Z0E4I3;</v>
      </c>
      <c r="Q5596" s="5"/>
      <c r="R5596" s="5"/>
    </row>
    <row r="5597" spans="2:18" x14ac:dyDescent="0.25">
      <c r="B5597" s="19" t="s">
        <v>7264</v>
      </c>
      <c r="C5597" s="16"/>
      <c r="D5597" s="16" t="s">
        <v>29</v>
      </c>
      <c r="E5597" s="16" t="s">
        <v>151</v>
      </c>
      <c r="F5597" s="5" t="s">
        <v>4752</v>
      </c>
      <c r="G5597" s="16" t="s">
        <v>35</v>
      </c>
      <c r="H5597" s="16"/>
      <c r="I5597" s="16"/>
      <c r="J5597" s="16"/>
      <c r="K5597" s="16"/>
      <c r="L5597" s="16"/>
      <c r="M5597" s="16"/>
      <c r="N5597" s="16"/>
      <c r="O5597" s="17"/>
      <c r="P5597" s="5" t="str">
        <f t="shared" si="123"/>
        <v>Truncate table Z0E4I4;</v>
      </c>
      <c r="Q5597" s="5"/>
      <c r="R5597" s="5"/>
    </row>
    <row r="5598" spans="2:18" x14ac:dyDescent="0.25">
      <c r="B5598" s="19" t="s">
        <v>7265</v>
      </c>
      <c r="C5598" s="16"/>
      <c r="D5598" s="16" t="s">
        <v>29</v>
      </c>
      <c r="E5598" s="16" t="s">
        <v>151</v>
      </c>
      <c r="F5598" s="5" t="s">
        <v>4752</v>
      </c>
      <c r="G5598" s="16" t="s">
        <v>35</v>
      </c>
      <c r="H5598" s="16"/>
      <c r="I5598" s="16"/>
      <c r="J5598" s="16"/>
      <c r="K5598" s="16"/>
      <c r="L5598" s="16"/>
      <c r="M5598" s="16"/>
      <c r="N5598" s="16"/>
      <c r="O5598" s="17"/>
      <c r="P5598" s="5" t="str">
        <f t="shared" si="123"/>
        <v>Truncate table Z0E4IC;</v>
      </c>
      <c r="Q5598" s="5"/>
      <c r="R5598" s="5"/>
    </row>
    <row r="5599" spans="2:18" x14ac:dyDescent="0.25">
      <c r="B5599" s="19" t="s">
        <v>7266</v>
      </c>
      <c r="C5599" s="16"/>
      <c r="D5599" s="16" t="s">
        <v>29</v>
      </c>
      <c r="E5599" s="16" t="s">
        <v>151</v>
      </c>
      <c r="F5599" s="5" t="s">
        <v>4752</v>
      </c>
      <c r="G5599" s="16" t="s">
        <v>35</v>
      </c>
      <c r="H5599" s="16"/>
      <c r="I5599" s="16"/>
      <c r="J5599" s="16"/>
      <c r="K5599" s="16"/>
      <c r="L5599" s="16"/>
      <c r="M5599" s="16"/>
      <c r="N5599" s="16"/>
      <c r="O5599" s="17"/>
      <c r="P5599" s="5" t="str">
        <f t="shared" si="123"/>
        <v>Truncate table Z0E4P0;</v>
      </c>
      <c r="Q5599" s="5"/>
      <c r="R5599" s="5"/>
    </row>
    <row r="5600" spans="2:18" x14ac:dyDescent="0.25">
      <c r="B5600" s="19" t="s">
        <v>7267</v>
      </c>
      <c r="C5600" s="16"/>
      <c r="D5600" s="16" t="s">
        <v>29</v>
      </c>
      <c r="E5600" s="16" t="s">
        <v>151</v>
      </c>
      <c r="F5600" s="5" t="s">
        <v>4752</v>
      </c>
      <c r="G5600" s="16" t="s">
        <v>35</v>
      </c>
      <c r="H5600" s="16"/>
      <c r="I5600" s="16"/>
      <c r="J5600" s="16"/>
      <c r="K5600" s="16"/>
      <c r="L5600" s="16"/>
      <c r="M5600" s="16"/>
      <c r="N5600" s="16"/>
      <c r="O5600" s="17"/>
      <c r="P5600" s="5" t="str">
        <f t="shared" si="123"/>
        <v>Truncate table Z0E4P1;</v>
      </c>
      <c r="Q5600" s="5"/>
      <c r="R5600" s="5"/>
    </row>
    <row r="5601" spans="2:18" x14ac:dyDescent="0.25">
      <c r="B5601" s="19" t="s">
        <v>7268</v>
      </c>
      <c r="C5601" s="16"/>
      <c r="D5601" s="16" t="s">
        <v>29</v>
      </c>
      <c r="E5601" s="16" t="s">
        <v>151</v>
      </c>
      <c r="F5601" s="5" t="s">
        <v>4752</v>
      </c>
      <c r="G5601" s="16" t="s">
        <v>35</v>
      </c>
      <c r="H5601" s="16"/>
      <c r="I5601" s="16"/>
      <c r="J5601" s="16"/>
      <c r="K5601" s="16"/>
      <c r="L5601" s="16"/>
      <c r="M5601" s="16"/>
      <c r="N5601" s="16"/>
      <c r="O5601" s="17"/>
      <c r="P5601" s="5" t="str">
        <f t="shared" si="123"/>
        <v>Truncate table Z0E4P2;</v>
      </c>
      <c r="Q5601" s="5"/>
      <c r="R5601" s="5"/>
    </row>
    <row r="5602" spans="2:18" x14ac:dyDescent="0.25">
      <c r="B5602" s="19" t="s">
        <v>7269</v>
      </c>
      <c r="C5602" s="16"/>
      <c r="D5602" s="16" t="s">
        <v>29</v>
      </c>
      <c r="E5602" s="16" t="s">
        <v>151</v>
      </c>
      <c r="F5602" s="5" t="s">
        <v>4752</v>
      </c>
      <c r="G5602" s="16" t="s">
        <v>35</v>
      </c>
      <c r="H5602" s="16"/>
      <c r="I5602" s="16"/>
      <c r="J5602" s="16"/>
      <c r="K5602" s="16"/>
      <c r="L5602" s="16"/>
      <c r="M5602" s="16"/>
      <c r="N5602" s="16"/>
      <c r="O5602" s="17"/>
      <c r="P5602" s="5" t="str">
        <f t="shared" si="123"/>
        <v>Truncate table Z0E4P3;</v>
      </c>
      <c r="Q5602" s="5"/>
      <c r="R5602" s="5"/>
    </row>
    <row r="5603" spans="2:18" x14ac:dyDescent="0.25">
      <c r="B5603" s="19" t="s">
        <v>7270</v>
      </c>
      <c r="C5603" s="16"/>
      <c r="D5603" s="16" t="s">
        <v>29</v>
      </c>
      <c r="E5603" s="16" t="s">
        <v>151</v>
      </c>
      <c r="F5603" s="5" t="s">
        <v>4752</v>
      </c>
      <c r="G5603" s="16" t="s">
        <v>35</v>
      </c>
      <c r="H5603" s="16"/>
      <c r="I5603" s="16"/>
      <c r="J5603" s="16"/>
      <c r="K5603" s="16"/>
      <c r="L5603" s="16"/>
      <c r="M5603" s="16"/>
      <c r="N5603" s="16"/>
      <c r="O5603" s="17"/>
      <c r="P5603" s="5" t="str">
        <f t="shared" si="123"/>
        <v>Truncate table Z0E4P4;</v>
      </c>
      <c r="Q5603" s="5"/>
      <c r="R5603" s="5"/>
    </row>
    <row r="5604" spans="2:18" x14ac:dyDescent="0.25">
      <c r="B5604" s="19" t="s">
        <v>7271</v>
      </c>
      <c r="C5604" s="16"/>
      <c r="D5604" s="16" t="s">
        <v>29</v>
      </c>
      <c r="E5604" s="16" t="s">
        <v>151</v>
      </c>
      <c r="F5604" s="5" t="s">
        <v>4752</v>
      </c>
      <c r="G5604" s="16" t="s">
        <v>35</v>
      </c>
      <c r="H5604" s="16"/>
      <c r="I5604" s="16"/>
      <c r="J5604" s="16"/>
      <c r="K5604" s="16"/>
      <c r="L5604" s="16"/>
      <c r="M5604" s="16"/>
      <c r="N5604" s="16"/>
      <c r="O5604" s="17"/>
      <c r="P5604" s="5" t="str">
        <f t="shared" si="123"/>
        <v>Truncate table Z0E4P5;</v>
      </c>
      <c r="Q5604" s="5"/>
      <c r="R5604" s="5"/>
    </row>
    <row r="5605" spans="2:18" x14ac:dyDescent="0.25">
      <c r="B5605" s="19" t="s">
        <v>7272</v>
      </c>
      <c r="C5605" s="16"/>
      <c r="D5605" s="16" t="s">
        <v>29</v>
      </c>
      <c r="E5605" s="16" t="s">
        <v>151</v>
      </c>
      <c r="F5605" s="5" t="s">
        <v>4752</v>
      </c>
      <c r="G5605" s="16" t="s">
        <v>35</v>
      </c>
      <c r="H5605" s="16"/>
      <c r="I5605" s="16"/>
      <c r="J5605" s="16"/>
      <c r="K5605" s="16"/>
      <c r="L5605" s="16"/>
      <c r="M5605" s="16"/>
      <c r="N5605" s="16"/>
      <c r="O5605" s="17"/>
      <c r="P5605" s="5" t="str">
        <f t="shared" si="123"/>
        <v>Truncate table Z0E4P6;</v>
      </c>
      <c r="Q5605" s="5"/>
      <c r="R5605" s="5"/>
    </row>
    <row r="5606" spans="2:18" x14ac:dyDescent="0.25">
      <c r="B5606" s="19" t="s">
        <v>7273</v>
      </c>
      <c r="C5606" s="16"/>
      <c r="D5606" s="16" t="s">
        <v>29</v>
      </c>
      <c r="E5606" s="16" t="s">
        <v>151</v>
      </c>
      <c r="F5606" s="5" t="s">
        <v>4752</v>
      </c>
      <c r="G5606" s="16" t="s">
        <v>35</v>
      </c>
      <c r="H5606" s="16"/>
      <c r="I5606" s="16"/>
      <c r="J5606" s="16"/>
      <c r="K5606" s="16"/>
      <c r="L5606" s="16"/>
      <c r="M5606" s="16"/>
      <c r="N5606" s="16"/>
      <c r="O5606" s="17"/>
      <c r="P5606" s="5" t="str">
        <f t="shared" si="123"/>
        <v>Truncate table Z0E4P7;</v>
      </c>
      <c r="Q5606" s="5"/>
      <c r="R5606" s="5"/>
    </row>
    <row r="5607" spans="2:18" x14ac:dyDescent="0.25">
      <c r="B5607" s="19" t="s">
        <v>7274</v>
      </c>
      <c r="C5607" s="16"/>
      <c r="D5607" s="16" t="s">
        <v>29</v>
      </c>
      <c r="E5607" s="16" t="s">
        <v>151</v>
      </c>
      <c r="F5607" s="5" t="s">
        <v>4752</v>
      </c>
      <c r="G5607" s="16" t="s">
        <v>35</v>
      </c>
      <c r="H5607" s="16"/>
      <c r="I5607" s="16"/>
      <c r="J5607" s="16"/>
      <c r="K5607" s="16"/>
      <c r="L5607" s="16"/>
      <c r="M5607" s="16"/>
      <c r="N5607" s="16"/>
      <c r="O5607" s="17"/>
      <c r="P5607" s="5" t="str">
        <f t="shared" si="123"/>
        <v>Truncate table Z0E4P8;</v>
      </c>
      <c r="Q5607" s="5"/>
      <c r="R5607" s="5"/>
    </row>
    <row r="5608" spans="2:18" x14ac:dyDescent="0.25">
      <c r="B5608" s="19" t="s">
        <v>7275</v>
      </c>
      <c r="C5608" s="16"/>
      <c r="D5608" s="16" t="s">
        <v>29</v>
      </c>
      <c r="E5608" s="16" t="s">
        <v>151</v>
      </c>
      <c r="F5608" s="5" t="s">
        <v>4752</v>
      </c>
      <c r="G5608" s="16" t="s">
        <v>35</v>
      </c>
      <c r="H5608" s="16"/>
      <c r="I5608" s="16"/>
      <c r="J5608" s="16"/>
      <c r="K5608" s="16"/>
      <c r="L5608" s="16"/>
      <c r="M5608" s="16"/>
      <c r="N5608" s="16"/>
      <c r="O5608" s="17"/>
      <c r="P5608" s="5" t="str">
        <f t="shared" si="123"/>
        <v>Truncate table Z0E4P9;</v>
      </c>
      <c r="Q5608" s="5"/>
      <c r="R5608" s="5"/>
    </row>
    <row r="5609" spans="2:18" x14ac:dyDescent="0.25">
      <c r="B5609" s="19" t="s">
        <v>7276</v>
      </c>
      <c r="C5609" s="16"/>
      <c r="D5609" s="16" t="s">
        <v>29</v>
      </c>
      <c r="E5609" s="16" t="s">
        <v>151</v>
      </c>
      <c r="F5609" s="5" t="s">
        <v>4752</v>
      </c>
      <c r="G5609" s="16" t="s">
        <v>35</v>
      </c>
      <c r="H5609" s="16"/>
      <c r="I5609" s="16"/>
      <c r="J5609" s="16"/>
      <c r="K5609" s="16"/>
      <c r="L5609" s="16"/>
      <c r="M5609" s="16"/>
      <c r="N5609" s="16"/>
      <c r="O5609" s="17"/>
      <c r="P5609" s="5" t="str">
        <f t="shared" si="123"/>
        <v>Truncate table Z0E4PA;</v>
      </c>
      <c r="Q5609" s="5"/>
      <c r="R5609" s="5"/>
    </row>
    <row r="5610" spans="2:18" x14ac:dyDescent="0.25">
      <c r="B5610" s="19" t="s">
        <v>7277</v>
      </c>
      <c r="C5610" s="16"/>
      <c r="D5610" s="16" t="s">
        <v>29</v>
      </c>
      <c r="E5610" s="16" t="s">
        <v>151</v>
      </c>
      <c r="F5610" s="5" t="s">
        <v>4752</v>
      </c>
      <c r="G5610" s="16" t="s">
        <v>35</v>
      </c>
      <c r="H5610" s="16"/>
      <c r="I5610" s="16"/>
      <c r="J5610" s="16"/>
      <c r="K5610" s="16"/>
      <c r="L5610" s="16"/>
      <c r="M5610" s="16"/>
      <c r="N5610" s="16"/>
      <c r="O5610" s="17"/>
      <c r="P5610" s="5" t="str">
        <f t="shared" si="123"/>
        <v>Truncate table Z0E4PB;</v>
      </c>
      <c r="Q5610" s="5"/>
      <c r="R5610" s="5"/>
    </row>
    <row r="5611" spans="2:18" x14ac:dyDescent="0.25">
      <c r="B5611" s="19" t="s">
        <v>7278</v>
      </c>
      <c r="C5611" s="16"/>
      <c r="D5611" s="16" t="s">
        <v>29</v>
      </c>
      <c r="E5611" s="16" t="s">
        <v>151</v>
      </c>
      <c r="F5611" s="5" t="s">
        <v>4752</v>
      </c>
      <c r="G5611" s="16" t="s">
        <v>35</v>
      </c>
      <c r="H5611" s="16"/>
      <c r="I5611" s="16"/>
      <c r="J5611" s="16"/>
      <c r="K5611" s="16"/>
      <c r="L5611" s="16"/>
      <c r="M5611" s="16"/>
      <c r="N5611" s="16"/>
      <c r="O5611" s="17"/>
      <c r="P5611" s="5" t="str">
        <f t="shared" si="123"/>
        <v>Truncate table Z0E4PC;</v>
      </c>
      <c r="Q5611" s="5"/>
      <c r="R5611" s="5"/>
    </row>
    <row r="5612" spans="2:18" x14ac:dyDescent="0.25">
      <c r="B5612" s="19" t="s">
        <v>7279</v>
      </c>
      <c r="C5612" s="16"/>
      <c r="D5612" s="16" t="s">
        <v>29</v>
      </c>
      <c r="E5612" s="16" t="s">
        <v>151</v>
      </c>
      <c r="F5612" s="5" t="s">
        <v>4752</v>
      </c>
      <c r="G5612" s="16" t="s">
        <v>35</v>
      </c>
      <c r="H5612" s="16"/>
      <c r="I5612" s="16"/>
      <c r="J5612" s="16"/>
      <c r="K5612" s="16"/>
      <c r="L5612" s="16"/>
      <c r="M5612" s="16"/>
      <c r="N5612" s="16"/>
      <c r="O5612" s="17"/>
      <c r="P5612" s="5" t="str">
        <f t="shared" si="123"/>
        <v>Truncate table Z0E4PD;</v>
      </c>
      <c r="Q5612" s="5"/>
      <c r="R5612" s="5"/>
    </row>
    <row r="5613" spans="2:18" x14ac:dyDescent="0.25">
      <c r="B5613" s="19" t="s">
        <v>7280</v>
      </c>
      <c r="C5613" s="16"/>
      <c r="D5613" s="16" t="s">
        <v>29</v>
      </c>
      <c r="E5613" s="16" t="s">
        <v>151</v>
      </c>
      <c r="F5613" s="5" t="s">
        <v>4752</v>
      </c>
      <c r="G5613" s="16" t="s">
        <v>35</v>
      </c>
      <c r="H5613" s="16"/>
      <c r="I5613" s="16"/>
      <c r="J5613" s="16"/>
      <c r="K5613" s="16"/>
      <c r="L5613" s="16"/>
      <c r="M5613" s="16"/>
      <c r="N5613" s="16"/>
      <c r="O5613" s="17"/>
      <c r="P5613" s="5" t="str">
        <f t="shared" si="123"/>
        <v>Truncate table Z0E4PE;</v>
      </c>
      <c r="Q5613" s="5"/>
      <c r="R5613" s="5"/>
    </row>
    <row r="5614" spans="2:18" x14ac:dyDescent="0.25">
      <c r="B5614" s="19" t="s">
        <v>7281</v>
      </c>
      <c r="C5614" s="16"/>
      <c r="D5614" s="16" t="s">
        <v>29</v>
      </c>
      <c r="E5614" s="16" t="s">
        <v>151</v>
      </c>
      <c r="F5614" s="5" t="s">
        <v>4752</v>
      </c>
      <c r="G5614" s="16" t="s">
        <v>35</v>
      </c>
      <c r="H5614" s="16"/>
      <c r="I5614" s="16"/>
      <c r="J5614" s="16"/>
      <c r="K5614" s="16"/>
      <c r="L5614" s="16"/>
      <c r="M5614" s="16"/>
      <c r="N5614" s="16"/>
      <c r="O5614" s="17"/>
      <c r="P5614" s="5" t="str">
        <f t="shared" si="123"/>
        <v>Truncate table Z0E4PF;</v>
      </c>
      <c r="Q5614" s="5"/>
      <c r="R5614" s="5"/>
    </row>
    <row r="5615" spans="2:18" x14ac:dyDescent="0.25">
      <c r="B5615" s="19" t="s">
        <v>7282</v>
      </c>
      <c r="C5615" s="16"/>
      <c r="D5615" s="16" t="s">
        <v>29</v>
      </c>
      <c r="E5615" s="16" t="s">
        <v>151</v>
      </c>
      <c r="F5615" s="5" t="s">
        <v>4752</v>
      </c>
      <c r="G5615" s="16" t="s">
        <v>35</v>
      </c>
      <c r="H5615" s="16"/>
      <c r="I5615" s="16"/>
      <c r="J5615" s="16"/>
      <c r="K5615" s="16"/>
      <c r="L5615" s="16"/>
      <c r="M5615" s="16"/>
      <c r="N5615" s="16"/>
      <c r="O5615" s="17"/>
      <c r="P5615" s="5" t="str">
        <f t="shared" si="123"/>
        <v>Truncate table Z0E4PG;</v>
      </c>
      <c r="Q5615" s="5"/>
      <c r="R5615" s="5"/>
    </row>
    <row r="5616" spans="2:18" x14ac:dyDescent="0.25">
      <c r="B5616" s="19" t="s">
        <v>7283</v>
      </c>
      <c r="C5616" s="16"/>
      <c r="D5616" s="16" t="s">
        <v>29</v>
      </c>
      <c r="E5616" s="16" t="s">
        <v>151</v>
      </c>
      <c r="F5616" s="5" t="s">
        <v>4752</v>
      </c>
      <c r="G5616" s="16" t="s">
        <v>35</v>
      </c>
      <c r="H5616" s="16"/>
      <c r="I5616" s="16"/>
      <c r="J5616" s="16"/>
      <c r="K5616" s="16"/>
      <c r="L5616" s="16"/>
      <c r="M5616" s="16"/>
      <c r="N5616" s="16"/>
      <c r="O5616" s="17"/>
      <c r="P5616" s="5" t="str">
        <f t="shared" si="123"/>
        <v>Truncate table Z0E4PH;</v>
      </c>
      <c r="Q5616" s="5"/>
      <c r="R5616" s="5"/>
    </row>
    <row r="5617" spans="2:18" x14ac:dyDescent="0.25">
      <c r="B5617" s="19" t="s">
        <v>7284</v>
      </c>
      <c r="C5617" s="16"/>
      <c r="D5617" s="16" t="s">
        <v>29</v>
      </c>
      <c r="E5617" s="16" t="s">
        <v>151</v>
      </c>
      <c r="F5617" s="5" t="s">
        <v>4752</v>
      </c>
      <c r="G5617" s="16" t="s">
        <v>35</v>
      </c>
      <c r="H5617" s="16"/>
      <c r="I5617" s="16"/>
      <c r="J5617" s="16"/>
      <c r="K5617" s="16"/>
      <c r="L5617" s="16"/>
      <c r="M5617" s="16"/>
      <c r="N5617" s="16"/>
      <c r="O5617" s="17"/>
      <c r="P5617" s="5" t="str">
        <f t="shared" si="123"/>
        <v>Truncate table Z0E4PI;</v>
      </c>
      <c r="Q5617" s="5"/>
      <c r="R5617" s="5"/>
    </row>
    <row r="5618" spans="2:18" x14ac:dyDescent="0.25">
      <c r="B5618" s="19" t="s">
        <v>7285</v>
      </c>
      <c r="C5618" s="16"/>
      <c r="D5618" s="16" t="s">
        <v>29</v>
      </c>
      <c r="E5618" s="16" t="s">
        <v>151</v>
      </c>
      <c r="F5618" s="5" t="s">
        <v>4752</v>
      </c>
      <c r="G5618" s="16" t="s">
        <v>35</v>
      </c>
      <c r="H5618" s="16"/>
      <c r="I5618" s="16"/>
      <c r="J5618" s="16"/>
      <c r="K5618" s="16"/>
      <c r="L5618" s="16"/>
      <c r="M5618" s="16"/>
      <c r="N5618" s="16"/>
      <c r="O5618" s="17"/>
      <c r="P5618" s="5" t="str">
        <f t="shared" si="123"/>
        <v>Truncate table Z0E4PJ;</v>
      </c>
      <c r="Q5618" s="5"/>
      <c r="R5618" s="5"/>
    </row>
    <row r="5619" spans="2:18" x14ac:dyDescent="0.25">
      <c r="B5619" s="19" t="s">
        <v>7286</v>
      </c>
      <c r="C5619" s="16"/>
      <c r="D5619" s="16" t="s">
        <v>29</v>
      </c>
      <c r="E5619" s="16" t="s">
        <v>151</v>
      </c>
      <c r="F5619" s="5" t="s">
        <v>4752</v>
      </c>
      <c r="G5619" s="16" t="s">
        <v>35</v>
      </c>
      <c r="H5619" s="16"/>
      <c r="I5619" s="16"/>
      <c r="J5619" s="16"/>
      <c r="K5619" s="16"/>
      <c r="L5619" s="16"/>
      <c r="M5619" s="16"/>
      <c r="N5619" s="16"/>
      <c r="O5619" s="17"/>
      <c r="P5619" s="5" t="str">
        <f t="shared" si="123"/>
        <v>Truncate table Z0E4PK;</v>
      </c>
      <c r="Q5619" s="5"/>
      <c r="R5619" s="5"/>
    </row>
    <row r="5620" spans="2:18" x14ac:dyDescent="0.25">
      <c r="B5620" s="19" t="s">
        <v>7287</v>
      </c>
      <c r="C5620" s="16"/>
      <c r="D5620" s="16" t="s">
        <v>29</v>
      </c>
      <c r="E5620" s="16" t="s">
        <v>151</v>
      </c>
      <c r="F5620" s="5" t="s">
        <v>4752</v>
      </c>
      <c r="G5620" s="16" t="s">
        <v>35</v>
      </c>
      <c r="H5620" s="16"/>
      <c r="I5620" s="16"/>
      <c r="J5620" s="16"/>
      <c r="K5620" s="16"/>
      <c r="L5620" s="16"/>
      <c r="M5620" s="16"/>
      <c r="N5620" s="16"/>
      <c r="O5620" s="17"/>
      <c r="P5620" s="5" t="str">
        <f t="shared" si="123"/>
        <v>Truncate table Z0E4PL;</v>
      </c>
      <c r="Q5620" s="5"/>
      <c r="R5620" s="5"/>
    </row>
    <row r="5621" spans="2:18" x14ac:dyDescent="0.25">
      <c r="B5621" s="19" t="s">
        <v>7288</v>
      </c>
      <c r="C5621" s="16"/>
      <c r="D5621" s="16" t="s">
        <v>29</v>
      </c>
      <c r="E5621" s="16" t="s">
        <v>151</v>
      </c>
      <c r="F5621" s="5" t="s">
        <v>4752</v>
      </c>
      <c r="G5621" s="16" t="s">
        <v>35</v>
      </c>
      <c r="H5621" s="16"/>
      <c r="I5621" s="16"/>
      <c r="J5621" s="16"/>
      <c r="K5621" s="16"/>
      <c r="L5621" s="16"/>
      <c r="M5621" s="16"/>
      <c r="N5621" s="16"/>
      <c r="O5621" s="17"/>
      <c r="P5621" s="5" t="str">
        <f t="shared" si="123"/>
        <v>Truncate table Z0E4PM;</v>
      </c>
      <c r="Q5621" s="5"/>
      <c r="R5621" s="5"/>
    </row>
    <row r="5622" spans="2:18" x14ac:dyDescent="0.25">
      <c r="B5622" s="19" t="s">
        <v>7289</v>
      </c>
      <c r="C5622" s="16"/>
      <c r="D5622" s="16" t="s">
        <v>29</v>
      </c>
      <c r="E5622" s="16" t="s">
        <v>151</v>
      </c>
      <c r="F5622" s="5" t="s">
        <v>4752</v>
      </c>
      <c r="G5622" s="16" t="s">
        <v>35</v>
      </c>
      <c r="H5622" s="16"/>
      <c r="I5622" s="16"/>
      <c r="J5622" s="16"/>
      <c r="K5622" s="16"/>
      <c r="L5622" s="16"/>
      <c r="M5622" s="16"/>
      <c r="N5622" s="16"/>
      <c r="O5622" s="17"/>
      <c r="P5622" s="5" t="str">
        <f t="shared" si="123"/>
        <v>Truncate table Z0E4PN;</v>
      </c>
      <c r="Q5622" s="5"/>
      <c r="R5622" s="5"/>
    </row>
    <row r="5623" spans="2:18" x14ac:dyDescent="0.25">
      <c r="B5623" s="19" t="s">
        <v>7290</v>
      </c>
      <c r="C5623" s="16"/>
      <c r="D5623" s="16" t="s">
        <v>29</v>
      </c>
      <c r="E5623" s="16" t="s">
        <v>151</v>
      </c>
      <c r="F5623" s="5" t="s">
        <v>4752</v>
      </c>
      <c r="G5623" s="16" t="s">
        <v>35</v>
      </c>
      <c r="H5623" s="16"/>
      <c r="I5623" s="16"/>
      <c r="J5623" s="16"/>
      <c r="K5623" s="16"/>
      <c r="L5623" s="16"/>
      <c r="M5623" s="16"/>
      <c r="N5623" s="16"/>
      <c r="O5623" s="17"/>
      <c r="P5623" s="5" t="str">
        <f t="shared" si="123"/>
        <v>Truncate table Z0E4PO;</v>
      </c>
      <c r="Q5623" s="5"/>
      <c r="R5623" s="5"/>
    </row>
    <row r="5624" spans="2:18" x14ac:dyDescent="0.25">
      <c r="B5624" s="19" t="s">
        <v>7291</v>
      </c>
      <c r="C5624" s="16"/>
      <c r="D5624" s="16" t="s">
        <v>29</v>
      </c>
      <c r="E5624" s="16" t="s">
        <v>151</v>
      </c>
      <c r="F5624" s="5" t="s">
        <v>4752</v>
      </c>
      <c r="G5624" s="16" t="s">
        <v>35</v>
      </c>
      <c r="H5624" s="16"/>
      <c r="I5624" s="16"/>
      <c r="J5624" s="16"/>
      <c r="K5624" s="16"/>
      <c r="L5624" s="16"/>
      <c r="M5624" s="16"/>
      <c r="N5624" s="16"/>
      <c r="O5624" s="17"/>
      <c r="P5624" s="5" t="str">
        <f t="shared" si="123"/>
        <v>Truncate table Z0E4PP;</v>
      </c>
      <c r="Q5624" s="5"/>
      <c r="R5624" s="5"/>
    </row>
    <row r="5625" spans="2:18" x14ac:dyDescent="0.25">
      <c r="B5625" s="19" t="s">
        <v>7292</v>
      </c>
      <c r="C5625" s="16"/>
      <c r="D5625" s="16" t="s">
        <v>29</v>
      </c>
      <c r="E5625" s="16" t="s">
        <v>151</v>
      </c>
      <c r="F5625" s="5" t="s">
        <v>4752</v>
      </c>
      <c r="G5625" s="16" t="s">
        <v>35</v>
      </c>
      <c r="H5625" s="16"/>
      <c r="I5625" s="16"/>
      <c r="J5625" s="16"/>
      <c r="K5625" s="16"/>
      <c r="L5625" s="16"/>
      <c r="M5625" s="16"/>
      <c r="N5625" s="16"/>
      <c r="O5625" s="17"/>
      <c r="P5625" s="5" t="str">
        <f t="shared" si="123"/>
        <v>Truncate table Z0E4PQ;</v>
      </c>
      <c r="Q5625" s="5"/>
      <c r="R5625" s="5"/>
    </row>
    <row r="5626" spans="2:18" x14ac:dyDescent="0.25">
      <c r="B5626" s="19" t="s">
        <v>7293</v>
      </c>
      <c r="C5626" s="16"/>
      <c r="D5626" s="16" t="s">
        <v>29</v>
      </c>
      <c r="E5626" s="16" t="s">
        <v>151</v>
      </c>
      <c r="F5626" s="5" t="s">
        <v>4752</v>
      </c>
      <c r="G5626" s="16" t="s">
        <v>35</v>
      </c>
      <c r="H5626" s="16"/>
      <c r="I5626" s="16"/>
      <c r="J5626" s="16"/>
      <c r="K5626" s="16"/>
      <c r="L5626" s="16"/>
      <c r="M5626" s="16"/>
      <c r="N5626" s="16"/>
      <c r="O5626" s="17"/>
      <c r="P5626" s="5" t="str">
        <f t="shared" si="123"/>
        <v>Truncate table Z0E4PR;</v>
      </c>
      <c r="Q5626" s="5"/>
      <c r="R5626" s="5"/>
    </row>
    <row r="5627" spans="2:18" x14ac:dyDescent="0.25">
      <c r="B5627" s="19" t="s">
        <v>7294</v>
      </c>
      <c r="C5627" s="16"/>
      <c r="D5627" s="16" t="s">
        <v>29</v>
      </c>
      <c r="E5627" s="16" t="s">
        <v>151</v>
      </c>
      <c r="F5627" s="5" t="s">
        <v>4752</v>
      </c>
      <c r="G5627" s="16" t="s">
        <v>35</v>
      </c>
      <c r="H5627" s="16"/>
      <c r="I5627" s="16"/>
      <c r="J5627" s="16"/>
      <c r="K5627" s="16"/>
      <c r="L5627" s="16"/>
      <c r="M5627" s="16"/>
      <c r="N5627" s="16"/>
      <c r="O5627" s="17"/>
      <c r="P5627" s="5" t="str">
        <f t="shared" si="123"/>
        <v>Truncate table Z0E4PV;</v>
      </c>
      <c r="Q5627" s="5"/>
      <c r="R5627" s="5"/>
    </row>
    <row r="5628" spans="2:18" x14ac:dyDescent="0.25">
      <c r="B5628" s="19" t="s">
        <v>7295</v>
      </c>
      <c r="C5628" s="16"/>
      <c r="D5628" s="16" t="s">
        <v>29</v>
      </c>
      <c r="E5628" s="16" t="s">
        <v>151</v>
      </c>
      <c r="F5628" s="5" t="s">
        <v>4752</v>
      </c>
      <c r="G5628" s="16" t="s">
        <v>35</v>
      </c>
      <c r="H5628" s="16"/>
      <c r="I5628" s="16"/>
      <c r="J5628" s="16"/>
      <c r="K5628" s="16"/>
      <c r="L5628" s="16"/>
      <c r="M5628" s="16"/>
      <c r="N5628" s="16"/>
      <c r="O5628" s="17"/>
      <c r="P5628" s="5" t="str">
        <f t="shared" si="123"/>
        <v>Truncate table Z0E4PW;</v>
      </c>
      <c r="Q5628" s="5"/>
      <c r="R5628" s="5"/>
    </row>
    <row r="5629" spans="2:18" ht="15.75" thickBot="1" x14ac:dyDescent="0.3">
      <c r="B5629" s="371" t="s">
        <v>7296</v>
      </c>
      <c r="C5629" s="16"/>
      <c r="D5629" s="16" t="s">
        <v>29</v>
      </c>
      <c r="E5629" s="16" t="s">
        <v>151</v>
      </c>
      <c r="F5629" s="5" t="s">
        <v>4752</v>
      </c>
      <c r="G5629" s="16" t="s">
        <v>35</v>
      </c>
      <c r="H5629" s="16"/>
      <c r="I5629" s="16"/>
      <c r="J5629" s="16"/>
      <c r="K5629" s="16"/>
      <c r="L5629" s="16"/>
      <c r="M5629" s="16"/>
      <c r="N5629" s="16"/>
      <c r="O5629" s="17"/>
      <c r="P5629" s="5" t="str">
        <f t="shared" si="123"/>
        <v>Truncate table Z0E4PX;</v>
      </c>
      <c r="Q5629" s="5"/>
      <c r="R5629" s="5"/>
    </row>
    <row r="5630" spans="2:18" x14ac:dyDescent="0.25">
      <c r="B5630" s="53" t="s">
        <v>7297</v>
      </c>
      <c r="C5630" s="16"/>
      <c r="D5630" s="16" t="s">
        <v>29</v>
      </c>
      <c r="E5630" s="16" t="s">
        <v>151</v>
      </c>
      <c r="F5630" s="5" t="s">
        <v>4752</v>
      </c>
      <c r="G5630" s="16" t="s">
        <v>35</v>
      </c>
      <c r="H5630" s="16"/>
      <c r="I5630" s="16"/>
      <c r="J5630" s="16"/>
      <c r="K5630" s="16"/>
      <c r="L5630" s="16"/>
      <c r="M5630" s="16"/>
      <c r="N5630" s="16"/>
      <c r="O5630" s="17"/>
      <c r="P5630" s="5" t="str">
        <f t="shared" si="123"/>
        <v>Truncate table Z0E4PY;</v>
      </c>
      <c r="Q5630" s="5"/>
      <c r="R5630" s="5"/>
    </row>
    <row r="5631" spans="2:18" x14ac:dyDescent="0.25">
      <c r="B5631" s="19" t="s">
        <v>7298</v>
      </c>
      <c r="C5631" s="16"/>
      <c r="D5631" s="16" t="s">
        <v>29</v>
      </c>
      <c r="E5631" s="16" t="s">
        <v>151</v>
      </c>
      <c r="F5631" s="5" t="s">
        <v>4752</v>
      </c>
      <c r="G5631" s="16" t="s">
        <v>35</v>
      </c>
      <c r="H5631" s="16"/>
      <c r="I5631" s="16"/>
      <c r="J5631" s="16"/>
      <c r="K5631" s="16"/>
      <c r="L5631" s="16"/>
      <c r="M5631" s="16"/>
      <c r="N5631" s="16"/>
      <c r="O5631" s="17"/>
      <c r="P5631" s="5" t="str">
        <f t="shared" si="123"/>
        <v>Truncate table Z0E4PZ;</v>
      </c>
      <c r="Q5631" s="5"/>
      <c r="R5631" s="5"/>
    </row>
    <row r="5632" spans="2:18" x14ac:dyDescent="0.25">
      <c r="B5632" s="19" t="s">
        <v>7299</v>
      </c>
      <c r="C5632" s="16"/>
      <c r="D5632" s="16" t="s">
        <v>29</v>
      </c>
      <c r="E5632" s="16" t="s">
        <v>151</v>
      </c>
      <c r="F5632" s="5" t="s">
        <v>4752</v>
      </c>
      <c r="G5632" s="16" t="s">
        <v>35</v>
      </c>
      <c r="H5632" s="16"/>
      <c r="I5632" s="16"/>
      <c r="J5632" s="16"/>
      <c r="K5632" s="16"/>
      <c r="L5632" s="16"/>
      <c r="M5632" s="16"/>
      <c r="N5632" s="16"/>
      <c r="O5632" s="17"/>
      <c r="P5632" s="5" t="str">
        <f t="shared" si="123"/>
        <v>Truncate table Z0E4Q0;</v>
      </c>
      <c r="Q5632" s="5"/>
      <c r="R5632" s="5"/>
    </row>
    <row r="5633" spans="2:18" ht="15.75" thickBot="1" x14ac:dyDescent="0.3">
      <c r="B5633" s="54" t="s">
        <v>7300</v>
      </c>
      <c r="C5633" s="16"/>
      <c r="D5633" s="16" t="s">
        <v>29</v>
      </c>
      <c r="E5633" s="16" t="s">
        <v>151</v>
      </c>
      <c r="F5633" s="5" t="s">
        <v>4752</v>
      </c>
      <c r="G5633" s="16" t="s">
        <v>35</v>
      </c>
      <c r="H5633" s="16"/>
      <c r="I5633" s="16"/>
      <c r="J5633" s="16"/>
      <c r="K5633" s="16"/>
      <c r="L5633" s="16"/>
      <c r="M5633" s="16"/>
      <c r="N5633" s="16"/>
      <c r="O5633" s="17"/>
      <c r="P5633" s="5" t="str">
        <f t="shared" si="123"/>
        <v>Truncate table Z0E4Q1;</v>
      </c>
      <c r="Q5633" s="5"/>
      <c r="R5633" s="5"/>
    </row>
    <row r="5634" spans="2:18" x14ac:dyDescent="0.25">
      <c r="B5634" s="49" t="s">
        <v>7301</v>
      </c>
      <c r="C5634" s="16"/>
      <c r="D5634" s="16" t="s">
        <v>29</v>
      </c>
      <c r="E5634" s="16" t="s">
        <v>151</v>
      </c>
      <c r="F5634" s="5" t="s">
        <v>4752</v>
      </c>
      <c r="G5634" s="16" t="s">
        <v>35</v>
      </c>
      <c r="H5634" s="16"/>
      <c r="I5634" s="16"/>
      <c r="J5634" s="16"/>
      <c r="K5634" s="16"/>
      <c r="L5634" s="16"/>
      <c r="M5634" s="16"/>
      <c r="N5634" s="16"/>
      <c r="O5634" s="17"/>
      <c r="P5634" s="5" t="str">
        <f t="shared" si="123"/>
        <v>Truncate table Z0E4Q3;</v>
      </c>
      <c r="Q5634" s="5"/>
      <c r="R5634" s="5"/>
    </row>
    <row r="5635" spans="2:18" x14ac:dyDescent="0.25">
      <c r="B5635" s="19" t="s">
        <v>7302</v>
      </c>
      <c r="C5635" s="16"/>
      <c r="D5635" s="16" t="s">
        <v>29</v>
      </c>
      <c r="E5635" s="16" t="s">
        <v>151</v>
      </c>
      <c r="F5635" s="5" t="s">
        <v>4752</v>
      </c>
      <c r="G5635" s="16" t="s">
        <v>35</v>
      </c>
      <c r="H5635" s="16"/>
      <c r="I5635" s="16"/>
      <c r="J5635" s="16"/>
      <c r="K5635" s="16"/>
      <c r="L5635" s="16"/>
      <c r="M5635" s="16"/>
      <c r="N5635" s="16"/>
      <c r="O5635" s="17"/>
      <c r="P5635" s="5" t="str">
        <f t="shared" si="123"/>
        <v>Truncate table Z0E4Q4;</v>
      </c>
      <c r="Q5635" s="5"/>
      <c r="R5635" s="5"/>
    </row>
    <row r="5636" spans="2:18" x14ac:dyDescent="0.25">
      <c r="B5636" s="19" t="s">
        <v>7303</v>
      </c>
      <c r="C5636" s="16"/>
      <c r="D5636" s="16" t="s">
        <v>29</v>
      </c>
      <c r="E5636" s="16" t="s">
        <v>151</v>
      </c>
      <c r="F5636" s="5" t="s">
        <v>4752</v>
      </c>
      <c r="G5636" s="16" t="s">
        <v>35</v>
      </c>
      <c r="H5636" s="16"/>
      <c r="I5636" s="16"/>
      <c r="J5636" s="16"/>
      <c r="K5636" s="16"/>
      <c r="L5636" s="16"/>
      <c r="M5636" s="16"/>
      <c r="N5636" s="16"/>
      <c r="O5636" s="17"/>
      <c r="P5636" s="5" t="str">
        <f t="shared" si="123"/>
        <v>Truncate table Z0E4Q5;</v>
      </c>
      <c r="Q5636" s="5"/>
      <c r="R5636" s="5"/>
    </row>
    <row r="5637" spans="2:18" x14ac:dyDescent="0.25">
      <c r="B5637" s="19" t="s">
        <v>7304</v>
      </c>
      <c r="C5637" s="16"/>
      <c r="D5637" s="16" t="s">
        <v>29</v>
      </c>
      <c r="E5637" s="16" t="s">
        <v>151</v>
      </c>
      <c r="F5637" s="5" t="s">
        <v>4752</v>
      </c>
      <c r="G5637" s="16" t="s">
        <v>35</v>
      </c>
      <c r="H5637" s="16"/>
      <c r="I5637" s="16"/>
      <c r="J5637" s="16"/>
      <c r="K5637" s="16"/>
      <c r="L5637" s="16"/>
      <c r="M5637" s="16"/>
      <c r="N5637" s="16"/>
      <c r="O5637" s="17"/>
      <c r="P5637" s="5" t="str">
        <f t="shared" si="123"/>
        <v>Truncate table Z0E4Q6;</v>
      </c>
      <c r="Q5637" s="5"/>
      <c r="R5637" s="5"/>
    </row>
    <row r="5638" spans="2:18" x14ac:dyDescent="0.25">
      <c r="B5638" s="19" t="s">
        <v>7305</v>
      </c>
      <c r="C5638" s="16"/>
      <c r="D5638" s="16" t="s">
        <v>29</v>
      </c>
      <c r="E5638" s="16" t="s">
        <v>151</v>
      </c>
      <c r="F5638" s="5" t="s">
        <v>4752</v>
      </c>
      <c r="G5638" s="16" t="s">
        <v>35</v>
      </c>
      <c r="H5638" s="16"/>
      <c r="I5638" s="16"/>
      <c r="J5638" s="16"/>
      <c r="K5638" s="16"/>
      <c r="L5638" s="16"/>
      <c r="M5638" s="16"/>
      <c r="N5638" s="16"/>
      <c r="O5638" s="17"/>
      <c r="P5638" s="5" t="str">
        <f t="shared" si="123"/>
        <v>Truncate table Z0E501;</v>
      </c>
      <c r="Q5638" s="5"/>
      <c r="R5638" s="5"/>
    </row>
    <row r="5639" spans="2:18" x14ac:dyDescent="0.25">
      <c r="B5639" s="19" t="s">
        <v>7306</v>
      </c>
      <c r="C5639" s="16"/>
      <c r="D5639" s="16" t="s">
        <v>29</v>
      </c>
      <c r="E5639" s="16" t="s">
        <v>151</v>
      </c>
      <c r="F5639" s="5" t="s">
        <v>4752</v>
      </c>
      <c r="G5639" s="16" t="s">
        <v>35</v>
      </c>
      <c r="H5639" s="16"/>
      <c r="I5639" s="16"/>
      <c r="J5639" s="16"/>
      <c r="K5639" s="16"/>
      <c r="L5639" s="16"/>
      <c r="M5639" s="16"/>
      <c r="N5639" s="16"/>
      <c r="O5639" s="17"/>
      <c r="P5639" s="5" t="str">
        <f t="shared" si="123"/>
        <v>Truncate table Z0E502;</v>
      </c>
      <c r="Q5639" s="5"/>
      <c r="R5639" s="5"/>
    </row>
    <row r="5640" spans="2:18" x14ac:dyDescent="0.25">
      <c r="B5640" s="19" t="s">
        <v>7307</v>
      </c>
      <c r="C5640" s="16"/>
      <c r="D5640" s="16" t="s">
        <v>29</v>
      </c>
      <c r="E5640" s="16" t="s">
        <v>151</v>
      </c>
      <c r="F5640" s="5" t="s">
        <v>4752</v>
      </c>
      <c r="G5640" s="16" t="s">
        <v>35</v>
      </c>
      <c r="H5640" s="16"/>
      <c r="I5640" s="16"/>
      <c r="J5640" s="16"/>
      <c r="K5640" s="16"/>
      <c r="L5640" s="16"/>
      <c r="M5640" s="16"/>
      <c r="N5640" s="16"/>
      <c r="O5640" s="17"/>
      <c r="P5640" s="5" t="str">
        <f t="shared" si="123"/>
        <v>Truncate table Z0E503;</v>
      </c>
      <c r="Q5640" s="5"/>
      <c r="R5640" s="5"/>
    </row>
    <row r="5641" spans="2:18" x14ac:dyDescent="0.25">
      <c r="B5641" s="19" t="s">
        <v>7308</v>
      </c>
      <c r="C5641" s="16" t="s">
        <v>7116</v>
      </c>
      <c r="D5641" s="16" t="s">
        <v>29</v>
      </c>
      <c r="E5641" s="16" t="s">
        <v>151</v>
      </c>
      <c r="F5641" s="5" t="s">
        <v>4752</v>
      </c>
      <c r="G5641" s="16" t="s">
        <v>35</v>
      </c>
      <c r="H5641" s="16" t="s">
        <v>36</v>
      </c>
      <c r="I5641" s="16"/>
      <c r="J5641" s="16"/>
      <c r="K5641" s="16"/>
      <c r="L5641" s="16"/>
      <c r="M5641" s="16"/>
      <c r="N5641" s="16"/>
      <c r="O5641" s="17" t="s">
        <v>38</v>
      </c>
      <c r="P5641" s="5" t="str">
        <f t="shared" si="123"/>
        <v>Truncate table Z0E575;</v>
      </c>
      <c r="Q5641" s="5"/>
      <c r="R5641" s="5"/>
    </row>
    <row r="5642" spans="2:18" x14ac:dyDescent="0.25">
      <c r="B5642" s="19" t="s">
        <v>7309</v>
      </c>
      <c r="C5642" s="16"/>
      <c r="D5642" s="16" t="s">
        <v>29</v>
      </c>
      <c r="E5642" s="16" t="s">
        <v>151</v>
      </c>
      <c r="F5642" s="5" t="s">
        <v>4752</v>
      </c>
      <c r="G5642" s="16" t="s">
        <v>35</v>
      </c>
      <c r="H5642" s="16"/>
      <c r="I5642" s="16"/>
      <c r="J5642" s="16"/>
      <c r="K5642" s="16"/>
      <c r="L5642" s="16"/>
      <c r="M5642" s="16"/>
      <c r="N5642" s="16"/>
      <c r="O5642" s="17"/>
      <c r="P5642" s="5" t="str">
        <f t="shared" si="123"/>
        <v>Truncate table Z0E576;</v>
      </c>
      <c r="Q5642" s="5"/>
      <c r="R5642" s="5"/>
    </row>
    <row r="5643" spans="2:18" x14ac:dyDescent="0.25">
      <c r="B5643" s="19" t="s">
        <v>7310</v>
      </c>
      <c r="C5643" s="16"/>
      <c r="D5643" s="16" t="s">
        <v>29</v>
      </c>
      <c r="E5643" s="16" t="s">
        <v>151</v>
      </c>
      <c r="F5643" s="5" t="s">
        <v>4752</v>
      </c>
      <c r="G5643" s="16" t="s">
        <v>35</v>
      </c>
      <c r="H5643" s="16"/>
      <c r="I5643" s="16"/>
      <c r="J5643" s="16"/>
      <c r="K5643" s="16"/>
      <c r="L5643" s="16"/>
      <c r="M5643" s="16"/>
      <c r="N5643" s="16"/>
      <c r="O5643" s="17"/>
      <c r="P5643" s="5" t="str">
        <f t="shared" si="123"/>
        <v>Truncate table Z0E577;</v>
      </c>
      <c r="Q5643" s="5"/>
      <c r="R5643" s="5"/>
    </row>
    <row r="5644" spans="2:18" x14ac:dyDescent="0.25">
      <c r="B5644" s="19" t="s">
        <v>7311</v>
      </c>
      <c r="C5644" s="16"/>
      <c r="D5644" s="16" t="s">
        <v>29</v>
      </c>
      <c r="E5644" s="16" t="s">
        <v>151</v>
      </c>
      <c r="F5644" s="5" t="s">
        <v>4752</v>
      </c>
      <c r="G5644" s="16" t="s">
        <v>35</v>
      </c>
      <c r="H5644" s="16"/>
      <c r="I5644" s="16"/>
      <c r="J5644" s="16"/>
      <c r="K5644" s="16"/>
      <c r="L5644" s="16"/>
      <c r="M5644" s="16"/>
      <c r="N5644" s="16"/>
      <c r="O5644" s="17"/>
      <c r="P5644" s="5" t="str">
        <f t="shared" si="123"/>
        <v>Truncate table Z0E578;</v>
      </c>
      <c r="Q5644" s="5"/>
      <c r="R5644" s="5"/>
    </row>
    <row r="5645" spans="2:18" x14ac:dyDescent="0.25">
      <c r="B5645" s="19" t="s">
        <v>7312</v>
      </c>
      <c r="C5645" s="16"/>
      <c r="D5645" s="16" t="s">
        <v>29</v>
      </c>
      <c r="E5645" s="16" t="s">
        <v>151</v>
      </c>
      <c r="F5645" s="5" t="s">
        <v>4752</v>
      </c>
      <c r="G5645" s="16" t="s">
        <v>35</v>
      </c>
      <c r="H5645" s="16"/>
      <c r="I5645" s="16"/>
      <c r="J5645" s="16"/>
      <c r="K5645" s="16"/>
      <c r="L5645" s="16"/>
      <c r="M5645" s="16"/>
      <c r="N5645" s="16"/>
      <c r="O5645" s="17"/>
      <c r="P5645" s="5" t="str">
        <f t="shared" si="123"/>
        <v>Truncate table Z0E581;</v>
      </c>
      <c r="Q5645" s="5"/>
      <c r="R5645" s="5"/>
    </row>
    <row r="5646" spans="2:18" x14ac:dyDescent="0.25">
      <c r="B5646" s="19" t="s">
        <v>7313</v>
      </c>
      <c r="C5646" s="16"/>
      <c r="D5646" s="16" t="s">
        <v>29</v>
      </c>
      <c r="E5646" s="16" t="s">
        <v>151</v>
      </c>
      <c r="F5646" s="5" t="s">
        <v>4752</v>
      </c>
      <c r="G5646" s="16" t="s">
        <v>35</v>
      </c>
      <c r="H5646" s="16"/>
      <c r="I5646" s="16"/>
      <c r="J5646" s="16"/>
      <c r="K5646" s="16"/>
      <c r="L5646" s="16"/>
      <c r="M5646" s="16"/>
      <c r="N5646" s="16"/>
      <c r="O5646" s="17"/>
      <c r="P5646" s="5" t="str">
        <f t="shared" si="123"/>
        <v>Truncate table Z0E5D5;</v>
      </c>
      <c r="Q5646" s="5"/>
      <c r="R5646" s="5"/>
    </row>
    <row r="5647" spans="2:18" x14ac:dyDescent="0.25">
      <c r="B5647" s="19" t="s">
        <v>7314</v>
      </c>
      <c r="C5647" s="16"/>
      <c r="D5647" s="16" t="s">
        <v>29</v>
      </c>
      <c r="E5647" s="16" t="s">
        <v>151</v>
      </c>
      <c r="F5647" s="5" t="s">
        <v>4752</v>
      </c>
      <c r="G5647" s="16" t="s">
        <v>35</v>
      </c>
      <c r="H5647" s="16"/>
      <c r="I5647" s="16"/>
      <c r="J5647" s="16"/>
      <c r="K5647" s="16"/>
      <c r="L5647" s="16"/>
      <c r="M5647" s="16"/>
      <c r="N5647" s="16"/>
      <c r="O5647" s="17"/>
      <c r="P5647" s="5" t="str">
        <f t="shared" si="123"/>
        <v>Truncate table Z0E5D6;</v>
      </c>
      <c r="Q5647" s="5"/>
      <c r="R5647" s="5"/>
    </row>
    <row r="5648" spans="2:18" x14ac:dyDescent="0.25">
      <c r="B5648" s="19" t="s">
        <v>7315</v>
      </c>
      <c r="C5648" s="16"/>
      <c r="D5648" s="16" t="s">
        <v>29</v>
      </c>
      <c r="E5648" s="16" t="s">
        <v>151</v>
      </c>
      <c r="F5648" s="5" t="s">
        <v>4752</v>
      </c>
      <c r="G5648" s="16" t="s">
        <v>35</v>
      </c>
      <c r="H5648" s="16"/>
      <c r="I5648" s="16"/>
      <c r="J5648" s="16"/>
      <c r="K5648" s="16"/>
      <c r="L5648" s="16"/>
      <c r="M5648" s="16"/>
      <c r="N5648" s="16"/>
      <c r="O5648" s="17"/>
      <c r="P5648" s="5" t="str">
        <f t="shared" si="123"/>
        <v>Truncate table Z0E5DP;</v>
      </c>
      <c r="Q5648" s="5"/>
      <c r="R5648" s="5"/>
    </row>
    <row r="5649" spans="2:18" x14ac:dyDescent="0.25">
      <c r="B5649" s="19" t="s">
        <v>7316</v>
      </c>
      <c r="C5649" s="16"/>
      <c r="D5649" s="16" t="s">
        <v>29</v>
      </c>
      <c r="E5649" s="16" t="s">
        <v>151</v>
      </c>
      <c r="F5649" s="5" t="s">
        <v>4752</v>
      </c>
      <c r="G5649" s="16" t="s">
        <v>35</v>
      </c>
      <c r="H5649" s="16"/>
      <c r="I5649" s="16"/>
      <c r="J5649" s="16"/>
      <c r="K5649" s="16"/>
      <c r="L5649" s="16"/>
      <c r="M5649" s="16"/>
      <c r="N5649" s="16"/>
      <c r="O5649" s="17"/>
      <c r="P5649" s="5" t="str">
        <f t="shared" si="123"/>
        <v>Truncate table Z0E5DX;</v>
      </c>
      <c r="Q5649" s="5"/>
      <c r="R5649" s="5"/>
    </row>
    <row r="5650" spans="2:18" x14ac:dyDescent="0.25">
      <c r="B5650" s="19" t="s">
        <v>7317</v>
      </c>
      <c r="C5650" s="16"/>
      <c r="D5650" s="16" t="s">
        <v>29</v>
      </c>
      <c r="E5650" s="16" t="s">
        <v>151</v>
      </c>
      <c r="F5650" s="5" t="s">
        <v>4752</v>
      </c>
      <c r="G5650" s="16" t="s">
        <v>35</v>
      </c>
      <c r="H5650" s="16"/>
      <c r="I5650" s="16"/>
      <c r="J5650" s="16"/>
      <c r="K5650" s="16"/>
      <c r="L5650" s="16"/>
      <c r="M5650" s="16"/>
      <c r="N5650" s="16"/>
      <c r="O5650" s="17"/>
      <c r="P5650" s="5" t="str">
        <f t="shared" si="123"/>
        <v>Truncate table Z0E5G8;</v>
      </c>
      <c r="Q5650" s="5"/>
      <c r="R5650" s="5"/>
    </row>
    <row r="5651" spans="2:18" x14ac:dyDescent="0.25">
      <c r="B5651" s="19" t="s">
        <v>7318</v>
      </c>
      <c r="C5651" s="16"/>
      <c r="D5651" s="16" t="s">
        <v>29</v>
      </c>
      <c r="E5651" s="16" t="s">
        <v>151</v>
      </c>
      <c r="F5651" s="5" t="s">
        <v>4752</v>
      </c>
      <c r="G5651" s="16" t="s">
        <v>35</v>
      </c>
      <c r="H5651" s="16"/>
      <c r="I5651" s="16"/>
      <c r="J5651" s="16"/>
      <c r="K5651" s="16"/>
      <c r="L5651" s="16"/>
      <c r="M5651" s="16"/>
      <c r="N5651" s="16"/>
      <c r="O5651" s="17"/>
      <c r="P5651" s="5" t="str">
        <f t="shared" si="123"/>
        <v>Truncate table Z0E5GC;</v>
      </c>
      <c r="Q5651" s="5"/>
      <c r="R5651" s="5"/>
    </row>
    <row r="5652" spans="2:18" x14ac:dyDescent="0.25">
      <c r="B5652" s="19" t="s">
        <v>7319</v>
      </c>
      <c r="C5652" s="16"/>
      <c r="D5652" s="16" t="s">
        <v>29</v>
      </c>
      <c r="E5652" s="16" t="s">
        <v>151</v>
      </c>
      <c r="F5652" s="5" t="s">
        <v>4752</v>
      </c>
      <c r="G5652" s="16" t="s">
        <v>35</v>
      </c>
      <c r="H5652" s="16"/>
      <c r="I5652" s="16"/>
      <c r="J5652" s="16"/>
      <c r="K5652" s="16"/>
      <c r="L5652" s="16"/>
      <c r="M5652" s="16"/>
      <c r="N5652" s="16"/>
      <c r="O5652" s="17"/>
      <c r="P5652" s="5" t="str">
        <f t="shared" si="123"/>
        <v>Truncate table Z0E678;</v>
      </c>
      <c r="Q5652" s="5"/>
      <c r="R5652" s="5"/>
    </row>
    <row r="5653" spans="2:18" x14ac:dyDescent="0.25">
      <c r="B5653" s="19" t="s">
        <v>7320</v>
      </c>
      <c r="C5653" s="16"/>
      <c r="D5653" s="16" t="s">
        <v>29</v>
      </c>
      <c r="E5653" s="16" t="s">
        <v>151</v>
      </c>
      <c r="F5653" s="5" t="s">
        <v>4752</v>
      </c>
      <c r="G5653" s="16" t="s">
        <v>35</v>
      </c>
      <c r="H5653" s="16"/>
      <c r="I5653" s="16"/>
      <c r="J5653" s="16"/>
      <c r="K5653" s="16"/>
      <c r="L5653" s="16"/>
      <c r="M5653" s="16"/>
      <c r="N5653" s="16"/>
      <c r="O5653" s="17"/>
      <c r="P5653" s="5" t="str">
        <f t="shared" si="123"/>
        <v>Truncate table Z0E681;</v>
      </c>
      <c r="Q5653" s="5"/>
      <c r="R5653" s="5"/>
    </row>
    <row r="5654" spans="2:18" x14ac:dyDescent="0.25">
      <c r="B5654" s="19" t="s">
        <v>7321</v>
      </c>
      <c r="C5654" s="5" t="s">
        <v>5565</v>
      </c>
      <c r="D5654" s="16" t="s">
        <v>29</v>
      </c>
      <c r="E5654" s="16" t="s">
        <v>428</v>
      </c>
      <c r="F5654" s="5" t="s">
        <v>427</v>
      </c>
      <c r="G5654" s="16" t="s">
        <v>35</v>
      </c>
      <c r="H5654" s="16" t="s">
        <v>36</v>
      </c>
      <c r="I5654" s="16"/>
      <c r="J5654" s="16"/>
      <c r="K5654" s="16"/>
      <c r="L5654" s="16"/>
      <c r="M5654" s="16"/>
      <c r="N5654" s="16" t="s">
        <v>8555</v>
      </c>
      <c r="O5654" s="17"/>
      <c r="P5654" s="5" t="str">
        <f t="shared" ref="P5654:P5717" si="124">IF(D5654="Datos","Truncate table "&amp; B5654&amp; ";","")</f>
        <v>Truncate table Z99901;</v>
      </c>
      <c r="Q5654" s="5"/>
      <c r="R5654" s="5"/>
    </row>
    <row r="5655" spans="2:18" x14ac:dyDescent="0.25">
      <c r="B5655" s="19" t="s">
        <v>7322</v>
      </c>
      <c r="C5655" s="16" t="s">
        <v>7323</v>
      </c>
      <c r="D5655" s="16" t="s">
        <v>29</v>
      </c>
      <c r="E5655" s="16" t="s">
        <v>428</v>
      </c>
      <c r="F5655" s="5" t="s">
        <v>427</v>
      </c>
      <c r="G5655" s="16" t="s">
        <v>35</v>
      </c>
      <c r="H5655" s="16" t="s">
        <v>36</v>
      </c>
      <c r="I5655" s="16"/>
      <c r="J5655" s="16"/>
      <c r="K5655" s="16"/>
      <c r="L5655" s="16"/>
      <c r="M5655" s="16"/>
      <c r="N5655" s="16"/>
      <c r="O5655" s="17" t="s">
        <v>38</v>
      </c>
      <c r="P5655" s="5" t="str">
        <f t="shared" si="124"/>
        <v>Truncate table Z99902;</v>
      </c>
      <c r="Q5655" s="5"/>
      <c r="R5655" s="5"/>
    </row>
    <row r="5656" spans="2:18" x14ac:dyDescent="0.25">
      <c r="B5656" s="19" t="s">
        <v>7324</v>
      </c>
      <c r="C5656" s="16" t="s">
        <v>7325</v>
      </c>
      <c r="D5656" s="16" t="s">
        <v>29</v>
      </c>
      <c r="E5656" s="16" t="s">
        <v>428</v>
      </c>
      <c r="F5656" s="5" t="s">
        <v>427</v>
      </c>
      <c r="G5656" s="16" t="s">
        <v>35</v>
      </c>
      <c r="H5656" s="16" t="s">
        <v>36</v>
      </c>
      <c r="I5656" s="16"/>
      <c r="J5656" s="16"/>
      <c r="K5656" s="16"/>
      <c r="L5656" s="16"/>
      <c r="M5656" s="16"/>
      <c r="N5656" s="16"/>
      <c r="O5656" s="17" t="s">
        <v>38</v>
      </c>
      <c r="P5656" s="5" t="str">
        <f t="shared" si="124"/>
        <v>Truncate table Z99903;</v>
      </c>
      <c r="Q5656" s="19"/>
      <c r="R5656" s="19"/>
    </row>
    <row r="5657" spans="2:18" ht="15.75" thickBot="1" x14ac:dyDescent="0.3">
      <c r="B5657" s="54" t="s">
        <v>7326</v>
      </c>
      <c r="C5657" s="16" t="s">
        <v>7327</v>
      </c>
      <c r="D5657" s="16" t="s">
        <v>29</v>
      </c>
      <c r="E5657" s="16" t="s">
        <v>428</v>
      </c>
      <c r="F5657" s="5" t="s">
        <v>427</v>
      </c>
      <c r="G5657" s="16" t="s">
        <v>35</v>
      </c>
      <c r="H5657" s="16" t="s">
        <v>36</v>
      </c>
      <c r="I5657" s="16"/>
      <c r="J5657" s="16"/>
      <c r="K5657" s="16"/>
      <c r="L5657" s="16"/>
      <c r="M5657" s="16"/>
      <c r="N5657" s="16"/>
      <c r="O5657" s="17" t="s">
        <v>38</v>
      </c>
      <c r="P5657" s="5" t="str">
        <f t="shared" si="124"/>
        <v>Truncate table Z99904;</v>
      </c>
      <c r="Q5657" s="19"/>
      <c r="R5657" s="19"/>
    </row>
    <row r="5658" spans="2:18" x14ac:dyDescent="0.25">
      <c r="B5658" s="19" t="s">
        <v>7328</v>
      </c>
      <c r="C5658" s="16" t="s">
        <v>7329</v>
      </c>
      <c r="D5658" s="16" t="s">
        <v>29</v>
      </c>
      <c r="E5658" s="16" t="s">
        <v>428</v>
      </c>
      <c r="F5658" s="5" t="s">
        <v>427</v>
      </c>
      <c r="G5658" s="16" t="s">
        <v>35</v>
      </c>
      <c r="H5658" s="16" t="s">
        <v>36</v>
      </c>
      <c r="I5658" s="16"/>
      <c r="J5658" s="16"/>
      <c r="K5658" s="16"/>
      <c r="L5658" s="16"/>
      <c r="M5658" s="16"/>
      <c r="N5658" s="16"/>
      <c r="O5658" s="17" t="s">
        <v>38</v>
      </c>
      <c r="P5658" s="5" t="str">
        <f t="shared" si="124"/>
        <v>Truncate table Z99905;</v>
      </c>
      <c r="Q5658" s="19"/>
      <c r="R5658" s="19"/>
    </row>
    <row r="5659" spans="2:18" x14ac:dyDescent="0.25">
      <c r="B5659" s="19" t="s">
        <v>7330</v>
      </c>
      <c r="C5659" s="16" t="s">
        <v>7331</v>
      </c>
      <c r="D5659" s="16" t="s">
        <v>29</v>
      </c>
      <c r="E5659" s="16" t="s">
        <v>428</v>
      </c>
      <c r="F5659" s="5" t="s">
        <v>427</v>
      </c>
      <c r="G5659" s="16" t="s">
        <v>35</v>
      </c>
      <c r="H5659" s="16" t="s">
        <v>36</v>
      </c>
      <c r="I5659" s="16"/>
      <c r="J5659" s="16"/>
      <c r="K5659" s="16"/>
      <c r="L5659" s="16"/>
      <c r="M5659" s="16"/>
      <c r="N5659" s="16"/>
      <c r="O5659" s="17" t="s">
        <v>38</v>
      </c>
      <c r="P5659" s="5" t="str">
        <f t="shared" si="124"/>
        <v>Truncate table Z99906;</v>
      </c>
      <c r="Q5659" s="19"/>
      <c r="R5659" s="19"/>
    </row>
    <row r="5660" spans="2:18" x14ac:dyDescent="0.25">
      <c r="B5660" s="19" t="s">
        <v>7332</v>
      </c>
      <c r="C5660" s="16" t="s">
        <v>7333</v>
      </c>
      <c r="D5660" s="16" t="s">
        <v>29</v>
      </c>
      <c r="E5660" s="16" t="s">
        <v>428</v>
      </c>
      <c r="F5660" s="5" t="s">
        <v>427</v>
      </c>
      <c r="G5660" s="16" t="s">
        <v>35</v>
      </c>
      <c r="H5660" s="16" t="s">
        <v>36</v>
      </c>
      <c r="I5660" s="16"/>
      <c r="J5660" s="16"/>
      <c r="K5660" s="16"/>
      <c r="L5660" s="16"/>
      <c r="M5660" s="16"/>
      <c r="N5660" s="16"/>
      <c r="O5660" s="17" t="s">
        <v>38</v>
      </c>
      <c r="P5660" s="5" t="str">
        <f t="shared" si="124"/>
        <v>Truncate table Z99907;</v>
      </c>
      <c r="Q5660" s="19"/>
      <c r="R5660" s="19"/>
    </row>
    <row r="5661" spans="2:18" x14ac:dyDescent="0.25">
      <c r="B5661" s="19" t="s">
        <v>7334</v>
      </c>
      <c r="C5661" s="16" t="s">
        <v>7335</v>
      </c>
      <c r="D5661" s="16" t="s">
        <v>29</v>
      </c>
      <c r="E5661" s="16" t="s">
        <v>428</v>
      </c>
      <c r="F5661" s="5" t="s">
        <v>427</v>
      </c>
      <c r="G5661" s="16" t="s">
        <v>35</v>
      </c>
      <c r="H5661" s="16" t="s">
        <v>36</v>
      </c>
      <c r="I5661" s="16"/>
      <c r="J5661" s="16"/>
      <c r="K5661" s="16"/>
      <c r="L5661" s="16"/>
      <c r="M5661" s="16"/>
      <c r="N5661" s="16"/>
      <c r="O5661" s="16"/>
      <c r="P5661" s="5" t="str">
        <f t="shared" si="124"/>
        <v>Truncate table Z99911;</v>
      </c>
      <c r="Q5661" s="19" t="s">
        <v>8129</v>
      </c>
      <c r="R5661" s="19"/>
    </row>
    <row r="5662" spans="2:18" x14ac:dyDescent="0.25">
      <c r="B5662" s="19" t="s">
        <v>7336</v>
      </c>
      <c r="C5662" s="16" t="s">
        <v>7337</v>
      </c>
      <c r="D5662" s="16" t="s">
        <v>29</v>
      </c>
      <c r="E5662" s="16" t="s">
        <v>428</v>
      </c>
      <c r="F5662" s="5" t="s">
        <v>427</v>
      </c>
      <c r="G5662" s="16" t="s">
        <v>35</v>
      </c>
      <c r="H5662" s="16" t="s">
        <v>36</v>
      </c>
      <c r="I5662" s="16"/>
      <c r="J5662" s="16"/>
      <c r="K5662" s="16"/>
      <c r="L5662" s="26"/>
      <c r="M5662" s="26"/>
      <c r="N5662" s="16"/>
      <c r="O5662" s="17" t="s">
        <v>38</v>
      </c>
      <c r="P5662" s="5" t="str">
        <f t="shared" si="124"/>
        <v>Truncate table Z99913;</v>
      </c>
      <c r="Q5662" s="19"/>
      <c r="R5662" s="19"/>
    </row>
    <row r="5663" spans="2:18" x14ac:dyDescent="0.25">
      <c r="B5663" s="19" t="s">
        <v>7338</v>
      </c>
      <c r="C5663" s="16" t="s">
        <v>7339</v>
      </c>
      <c r="D5663" s="16" t="s">
        <v>29</v>
      </c>
      <c r="E5663" s="16" t="s">
        <v>428</v>
      </c>
      <c r="F5663" s="5" t="s">
        <v>427</v>
      </c>
      <c r="G5663" s="16" t="s">
        <v>35</v>
      </c>
      <c r="H5663" s="16" t="s">
        <v>36</v>
      </c>
      <c r="I5663" s="16"/>
      <c r="J5663" s="16"/>
      <c r="K5663" s="16"/>
      <c r="L5663" s="16"/>
      <c r="M5663" s="16"/>
      <c r="N5663" s="16"/>
      <c r="O5663" s="17" t="s">
        <v>38</v>
      </c>
      <c r="P5663" s="5" t="str">
        <f t="shared" si="124"/>
        <v>Truncate table Z99914;</v>
      </c>
      <c r="Q5663" s="19"/>
      <c r="R5663" s="19"/>
    </row>
    <row r="5664" spans="2:18" x14ac:dyDescent="0.25">
      <c r="B5664" s="19" t="s">
        <v>7340</v>
      </c>
      <c r="C5664" s="16" t="s">
        <v>7341</v>
      </c>
      <c r="D5664" s="16" t="s">
        <v>29</v>
      </c>
      <c r="E5664" s="16" t="s">
        <v>428</v>
      </c>
      <c r="F5664" s="5" t="s">
        <v>8216</v>
      </c>
      <c r="G5664" s="16" t="s">
        <v>35</v>
      </c>
      <c r="H5664" s="16" t="s">
        <v>36</v>
      </c>
      <c r="I5664" s="16"/>
      <c r="J5664" s="16"/>
      <c r="K5664" s="16"/>
      <c r="L5664" s="16"/>
      <c r="M5664" s="16"/>
      <c r="N5664" s="16"/>
      <c r="O5664" s="16"/>
      <c r="P5664" s="5" t="str">
        <f t="shared" si="124"/>
        <v>Truncate table Z99915;</v>
      </c>
      <c r="Q5664" s="19" t="s">
        <v>8129</v>
      </c>
      <c r="R5664" s="19"/>
    </row>
    <row r="5665" spans="2:18" x14ac:dyDescent="0.25">
      <c r="B5665" s="19" t="s">
        <v>7342</v>
      </c>
      <c r="C5665" s="16" t="s">
        <v>7341</v>
      </c>
      <c r="D5665" s="16" t="s">
        <v>29</v>
      </c>
      <c r="E5665" s="16" t="s">
        <v>428</v>
      </c>
      <c r="F5665" s="5" t="s">
        <v>8216</v>
      </c>
      <c r="G5665" s="16" t="s">
        <v>35</v>
      </c>
      <c r="H5665" s="16" t="s">
        <v>36</v>
      </c>
      <c r="I5665" s="16"/>
      <c r="J5665" s="16"/>
      <c r="K5665" s="16"/>
      <c r="L5665" s="16"/>
      <c r="M5665" s="16"/>
      <c r="N5665" s="16"/>
      <c r="O5665" s="16"/>
      <c r="P5665" s="5" t="str">
        <f t="shared" si="124"/>
        <v>Truncate table Z99916;</v>
      </c>
      <c r="Q5665" s="19" t="s">
        <v>8129</v>
      </c>
      <c r="R5665" s="19"/>
    </row>
    <row r="5666" spans="2:18" x14ac:dyDescent="0.25">
      <c r="B5666" s="19" t="s">
        <v>7343</v>
      </c>
      <c r="C5666" s="16" t="s">
        <v>7341</v>
      </c>
      <c r="D5666" s="16" t="s">
        <v>29</v>
      </c>
      <c r="E5666" s="16" t="s">
        <v>428</v>
      </c>
      <c r="F5666" s="5" t="s">
        <v>8216</v>
      </c>
      <c r="G5666" s="16" t="s">
        <v>35</v>
      </c>
      <c r="H5666" s="16" t="s">
        <v>36</v>
      </c>
      <c r="I5666" s="16"/>
      <c r="J5666" s="16"/>
      <c r="K5666" s="16"/>
      <c r="L5666" s="26"/>
      <c r="M5666" s="26"/>
      <c r="N5666" s="16"/>
      <c r="O5666" s="16"/>
      <c r="P5666" s="5" t="str">
        <f t="shared" si="124"/>
        <v>Truncate table Z99917;</v>
      </c>
      <c r="Q5666" s="19" t="s">
        <v>8129</v>
      </c>
      <c r="R5666" s="5"/>
    </row>
    <row r="5667" spans="2:18" x14ac:dyDescent="0.25">
      <c r="B5667" s="19" t="s">
        <v>7344</v>
      </c>
      <c r="C5667" s="16" t="s">
        <v>7341</v>
      </c>
      <c r="D5667" s="16" t="s">
        <v>29</v>
      </c>
      <c r="E5667" s="16" t="s">
        <v>428</v>
      </c>
      <c r="F5667" s="5" t="s">
        <v>8216</v>
      </c>
      <c r="G5667" s="16" t="s">
        <v>35</v>
      </c>
      <c r="H5667" s="16" t="s">
        <v>36</v>
      </c>
      <c r="I5667" s="16"/>
      <c r="J5667" s="16"/>
      <c r="K5667" s="16"/>
      <c r="L5667" s="16"/>
      <c r="M5667" s="16"/>
      <c r="N5667" s="16"/>
      <c r="O5667" s="16"/>
      <c r="P5667" s="5" t="str">
        <f t="shared" si="124"/>
        <v>Truncate table Z99918;</v>
      </c>
      <c r="Q5667" s="19" t="s">
        <v>8129</v>
      </c>
      <c r="R5667" s="5"/>
    </row>
    <row r="5668" spans="2:18" x14ac:dyDescent="0.25">
      <c r="B5668" s="19" t="s">
        <v>7345</v>
      </c>
      <c r="C5668" s="16" t="s">
        <v>7341</v>
      </c>
      <c r="D5668" s="16" t="s">
        <v>29</v>
      </c>
      <c r="E5668" s="16" t="s">
        <v>428</v>
      </c>
      <c r="F5668" s="5" t="s">
        <v>8216</v>
      </c>
      <c r="G5668" s="16" t="s">
        <v>35</v>
      </c>
      <c r="H5668" s="16" t="s">
        <v>36</v>
      </c>
      <c r="I5668" s="16"/>
      <c r="J5668" s="16"/>
      <c r="K5668" s="16"/>
      <c r="L5668" s="16"/>
      <c r="M5668" s="16"/>
      <c r="N5668" s="16"/>
      <c r="O5668" s="16"/>
      <c r="P5668" s="5" t="str">
        <f t="shared" si="124"/>
        <v>Truncate table Z99919;</v>
      </c>
      <c r="Q5668" s="19" t="s">
        <v>8129</v>
      </c>
      <c r="R5668" s="60"/>
    </row>
    <row r="5669" spans="2:18" x14ac:dyDescent="0.25">
      <c r="B5669" s="19" t="s">
        <v>7346</v>
      </c>
      <c r="C5669" s="16" t="s">
        <v>7341</v>
      </c>
      <c r="D5669" s="16" t="s">
        <v>29</v>
      </c>
      <c r="E5669" s="16" t="s">
        <v>428</v>
      </c>
      <c r="F5669" s="5" t="s">
        <v>8216</v>
      </c>
      <c r="G5669" s="16" t="s">
        <v>35</v>
      </c>
      <c r="H5669" s="16" t="s">
        <v>36</v>
      </c>
      <c r="I5669" s="16"/>
      <c r="J5669" s="16"/>
      <c r="K5669" s="16"/>
      <c r="L5669" s="16"/>
      <c r="M5669" s="16"/>
      <c r="N5669" s="16"/>
      <c r="O5669" s="16"/>
      <c r="P5669" s="5" t="str">
        <f t="shared" si="124"/>
        <v>Truncate table Z99920;</v>
      </c>
      <c r="Q5669" s="19" t="s">
        <v>8129</v>
      </c>
      <c r="R5669" s="60"/>
    </row>
    <row r="5670" spans="2:18" x14ac:dyDescent="0.25">
      <c r="B5670" s="19" t="s">
        <v>7347</v>
      </c>
      <c r="C5670" s="16" t="s">
        <v>7341</v>
      </c>
      <c r="D5670" s="16" t="s">
        <v>29</v>
      </c>
      <c r="E5670" s="16" t="s">
        <v>428</v>
      </c>
      <c r="F5670" s="5" t="s">
        <v>8216</v>
      </c>
      <c r="G5670" s="16" t="s">
        <v>35</v>
      </c>
      <c r="H5670" s="16" t="s">
        <v>36</v>
      </c>
      <c r="I5670" s="16"/>
      <c r="J5670" s="16"/>
      <c r="K5670" s="16"/>
      <c r="L5670" s="16"/>
      <c r="M5670" s="16"/>
      <c r="N5670" s="16"/>
      <c r="O5670" s="16"/>
      <c r="P5670" s="5" t="str">
        <f t="shared" si="124"/>
        <v>Truncate table Z99921;</v>
      </c>
      <c r="Q5670" s="19" t="s">
        <v>8129</v>
      </c>
      <c r="R5670" s="60"/>
    </row>
    <row r="5671" spans="2:18" x14ac:dyDescent="0.25">
      <c r="B5671" s="19" t="s">
        <v>7348</v>
      </c>
      <c r="C5671" s="16" t="s">
        <v>7341</v>
      </c>
      <c r="D5671" s="16" t="s">
        <v>29</v>
      </c>
      <c r="E5671" s="16" t="s">
        <v>428</v>
      </c>
      <c r="F5671" s="5" t="s">
        <v>8216</v>
      </c>
      <c r="G5671" s="16" t="s">
        <v>35</v>
      </c>
      <c r="H5671" s="16" t="s">
        <v>36</v>
      </c>
      <c r="I5671" s="16"/>
      <c r="J5671" s="16"/>
      <c r="K5671" s="16"/>
      <c r="L5671" s="16"/>
      <c r="M5671" s="16"/>
      <c r="N5671" s="16"/>
      <c r="O5671" s="16"/>
      <c r="P5671" s="5" t="str">
        <f t="shared" si="124"/>
        <v>Truncate table Z99922;</v>
      </c>
      <c r="Q5671" s="19" t="s">
        <v>8129</v>
      </c>
      <c r="R5671" s="60"/>
    </row>
    <row r="5672" spans="2:18" x14ac:dyDescent="0.25">
      <c r="B5672" s="37" t="s">
        <v>7349</v>
      </c>
      <c r="C5672" s="38" t="s">
        <v>7341</v>
      </c>
      <c r="D5672" s="16" t="s">
        <v>29</v>
      </c>
      <c r="E5672" s="38" t="s">
        <v>428</v>
      </c>
      <c r="F5672" s="5" t="s">
        <v>8216</v>
      </c>
      <c r="G5672" s="38" t="s">
        <v>35</v>
      </c>
      <c r="H5672" s="16" t="s">
        <v>36</v>
      </c>
      <c r="I5672" s="38"/>
      <c r="J5672" s="38"/>
      <c r="K5672" s="38"/>
      <c r="L5672" s="26"/>
      <c r="M5672" s="26"/>
      <c r="N5672" s="38"/>
      <c r="O5672" s="38"/>
      <c r="P5672" s="10" t="str">
        <f t="shared" si="124"/>
        <v>Truncate table ZCRU001;</v>
      </c>
      <c r="Q5672" s="60"/>
      <c r="R5672" s="60"/>
    </row>
    <row r="5673" spans="2:18" x14ac:dyDescent="0.25">
      <c r="B5673" s="19" t="s">
        <v>7350</v>
      </c>
      <c r="C5673" s="16" t="s">
        <v>7341</v>
      </c>
      <c r="D5673" s="16" t="s">
        <v>29</v>
      </c>
      <c r="E5673" s="38" t="s">
        <v>428</v>
      </c>
      <c r="F5673" s="5" t="s">
        <v>8216</v>
      </c>
      <c r="G5673" s="38" t="s">
        <v>35</v>
      </c>
      <c r="H5673" s="16" t="s">
        <v>36</v>
      </c>
      <c r="I5673" s="16"/>
      <c r="J5673" s="16"/>
      <c r="K5673" s="16"/>
      <c r="L5673" s="16"/>
      <c r="M5673" s="16"/>
      <c r="N5673" s="16"/>
      <c r="O5673" s="38"/>
      <c r="P5673" s="10" t="str">
        <f t="shared" si="124"/>
        <v>Truncate table ZPRALE;</v>
      </c>
      <c r="Q5673" s="60"/>
      <c r="R5673" s="60"/>
    </row>
    <row r="5674" spans="2:18" x14ac:dyDescent="0.25">
      <c r="B5674" s="19" t="s">
        <v>7351</v>
      </c>
      <c r="C5674" s="16" t="s">
        <v>7341</v>
      </c>
      <c r="D5674" s="16" t="s">
        <v>29</v>
      </c>
      <c r="E5674" s="38" t="s">
        <v>428</v>
      </c>
      <c r="F5674" s="5" t="s">
        <v>8216</v>
      </c>
      <c r="G5674" s="38" t="s">
        <v>35</v>
      </c>
      <c r="H5674" s="16" t="s">
        <v>36</v>
      </c>
      <c r="I5674" s="16"/>
      <c r="J5674" s="16"/>
      <c r="K5674" s="16"/>
      <c r="L5674" s="16"/>
      <c r="M5674" s="16"/>
      <c r="N5674" s="16"/>
      <c r="O5674" s="38"/>
      <c r="P5674" s="10" t="str">
        <f t="shared" si="124"/>
        <v>Truncate table ZZPRU;</v>
      </c>
      <c r="Q5674" s="60"/>
      <c r="R5674" s="60"/>
    </row>
    <row r="5675" spans="2:18" ht="40.5" x14ac:dyDescent="0.25">
      <c r="B5675" s="19" t="s">
        <v>7352</v>
      </c>
      <c r="C5675" s="16" t="s">
        <v>7353</v>
      </c>
      <c r="D5675" s="16" t="s">
        <v>29</v>
      </c>
      <c r="E5675" s="16" t="s">
        <v>151</v>
      </c>
      <c r="F5675" s="5" t="s">
        <v>7354</v>
      </c>
      <c r="G5675" s="16" t="s">
        <v>503</v>
      </c>
      <c r="H5675" s="16" t="s">
        <v>36</v>
      </c>
      <c r="I5675" s="16" t="s">
        <v>7355</v>
      </c>
      <c r="J5675" s="16" t="s">
        <v>7356</v>
      </c>
      <c r="K5675" s="16" t="s">
        <v>7357</v>
      </c>
      <c r="L5675" s="21" t="s">
        <v>7358</v>
      </c>
      <c r="M5675" s="275"/>
      <c r="N5675" s="16" t="s">
        <v>7359</v>
      </c>
      <c r="O5675" s="16" t="s">
        <v>38</v>
      </c>
      <c r="P5675" s="10" t="str">
        <f t="shared" si="124"/>
        <v>Truncate table TDD009;</v>
      </c>
      <c r="Q5675" s="60"/>
      <c r="R5675" s="60"/>
    </row>
    <row r="5676" spans="2:18" ht="54" x14ac:dyDescent="0.25">
      <c r="B5676" s="21" t="s">
        <v>7360</v>
      </c>
      <c r="C5676" s="16" t="s">
        <v>7361</v>
      </c>
      <c r="D5676" s="16" t="s">
        <v>29</v>
      </c>
      <c r="E5676" s="16" t="s">
        <v>54</v>
      </c>
      <c r="F5676" s="5" t="s">
        <v>7362</v>
      </c>
      <c r="G5676" s="16" t="s">
        <v>35</v>
      </c>
      <c r="H5676" s="16" t="s">
        <v>36</v>
      </c>
      <c r="I5676" s="16" t="s">
        <v>7363</v>
      </c>
      <c r="J5676" s="16" t="s">
        <v>7364</v>
      </c>
      <c r="K5676" s="16" t="s">
        <v>5863</v>
      </c>
      <c r="L5676" s="16" t="s">
        <v>7365</v>
      </c>
      <c r="M5676" s="16"/>
      <c r="N5676" s="16"/>
      <c r="O5676" s="16" t="s">
        <v>38</v>
      </c>
      <c r="P5676" s="10" t="str">
        <f t="shared" si="124"/>
        <v>Truncate table RIB013;</v>
      </c>
      <c r="Q5676" s="21" t="s">
        <v>7366</v>
      </c>
      <c r="R5676" s="60"/>
    </row>
    <row r="5677" spans="2:18" ht="27" x14ac:dyDescent="0.25">
      <c r="B5677" s="21" t="s">
        <v>9631</v>
      </c>
      <c r="C5677" s="16" t="s">
        <v>9632</v>
      </c>
      <c r="D5677" s="16" t="s">
        <v>29</v>
      </c>
      <c r="E5677" s="16" t="s">
        <v>151</v>
      </c>
      <c r="F5677" s="5" t="s">
        <v>184</v>
      </c>
      <c r="G5677" s="16" t="s">
        <v>35</v>
      </c>
      <c r="H5677" s="16" t="s">
        <v>12</v>
      </c>
      <c r="I5677" s="16"/>
      <c r="J5677" s="16"/>
      <c r="K5677" s="16" t="s">
        <v>9633</v>
      </c>
      <c r="L5677" s="16" t="s">
        <v>9634</v>
      </c>
      <c r="M5677" s="16"/>
      <c r="N5677" s="16"/>
      <c r="O5677" s="16"/>
      <c r="P5677" s="10" t="str">
        <f t="shared" si="124"/>
        <v>Truncate table DEMX023;</v>
      </c>
      <c r="Q5677" s="21" t="s">
        <v>7366</v>
      </c>
      <c r="R5677" s="60"/>
    </row>
    <row r="5678" spans="2:18" ht="54" x14ac:dyDescent="0.25">
      <c r="B5678" s="21" t="s">
        <v>7367</v>
      </c>
      <c r="C5678" s="16" t="s">
        <v>7368</v>
      </c>
      <c r="D5678" s="16" t="s">
        <v>29</v>
      </c>
      <c r="E5678" s="16" t="s">
        <v>54</v>
      </c>
      <c r="F5678" s="5" t="s">
        <v>235</v>
      </c>
      <c r="G5678" s="16" t="s">
        <v>35</v>
      </c>
      <c r="H5678" s="16" t="s">
        <v>12</v>
      </c>
      <c r="I5678" s="16" t="s">
        <v>7369</v>
      </c>
      <c r="J5678" s="16" t="s">
        <v>7370</v>
      </c>
      <c r="K5678" s="16" t="s">
        <v>1128</v>
      </c>
      <c r="L5678" s="16" t="s">
        <v>7371</v>
      </c>
      <c r="M5678" s="16"/>
      <c r="N5678" s="16" t="s">
        <v>7372</v>
      </c>
      <c r="O5678" s="16" t="s">
        <v>38</v>
      </c>
      <c r="P5678" s="5" t="str">
        <f t="shared" si="124"/>
        <v>Truncate table DEMX41;</v>
      </c>
      <c r="Q5678" s="21" t="s">
        <v>7366</v>
      </c>
      <c r="R5678" s="20"/>
    </row>
    <row r="5679" spans="2:18" ht="99.75" customHeight="1" x14ac:dyDescent="0.25">
      <c r="B5679" s="185" t="s">
        <v>9635</v>
      </c>
      <c r="C5679" s="268" t="s">
        <v>9638</v>
      </c>
      <c r="D5679" s="16" t="s">
        <v>29</v>
      </c>
      <c r="E5679" s="16" t="s">
        <v>54</v>
      </c>
      <c r="F5679" s="5" t="s">
        <v>9641</v>
      </c>
      <c r="G5679" s="16" t="s">
        <v>35</v>
      </c>
      <c r="H5679" s="16" t="s">
        <v>12</v>
      </c>
      <c r="I5679" s="16"/>
      <c r="J5679" s="16"/>
      <c r="K5679" s="16" t="s">
        <v>9607</v>
      </c>
      <c r="L5679" s="16" t="s">
        <v>9642</v>
      </c>
      <c r="M5679" s="16" t="s">
        <v>9643</v>
      </c>
      <c r="N5679" s="16" t="s">
        <v>9609</v>
      </c>
      <c r="O5679" s="16"/>
      <c r="P5679" s="5" t="str">
        <f t="shared" si="124"/>
        <v>Truncate table DEMX045                                                                                                                         ;</v>
      </c>
      <c r="Q5679" s="21" t="s">
        <v>7366</v>
      </c>
      <c r="R5679" s="20"/>
    </row>
    <row r="5680" spans="2:18" ht="86.25" customHeight="1" x14ac:dyDescent="0.25">
      <c r="B5680" s="185" t="s">
        <v>9636</v>
      </c>
      <c r="C5680" s="268" t="s">
        <v>9639</v>
      </c>
      <c r="D5680" s="16" t="s">
        <v>29</v>
      </c>
      <c r="E5680" s="16" t="s">
        <v>54</v>
      </c>
      <c r="F5680" s="5" t="s">
        <v>9641</v>
      </c>
      <c r="G5680" s="16" t="s">
        <v>35</v>
      </c>
      <c r="H5680" s="16" t="s">
        <v>12</v>
      </c>
      <c r="I5680" s="16"/>
      <c r="J5680" s="16"/>
      <c r="K5680" s="16" t="s">
        <v>9607</v>
      </c>
      <c r="L5680" s="16" t="s">
        <v>9642</v>
      </c>
      <c r="M5680" s="16" t="s">
        <v>9643</v>
      </c>
      <c r="N5680" s="16" t="s">
        <v>9609</v>
      </c>
      <c r="O5680" s="16"/>
      <c r="P5680" s="5" t="str">
        <f t="shared" si="124"/>
        <v>Truncate table DEMX046                                                                                                                         ;</v>
      </c>
      <c r="Q5680" s="21" t="s">
        <v>7366</v>
      </c>
      <c r="R5680" s="20"/>
    </row>
    <row r="5681" spans="2:18" ht="90.75" customHeight="1" x14ac:dyDescent="0.25">
      <c r="B5681" s="185" t="s">
        <v>9637</v>
      </c>
      <c r="C5681" s="268" t="s">
        <v>9640</v>
      </c>
      <c r="D5681" s="16" t="s">
        <v>29</v>
      </c>
      <c r="E5681" s="16" t="s">
        <v>54</v>
      </c>
      <c r="F5681" s="5" t="s">
        <v>9641</v>
      </c>
      <c r="G5681" s="16" t="s">
        <v>35</v>
      </c>
      <c r="H5681" s="16" t="s">
        <v>12</v>
      </c>
      <c r="I5681" s="16"/>
      <c r="J5681" s="16"/>
      <c r="K5681" s="16" t="s">
        <v>9607</v>
      </c>
      <c r="L5681" s="16" t="s">
        <v>9642</v>
      </c>
      <c r="M5681" s="16" t="s">
        <v>9643</v>
      </c>
      <c r="N5681" s="16" t="s">
        <v>9609</v>
      </c>
      <c r="O5681" s="16"/>
      <c r="P5681" s="5" t="str">
        <f t="shared" si="124"/>
        <v>Truncate table DEMX047                                                                                                                         ;</v>
      </c>
      <c r="Q5681" s="21" t="s">
        <v>7366</v>
      </c>
      <c r="R5681" s="20"/>
    </row>
    <row r="5682" spans="2:18" ht="79.5" customHeight="1" x14ac:dyDescent="0.25">
      <c r="B5682" s="21" t="s">
        <v>9605</v>
      </c>
      <c r="C5682" s="16" t="s">
        <v>9606</v>
      </c>
      <c r="D5682" s="16" t="s">
        <v>29</v>
      </c>
      <c r="E5682" s="16" t="s">
        <v>54</v>
      </c>
      <c r="F5682" s="5" t="s">
        <v>8200</v>
      </c>
      <c r="G5682" s="16" t="s">
        <v>35</v>
      </c>
      <c r="H5682" s="16" t="s">
        <v>12</v>
      </c>
      <c r="I5682" s="16"/>
      <c r="J5682" s="16"/>
      <c r="K5682" s="16" t="s">
        <v>9607</v>
      </c>
      <c r="L5682" s="16" t="s">
        <v>9608</v>
      </c>
      <c r="M5682" s="16" t="s">
        <v>9643</v>
      </c>
      <c r="N5682" s="16" t="s">
        <v>9609</v>
      </c>
      <c r="O5682" s="16"/>
      <c r="P5682" s="5" t="str">
        <f t="shared" si="124"/>
        <v>Truncate table DEMX048;</v>
      </c>
      <c r="Q5682" s="21" t="s">
        <v>7366</v>
      </c>
      <c r="R5682" s="20"/>
    </row>
    <row r="5683" spans="2:18" ht="79.5" customHeight="1" x14ac:dyDescent="0.25">
      <c r="B5683" s="21" t="s">
        <v>9644</v>
      </c>
      <c r="C5683" s="16" t="s">
        <v>9645</v>
      </c>
      <c r="D5683" s="16" t="s">
        <v>29</v>
      </c>
      <c r="E5683" s="16" t="s">
        <v>54</v>
      </c>
      <c r="F5683" s="5" t="s">
        <v>1030</v>
      </c>
      <c r="G5683" s="16" t="s">
        <v>35</v>
      </c>
      <c r="H5683" s="16" t="s">
        <v>12</v>
      </c>
      <c r="I5683" s="16"/>
      <c r="J5683" s="16"/>
      <c r="K5683" s="16" t="s">
        <v>9646</v>
      </c>
      <c r="L5683" s="16"/>
      <c r="M5683" s="16" t="s">
        <v>9643</v>
      </c>
      <c r="N5683" s="16" t="s">
        <v>9609</v>
      </c>
      <c r="O5683" s="16"/>
      <c r="P5683" s="5" t="str">
        <f t="shared" si="124"/>
        <v>Truncate table DEMX200;</v>
      </c>
      <c r="Q5683" s="21" t="s">
        <v>7366</v>
      </c>
      <c r="R5683" s="20"/>
    </row>
    <row r="5684" spans="2:18" ht="40.5" x14ac:dyDescent="0.25">
      <c r="B5684" s="21" t="s">
        <v>7373</v>
      </c>
      <c r="C5684" s="16" t="s">
        <v>7374</v>
      </c>
      <c r="D5684" s="16" t="s">
        <v>29</v>
      </c>
      <c r="E5684" s="16" t="s">
        <v>34</v>
      </c>
      <c r="F5684" s="5" t="s">
        <v>33</v>
      </c>
      <c r="G5684" s="16" t="s">
        <v>35</v>
      </c>
      <c r="H5684" s="21" t="s">
        <v>36</v>
      </c>
      <c r="I5684" s="16" t="s">
        <v>7375</v>
      </c>
      <c r="J5684" s="16" t="s">
        <v>7376</v>
      </c>
      <c r="K5684" s="16" t="s">
        <v>1581</v>
      </c>
      <c r="L5684" s="16"/>
      <c r="M5684" s="16"/>
      <c r="N5684" s="16" t="s">
        <v>7377</v>
      </c>
      <c r="O5684" s="16" t="s">
        <v>38</v>
      </c>
      <c r="P5684" s="5" t="str">
        <f t="shared" si="124"/>
        <v>Truncate table FRH100;</v>
      </c>
      <c r="Q5684" s="20"/>
      <c r="R5684" s="20"/>
    </row>
    <row r="5685" spans="2:18" ht="54" x14ac:dyDescent="0.25">
      <c r="B5685" s="21" t="s">
        <v>7378</v>
      </c>
      <c r="C5685" s="16" t="s">
        <v>7379</v>
      </c>
      <c r="D5685" s="16" t="s">
        <v>29</v>
      </c>
      <c r="E5685" s="16" t="s">
        <v>151</v>
      </c>
      <c r="F5685" s="5" t="s">
        <v>924</v>
      </c>
      <c r="G5685" s="16" t="s">
        <v>35</v>
      </c>
      <c r="H5685" s="16" t="s">
        <v>36</v>
      </c>
      <c r="I5685" s="16" t="s">
        <v>7380</v>
      </c>
      <c r="J5685" s="16" t="s">
        <v>7381</v>
      </c>
      <c r="K5685" s="16" t="s">
        <v>466</v>
      </c>
      <c r="L5685" s="16" t="s">
        <v>7382</v>
      </c>
      <c r="M5685" s="16"/>
      <c r="N5685" s="16" t="s">
        <v>7383</v>
      </c>
      <c r="O5685" s="16" t="s">
        <v>38</v>
      </c>
      <c r="P5685" s="5" t="str">
        <f t="shared" si="124"/>
        <v>Truncate table CSMD098;</v>
      </c>
      <c r="Q5685" s="20"/>
      <c r="R5685" s="20"/>
    </row>
    <row r="5686" spans="2:18" ht="54" x14ac:dyDescent="0.25">
      <c r="B5686" s="21" t="s">
        <v>7384</v>
      </c>
      <c r="C5686" s="21" t="s">
        <v>7385</v>
      </c>
      <c r="D5686" s="16" t="s">
        <v>29</v>
      </c>
      <c r="E5686" s="55" t="s">
        <v>151</v>
      </c>
      <c r="F5686" s="5" t="s">
        <v>924</v>
      </c>
      <c r="G5686" s="20" t="s">
        <v>35</v>
      </c>
      <c r="H5686" s="20" t="s">
        <v>36</v>
      </c>
      <c r="I5686" s="20" t="s">
        <v>7386</v>
      </c>
      <c r="J5686" s="20" t="s">
        <v>7387</v>
      </c>
      <c r="K5686" s="20" t="s">
        <v>466</v>
      </c>
      <c r="L5686" s="20" t="s">
        <v>7382</v>
      </c>
      <c r="M5686" s="20"/>
      <c r="N5686" s="20" t="s">
        <v>7388</v>
      </c>
      <c r="O5686" s="20" t="s">
        <v>38</v>
      </c>
      <c r="P5686" s="5" t="str">
        <f t="shared" si="124"/>
        <v>Truncate table CSMD099;</v>
      </c>
      <c r="Q5686" s="20"/>
      <c r="R5686" s="20"/>
    </row>
    <row r="5687" spans="2:18" ht="54" x14ac:dyDescent="0.25">
      <c r="B5687" s="21" t="s">
        <v>7389</v>
      </c>
      <c r="C5687" s="21" t="s">
        <v>7390</v>
      </c>
      <c r="D5687" s="16" t="s">
        <v>29</v>
      </c>
      <c r="E5687" s="55" t="s">
        <v>151</v>
      </c>
      <c r="F5687" s="5" t="s">
        <v>924</v>
      </c>
      <c r="G5687" s="20" t="s">
        <v>35</v>
      </c>
      <c r="H5687" s="20" t="s">
        <v>36</v>
      </c>
      <c r="I5687" s="20" t="s">
        <v>7391</v>
      </c>
      <c r="J5687" s="20" t="s">
        <v>7392</v>
      </c>
      <c r="K5687" s="20" t="s">
        <v>466</v>
      </c>
      <c r="L5687" s="20" t="s">
        <v>7382</v>
      </c>
      <c r="M5687" s="20"/>
      <c r="N5687" s="20" t="s">
        <v>7393</v>
      </c>
      <c r="O5687" s="20" t="s">
        <v>38</v>
      </c>
      <c r="P5687" s="5" t="str">
        <f t="shared" si="124"/>
        <v>Truncate table CSML099;</v>
      </c>
      <c r="Q5687" s="20"/>
      <c r="R5687" s="20"/>
    </row>
    <row r="5688" spans="2:18" ht="40.5" x14ac:dyDescent="0.25">
      <c r="B5688" s="21" t="s">
        <v>7394</v>
      </c>
      <c r="C5688" s="21" t="s">
        <v>7395</v>
      </c>
      <c r="D5688" s="16" t="s">
        <v>29</v>
      </c>
      <c r="E5688" s="55" t="s">
        <v>151</v>
      </c>
      <c r="F5688" s="55" t="s">
        <v>924</v>
      </c>
      <c r="G5688" s="20" t="s">
        <v>35</v>
      </c>
      <c r="H5688" s="20" t="s">
        <v>36</v>
      </c>
      <c r="I5688" s="20" t="s">
        <v>7396</v>
      </c>
      <c r="J5688" s="20" t="s">
        <v>7397</v>
      </c>
      <c r="K5688" s="20" t="s">
        <v>2789</v>
      </c>
      <c r="L5688" s="20" t="s">
        <v>7398</v>
      </c>
      <c r="M5688" s="20"/>
      <c r="N5688" s="20" t="s">
        <v>7399</v>
      </c>
      <c r="O5688" s="20" t="s">
        <v>38</v>
      </c>
      <c r="P5688" s="5" t="str">
        <f t="shared" si="124"/>
        <v>Truncate table CSMD007;</v>
      </c>
      <c r="Q5688" s="20"/>
      <c r="R5688" s="20"/>
    </row>
    <row r="5689" spans="2:18" ht="42.75" customHeight="1" x14ac:dyDescent="0.25">
      <c r="B5689" s="21" t="s">
        <v>7400</v>
      </c>
      <c r="C5689" s="21" t="s">
        <v>7401</v>
      </c>
      <c r="D5689" s="16" t="s">
        <v>29</v>
      </c>
      <c r="E5689" s="55" t="s">
        <v>54</v>
      </c>
      <c r="F5689" s="55" t="s">
        <v>235</v>
      </c>
      <c r="G5689" s="20" t="s">
        <v>35</v>
      </c>
      <c r="H5689" s="20" t="s">
        <v>36</v>
      </c>
      <c r="I5689" s="20" t="s">
        <v>7402</v>
      </c>
      <c r="J5689" s="20" t="s">
        <v>7403</v>
      </c>
      <c r="K5689" s="20" t="s">
        <v>7404</v>
      </c>
      <c r="L5689" s="20" t="s">
        <v>7405</v>
      </c>
      <c r="M5689" s="230"/>
      <c r="N5689" s="20" t="s">
        <v>7406</v>
      </c>
      <c r="O5689" s="20" t="s">
        <v>38</v>
      </c>
      <c r="P5689" s="5" t="str">
        <f t="shared" si="124"/>
        <v>Truncate table FSD114;</v>
      </c>
      <c r="Q5689" s="20"/>
      <c r="R5689" s="20"/>
    </row>
    <row r="5690" spans="2:18" ht="40.5" x14ac:dyDescent="0.25">
      <c r="B5690" s="21" t="s">
        <v>7407</v>
      </c>
      <c r="C5690" s="21" t="s">
        <v>7408</v>
      </c>
      <c r="D5690" s="16" t="s">
        <v>29</v>
      </c>
      <c r="E5690" s="55" t="s">
        <v>151</v>
      </c>
      <c r="F5690" s="55" t="s">
        <v>4752</v>
      </c>
      <c r="G5690" s="20" t="s">
        <v>35</v>
      </c>
      <c r="H5690" s="20" t="s">
        <v>36</v>
      </c>
      <c r="I5690" s="20" t="s">
        <v>7409</v>
      </c>
      <c r="J5690" s="20" t="s">
        <v>7410</v>
      </c>
      <c r="K5690" s="20" t="s">
        <v>7411</v>
      </c>
      <c r="L5690" s="20" t="s">
        <v>7398</v>
      </c>
      <c r="M5690" s="20"/>
      <c r="N5690" s="20" t="s">
        <v>7412</v>
      </c>
      <c r="O5690" s="20" t="s">
        <v>38</v>
      </c>
      <c r="P5690" s="5" t="str">
        <f t="shared" si="124"/>
        <v>Truncate table TDD036;</v>
      </c>
      <c r="Q5690" s="20"/>
      <c r="R5690" s="20"/>
    </row>
    <row r="5691" spans="2:18" ht="40.5" x14ac:dyDescent="0.25">
      <c r="B5691" s="21" t="s">
        <v>7413</v>
      </c>
      <c r="C5691" s="21" t="s">
        <v>7414</v>
      </c>
      <c r="D5691" s="16" t="s">
        <v>29</v>
      </c>
      <c r="E5691" s="55" t="s">
        <v>151</v>
      </c>
      <c r="F5691" s="55" t="s">
        <v>4752</v>
      </c>
      <c r="G5691" s="20" t="s">
        <v>35</v>
      </c>
      <c r="H5691" s="20" t="s">
        <v>36</v>
      </c>
      <c r="I5691" s="20" t="s">
        <v>7415</v>
      </c>
      <c r="J5691" s="20" t="s">
        <v>7416</v>
      </c>
      <c r="K5691" s="20" t="s">
        <v>7411</v>
      </c>
      <c r="L5691" s="20" t="s">
        <v>7398</v>
      </c>
      <c r="M5691" s="20"/>
      <c r="N5691" s="20" t="s">
        <v>7417</v>
      </c>
      <c r="O5691" s="20" t="s">
        <v>38</v>
      </c>
      <c r="P5691" s="5" t="str">
        <f t="shared" si="124"/>
        <v>Truncate table TDD003;</v>
      </c>
      <c r="Q5691" s="20"/>
      <c r="R5691" s="20"/>
    </row>
    <row r="5692" spans="2:18" ht="40.5" x14ac:dyDescent="0.25">
      <c r="B5692" s="21" t="s">
        <v>7418</v>
      </c>
      <c r="C5692" s="21" t="s">
        <v>7419</v>
      </c>
      <c r="D5692" s="16" t="s">
        <v>29</v>
      </c>
      <c r="E5692" s="55" t="s">
        <v>151</v>
      </c>
      <c r="F5692" s="55" t="s">
        <v>4752</v>
      </c>
      <c r="G5692" s="20" t="s">
        <v>35</v>
      </c>
      <c r="H5692" s="20" t="s">
        <v>36</v>
      </c>
      <c r="I5692" s="20" t="s">
        <v>7420</v>
      </c>
      <c r="J5692" s="20" t="s">
        <v>7421</v>
      </c>
      <c r="K5692" s="20" t="s">
        <v>7411</v>
      </c>
      <c r="L5692" s="20" t="s">
        <v>7398</v>
      </c>
      <c r="M5692" s="44"/>
      <c r="N5692" s="56" t="s">
        <v>7422</v>
      </c>
      <c r="O5692" s="20" t="s">
        <v>38</v>
      </c>
      <c r="P5692" s="5" t="str">
        <f t="shared" si="124"/>
        <v>Truncate table TDD001;</v>
      </c>
      <c r="Q5692" s="20"/>
      <c r="R5692" s="20"/>
    </row>
    <row r="5693" spans="2:18" ht="40.5" x14ac:dyDescent="0.25">
      <c r="B5693" s="21" t="s">
        <v>7423</v>
      </c>
      <c r="C5693" s="21" t="s">
        <v>7424</v>
      </c>
      <c r="D5693" s="16" t="s">
        <v>29</v>
      </c>
      <c r="E5693" s="55" t="s">
        <v>151</v>
      </c>
      <c r="F5693" s="55" t="s">
        <v>4752</v>
      </c>
      <c r="G5693" s="20" t="s">
        <v>35</v>
      </c>
      <c r="H5693" s="20" t="s">
        <v>36</v>
      </c>
      <c r="I5693" s="20" t="s">
        <v>7425</v>
      </c>
      <c r="J5693" s="20" t="s">
        <v>7426</v>
      </c>
      <c r="K5693" s="20" t="s">
        <v>7411</v>
      </c>
      <c r="L5693" s="20" t="s">
        <v>7398</v>
      </c>
      <c r="M5693" s="20"/>
      <c r="N5693" s="20" t="s">
        <v>7427</v>
      </c>
      <c r="O5693" s="20" t="s">
        <v>38</v>
      </c>
      <c r="P5693" s="5" t="str">
        <f t="shared" si="124"/>
        <v>Truncate table TDD005;</v>
      </c>
      <c r="Q5693" s="20"/>
      <c r="R5693" s="20"/>
    </row>
    <row r="5694" spans="2:18" ht="40.5" x14ac:dyDescent="0.25">
      <c r="B5694" s="21" t="s">
        <v>7428</v>
      </c>
      <c r="C5694" s="21" t="s">
        <v>7429</v>
      </c>
      <c r="D5694" s="16" t="s">
        <v>29</v>
      </c>
      <c r="E5694" s="55" t="s">
        <v>3007</v>
      </c>
      <c r="F5694" s="55" t="s">
        <v>3133</v>
      </c>
      <c r="G5694" s="20" t="s">
        <v>35</v>
      </c>
      <c r="H5694" s="20" t="s">
        <v>36</v>
      </c>
      <c r="I5694" s="20" t="s">
        <v>7430</v>
      </c>
      <c r="J5694" s="20" t="s">
        <v>7431</v>
      </c>
      <c r="K5694" s="20" t="s">
        <v>3331</v>
      </c>
      <c r="L5694" s="20"/>
      <c r="M5694" s="20"/>
      <c r="N5694" s="20" t="s">
        <v>7432</v>
      </c>
      <c r="O5694" s="20" t="s">
        <v>38</v>
      </c>
      <c r="P5694" s="5" t="str">
        <f t="shared" si="124"/>
        <v>Truncate table FSFG23;</v>
      </c>
      <c r="Q5694" s="20"/>
      <c r="R5694" s="20"/>
    </row>
    <row r="5695" spans="2:18" ht="67.5" x14ac:dyDescent="0.25">
      <c r="B5695" s="21" t="s">
        <v>7433</v>
      </c>
      <c r="C5695" s="21" t="s">
        <v>7434</v>
      </c>
      <c r="D5695" s="16" t="s">
        <v>29</v>
      </c>
      <c r="E5695" s="55" t="s">
        <v>34</v>
      </c>
      <c r="F5695" s="55" t="s">
        <v>33</v>
      </c>
      <c r="G5695" s="20" t="s">
        <v>35</v>
      </c>
      <c r="H5695" s="20" t="s">
        <v>36</v>
      </c>
      <c r="I5695" s="20" t="s">
        <v>7435</v>
      </c>
      <c r="J5695" s="20" t="s">
        <v>7436</v>
      </c>
      <c r="K5695" s="20" t="s">
        <v>1068</v>
      </c>
      <c r="L5695" s="20" t="s">
        <v>7437</v>
      </c>
      <c r="M5695" s="20"/>
      <c r="N5695" s="21" t="s">
        <v>7438</v>
      </c>
      <c r="O5695" s="20" t="s">
        <v>38</v>
      </c>
      <c r="P5695" s="5" t="str">
        <f t="shared" si="124"/>
        <v>Truncate table FBC466;</v>
      </c>
      <c r="Q5695" s="20"/>
      <c r="R5695" s="20"/>
    </row>
    <row r="5696" spans="2:18" x14ac:dyDescent="0.25">
      <c r="B5696" s="20" t="s">
        <v>7439</v>
      </c>
      <c r="C5696" s="277" t="s">
        <v>7440</v>
      </c>
      <c r="D5696" s="16" t="s">
        <v>29</v>
      </c>
      <c r="E5696" s="55" t="s">
        <v>151</v>
      </c>
      <c r="F5696" s="55" t="s">
        <v>924</v>
      </c>
      <c r="G5696" s="20" t="s">
        <v>35</v>
      </c>
      <c r="H5696" s="20" t="s">
        <v>36</v>
      </c>
      <c r="I5696" s="22"/>
      <c r="J5696" s="22"/>
      <c r="K5696" s="22"/>
      <c r="L5696" s="22"/>
      <c r="M5696" s="22"/>
      <c r="N5696" s="22"/>
      <c r="O5696" s="22"/>
      <c r="P5696" s="5" t="str">
        <f t="shared" si="124"/>
        <v>Truncate table CSMC01;</v>
      </c>
      <c r="Q5696" s="22"/>
      <c r="R5696" s="22"/>
    </row>
    <row r="5697" spans="2:18" ht="40.5" x14ac:dyDescent="0.25">
      <c r="B5697" s="5" t="s">
        <v>7441</v>
      </c>
      <c r="C5697" s="5" t="s">
        <v>7442</v>
      </c>
      <c r="D5697" s="16" t="s">
        <v>29</v>
      </c>
      <c r="E5697" s="57" t="s">
        <v>151</v>
      </c>
      <c r="F5697" s="57" t="s">
        <v>924</v>
      </c>
      <c r="G5697" s="5" t="s">
        <v>35</v>
      </c>
      <c r="H5697" s="5" t="s">
        <v>36</v>
      </c>
      <c r="I5697" s="5" t="s">
        <v>7443</v>
      </c>
      <c r="J5697" s="5" t="str">
        <f>'[5]Tablas '!$E$5</f>
        <v>2016-11-25 16:06:22.000</v>
      </c>
      <c r="K5697" s="5" t="s">
        <v>1128</v>
      </c>
      <c r="L5697" s="5" t="s">
        <v>7444</v>
      </c>
      <c r="M5697" s="5"/>
      <c r="N5697" s="5" t="s">
        <v>7445</v>
      </c>
      <c r="O5697" s="5"/>
      <c r="P5697" s="5" t="str">
        <f t="shared" si="124"/>
        <v>Truncate table CSMI01;</v>
      </c>
      <c r="Q5697" s="5"/>
      <c r="R5697" s="5"/>
    </row>
    <row r="5698" spans="2:18" x14ac:dyDescent="0.25">
      <c r="B5698" s="20" t="s">
        <v>7446</v>
      </c>
      <c r="C5698" s="21" t="s">
        <v>7447</v>
      </c>
      <c r="D5698" s="16" t="s">
        <v>29</v>
      </c>
      <c r="E5698" s="55" t="s">
        <v>151</v>
      </c>
      <c r="F5698" s="55" t="s">
        <v>924</v>
      </c>
      <c r="G5698" s="20" t="s">
        <v>35</v>
      </c>
      <c r="H5698" s="20" t="s">
        <v>36</v>
      </c>
      <c r="I5698" s="46"/>
      <c r="J5698" s="46"/>
      <c r="K5698" s="20"/>
      <c r="L5698" s="20"/>
      <c r="M5698" s="20"/>
      <c r="N5698" s="20"/>
      <c r="O5698" s="20"/>
      <c r="P5698" s="16" t="str">
        <f t="shared" si="124"/>
        <v>Truncate table CSMI10;</v>
      </c>
      <c r="Q5698" s="20"/>
      <c r="R5698" s="20"/>
    </row>
    <row r="5699" spans="2:18" x14ac:dyDescent="0.25">
      <c r="B5699" s="20" t="s">
        <v>7448</v>
      </c>
      <c r="C5699" s="21" t="s">
        <v>7449</v>
      </c>
      <c r="D5699" s="16" t="s">
        <v>29</v>
      </c>
      <c r="E5699" s="55" t="s">
        <v>151</v>
      </c>
      <c r="F5699" s="55" t="s">
        <v>924</v>
      </c>
      <c r="G5699" s="20" t="s">
        <v>35</v>
      </c>
      <c r="H5699" s="20" t="s">
        <v>36</v>
      </c>
      <c r="I5699" s="46"/>
      <c r="J5699" s="46"/>
      <c r="K5699" s="20"/>
      <c r="L5699" s="20"/>
      <c r="M5699" s="20"/>
      <c r="N5699" s="20"/>
      <c r="O5699" s="20"/>
      <c r="P5699" s="16" t="str">
        <f t="shared" si="124"/>
        <v>Truncate table CSMI11;</v>
      </c>
      <c r="Q5699" s="20"/>
      <c r="R5699" s="20"/>
    </row>
    <row r="5700" spans="2:18" x14ac:dyDescent="0.25">
      <c r="B5700" s="20" t="s">
        <v>7450</v>
      </c>
      <c r="C5700" s="21" t="s">
        <v>7451</v>
      </c>
      <c r="D5700" s="16" t="s">
        <v>29</v>
      </c>
      <c r="E5700" s="55" t="s">
        <v>151</v>
      </c>
      <c r="F5700" s="55" t="s">
        <v>924</v>
      </c>
      <c r="G5700" s="20" t="s">
        <v>35</v>
      </c>
      <c r="H5700" s="20" t="s">
        <v>36</v>
      </c>
      <c r="I5700" s="46"/>
      <c r="J5700" s="46"/>
      <c r="K5700" s="20"/>
      <c r="L5700" s="20"/>
      <c r="M5700" s="20"/>
      <c r="N5700" s="20"/>
      <c r="O5700" s="20"/>
      <c r="P5700" s="16" t="str">
        <f t="shared" si="124"/>
        <v>Truncate table CSMI20 ;</v>
      </c>
      <c r="Q5700" s="20"/>
      <c r="R5700" s="20"/>
    </row>
    <row r="5701" spans="2:18" x14ac:dyDescent="0.25">
      <c r="B5701" s="20" t="s">
        <v>7452</v>
      </c>
      <c r="C5701" s="21" t="s">
        <v>7453</v>
      </c>
      <c r="D5701" s="16" t="s">
        <v>29</v>
      </c>
      <c r="E5701" s="55" t="s">
        <v>151</v>
      </c>
      <c r="F5701" s="55" t="s">
        <v>924</v>
      </c>
      <c r="G5701" s="20" t="s">
        <v>35</v>
      </c>
      <c r="H5701" s="20" t="s">
        <v>36</v>
      </c>
      <c r="I5701" s="46"/>
      <c r="J5701" s="46"/>
      <c r="K5701" s="20"/>
      <c r="L5701" s="20"/>
      <c r="M5701" s="20"/>
      <c r="N5701" s="20"/>
      <c r="O5701" s="20"/>
      <c r="P5701" s="16" t="str">
        <f t="shared" si="124"/>
        <v>Truncate table CSMI21;</v>
      </c>
      <c r="Q5701" s="20"/>
      <c r="R5701" s="20"/>
    </row>
    <row r="5702" spans="2:18" x14ac:dyDescent="0.25">
      <c r="B5702" s="20" t="s">
        <v>7454</v>
      </c>
      <c r="C5702" s="21" t="s">
        <v>7455</v>
      </c>
      <c r="D5702" s="16" t="s">
        <v>29</v>
      </c>
      <c r="E5702" s="55" t="s">
        <v>151</v>
      </c>
      <c r="F5702" s="55" t="s">
        <v>924</v>
      </c>
      <c r="G5702" s="20" t="s">
        <v>35</v>
      </c>
      <c r="H5702" s="20" t="s">
        <v>36</v>
      </c>
      <c r="I5702" s="46"/>
      <c r="J5702" s="46"/>
      <c r="K5702" s="20"/>
      <c r="L5702" s="20"/>
      <c r="M5702" s="20"/>
      <c r="N5702" s="20"/>
      <c r="O5702" s="20"/>
      <c r="P5702" s="16" t="str">
        <f t="shared" si="124"/>
        <v>Truncate table CSMU02;</v>
      </c>
      <c r="Q5702" s="20"/>
      <c r="R5702" s="20"/>
    </row>
    <row r="5703" spans="2:18" ht="40.5" x14ac:dyDescent="0.25">
      <c r="B5703" s="20" t="s">
        <v>7456</v>
      </c>
      <c r="C5703" s="21" t="s">
        <v>7457</v>
      </c>
      <c r="D5703" s="16" t="s">
        <v>29</v>
      </c>
      <c r="E5703" s="55" t="s">
        <v>151</v>
      </c>
      <c r="F5703" s="55" t="s">
        <v>924</v>
      </c>
      <c r="G5703" s="20" t="s">
        <v>35</v>
      </c>
      <c r="H5703" s="20" t="s">
        <v>36</v>
      </c>
      <c r="I5703" s="46"/>
      <c r="J5703" s="22" t="str">
        <f>'[5]Tablas '!$E$6</f>
        <v>2016-11-25 16:03:26.000</v>
      </c>
      <c r="K5703" s="20"/>
      <c r="L5703" s="20"/>
      <c r="M5703" s="20"/>
      <c r="N5703" s="20"/>
      <c r="O5703" s="20"/>
      <c r="P5703" s="16" t="str">
        <f t="shared" si="124"/>
        <v>Truncate table CSMU05;</v>
      </c>
      <c r="Q5703" s="20"/>
      <c r="R5703" s="20"/>
    </row>
    <row r="5704" spans="2:18" x14ac:dyDescent="0.25">
      <c r="B5704" s="20" t="s">
        <v>7458</v>
      </c>
      <c r="C5704" s="21" t="s">
        <v>7459</v>
      </c>
      <c r="D5704" s="16" t="s">
        <v>29</v>
      </c>
      <c r="E5704" s="55" t="s">
        <v>151</v>
      </c>
      <c r="F5704" s="55" t="s">
        <v>924</v>
      </c>
      <c r="G5704" s="20" t="s">
        <v>35</v>
      </c>
      <c r="H5704" s="20" t="s">
        <v>36</v>
      </c>
      <c r="I5704" s="46"/>
      <c r="J5704" s="46"/>
      <c r="K5704" s="20"/>
      <c r="L5704" s="20"/>
      <c r="M5704" s="20"/>
      <c r="N5704" s="20"/>
      <c r="O5704" s="20"/>
      <c r="P5704" s="16" t="str">
        <f t="shared" si="124"/>
        <v>Truncate table CSMU06;</v>
      </c>
      <c r="Q5704" s="20"/>
      <c r="R5704" s="20"/>
    </row>
    <row r="5705" spans="2:18" ht="67.5" x14ac:dyDescent="0.25">
      <c r="B5705" s="21" t="s">
        <v>7460</v>
      </c>
      <c r="C5705" s="21" t="s">
        <v>7461</v>
      </c>
      <c r="D5705" s="16" t="s">
        <v>29</v>
      </c>
      <c r="E5705" s="34" t="s">
        <v>54</v>
      </c>
      <c r="F5705" s="34" t="s">
        <v>235</v>
      </c>
      <c r="G5705" s="21" t="s">
        <v>35</v>
      </c>
      <c r="H5705" s="21" t="s">
        <v>12</v>
      </c>
      <c r="I5705" s="21" t="s">
        <v>7462</v>
      </c>
      <c r="J5705" s="21" t="s">
        <v>7463</v>
      </c>
      <c r="K5705" s="21" t="s">
        <v>7464</v>
      </c>
      <c r="L5705" s="20" t="s">
        <v>7465</v>
      </c>
      <c r="M5705" s="20"/>
      <c r="N5705" s="20"/>
      <c r="O5705" s="20"/>
      <c r="P5705" s="5" t="str">
        <f t="shared" si="124"/>
        <v>Truncate table DEMXGA1;</v>
      </c>
      <c r="Q5705" s="20" t="s">
        <v>7366</v>
      </c>
      <c r="R5705" s="20"/>
    </row>
    <row r="5706" spans="2:18" ht="54" x14ac:dyDescent="0.25">
      <c r="B5706" s="21" t="s">
        <v>2669</v>
      </c>
      <c r="C5706" s="21" t="s">
        <v>7466</v>
      </c>
      <c r="D5706" s="16" t="s">
        <v>29</v>
      </c>
      <c r="E5706" s="34" t="s">
        <v>54</v>
      </c>
      <c r="F5706" s="34" t="s">
        <v>2667</v>
      </c>
      <c r="G5706" s="21" t="s">
        <v>35</v>
      </c>
      <c r="H5706" s="21" t="s">
        <v>36</v>
      </c>
      <c r="I5706" s="21" t="s">
        <v>7467</v>
      </c>
      <c r="J5706" s="21" t="s">
        <v>7468</v>
      </c>
      <c r="K5706" s="21" t="s">
        <v>2789</v>
      </c>
      <c r="L5706" s="20" t="s">
        <v>7469</v>
      </c>
      <c r="M5706" s="20"/>
      <c r="N5706" s="20"/>
      <c r="O5706" s="20"/>
      <c r="P5706" s="5" t="str">
        <f t="shared" si="124"/>
        <v>Truncate table FRNG42;</v>
      </c>
      <c r="Q5706" s="20"/>
      <c r="R5706" s="20"/>
    </row>
    <row r="5707" spans="2:18" ht="40.5" x14ac:dyDescent="0.25">
      <c r="B5707" s="20" t="s">
        <v>7470</v>
      </c>
      <c r="C5707" s="21" t="s">
        <v>7471</v>
      </c>
      <c r="D5707" s="16" t="s">
        <v>29</v>
      </c>
      <c r="E5707" s="55" t="s">
        <v>151</v>
      </c>
      <c r="F5707" s="55" t="s">
        <v>4752</v>
      </c>
      <c r="G5707" s="21" t="s">
        <v>35</v>
      </c>
      <c r="H5707" s="20" t="s">
        <v>36</v>
      </c>
      <c r="I5707" s="20" t="s">
        <v>7472</v>
      </c>
      <c r="J5707" s="20" t="s">
        <v>7473</v>
      </c>
      <c r="K5707" s="242" t="s">
        <v>7474</v>
      </c>
      <c r="L5707" s="20" t="s">
        <v>7475</v>
      </c>
      <c r="M5707" s="20"/>
      <c r="N5707" s="20"/>
      <c r="O5707" s="20"/>
      <c r="P5707" s="5" t="str">
        <f t="shared" si="124"/>
        <v>Truncate table TDD035;</v>
      </c>
      <c r="Q5707" s="20"/>
      <c r="R5707" s="20"/>
    </row>
    <row r="5708" spans="2:18" ht="40.5" x14ac:dyDescent="0.25">
      <c r="B5708" s="21" t="s">
        <v>7476</v>
      </c>
      <c r="C5708" s="21" t="s">
        <v>7477</v>
      </c>
      <c r="D5708" s="16" t="s">
        <v>29</v>
      </c>
      <c r="E5708" s="34" t="s">
        <v>151</v>
      </c>
      <c r="F5708" s="34" t="s">
        <v>4752</v>
      </c>
      <c r="G5708" s="21" t="s">
        <v>35</v>
      </c>
      <c r="H5708" s="21" t="s">
        <v>36</v>
      </c>
      <c r="I5708" s="21" t="s">
        <v>7478</v>
      </c>
      <c r="J5708" s="21" t="s">
        <v>7479</v>
      </c>
      <c r="K5708" s="21" t="s">
        <v>7474</v>
      </c>
      <c r="L5708" s="16" t="s">
        <v>7480</v>
      </c>
      <c r="M5708" s="16"/>
      <c r="N5708" s="20"/>
      <c r="O5708" s="20"/>
      <c r="P5708" s="5" t="str">
        <f t="shared" si="124"/>
        <v>Truncate table TDD040;</v>
      </c>
      <c r="Q5708" s="20"/>
      <c r="R5708" s="20"/>
    </row>
    <row r="5709" spans="2:18" x14ac:dyDescent="0.25">
      <c r="B5709" s="21" t="s">
        <v>9570</v>
      </c>
      <c r="C5709" s="21" t="s">
        <v>9571</v>
      </c>
      <c r="D5709" s="16" t="s">
        <v>29</v>
      </c>
      <c r="E5709" s="34" t="s">
        <v>151</v>
      </c>
      <c r="F5709" s="34" t="s">
        <v>8215</v>
      </c>
      <c r="G5709" s="21" t="s">
        <v>35</v>
      </c>
      <c r="H5709" s="21" t="s">
        <v>36</v>
      </c>
      <c r="I5709" s="21"/>
      <c r="J5709" s="21"/>
      <c r="K5709" s="21" t="s">
        <v>8565</v>
      </c>
      <c r="L5709" s="16"/>
      <c r="M5709" s="16"/>
      <c r="N5709" s="20"/>
      <c r="O5709" s="20"/>
      <c r="P5709" s="5" t="str">
        <f t="shared" si="124"/>
        <v>Truncate table TDD041;</v>
      </c>
      <c r="Q5709" s="20"/>
      <c r="R5709" s="20"/>
    </row>
    <row r="5710" spans="2:18" ht="40.5" x14ac:dyDescent="0.25">
      <c r="B5710" s="21" t="s">
        <v>7481</v>
      </c>
      <c r="C5710" s="21" t="s">
        <v>7482</v>
      </c>
      <c r="D5710" s="16" t="s">
        <v>29</v>
      </c>
      <c r="E5710" s="34" t="s">
        <v>151</v>
      </c>
      <c r="F5710" s="34" t="s">
        <v>4752</v>
      </c>
      <c r="G5710" s="21" t="s">
        <v>35</v>
      </c>
      <c r="H5710" s="21" t="s">
        <v>36</v>
      </c>
      <c r="I5710" s="21" t="s">
        <v>7483</v>
      </c>
      <c r="J5710" s="21" t="s">
        <v>7484</v>
      </c>
      <c r="K5710" s="21" t="s">
        <v>7474</v>
      </c>
      <c r="L5710" s="21" t="s">
        <v>7475</v>
      </c>
      <c r="M5710" s="21"/>
      <c r="N5710" s="21"/>
      <c r="O5710" s="21"/>
      <c r="P5710" s="4" t="str">
        <f t="shared" si="124"/>
        <v>Truncate table TDD042;</v>
      </c>
      <c r="Q5710" s="21"/>
      <c r="R5710" s="21"/>
    </row>
    <row r="5711" spans="2:18" x14ac:dyDescent="0.25">
      <c r="B5711" s="21" t="s">
        <v>9514</v>
      </c>
      <c r="C5711" s="21" t="s">
        <v>9572</v>
      </c>
      <c r="D5711" s="16" t="s">
        <v>29</v>
      </c>
      <c r="E5711" s="34" t="s">
        <v>151</v>
      </c>
      <c r="F5711" s="34" t="s">
        <v>4752</v>
      </c>
      <c r="G5711" s="21" t="s">
        <v>35</v>
      </c>
      <c r="H5711" s="21" t="s">
        <v>36</v>
      </c>
      <c r="I5711" s="21"/>
      <c r="J5711" s="21"/>
      <c r="K5711" s="21" t="s">
        <v>7474</v>
      </c>
      <c r="L5711" s="21" t="s">
        <v>7475</v>
      </c>
      <c r="M5711" s="21"/>
      <c r="N5711" s="21"/>
      <c r="O5711" s="21"/>
      <c r="P5711" s="4" t="str">
        <f t="shared" si="124"/>
        <v>Truncate table TDDA42;</v>
      </c>
      <c r="Q5711" s="21"/>
      <c r="R5711" s="21"/>
    </row>
    <row r="5712" spans="2:18" ht="67.5" x14ac:dyDescent="0.25">
      <c r="B5712" s="21" t="s">
        <v>7433</v>
      </c>
      <c r="C5712" s="21" t="s">
        <v>7434</v>
      </c>
      <c r="D5712" s="16" t="s">
        <v>29</v>
      </c>
      <c r="E5712" s="34" t="s">
        <v>34</v>
      </c>
      <c r="F5712" s="34" t="s">
        <v>33</v>
      </c>
      <c r="G5712" s="21" t="s">
        <v>35</v>
      </c>
      <c r="H5712" s="21" t="s">
        <v>12</v>
      </c>
      <c r="I5712" s="21" t="s">
        <v>7485</v>
      </c>
      <c r="J5712" s="21" t="s">
        <v>7486</v>
      </c>
      <c r="K5712" s="21" t="s">
        <v>1068</v>
      </c>
      <c r="L5712" s="20" t="s">
        <v>7437</v>
      </c>
      <c r="M5712" s="20"/>
      <c r="N5712" s="20"/>
      <c r="O5712" s="20"/>
      <c r="P5712" s="5" t="str">
        <f t="shared" si="124"/>
        <v>Truncate table FBC466;</v>
      </c>
      <c r="Q5712" s="20"/>
      <c r="R5712" s="20"/>
    </row>
    <row r="5713" spans="1:18" ht="67.5" x14ac:dyDescent="0.25">
      <c r="B5713" s="21" t="s">
        <v>7487</v>
      </c>
      <c r="C5713" s="16" t="s">
        <v>7488</v>
      </c>
      <c r="D5713" s="16" t="s">
        <v>29</v>
      </c>
      <c r="E5713" s="58" t="s">
        <v>151</v>
      </c>
      <c r="F5713" s="58" t="s">
        <v>427</v>
      </c>
      <c r="G5713" s="16" t="s">
        <v>35</v>
      </c>
      <c r="H5713" s="16" t="s">
        <v>36</v>
      </c>
      <c r="I5713" s="20" t="s">
        <v>7489</v>
      </c>
      <c r="J5713" s="20" t="s">
        <v>7490</v>
      </c>
      <c r="K5713" s="20" t="s">
        <v>7491</v>
      </c>
      <c r="L5713" s="20" t="s">
        <v>7492</v>
      </c>
      <c r="M5713" s="242"/>
      <c r="N5713" s="20"/>
      <c r="O5713" s="20"/>
      <c r="P5713" s="5" t="str">
        <f t="shared" si="124"/>
        <v>Truncate table BTI013;</v>
      </c>
      <c r="Q5713" s="20"/>
      <c r="R5713" s="20"/>
    </row>
    <row r="5714" spans="1:18" ht="42" customHeight="1" x14ac:dyDescent="0.25">
      <c r="B5714" s="21" t="s">
        <v>7493</v>
      </c>
      <c r="C5714" s="21" t="s">
        <v>7494</v>
      </c>
      <c r="D5714" s="16" t="s">
        <v>29</v>
      </c>
      <c r="E5714" s="59" t="s">
        <v>3007</v>
      </c>
      <c r="F5714" s="34" t="s">
        <v>243</v>
      </c>
      <c r="G5714" s="16" t="s">
        <v>35</v>
      </c>
      <c r="H5714" s="16" t="s">
        <v>36</v>
      </c>
      <c r="I5714" s="21" t="s">
        <v>7495</v>
      </c>
      <c r="J5714" s="21" t="s">
        <v>7496</v>
      </c>
      <c r="K5714" s="21" t="s">
        <v>7497</v>
      </c>
      <c r="L5714" s="21" t="s">
        <v>7498</v>
      </c>
      <c r="M5714" s="231"/>
      <c r="N5714" s="20"/>
      <c r="O5714" s="20"/>
      <c r="P5714" s="5" t="str">
        <f t="shared" si="124"/>
        <v>Truncate table FSFI29;</v>
      </c>
      <c r="Q5714" s="20"/>
      <c r="R5714" s="20"/>
    </row>
    <row r="5715" spans="1:18" s="292" customFormat="1" ht="27" x14ac:dyDescent="0.25">
      <c r="A5715" s="71"/>
      <c r="B5715" s="313" t="s">
        <v>7499</v>
      </c>
      <c r="C5715" s="313" t="s">
        <v>7500</v>
      </c>
      <c r="D5715" s="40" t="s">
        <v>29</v>
      </c>
      <c r="E5715" s="314" t="s">
        <v>151</v>
      </c>
      <c r="F5715" s="314" t="s">
        <v>7501</v>
      </c>
      <c r="G5715" s="313" t="s">
        <v>35</v>
      </c>
      <c r="H5715" s="313" t="s">
        <v>36</v>
      </c>
      <c r="I5715" s="315" t="s">
        <v>8300</v>
      </c>
      <c r="J5715" s="315" t="s">
        <v>8299</v>
      </c>
      <c r="K5715" s="313" t="s">
        <v>8301</v>
      </c>
      <c r="L5715" s="313" t="s">
        <v>7398</v>
      </c>
      <c r="M5715" s="313"/>
      <c r="N5715" s="313" t="s">
        <v>7503</v>
      </c>
      <c r="O5715" s="313"/>
      <c r="P5715" s="313" t="str">
        <f t="shared" si="124"/>
        <v>Truncate table BNJ260;</v>
      </c>
      <c r="Q5715" s="313"/>
      <c r="R5715" s="313"/>
    </row>
    <row r="5716" spans="1:18" s="292" customFormat="1" x14ac:dyDescent="0.25">
      <c r="A5716" s="71"/>
      <c r="B5716" s="296" t="s">
        <v>7504</v>
      </c>
      <c r="C5716" s="313" t="s">
        <v>7505</v>
      </c>
      <c r="D5716" s="40" t="s">
        <v>29</v>
      </c>
      <c r="E5716" s="316" t="s">
        <v>151</v>
      </c>
      <c r="F5716" s="314" t="s">
        <v>7501</v>
      </c>
      <c r="G5716" s="40" t="s">
        <v>35</v>
      </c>
      <c r="H5716" s="40" t="s">
        <v>36</v>
      </c>
      <c r="I5716" s="296"/>
      <c r="J5716" s="296"/>
      <c r="K5716" s="296"/>
      <c r="L5716" s="296" t="s">
        <v>7398</v>
      </c>
      <c r="M5716" s="296"/>
      <c r="N5716" s="296" t="s">
        <v>7506</v>
      </c>
      <c r="O5716" s="296"/>
      <c r="P5716" s="40" t="str">
        <f t="shared" si="124"/>
        <v>Truncate table BNJ261;</v>
      </c>
      <c r="Q5716" s="296"/>
      <c r="R5716" s="296"/>
    </row>
    <row r="5717" spans="1:18" s="292" customFormat="1" ht="30" x14ac:dyDescent="0.25">
      <c r="A5717" s="71"/>
      <c r="B5717" s="296" t="s">
        <v>7507</v>
      </c>
      <c r="C5717" s="313" t="s">
        <v>7508</v>
      </c>
      <c r="D5717" s="40" t="s">
        <v>29</v>
      </c>
      <c r="E5717" s="316" t="s">
        <v>151</v>
      </c>
      <c r="F5717" s="314" t="s">
        <v>7501</v>
      </c>
      <c r="G5717" s="40" t="s">
        <v>35</v>
      </c>
      <c r="H5717" s="40" t="s">
        <v>36</v>
      </c>
      <c r="I5717" s="315" t="s">
        <v>8303</v>
      </c>
      <c r="J5717" s="315" t="s">
        <v>8302</v>
      </c>
      <c r="K5717" s="317" t="s">
        <v>8304</v>
      </c>
      <c r="L5717" s="296" t="s">
        <v>7398</v>
      </c>
      <c r="M5717" s="296"/>
      <c r="N5717" s="296" t="s">
        <v>7509</v>
      </c>
      <c r="O5717" s="296"/>
      <c r="P5717" s="40" t="str">
        <f t="shared" si="124"/>
        <v>Truncate table BNJ263;</v>
      </c>
      <c r="Q5717" s="296"/>
      <c r="R5717" s="296"/>
    </row>
    <row r="5718" spans="1:18" s="292" customFormat="1" x14ac:dyDescent="0.25">
      <c r="A5718" s="71"/>
      <c r="B5718" s="296" t="s">
        <v>7510</v>
      </c>
      <c r="C5718" s="313" t="s">
        <v>7511</v>
      </c>
      <c r="D5718" s="40" t="s">
        <v>29</v>
      </c>
      <c r="E5718" s="316" t="s">
        <v>151</v>
      </c>
      <c r="F5718" s="314" t="s">
        <v>7501</v>
      </c>
      <c r="G5718" s="40" t="s">
        <v>35</v>
      </c>
      <c r="H5718" s="40" t="s">
        <v>36</v>
      </c>
      <c r="I5718" s="296"/>
      <c r="J5718" s="296"/>
      <c r="K5718" s="296"/>
      <c r="L5718" s="296" t="s">
        <v>7398</v>
      </c>
      <c r="M5718" s="296"/>
      <c r="N5718" s="296" t="s">
        <v>7509</v>
      </c>
      <c r="O5718" s="296"/>
      <c r="P5718" s="40" t="str">
        <f t="shared" ref="P5718:P5775" si="125">IF(D5718="Datos","Truncate table "&amp; B5718&amp; ";","")</f>
        <v>Truncate table BNJ264;</v>
      </c>
      <c r="Q5718" s="296"/>
      <c r="R5718" s="296"/>
    </row>
    <row r="5719" spans="1:18" ht="40.5" x14ac:dyDescent="0.25">
      <c r="B5719" s="20" t="s">
        <v>7512</v>
      </c>
      <c r="C5719" s="21" t="s">
        <v>7513</v>
      </c>
      <c r="D5719" s="16" t="s">
        <v>29</v>
      </c>
      <c r="E5719" s="55"/>
      <c r="F5719" s="55" t="s">
        <v>4752</v>
      </c>
      <c r="G5719" s="20"/>
      <c r="H5719" s="20"/>
      <c r="I5719" s="20" t="s">
        <v>7514</v>
      </c>
      <c r="J5719" s="20" t="s">
        <v>7515</v>
      </c>
      <c r="K5719" s="20" t="s">
        <v>7474</v>
      </c>
      <c r="L5719" s="20"/>
      <c r="M5719" s="20"/>
      <c r="N5719" s="20"/>
      <c r="O5719" s="20"/>
      <c r="P5719" s="5" t="str">
        <f t="shared" si="125"/>
        <v>Truncate table TDD028;</v>
      </c>
      <c r="Q5719" s="20"/>
      <c r="R5719" s="20"/>
    </row>
    <row r="5720" spans="1:18" ht="40.5" x14ac:dyDescent="0.25">
      <c r="B5720" s="20" t="s">
        <v>7516</v>
      </c>
      <c r="C5720" s="21" t="s">
        <v>7517</v>
      </c>
      <c r="D5720" s="16" t="s">
        <v>29</v>
      </c>
      <c r="E5720" s="55"/>
      <c r="F5720" s="55" t="s">
        <v>33</v>
      </c>
      <c r="G5720" s="20"/>
      <c r="H5720" s="20"/>
      <c r="I5720" s="20" t="s">
        <v>7518</v>
      </c>
      <c r="J5720" s="20" t="s">
        <v>7519</v>
      </c>
      <c r="K5720" s="20" t="s">
        <v>7520</v>
      </c>
      <c r="L5720" s="60" t="s">
        <v>7521</v>
      </c>
      <c r="M5720" s="60"/>
      <c r="N5720" s="20"/>
      <c r="O5720" s="20" t="s">
        <v>38</v>
      </c>
      <c r="P5720" s="5" t="str">
        <f t="shared" si="125"/>
        <v>Truncate table FBCXBRL;</v>
      </c>
      <c r="Q5720" s="20"/>
      <c r="R5720" s="20"/>
    </row>
    <row r="5721" spans="1:18" ht="40.5" x14ac:dyDescent="0.25">
      <c r="B5721" s="20" t="s">
        <v>7522</v>
      </c>
      <c r="C5721" s="21" t="s">
        <v>7523</v>
      </c>
      <c r="D5721" s="16" t="s">
        <v>29</v>
      </c>
      <c r="E5721" s="55"/>
      <c r="F5721" s="55" t="s">
        <v>155</v>
      </c>
      <c r="G5721" s="20"/>
      <c r="H5721" s="20"/>
      <c r="I5721" s="20" t="s">
        <v>7524</v>
      </c>
      <c r="J5721" s="20" t="s">
        <v>7525</v>
      </c>
      <c r="K5721" s="20" t="s">
        <v>5923</v>
      </c>
      <c r="L5721" s="20" t="s">
        <v>7526</v>
      </c>
      <c r="M5721" s="20"/>
      <c r="N5721" s="20"/>
      <c r="O5721" s="20" t="s">
        <v>38</v>
      </c>
      <c r="P5721" s="5" t="str">
        <f t="shared" si="125"/>
        <v>Truncate table BJFD01;</v>
      </c>
      <c r="Q5721" s="20"/>
      <c r="R5721" s="20"/>
    </row>
    <row r="5722" spans="1:18" ht="40.5" x14ac:dyDescent="0.25">
      <c r="B5722" s="20" t="s">
        <v>7527</v>
      </c>
      <c r="C5722" s="21" t="s">
        <v>7528</v>
      </c>
      <c r="D5722" s="16" t="s">
        <v>29</v>
      </c>
      <c r="E5722" s="55"/>
      <c r="F5722" s="55" t="s">
        <v>155</v>
      </c>
      <c r="G5722" s="20"/>
      <c r="H5722" s="20"/>
      <c r="I5722" s="20" t="s">
        <v>7529</v>
      </c>
      <c r="J5722" s="20" t="s">
        <v>7530</v>
      </c>
      <c r="K5722" s="20" t="s">
        <v>5923</v>
      </c>
      <c r="L5722" s="20" t="s">
        <v>7526</v>
      </c>
      <c r="M5722" s="20"/>
      <c r="N5722" s="20"/>
      <c r="O5722" s="20" t="s">
        <v>38</v>
      </c>
      <c r="P5722" s="5" t="str">
        <f t="shared" si="125"/>
        <v>Truncate table BJFD02;</v>
      </c>
      <c r="Q5722" s="20"/>
      <c r="R5722" s="20"/>
    </row>
    <row r="5723" spans="1:18" ht="40.5" x14ac:dyDescent="0.25">
      <c r="B5723" s="20" t="s">
        <v>7531</v>
      </c>
      <c r="C5723" s="21" t="s">
        <v>7532</v>
      </c>
      <c r="D5723" s="16" t="s">
        <v>29</v>
      </c>
      <c r="E5723" s="55"/>
      <c r="F5723" s="55" t="s">
        <v>155</v>
      </c>
      <c r="G5723" s="20"/>
      <c r="H5723" s="20"/>
      <c r="I5723" s="20" t="s">
        <v>7533</v>
      </c>
      <c r="J5723" s="20" t="s">
        <v>7534</v>
      </c>
      <c r="K5723" s="20" t="s">
        <v>5923</v>
      </c>
      <c r="L5723" s="20" t="s">
        <v>7526</v>
      </c>
      <c r="M5723" s="20"/>
      <c r="N5723" s="20"/>
      <c r="O5723" s="20" t="s">
        <v>38</v>
      </c>
      <c r="P5723" s="5" t="str">
        <f t="shared" si="125"/>
        <v>Truncate table BJFD06;</v>
      </c>
      <c r="Q5723" s="20"/>
      <c r="R5723" s="20"/>
    </row>
    <row r="5724" spans="1:18" ht="40.5" x14ac:dyDescent="0.25">
      <c r="B5724" s="20" t="s">
        <v>7535</v>
      </c>
      <c r="C5724" s="21" t="s">
        <v>7536</v>
      </c>
      <c r="D5724" s="16" t="s">
        <v>29</v>
      </c>
      <c r="E5724" s="55"/>
      <c r="F5724" s="55" t="s">
        <v>155</v>
      </c>
      <c r="G5724" s="20"/>
      <c r="H5724" s="20"/>
      <c r="I5724" s="20" t="s">
        <v>7537</v>
      </c>
      <c r="J5724" s="20" t="s">
        <v>7538</v>
      </c>
      <c r="K5724" s="20" t="s">
        <v>5923</v>
      </c>
      <c r="L5724" s="20" t="s">
        <v>7526</v>
      </c>
      <c r="M5724" s="20"/>
      <c r="N5724" s="20"/>
      <c r="O5724" s="20" t="s">
        <v>38</v>
      </c>
      <c r="P5724" s="5" t="str">
        <f t="shared" si="125"/>
        <v>Truncate table BJFD07;</v>
      </c>
      <c r="Q5724" s="20"/>
      <c r="R5724" s="20"/>
    </row>
    <row r="5725" spans="1:18" s="292" customFormat="1" ht="40.5" x14ac:dyDescent="0.25">
      <c r="A5725" s="71"/>
      <c r="B5725" s="296" t="s">
        <v>7499</v>
      </c>
      <c r="C5725" s="313" t="s">
        <v>7539</v>
      </c>
      <c r="D5725" s="40" t="s">
        <v>29</v>
      </c>
      <c r="E5725" s="316"/>
      <c r="F5725" s="316" t="s">
        <v>427</v>
      </c>
      <c r="G5725" s="296"/>
      <c r="H5725" s="296"/>
      <c r="I5725" s="296" t="s">
        <v>7502</v>
      </c>
      <c r="J5725" s="296" t="s">
        <v>7540</v>
      </c>
      <c r="K5725" s="296" t="s">
        <v>7541</v>
      </c>
      <c r="L5725" s="296"/>
      <c r="M5725" s="296"/>
      <c r="N5725" s="296"/>
      <c r="O5725" s="296" t="s">
        <v>38</v>
      </c>
      <c r="P5725" s="40" t="str">
        <f t="shared" si="125"/>
        <v>Truncate table BNJ260;</v>
      </c>
      <c r="Q5725" s="296"/>
      <c r="R5725" s="296"/>
    </row>
    <row r="5726" spans="1:18" s="292" customFormat="1" ht="40.5" x14ac:dyDescent="0.25">
      <c r="A5726" s="71"/>
      <c r="B5726" s="296" t="s">
        <v>7542</v>
      </c>
      <c r="C5726" s="313" t="s">
        <v>7543</v>
      </c>
      <c r="D5726" s="40" t="s">
        <v>29</v>
      </c>
      <c r="E5726" s="316"/>
      <c r="F5726" s="316" t="s">
        <v>155</v>
      </c>
      <c r="G5726" s="296"/>
      <c r="H5726" s="296"/>
      <c r="I5726" s="296" t="s">
        <v>7544</v>
      </c>
      <c r="J5726" s="296" t="s">
        <v>7545</v>
      </c>
      <c r="K5726" s="318" t="s">
        <v>7546</v>
      </c>
      <c r="L5726" s="296" t="s">
        <v>7547</v>
      </c>
      <c r="M5726" s="296"/>
      <c r="N5726" s="296"/>
      <c r="O5726" s="296" t="s">
        <v>38</v>
      </c>
      <c r="P5726" s="40" t="str">
        <f t="shared" si="125"/>
        <v>Truncate table BNJA70;</v>
      </c>
      <c r="Q5726" s="296"/>
      <c r="R5726" s="296"/>
    </row>
    <row r="5727" spans="1:18" s="292" customFormat="1" ht="40.5" x14ac:dyDescent="0.25">
      <c r="A5727" s="71"/>
      <c r="B5727" s="296" t="s">
        <v>7548</v>
      </c>
      <c r="C5727" s="313" t="s">
        <v>7549</v>
      </c>
      <c r="D5727" s="40" t="s">
        <v>29</v>
      </c>
      <c r="E5727" s="316"/>
      <c r="F5727" s="316" t="s">
        <v>155</v>
      </c>
      <c r="G5727" s="296"/>
      <c r="H5727" s="296"/>
      <c r="I5727" s="296" t="s">
        <v>7550</v>
      </c>
      <c r="J5727" s="296" t="s">
        <v>7551</v>
      </c>
      <c r="K5727" s="318" t="s">
        <v>7546</v>
      </c>
      <c r="L5727" s="296" t="s">
        <v>7547</v>
      </c>
      <c r="M5727" s="296"/>
      <c r="N5727" s="296"/>
      <c r="O5727" s="296" t="s">
        <v>38</v>
      </c>
      <c r="P5727" s="40" t="str">
        <f t="shared" si="125"/>
        <v>Truncate table BNJA77;</v>
      </c>
      <c r="Q5727" s="296"/>
      <c r="R5727" s="296"/>
    </row>
    <row r="5728" spans="1:18" s="292" customFormat="1" ht="40.5" x14ac:dyDescent="0.25">
      <c r="A5728" s="71"/>
      <c r="B5728" s="296" t="s">
        <v>7552</v>
      </c>
      <c r="C5728" s="310" t="s">
        <v>7553</v>
      </c>
      <c r="D5728" s="40" t="s">
        <v>29</v>
      </c>
      <c r="E5728" s="316"/>
      <c r="F5728" s="316" t="s">
        <v>155</v>
      </c>
      <c r="G5728" s="296"/>
      <c r="H5728" s="296"/>
      <c r="I5728" s="296" t="s">
        <v>7554</v>
      </c>
      <c r="J5728" s="296" t="s">
        <v>7555</v>
      </c>
      <c r="K5728" s="318" t="s">
        <v>7546</v>
      </c>
      <c r="L5728" s="296" t="s">
        <v>7547</v>
      </c>
      <c r="M5728" s="296"/>
      <c r="N5728" s="296"/>
      <c r="O5728" s="296" t="s">
        <v>38</v>
      </c>
      <c r="P5728" s="40" t="str">
        <f t="shared" si="125"/>
        <v>Truncate table BNJA78;</v>
      </c>
      <c r="Q5728" s="296"/>
      <c r="R5728" s="296"/>
    </row>
    <row r="5729" spans="1:18" ht="40.5" x14ac:dyDescent="0.25">
      <c r="B5729" s="20" t="s">
        <v>7556</v>
      </c>
      <c r="C5729" s="60" t="s">
        <v>7557</v>
      </c>
      <c r="D5729" s="16" t="s">
        <v>29</v>
      </c>
      <c r="E5729" s="55"/>
      <c r="F5729" s="55" t="s">
        <v>3133</v>
      </c>
      <c r="G5729" s="20"/>
      <c r="H5729" s="20"/>
      <c r="I5729" s="20" t="s">
        <v>7558</v>
      </c>
      <c r="J5729" s="4" t="s">
        <v>7559</v>
      </c>
      <c r="K5729" s="62" t="s">
        <v>3331</v>
      </c>
      <c r="L5729" s="20" t="s">
        <v>7560</v>
      </c>
      <c r="M5729" s="20"/>
      <c r="N5729" s="20"/>
      <c r="O5729" s="20" t="s">
        <v>38</v>
      </c>
      <c r="P5729" s="5" t="str">
        <f t="shared" si="125"/>
        <v>Truncate table FSFG24;</v>
      </c>
      <c r="Q5729" s="20"/>
      <c r="R5729" s="20"/>
    </row>
    <row r="5730" spans="1:18" ht="40.5" x14ac:dyDescent="0.25">
      <c r="B5730" s="20" t="s">
        <v>7561</v>
      </c>
      <c r="C5730" s="60" t="s">
        <v>7562</v>
      </c>
      <c r="D5730" s="16" t="s">
        <v>29</v>
      </c>
      <c r="E5730" s="55"/>
      <c r="F5730" s="55" t="s">
        <v>3133</v>
      </c>
      <c r="G5730" s="20"/>
      <c r="H5730" s="20"/>
      <c r="I5730" s="20" t="s">
        <v>7563</v>
      </c>
      <c r="J5730" s="20" t="s">
        <v>7564</v>
      </c>
      <c r="K5730" s="62" t="s">
        <v>3331</v>
      </c>
      <c r="L5730" s="20" t="s">
        <v>7560</v>
      </c>
      <c r="M5730" s="20"/>
      <c r="N5730" s="20"/>
      <c r="O5730" s="20" t="s">
        <v>38</v>
      </c>
      <c r="P5730" s="5" t="str">
        <f t="shared" si="125"/>
        <v>Truncate table FSFG25;</v>
      </c>
      <c r="Q5730" s="20"/>
      <c r="R5730" s="20"/>
    </row>
    <row r="5731" spans="1:18" ht="40.5" x14ac:dyDescent="0.25">
      <c r="B5731" s="20" t="s">
        <v>7565</v>
      </c>
      <c r="C5731" s="60" t="s">
        <v>7566</v>
      </c>
      <c r="D5731" s="16" t="s">
        <v>29</v>
      </c>
      <c r="E5731" s="55"/>
      <c r="F5731" s="55" t="s">
        <v>3133</v>
      </c>
      <c r="G5731" s="20"/>
      <c r="H5731" s="20"/>
      <c r="I5731" s="20" t="s">
        <v>7567</v>
      </c>
      <c r="J5731" s="20" t="s">
        <v>7568</v>
      </c>
      <c r="K5731" s="62" t="s">
        <v>3331</v>
      </c>
      <c r="L5731" s="20" t="s">
        <v>7560</v>
      </c>
      <c r="M5731" s="20"/>
      <c r="N5731" s="20"/>
      <c r="O5731" s="20" t="s">
        <v>38</v>
      </c>
      <c r="P5731" s="5" t="str">
        <f t="shared" si="125"/>
        <v>Truncate table FSFG29;</v>
      </c>
      <c r="Q5731" s="20"/>
      <c r="R5731" s="20"/>
    </row>
    <row r="5732" spans="1:18" ht="40.5" x14ac:dyDescent="0.25">
      <c r="B5732" s="91" t="s">
        <v>7569</v>
      </c>
      <c r="C5732" s="260" t="s">
        <v>7570</v>
      </c>
      <c r="D5732" s="16" t="s">
        <v>29</v>
      </c>
      <c r="E5732" s="261"/>
      <c r="F5732" s="261" t="s">
        <v>4752</v>
      </c>
      <c r="G5732" s="91"/>
      <c r="H5732" s="91"/>
      <c r="I5732" s="91" t="s">
        <v>7571</v>
      </c>
      <c r="J5732" s="91" t="s">
        <v>7572</v>
      </c>
      <c r="K5732" s="262" t="s">
        <v>7474</v>
      </c>
      <c r="L5732" s="91"/>
      <c r="M5732" s="91"/>
      <c r="N5732" s="91"/>
      <c r="O5732" s="91" t="s">
        <v>38</v>
      </c>
      <c r="P5732" s="10" t="str">
        <f t="shared" si="125"/>
        <v>Truncate table TDD031;</v>
      </c>
      <c r="Q5732" s="91"/>
      <c r="R5732" s="91"/>
    </row>
    <row r="5733" spans="1:18" s="320" customFormat="1" x14ac:dyDescent="0.25">
      <c r="A5733" s="71"/>
      <c r="B5733" s="313" t="s">
        <v>7573</v>
      </c>
      <c r="C5733" s="313" t="s">
        <v>7574</v>
      </c>
      <c r="D5733" s="40" t="s">
        <v>29</v>
      </c>
      <c r="E5733" s="319"/>
      <c r="F5733" s="319" t="s">
        <v>155</v>
      </c>
      <c r="G5733" s="313"/>
      <c r="H5733" s="313"/>
      <c r="I5733" s="313"/>
      <c r="J5733" s="313"/>
      <c r="K5733" s="318"/>
      <c r="L5733" s="313"/>
      <c r="M5733" s="313"/>
      <c r="N5733" s="313" t="s">
        <v>158</v>
      </c>
      <c r="O5733" s="313" t="s">
        <v>38</v>
      </c>
      <c r="P5733" s="313" t="str">
        <f t="shared" si="125"/>
        <v>Truncate table BNJ901 ;</v>
      </c>
      <c r="Q5733" s="313"/>
      <c r="R5733" s="313"/>
    </row>
    <row r="5734" spans="1:18" s="320" customFormat="1" x14ac:dyDescent="0.25">
      <c r="A5734" s="71"/>
      <c r="B5734" s="296" t="s">
        <v>7575</v>
      </c>
      <c r="C5734" s="313" t="s">
        <v>7576</v>
      </c>
      <c r="D5734" s="40" t="s">
        <v>29</v>
      </c>
      <c r="E5734" s="321"/>
      <c r="F5734" s="321" t="s">
        <v>155</v>
      </c>
      <c r="G5734" s="296"/>
      <c r="H5734" s="296"/>
      <c r="I5734" s="296"/>
      <c r="J5734" s="296"/>
      <c r="K5734" s="296"/>
      <c r="L5734" s="296"/>
      <c r="M5734" s="296"/>
      <c r="N5734" s="313" t="s">
        <v>158</v>
      </c>
      <c r="O5734" s="296"/>
      <c r="P5734" s="313" t="str">
        <f t="shared" si="125"/>
        <v>Truncate table BNJ020 ;</v>
      </c>
      <c r="Q5734" s="296"/>
      <c r="R5734" s="296"/>
    </row>
    <row r="5735" spans="1:18" s="320" customFormat="1" x14ac:dyDescent="0.25">
      <c r="A5735" s="71"/>
      <c r="B5735" s="296" t="s">
        <v>7577</v>
      </c>
      <c r="C5735" s="313" t="s">
        <v>7578</v>
      </c>
      <c r="D5735" s="40" t="s">
        <v>29</v>
      </c>
      <c r="E5735" s="321"/>
      <c r="F5735" s="321" t="s">
        <v>155</v>
      </c>
      <c r="G5735" s="296"/>
      <c r="H5735" s="296"/>
      <c r="I5735" s="296"/>
      <c r="J5735" s="296"/>
      <c r="K5735" s="296"/>
      <c r="L5735" s="296"/>
      <c r="M5735" s="296"/>
      <c r="N5735" s="313" t="s">
        <v>158</v>
      </c>
      <c r="O5735" s="296"/>
      <c r="P5735" s="313" t="str">
        <f t="shared" si="125"/>
        <v>Truncate table BNJ021 ;</v>
      </c>
      <c r="Q5735" s="296"/>
      <c r="R5735" s="296"/>
    </row>
    <row r="5736" spans="1:18" s="320" customFormat="1" x14ac:dyDescent="0.25">
      <c r="A5736" s="71"/>
      <c r="B5736" s="296" t="s">
        <v>7579</v>
      </c>
      <c r="C5736" s="313" t="s">
        <v>7580</v>
      </c>
      <c r="D5736" s="40" t="s">
        <v>29</v>
      </c>
      <c r="E5736" s="321"/>
      <c r="F5736" s="321" t="s">
        <v>155</v>
      </c>
      <c r="G5736" s="296"/>
      <c r="H5736" s="296"/>
      <c r="I5736" s="296"/>
      <c r="J5736" s="296"/>
      <c r="K5736" s="296"/>
      <c r="L5736" s="296"/>
      <c r="M5736" s="296"/>
      <c r="N5736" s="313" t="s">
        <v>158</v>
      </c>
      <c r="O5736" s="296"/>
      <c r="P5736" s="313" t="str">
        <f t="shared" si="125"/>
        <v>Truncate table BNJ022 ;</v>
      </c>
      <c r="Q5736" s="296"/>
      <c r="R5736" s="296"/>
    </row>
    <row r="5737" spans="1:18" s="320" customFormat="1" x14ac:dyDescent="0.25">
      <c r="A5737" s="71"/>
      <c r="B5737" s="296" t="s">
        <v>7581</v>
      </c>
      <c r="C5737" s="313" t="s">
        <v>7582</v>
      </c>
      <c r="D5737" s="40" t="s">
        <v>29</v>
      </c>
      <c r="E5737" s="321"/>
      <c r="F5737" s="321" t="s">
        <v>155</v>
      </c>
      <c r="G5737" s="296"/>
      <c r="H5737" s="296"/>
      <c r="I5737" s="296"/>
      <c r="J5737" s="296"/>
      <c r="K5737" s="296"/>
      <c r="L5737" s="296"/>
      <c r="M5737" s="296"/>
      <c r="N5737" s="313" t="s">
        <v>158</v>
      </c>
      <c r="O5737" s="296"/>
      <c r="P5737" s="313" t="str">
        <f t="shared" si="125"/>
        <v>Truncate table BNJ900 ;</v>
      </c>
      <c r="Q5737" s="296"/>
      <c r="R5737" s="296"/>
    </row>
    <row r="5738" spans="1:18" s="320" customFormat="1" x14ac:dyDescent="0.25">
      <c r="A5738" s="71"/>
      <c r="B5738" s="296" t="s">
        <v>7583</v>
      </c>
      <c r="C5738" s="313" t="s">
        <v>7584</v>
      </c>
      <c r="D5738" s="40" t="s">
        <v>29</v>
      </c>
      <c r="E5738" s="321"/>
      <c r="F5738" s="321" t="s">
        <v>155</v>
      </c>
      <c r="G5738" s="296"/>
      <c r="H5738" s="296"/>
      <c r="I5738" s="296"/>
      <c r="J5738" s="296"/>
      <c r="K5738" s="296"/>
      <c r="L5738" s="296"/>
      <c r="M5738" s="296"/>
      <c r="N5738" s="313" t="s">
        <v>158</v>
      </c>
      <c r="O5738" s="296"/>
      <c r="P5738" s="313" t="str">
        <f t="shared" si="125"/>
        <v>Truncate table BNJ902 ;</v>
      </c>
      <c r="Q5738" s="296"/>
      <c r="R5738" s="296"/>
    </row>
    <row r="5739" spans="1:18" s="320" customFormat="1" x14ac:dyDescent="0.25">
      <c r="A5739" s="71"/>
      <c r="B5739" s="296" t="s">
        <v>7585</v>
      </c>
      <c r="C5739" s="313" t="s">
        <v>7586</v>
      </c>
      <c r="D5739" s="40" t="s">
        <v>29</v>
      </c>
      <c r="E5739" s="321"/>
      <c r="F5739" s="321" t="s">
        <v>155</v>
      </c>
      <c r="G5739" s="296"/>
      <c r="H5739" s="296"/>
      <c r="I5739" s="296"/>
      <c r="J5739" s="296"/>
      <c r="K5739" s="296"/>
      <c r="L5739" s="296"/>
      <c r="M5739" s="296"/>
      <c r="N5739" s="313" t="s">
        <v>158</v>
      </c>
      <c r="O5739" s="296"/>
      <c r="P5739" s="313" t="str">
        <f t="shared" si="125"/>
        <v>Truncate table BNJ903 ;</v>
      </c>
      <c r="Q5739" s="296"/>
      <c r="R5739" s="296"/>
    </row>
    <row r="5740" spans="1:18" s="320" customFormat="1" x14ac:dyDescent="0.25">
      <c r="A5740" s="71"/>
      <c r="B5740" s="296" t="s">
        <v>9678</v>
      </c>
      <c r="C5740" s="313" t="s">
        <v>9679</v>
      </c>
      <c r="D5740" s="40" t="s">
        <v>29</v>
      </c>
      <c r="E5740" s="321" t="s">
        <v>54</v>
      </c>
      <c r="F5740" s="321" t="s">
        <v>8192</v>
      </c>
      <c r="G5740" s="296" t="s">
        <v>35</v>
      </c>
      <c r="H5740" s="296"/>
      <c r="I5740" s="296"/>
      <c r="J5740" s="296"/>
      <c r="K5740" s="296" t="s">
        <v>9677</v>
      </c>
      <c r="L5740" s="296"/>
      <c r="M5740" s="296"/>
      <c r="N5740" s="313"/>
      <c r="O5740" s="296"/>
      <c r="P5740" s="313" t="str">
        <f t="shared" si="125"/>
        <v>Truncate table BNJ906;</v>
      </c>
      <c r="Q5740" s="296"/>
      <c r="R5740" s="296"/>
    </row>
    <row r="5741" spans="1:18" s="118" customFormat="1" x14ac:dyDescent="0.25">
      <c r="A5741" s="71"/>
      <c r="B5741" s="20" t="s">
        <v>7587</v>
      </c>
      <c r="C5741" s="16" t="s">
        <v>5789</v>
      </c>
      <c r="D5741" s="16" t="s">
        <v>29</v>
      </c>
      <c r="E5741" s="16" t="s">
        <v>8152</v>
      </c>
      <c r="F5741" s="16" t="s">
        <v>557</v>
      </c>
      <c r="G5741" s="20"/>
      <c r="H5741" s="20"/>
      <c r="I5741" s="20"/>
      <c r="J5741" s="20"/>
      <c r="K5741" s="20"/>
      <c r="L5741" s="20"/>
      <c r="M5741" s="20"/>
      <c r="N5741" s="20"/>
      <c r="O5741" s="20"/>
      <c r="P5741" s="21" t="str">
        <f t="shared" si="125"/>
        <v>Truncate table REP101;</v>
      </c>
      <c r="Q5741" s="20"/>
      <c r="R5741" s="20"/>
    </row>
    <row r="5742" spans="1:18" ht="40.5" x14ac:dyDescent="0.25">
      <c r="B5742" s="257" t="s">
        <v>7588</v>
      </c>
      <c r="C5742" s="217" t="str">
        <f>[6]Hoja1!$C$10</f>
        <v xml:space="preserve">Facultades por Cuenta-Cliente </v>
      </c>
      <c r="D5742" s="16" t="s">
        <v>29</v>
      </c>
      <c r="E5742" s="263"/>
      <c r="F5742" s="50" t="s">
        <v>155</v>
      </c>
      <c r="G5742" s="257"/>
      <c r="H5742" s="257"/>
      <c r="I5742" s="264" t="s">
        <v>7589</v>
      </c>
      <c r="J5742" s="264" t="s">
        <v>7590</v>
      </c>
      <c r="K5742" s="265" t="s">
        <v>7591</v>
      </c>
      <c r="L5742" s="257"/>
      <c r="M5742" s="257"/>
      <c r="N5742" s="257"/>
      <c r="O5742" s="257"/>
      <c r="P5742" s="217" t="str">
        <f t="shared" si="125"/>
        <v>Truncate table BJF001;</v>
      </c>
      <c r="Q5742" s="257"/>
      <c r="R5742" s="257"/>
    </row>
    <row r="5743" spans="1:18" ht="40.5" x14ac:dyDescent="0.25">
      <c r="B5743" s="20" t="s">
        <v>7592</v>
      </c>
      <c r="C5743" s="21" t="str">
        <f>[6]Hoja1!$C$11</f>
        <v>Grupos titulares de Facultades</v>
      </c>
      <c r="D5743" s="16" t="s">
        <v>29</v>
      </c>
      <c r="E5743" s="55"/>
      <c r="F5743" s="16" t="s">
        <v>155</v>
      </c>
      <c r="G5743" s="20"/>
      <c r="H5743" s="20"/>
      <c r="I5743" s="60" t="s">
        <v>7593</v>
      </c>
      <c r="J5743" s="60" t="s">
        <v>7594</v>
      </c>
      <c r="K5743" s="62" t="s">
        <v>7591</v>
      </c>
      <c r="L5743" s="20"/>
      <c r="M5743" s="20"/>
      <c r="N5743" s="20"/>
      <c r="O5743" s="20"/>
      <c r="P5743" s="21" t="str">
        <f t="shared" si="125"/>
        <v>Truncate table BJF002;</v>
      </c>
      <c r="Q5743" s="20"/>
      <c r="R5743" s="20"/>
    </row>
    <row r="5744" spans="1:18" ht="40.5" x14ac:dyDescent="0.25">
      <c r="B5744" s="20" t="s">
        <v>7595</v>
      </c>
      <c r="C5744" s="21" t="str">
        <f>[6]Hoja1!$C$12</f>
        <v>Categorías integrantes de Grup</v>
      </c>
      <c r="D5744" s="16" t="s">
        <v>29</v>
      </c>
      <c r="E5744" s="55"/>
      <c r="F5744" s="16" t="s">
        <v>155</v>
      </c>
      <c r="G5744" s="20"/>
      <c r="H5744" s="20"/>
      <c r="I5744" s="60" t="s">
        <v>7596</v>
      </c>
      <c r="J5744" s="60" t="s">
        <v>7597</v>
      </c>
      <c r="K5744" s="62" t="s">
        <v>7591</v>
      </c>
      <c r="L5744" s="20"/>
      <c r="M5744" s="20"/>
      <c r="N5744" s="20"/>
      <c r="O5744" s="20"/>
      <c r="P5744" s="21" t="str">
        <f t="shared" si="125"/>
        <v>Truncate table BJF003;</v>
      </c>
      <c r="Q5744" s="20"/>
      <c r="R5744" s="20"/>
    </row>
    <row r="5745" spans="2:22" ht="40.5" x14ac:dyDescent="0.25">
      <c r="B5745" s="20" t="s">
        <v>7598</v>
      </c>
      <c r="C5745" s="21" t="str">
        <f>[6]Hoja1!$C$13</f>
        <v>Personas integrantes de Grupos</v>
      </c>
      <c r="D5745" s="16" t="s">
        <v>29</v>
      </c>
      <c r="E5745" s="55"/>
      <c r="F5745" s="16" t="s">
        <v>155</v>
      </c>
      <c r="G5745" s="20"/>
      <c r="H5745" s="20"/>
      <c r="I5745" s="60" t="s">
        <v>7599</v>
      </c>
      <c r="J5745" s="60" t="s">
        <v>7600</v>
      </c>
      <c r="K5745" s="62" t="s">
        <v>7591</v>
      </c>
      <c r="L5745" s="20"/>
      <c r="M5745" s="20"/>
      <c r="N5745" s="20"/>
      <c r="O5745" s="20"/>
      <c r="P5745" s="21" t="str">
        <f t="shared" si="125"/>
        <v>Truncate table BJF004;</v>
      </c>
      <c r="Q5745" s="20"/>
      <c r="R5745" s="20"/>
    </row>
    <row r="5746" spans="2:22" ht="40.5" x14ac:dyDescent="0.25">
      <c r="B5746" s="20" t="s">
        <v>7601</v>
      </c>
      <c r="C5746" s="21" t="s">
        <v>7602</v>
      </c>
      <c r="D5746" s="16" t="s">
        <v>29</v>
      </c>
      <c r="E5746" s="55" t="s">
        <v>54</v>
      </c>
      <c r="F5746" s="16" t="s">
        <v>155</v>
      </c>
      <c r="G5746" s="20" t="s">
        <v>35</v>
      </c>
      <c r="H5746" s="20" t="s">
        <v>36</v>
      </c>
      <c r="I5746" s="62" t="s">
        <v>7603</v>
      </c>
      <c r="J5746" s="62" t="s">
        <v>7604</v>
      </c>
      <c r="K5746" s="62" t="s">
        <v>7591</v>
      </c>
      <c r="L5746" s="20"/>
      <c r="M5746" s="20"/>
      <c r="N5746" s="60" t="s">
        <v>7605</v>
      </c>
      <c r="O5746" s="20"/>
      <c r="P5746" s="21" t="str">
        <f t="shared" si="125"/>
        <v>Truncate table BJF005;</v>
      </c>
      <c r="Q5746" s="20" t="s">
        <v>7606</v>
      </c>
      <c r="R5746" s="20"/>
    </row>
    <row r="5747" spans="2:22" ht="40.5" x14ac:dyDescent="0.25">
      <c r="B5747" s="20" t="s">
        <v>7607</v>
      </c>
      <c r="C5747" s="21" t="s">
        <v>7608</v>
      </c>
      <c r="D5747" s="16" t="s">
        <v>29</v>
      </c>
      <c r="E5747" s="55" t="s">
        <v>54</v>
      </c>
      <c r="F5747" s="16" t="s">
        <v>155</v>
      </c>
      <c r="G5747" s="20" t="s">
        <v>35</v>
      </c>
      <c r="H5747" s="20" t="s">
        <v>36</v>
      </c>
      <c r="I5747" s="62" t="s">
        <v>7609</v>
      </c>
      <c r="J5747" s="62" t="s">
        <v>7610</v>
      </c>
      <c r="K5747" s="62" t="s">
        <v>7591</v>
      </c>
      <c r="L5747" s="20"/>
      <c r="M5747" s="20"/>
      <c r="N5747" s="60" t="s">
        <v>7605</v>
      </c>
      <c r="O5747" s="20"/>
      <c r="P5747" s="21" t="str">
        <f t="shared" si="125"/>
        <v>Truncate table BJF006;</v>
      </c>
      <c r="Q5747" s="20" t="s">
        <v>7606</v>
      </c>
      <c r="R5747" s="20"/>
    </row>
    <row r="5748" spans="2:22" ht="40.5" x14ac:dyDescent="0.25">
      <c r="B5748" s="20" t="s">
        <v>7611</v>
      </c>
      <c r="C5748" s="21" t="s">
        <v>7612</v>
      </c>
      <c r="D5748" s="16" t="s">
        <v>29</v>
      </c>
      <c r="E5748" s="55" t="s">
        <v>54</v>
      </c>
      <c r="F5748" s="16" t="s">
        <v>155</v>
      </c>
      <c r="G5748" s="20" t="s">
        <v>35</v>
      </c>
      <c r="H5748" s="20" t="s">
        <v>36</v>
      </c>
      <c r="I5748" s="62" t="s">
        <v>7613</v>
      </c>
      <c r="J5748" s="62" t="s">
        <v>7614</v>
      </c>
      <c r="K5748" s="62" t="s">
        <v>7591</v>
      </c>
      <c r="L5748" s="20"/>
      <c r="M5748" s="20"/>
      <c r="N5748" s="60" t="s">
        <v>7605</v>
      </c>
      <c r="O5748" s="20"/>
      <c r="P5748" s="21" t="str">
        <f t="shared" si="125"/>
        <v>Truncate table BJF007;</v>
      </c>
      <c r="Q5748" s="20" t="s">
        <v>7606</v>
      </c>
      <c r="R5748" s="20"/>
    </row>
    <row r="5749" spans="2:22" ht="40.5" x14ac:dyDescent="0.25">
      <c r="B5749" s="20" t="s">
        <v>7615</v>
      </c>
      <c r="C5749" s="21" t="s">
        <v>7616</v>
      </c>
      <c r="D5749" s="16" t="s">
        <v>29</v>
      </c>
      <c r="E5749" s="55" t="s">
        <v>54</v>
      </c>
      <c r="F5749" s="16" t="s">
        <v>155</v>
      </c>
      <c r="G5749" s="20" t="s">
        <v>35</v>
      </c>
      <c r="H5749" s="20" t="s">
        <v>36</v>
      </c>
      <c r="I5749" s="62" t="s">
        <v>7617</v>
      </c>
      <c r="J5749" s="62" t="s">
        <v>7618</v>
      </c>
      <c r="K5749" s="62" t="s">
        <v>7591</v>
      </c>
      <c r="L5749" s="20"/>
      <c r="M5749" s="20"/>
      <c r="N5749" s="60" t="s">
        <v>7605</v>
      </c>
      <c r="O5749" s="20"/>
      <c r="P5749" s="21" t="str">
        <f t="shared" si="125"/>
        <v>Truncate table BJF008;</v>
      </c>
      <c r="Q5749" s="20" t="s">
        <v>7606</v>
      </c>
      <c r="R5749" s="20"/>
    </row>
    <row r="5750" spans="2:22" ht="67.5" x14ac:dyDescent="0.25">
      <c r="B5750" s="20" t="s">
        <v>7619</v>
      </c>
      <c r="C5750" s="21" t="s">
        <v>7620</v>
      </c>
      <c r="D5750" s="16" t="s">
        <v>29</v>
      </c>
      <c r="E5750" s="55" t="s">
        <v>54</v>
      </c>
      <c r="F5750" s="16" t="s">
        <v>155</v>
      </c>
      <c r="G5750" s="20" t="s">
        <v>35</v>
      </c>
      <c r="H5750" s="20" t="s">
        <v>36</v>
      </c>
      <c r="I5750" s="62" t="s">
        <v>7621</v>
      </c>
      <c r="J5750" s="62" t="s">
        <v>7622</v>
      </c>
      <c r="K5750" s="62" t="s">
        <v>7591</v>
      </c>
      <c r="L5750" s="20"/>
      <c r="M5750" s="20"/>
      <c r="N5750" s="60" t="s">
        <v>7605</v>
      </c>
      <c r="O5750" s="20"/>
      <c r="P5750" s="21" t="str">
        <f t="shared" si="125"/>
        <v>Truncate table BJF009;</v>
      </c>
      <c r="Q5750" s="20" t="s">
        <v>7606</v>
      </c>
      <c r="R5750" s="20"/>
    </row>
    <row r="5751" spans="2:22" ht="40.5" x14ac:dyDescent="0.25">
      <c r="B5751" s="20" t="s">
        <v>7623</v>
      </c>
      <c r="C5751" s="21" t="s">
        <v>7624</v>
      </c>
      <c r="D5751" s="16" t="s">
        <v>29</v>
      </c>
      <c r="E5751" s="55" t="s">
        <v>54</v>
      </c>
      <c r="F5751" s="16" t="s">
        <v>155</v>
      </c>
      <c r="G5751" s="20" t="s">
        <v>35</v>
      </c>
      <c r="H5751" s="20" t="s">
        <v>36</v>
      </c>
      <c r="I5751" s="62" t="s">
        <v>7625</v>
      </c>
      <c r="J5751" s="62" t="s">
        <v>7626</v>
      </c>
      <c r="K5751" s="62" t="s">
        <v>7591</v>
      </c>
      <c r="L5751" s="20"/>
      <c r="M5751" s="20"/>
      <c r="N5751" s="60" t="s">
        <v>7605</v>
      </c>
      <c r="O5751" s="20"/>
      <c r="P5751" s="21" t="str">
        <f t="shared" si="125"/>
        <v>Truncate table BJF010;</v>
      </c>
      <c r="Q5751" s="20" t="s">
        <v>7606</v>
      </c>
      <c r="R5751" s="20"/>
    </row>
    <row r="5752" spans="2:22" ht="40.5" x14ac:dyDescent="0.25">
      <c r="B5752" s="16" t="s">
        <v>7627</v>
      </c>
      <c r="C5752" s="21" t="s">
        <v>9730</v>
      </c>
      <c r="D5752" s="16" t="s">
        <v>29</v>
      </c>
      <c r="E5752" s="287" t="s">
        <v>54</v>
      </c>
      <c r="F5752" s="287" t="s">
        <v>8192</v>
      </c>
      <c r="G5752" s="16" t="s">
        <v>35</v>
      </c>
      <c r="H5752" s="16" t="s">
        <v>36</v>
      </c>
      <c r="I5752" s="20"/>
      <c r="J5752" s="20"/>
      <c r="K5752" s="16"/>
      <c r="L5752" s="20" t="s">
        <v>9731</v>
      </c>
      <c r="M5752" s="20"/>
      <c r="N5752" s="20"/>
      <c r="O5752" s="20"/>
      <c r="P5752" s="21" t="str">
        <f t="shared" si="125"/>
        <v>Truncate table BTCD01;</v>
      </c>
      <c r="Q5752" s="16" t="s">
        <v>7606</v>
      </c>
      <c r="R5752" s="20"/>
      <c r="S5752"/>
      <c r="T5752"/>
      <c r="U5752"/>
      <c r="V5752"/>
    </row>
    <row r="5753" spans="2:22" ht="63.75" customHeight="1" x14ac:dyDescent="0.25">
      <c r="B5753" s="21" t="s">
        <v>7628</v>
      </c>
      <c r="C5753" s="21" t="s">
        <v>9732</v>
      </c>
      <c r="D5753" s="16" t="s">
        <v>29</v>
      </c>
      <c r="E5753" s="287" t="s">
        <v>54</v>
      </c>
      <c r="F5753" s="287" t="s">
        <v>8192</v>
      </c>
      <c r="G5753" s="16" t="s">
        <v>35</v>
      </c>
      <c r="H5753" s="16" t="s">
        <v>36</v>
      </c>
      <c r="I5753" s="20"/>
      <c r="J5753" s="20"/>
      <c r="K5753" s="16"/>
      <c r="L5753" s="20" t="s">
        <v>9731</v>
      </c>
      <c r="M5753" s="20"/>
      <c r="N5753" s="20"/>
      <c r="O5753" s="20"/>
      <c r="P5753" s="21" t="str">
        <f t="shared" si="125"/>
        <v>Truncate table BTCD02;</v>
      </c>
      <c r="Q5753" s="16" t="s">
        <v>7606</v>
      </c>
      <c r="R5753" s="20"/>
      <c r="S5753"/>
      <c r="T5753"/>
      <c r="U5753"/>
      <c r="V5753"/>
    </row>
    <row r="5754" spans="2:22" ht="53.25" customHeight="1" x14ac:dyDescent="0.25">
      <c r="B5754" s="16" t="s">
        <v>7629</v>
      </c>
      <c r="C5754" s="21" t="s">
        <v>9733</v>
      </c>
      <c r="D5754" s="16" t="s">
        <v>29</v>
      </c>
      <c r="E5754" s="287" t="s">
        <v>54</v>
      </c>
      <c r="F5754" s="287" t="s">
        <v>8192</v>
      </c>
      <c r="G5754" s="16" t="s">
        <v>35</v>
      </c>
      <c r="H5754" s="16" t="s">
        <v>36</v>
      </c>
      <c r="I5754" s="20"/>
      <c r="J5754" s="20"/>
      <c r="K5754" s="20"/>
      <c r="L5754" s="20" t="s">
        <v>9731</v>
      </c>
      <c r="M5754" s="20"/>
      <c r="N5754" s="20"/>
      <c r="O5754" s="20"/>
      <c r="P5754" s="21" t="str">
        <f t="shared" si="125"/>
        <v>Truncate table BTCD05;</v>
      </c>
      <c r="Q5754" s="16" t="s">
        <v>7606</v>
      </c>
      <c r="R5754" s="20"/>
      <c r="S5754"/>
      <c r="T5754"/>
      <c r="U5754"/>
      <c r="V5754"/>
    </row>
    <row r="5755" spans="2:22" ht="46.5" customHeight="1" x14ac:dyDescent="0.25">
      <c r="B5755" s="16" t="s">
        <v>7630</v>
      </c>
      <c r="C5755" s="21" t="s">
        <v>9734</v>
      </c>
      <c r="D5755" s="16" t="s">
        <v>29</v>
      </c>
      <c r="E5755" s="287" t="s">
        <v>54</v>
      </c>
      <c r="F5755" s="287" t="s">
        <v>8192</v>
      </c>
      <c r="G5755" s="16" t="s">
        <v>35</v>
      </c>
      <c r="H5755" s="16" t="s">
        <v>36</v>
      </c>
      <c r="I5755" s="20"/>
      <c r="J5755" s="20"/>
      <c r="K5755" s="20"/>
      <c r="L5755" s="20" t="s">
        <v>9731</v>
      </c>
      <c r="M5755" s="20"/>
      <c r="N5755" s="20"/>
      <c r="O5755" s="20"/>
      <c r="P5755" s="21" t="str">
        <f t="shared" si="125"/>
        <v>Truncate table BTCD06;</v>
      </c>
      <c r="Q5755" s="16" t="s">
        <v>7606</v>
      </c>
      <c r="R5755" s="20"/>
      <c r="S5755"/>
      <c r="T5755"/>
      <c r="U5755"/>
      <c r="V5755"/>
    </row>
    <row r="5756" spans="2:22" ht="47.25" customHeight="1" x14ac:dyDescent="0.25">
      <c r="B5756" s="16" t="s">
        <v>7631</v>
      </c>
      <c r="C5756" s="21" t="s">
        <v>9735</v>
      </c>
      <c r="D5756" s="16" t="s">
        <v>29</v>
      </c>
      <c r="E5756" s="287" t="s">
        <v>54</v>
      </c>
      <c r="F5756" s="287" t="s">
        <v>8192</v>
      </c>
      <c r="G5756" s="16" t="s">
        <v>35</v>
      </c>
      <c r="H5756" s="16" t="s">
        <v>36</v>
      </c>
      <c r="I5756" s="20"/>
      <c r="J5756" s="20"/>
      <c r="K5756" s="20"/>
      <c r="L5756" s="20" t="s">
        <v>9731</v>
      </c>
      <c r="M5756" s="20"/>
      <c r="N5756" s="20"/>
      <c r="O5756" s="20"/>
      <c r="P5756" s="21" t="str">
        <f t="shared" si="125"/>
        <v>Truncate table BTCD07;</v>
      </c>
      <c r="Q5756" s="16" t="s">
        <v>7606</v>
      </c>
      <c r="R5756" s="20"/>
      <c r="S5756"/>
      <c r="T5756"/>
      <c r="U5756"/>
      <c r="V5756"/>
    </row>
    <row r="5757" spans="2:22" ht="51" customHeight="1" x14ac:dyDescent="0.25">
      <c r="B5757" s="16" t="s">
        <v>7632</v>
      </c>
      <c r="C5757" s="21" t="s">
        <v>9736</v>
      </c>
      <c r="D5757" s="16" t="s">
        <v>29</v>
      </c>
      <c r="E5757" s="287" t="s">
        <v>54</v>
      </c>
      <c r="F5757" s="287" t="s">
        <v>8192</v>
      </c>
      <c r="G5757" s="16" t="s">
        <v>35</v>
      </c>
      <c r="H5757" s="16" t="s">
        <v>36</v>
      </c>
      <c r="I5757" s="20"/>
      <c r="J5757" s="20"/>
      <c r="K5757" s="20"/>
      <c r="L5757" s="20" t="s">
        <v>9731</v>
      </c>
      <c r="M5757" s="20"/>
      <c r="N5757" s="20"/>
      <c r="O5757" s="20"/>
      <c r="P5757" s="21" t="str">
        <f t="shared" si="125"/>
        <v>Truncate table BTCD08;</v>
      </c>
      <c r="Q5757" s="16" t="s">
        <v>7606</v>
      </c>
      <c r="R5757" s="20"/>
      <c r="S5757"/>
      <c r="T5757"/>
      <c r="U5757"/>
      <c r="V5757"/>
    </row>
    <row r="5758" spans="2:22" ht="17.25" customHeight="1" x14ac:dyDescent="0.25">
      <c r="B5758" s="20" t="s">
        <v>7633</v>
      </c>
      <c r="C5758" s="21" t="s">
        <v>7634</v>
      </c>
      <c r="D5758" s="16" t="s">
        <v>8152</v>
      </c>
      <c r="E5758" s="287"/>
      <c r="F5758" s="55" t="s">
        <v>653</v>
      </c>
      <c r="G5758" s="20"/>
      <c r="H5758" s="20"/>
      <c r="I5758" s="20"/>
      <c r="J5758" s="20"/>
      <c r="K5758" s="20"/>
      <c r="L5758" s="20"/>
      <c r="M5758" s="20"/>
      <c r="N5758" s="20"/>
      <c r="O5758" s="20"/>
      <c r="P5758" s="21" t="str">
        <f t="shared" si="125"/>
        <v/>
      </c>
      <c r="Q5758" s="20"/>
      <c r="R5758" s="20"/>
      <c r="S5758"/>
      <c r="T5758"/>
      <c r="U5758"/>
      <c r="V5758"/>
    </row>
    <row r="5759" spans="2:22" x14ac:dyDescent="0.25">
      <c r="B5759" s="20" t="s">
        <v>7635</v>
      </c>
      <c r="C5759" s="21" t="s">
        <v>7634</v>
      </c>
      <c r="D5759" s="16" t="s">
        <v>29</v>
      </c>
      <c r="E5759" s="55"/>
      <c r="F5759" s="55" t="s">
        <v>653</v>
      </c>
      <c r="G5759" s="20"/>
      <c r="H5759" s="20"/>
      <c r="I5759" s="20"/>
      <c r="J5759" s="20"/>
      <c r="K5759" s="20"/>
      <c r="L5759" s="20"/>
      <c r="M5759" s="20"/>
      <c r="N5759" s="20"/>
      <c r="O5759" s="20"/>
      <c r="P5759" s="21" t="str">
        <f t="shared" si="125"/>
        <v>Truncate table CF009;</v>
      </c>
      <c r="Q5759" s="20"/>
      <c r="R5759" s="20"/>
      <c r="S5759"/>
      <c r="T5759"/>
      <c r="U5759"/>
      <c r="V5759"/>
    </row>
    <row r="5760" spans="2:22" x14ac:dyDescent="0.25">
      <c r="B5760" s="44" t="s">
        <v>7636</v>
      </c>
      <c r="C5760" s="21" t="s">
        <v>703</v>
      </c>
      <c r="D5760" s="16" t="s">
        <v>29</v>
      </c>
      <c r="E5760" s="55"/>
      <c r="F5760" s="55" t="s">
        <v>150</v>
      </c>
      <c r="G5760" s="20"/>
      <c r="H5760" s="20"/>
      <c r="I5760" s="20"/>
      <c r="J5760" s="20"/>
      <c r="K5760" s="20"/>
      <c r="L5760" s="20"/>
      <c r="M5760" s="20"/>
      <c r="N5760" s="20"/>
      <c r="O5760" s="20"/>
      <c r="P5760" s="21" t="str">
        <f t="shared" si="125"/>
        <v>Truncate table CLE050;</v>
      </c>
      <c r="Q5760" s="20"/>
      <c r="R5760" s="20"/>
      <c r="S5760"/>
      <c r="T5760"/>
      <c r="U5760"/>
      <c r="V5760"/>
    </row>
    <row r="5761" spans="2:22" x14ac:dyDescent="0.25">
      <c r="B5761" s="20" t="s">
        <v>7637</v>
      </c>
      <c r="C5761" s="21" t="s">
        <v>4539</v>
      </c>
      <c r="D5761" s="16" t="s">
        <v>29</v>
      </c>
      <c r="E5761" s="55"/>
      <c r="F5761" s="55" t="s">
        <v>150</v>
      </c>
      <c r="G5761" s="20"/>
      <c r="H5761" s="20"/>
      <c r="I5761" s="20"/>
      <c r="J5761" s="20"/>
      <c r="K5761" s="20"/>
      <c r="L5761" s="20"/>
      <c r="M5761" s="20"/>
      <c r="N5761" s="20"/>
      <c r="O5761" s="20"/>
      <c r="P5761" s="21" t="str">
        <f t="shared" si="125"/>
        <v>Truncate table CNL100;</v>
      </c>
      <c r="Q5761" s="20"/>
      <c r="R5761" s="20"/>
      <c r="S5761"/>
      <c r="T5761"/>
      <c r="U5761"/>
      <c r="V5761"/>
    </row>
    <row r="5762" spans="2:22" x14ac:dyDescent="0.25">
      <c r="B5762" s="20" t="s">
        <v>7638</v>
      </c>
      <c r="C5762" s="21" t="s">
        <v>4539</v>
      </c>
      <c r="D5762" s="16" t="s">
        <v>29</v>
      </c>
      <c r="E5762" s="55"/>
      <c r="F5762" s="55" t="s">
        <v>150</v>
      </c>
      <c r="G5762" s="20"/>
      <c r="H5762" s="20"/>
      <c r="I5762" s="20"/>
      <c r="J5762" s="20"/>
      <c r="K5762" s="20"/>
      <c r="L5762" s="20"/>
      <c r="M5762" s="20"/>
      <c r="N5762" s="20"/>
      <c r="O5762" s="20"/>
      <c r="P5762" s="21" t="str">
        <f t="shared" si="125"/>
        <v>Truncate table CNL101;</v>
      </c>
      <c r="Q5762" s="20"/>
      <c r="R5762" s="20"/>
      <c r="S5762"/>
      <c r="T5762"/>
      <c r="U5762"/>
      <c r="V5762"/>
    </row>
    <row r="5763" spans="2:22" x14ac:dyDescent="0.25">
      <c r="B5763" s="20" t="s">
        <v>7639</v>
      </c>
      <c r="C5763" s="21" t="s">
        <v>4539</v>
      </c>
      <c r="D5763" s="16" t="s">
        <v>29</v>
      </c>
      <c r="E5763" s="55"/>
      <c r="F5763" s="55" t="s">
        <v>150</v>
      </c>
      <c r="G5763" s="20"/>
      <c r="H5763" s="20"/>
      <c r="I5763" s="20"/>
      <c r="J5763" s="20"/>
      <c r="K5763" s="20"/>
      <c r="L5763" s="20"/>
      <c r="M5763" s="20"/>
      <c r="N5763" s="20"/>
      <c r="O5763" s="20"/>
      <c r="P5763" s="21" t="str">
        <f t="shared" si="125"/>
        <v>Truncate table CNL102;</v>
      </c>
      <c r="Q5763" s="20"/>
      <c r="R5763" s="20"/>
      <c r="S5763"/>
      <c r="T5763"/>
      <c r="U5763"/>
      <c r="V5763"/>
    </row>
    <row r="5764" spans="2:22" x14ac:dyDescent="0.25">
      <c r="B5764" s="20" t="s">
        <v>7640</v>
      </c>
      <c r="C5764" s="21" t="s">
        <v>4539</v>
      </c>
      <c r="D5764" s="16" t="s">
        <v>29</v>
      </c>
      <c r="E5764" s="55"/>
      <c r="F5764" s="55" t="s">
        <v>150</v>
      </c>
      <c r="G5764" s="20"/>
      <c r="H5764" s="20"/>
      <c r="I5764" s="20"/>
      <c r="J5764" s="20"/>
      <c r="K5764" s="20"/>
      <c r="L5764" s="20"/>
      <c r="M5764" s="20"/>
      <c r="N5764" s="20"/>
      <c r="O5764" s="20"/>
      <c r="P5764" s="21" t="str">
        <f t="shared" si="125"/>
        <v>Truncate table CNL103;</v>
      </c>
      <c r="Q5764" s="20"/>
      <c r="R5764" s="20"/>
      <c r="S5764"/>
      <c r="T5764"/>
      <c r="U5764"/>
      <c r="V5764"/>
    </row>
    <row r="5765" spans="2:22" x14ac:dyDescent="0.25">
      <c r="B5765" s="20" t="s">
        <v>7641</v>
      </c>
      <c r="C5765" s="21" t="s">
        <v>4539</v>
      </c>
      <c r="D5765" s="16" t="s">
        <v>29</v>
      </c>
      <c r="E5765" s="55"/>
      <c r="F5765" s="55" t="s">
        <v>150</v>
      </c>
      <c r="G5765" s="20"/>
      <c r="H5765" s="20"/>
      <c r="I5765" s="20"/>
      <c r="J5765" s="20"/>
      <c r="K5765" s="20"/>
      <c r="L5765" s="20"/>
      <c r="M5765" s="20"/>
      <c r="N5765" s="20"/>
      <c r="O5765" s="20"/>
      <c r="P5765" s="21" t="str">
        <f t="shared" si="125"/>
        <v>Truncate table CNL104;</v>
      </c>
      <c r="Q5765" s="20"/>
      <c r="R5765" s="20"/>
      <c r="S5765"/>
      <c r="T5765"/>
      <c r="U5765"/>
      <c r="V5765"/>
    </row>
    <row r="5766" spans="2:22" x14ac:dyDescent="0.25">
      <c r="B5766" s="20" t="s">
        <v>7642</v>
      </c>
      <c r="C5766" s="21" t="s">
        <v>4539</v>
      </c>
      <c r="D5766" s="16" t="s">
        <v>29</v>
      </c>
      <c r="E5766" s="55"/>
      <c r="F5766" s="55" t="s">
        <v>150</v>
      </c>
      <c r="G5766" s="20"/>
      <c r="H5766" s="20"/>
      <c r="I5766" s="20"/>
      <c r="J5766" s="20"/>
      <c r="K5766" s="20"/>
      <c r="L5766" s="20"/>
      <c r="M5766" s="20"/>
      <c r="N5766" s="20"/>
      <c r="O5766" s="20"/>
      <c r="P5766" s="21" t="str">
        <f t="shared" si="125"/>
        <v>Truncate table CNL105;</v>
      </c>
      <c r="Q5766" s="20"/>
      <c r="R5766" s="20"/>
      <c r="S5766"/>
      <c r="T5766"/>
      <c r="U5766"/>
      <c r="V5766"/>
    </row>
    <row r="5767" spans="2:22" x14ac:dyDescent="0.25">
      <c r="B5767" s="20" t="s">
        <v>7643</v>
      </c>
      <c r="C5767" s="21" t="s">
        <v>4539</v>
      </c>
      <c r="D5767" s="16" t="s">
        <v>29</v>
      </c>
      <c r="E5767" s="55"/>
      <c r="F5767" s="55" t="s">
        <v>150</v>
      </c>
      <c r="G5767" s="20"/>
      <c r="H5767" s="20"/>
      <c r="I5767" s="20"/>
      <c r="J5767" s="20"/>
      <c r="K5767" s="20"/>
      <c r="L5767" s="20"/>
      <c r="M5767" s="20"/>
      <c r="N5767" s="20"/>
      <c r="O5767" s="20"/>
      <c r="P5767" s="21" t="str">
        <f t="shared" si="125"/>
        <v>Truncate table CNL106;</v>
      </c>
      <c r="Q5767" s="20"/>
      <c r="R5767" s="20"/>
      <c r="S5767"/>
      <c r="T5767"/>
      <c r="U5767"/>
      <c r="V5767"/>
    </row>
    <row r="5768" spans="2:22" x14ac:dyDescent="0.25">
      <c r="B5768" s="20" t="s">
        <v>7644</v>
      </c>
      <c r="C5768" s="21" t="s">
        <v>4539</v>
      </c>
      <c r="D5768" s="16" t="s">
        <v>29</v>
      </c>
      <c r="E5768" s="55"/>
      <c r="F5768" s="55" t="s">
        <v>150</v>
      </c>
      <c r="G5768" s="20"/>
      <c r="H5768" s="20"/>
      <c r="I5768" s="20"/>
      <c r="J5768" s="20"/>
      <c r="K5768" s="20"/>
      <c r="L5768" s="20"/>
      <c r="M5768" s="20"/>
      <c r="N5768" s="20"/>
      <c r="O5768" s="20"/>
      <c r="P5768" s="21" t="str">
        <f t="shared" si="125"/>
        <v>Truncate table CNL107;</v>
      </c>
      <c r="Q5768" s="20"/>
      <c r="R5768" s="20"/>
      <c r="S5768"/>
      <c r="T5768"/>
      <c r="U5768"/>
      <c r="V5768"/>
    </row>
    <row r="5769" spans="2:22" x14ac:dyDescent="0.25">
      <c r="B5769" s="20" t="s">
        <v>7645</v>
      </c>
      <c r="C5769" s="21" t="s">
        <v>4539</v>
      </c>
      <c r="D5769" s="16" t="s">
        <v>29</v>
      </c>
      <c r="E5769" s="55"/>
      <c r="F5769" s="55" t="s">
        <v>150</v>
      </c>
      <c r="G5769" s="20"/>
      <c r="H5769" s="20"/>
      <c r="I5769" s="20"/>
      <c r="J5769" s="20"/>
      <c r="K5769" s="20"/>
      <c r="L5769" s="20"/>
      <c r="M5769" s="20"/>
      <c r="N5769" s="20"/>
      <c r="O5769" s="20"/>
      <c r="P5769" s="21" t="str">
        <f t="shared" si="125"/>
        <v>Truncate table CNL108;</v>
      </c>
      <c r="Q5769" s="20"/>
      <c r="R5769" s="20"/>
      <c r="S5769"/>
      <c r="T5769"/>
      <c r="U5769"/>
      <c r="V5769"/>
    </row>
    <row r="5770" spans="2:22" x14ac:dyDescent="0.25">
      <c r="B5770" s="20" t="s">
        <v>7646</v>
      </c>
      <c r="C5770" s="21" t="s">
        <v>7647</v>
      </c>
      <c r="D5770" s="16" t="s">
        <v>29</v>
      </c>
      <c r="E5770" s="55"/>
      <c r="F5770" s="55" t="s">
        <v>924</v>
      </c>
      <c r="G5770" s="20"/>
      <c r="H5770" s="20"/>
      <c r="I5770" s="20"/>
      <c r="J5770" s="20"/>
      <c r="K5770" s="20"/>
      <c r="L5770" s="20"/>
      <c r="M5770" s="20"/>
      <c r="N5770" s="20"/>
      <c r="O5770" s="20"/>
      <c r="P5770" s="21" t="str">
        <f t="shared" si="125"/>
        <v>Truncate table CSMD30;</v>
      </c>
      <c r="Q5770" s="20"/>
      <c r="R5770" s="20"/>
      <c r="S5770"/>
      <c r="T5770"/>
      <c r="U5770"/>
      <c r="V5770"/>
    </row>
    <row r="5771" spans="2:22" x14ac:dyDescent="0.25">
      <c r="B5771" s="20" t="s">
        <v>7648</v>
      </c>
      <c r="C5771" s="21" t="s">
        <v>7647</v>
      </c>
      <c r="D5771" s="16" t="s">
        <v>29</v>
      </c>
      <c r="E5771" s="55"/>
      <c r="F5771" s="55" t="s">
        <v>924</v>
      </c>
      <c r="G5771" s="20"/>
      <c r="H5771" s="20"/>
      <c r="I5771" s="20"/>
      <c r="J5771" s="20"/>
      <c r="K5771" s="20"/>
      <c r="L5771" s="20"/>
      <c r="M5771" s="20"/>
      <c r="N5771" s="20"/>
      <c r="O5771" s="20"/>
      <c r="P5771" s="21" t="str">
        <f t="shared" si="125"/>
        <v>Truncate table CSMD31;</v>
      </c>
      <c r="Q5771" s="20"/>
      <c r="R5771" s="20"/>
      <c r="S5771"/>
      <c r="T5771"/>
      <c r="U5771"/>
      <c r="V5771"/>
    </row>
    <row r="5772" spans="2:22" x14ac:dyDescent="0.25">
      <c r="B5772" s="20" t="s">
        <v>7649</v>
      </c>
      <c r="C5772" s="21" t="s">
        <v>7647</v>
      </c>
      <c r="D5772" s="16" t="s">
        <v>29</v>
      </c>
      <c r="E5772" s="55"/>
      <c r="F5772" s="55" t="s">
        <v>924</v>
      </c>
      <c r="G5772" s="20"/>
      <c r="H5772" s="20"/>
      <c r="I5772" s="20"/>
      <c r="J5772" s="20"/>
      <c r="K5772" s="20"/>
      <c r="L5772" s="20"/>
      <c r="M5772" s="20"/>
      <c r="N5772" s="20"/>
      <c r="O5772" s="20"/>
      <c r="P5772" s="21" t="str">
        <f t="shared" si="125"/>
        <v>Truncate table CSMD32;</v>
      </c>
      <c r="Q5772" s="20"/>
      <c r="R5772" s="20"/>
      <c r="S5772"/>
      <c r="T5772"/>
      <c r="U5772"/>
      <c r="V5772"/>
    </row>
    <row r="5773" spans="2:22" x14ac:dyDescent="0.25">
      <c r="B5773" s="20" t="s">
        <v>7650</v>
      </c>
      <c r="C5773" s="21" t="s">
        <v>7647</v>
      </c>
      <c r="D5773" s="16" t="s">
        <v>29</v>
      </c>
      <c r="E5773" s="55"/>
      <c r="F5773" s="55" t="s">
        <v>924</v>
      </c>
      <c r="G5773" s="20"/>
      <c r="H5773" s="20"/>
      <c r="I5773" s="20"/>
      <c r="J5773" s="20"/>
      <c r="K5773" s="20"/>
      <c r="L5773" s="20"/>
      <c r="M5773" s="20"/>
      <c r="N5773" s="20"/>
      <c r="O5773" s="20"/>
      <c r="P5773" s="21" t="str">
        <f t="shared" si="125"/>
        <v>Truncate table CSMI02;</v>
      </c>
      <c r="Q5773" s="20"/>
      <c r="R5773" s="20"/>
      <c r="S5773"/>
      <c r="T5773"/>
      <c r="U5773"/>
      <c r="V5773"/>
    </row>
    <row r="5774" spans="2:22" ht="40.5" x14ac:dyDescent="0.25">
      <c r="B5774" s="4" t="s">
        <v>7651</v>
      </c>
      <c r="C5774" s="29" t="s">
        <v>7652</v>
      </c>
      <c r="D5774" s="16" t="s">
        <v>29</v>
      </c>
      <c r="E5774" s="61" t="s">
        <v>151</v>
      </c>
      <c r="F5774" s="61" t="s">
        <v>924</v>
      </c>
      <c r="G5774" s="4" t="s">
        <v>35</v>
      </c>
      <c r="H5774" s="4" t="s">
        <v>36</v>
      </c>
      <c r="I5774" s="4" t="s">
        <v>7653</v>
      </c>
      <c r="J5774" s="4" t="s">
        <v>7654</v>
      </c>
      <c r="K5774" s="4" t="s">
        <v>466</v>
      </c>
      <c r="L5774" s="4" t="s">
        <v>7444</v>
      </c>
      <c r="M5774" s="47"/>
      <c r="N5774" s="92" t="s">
        <v>7655</v>
      </c>
      <c r="O5774" s="4"/>
      <c r="P5774" s="4" t="str">
        <f t="shared" si="125"/>
        <v>Truncate table CSMI03;</v>
      </c>
      <c r="Q5774" s="4" t="s">
        <v>7606</v>
      </c>
      <c r="R5774" s="4"/>
    </row>
    <row r="5775" spans="2:22" ht="40.5" x14ac:dyDescent="0.25">
      <c r="B5775" s="4" t="s">
        <v>7656</v>
      </c>
      <c r="C5775" s="81" t="s">
        <v>8150</v>
      </c>
      <c r="D5775" s="16" t="s">
        <v>29</v>
      </c>
      <c r="E5775" s="61" t="s">
        <v>151</v>
      </c>
      <c r="F5775" s="61" t="s">
        <v>924</v>
      </c>
      <c r="G5775" s="4" t="s">
        <v>35</v>
      </c>
      <c r="H5775" s="4" t="s">
        <v>36</v>
      </c>
      <c r="I5775" s="81" t="s">
        <v>8153</v>
      </c>
      <c r="J5775" s="81" t="s">
        <v>8154</v>
      </c>
      <c r="K5775" s="4" t="s">
        <v>466</v>
      </c>
      <c r="L5775" s="4" t="s">
        <v>7444</v>
      </c>
      <c r="M5775" s="4"/>
      <c r="N5775" s="81" t="s">
        <v>8155</v>
      </c>
      <c r="O5775" s="4"/>
      <c r="P5775" s="4" t="str">
        <f t="shared" si="125"/>
        <v>Truncate table CSMI04;</v>
      </c>
      <c r="Q5775" s="4" t="s">
        <v>7606</v>
      </c>
      <c r="R5775" s="4"/>
    </row>
    <row r="5776" spans="2:22" ht="40.5" x14ac:dyDescent="0.25">
      <c r="B5776" s="81" t="s">
        <v>8156</v>
      </c>
      <c r="C5776" s="81" t="s">
        <v>8157</v>
      </c>
      <c r="D5776" s="16" t="s">
        <v>29</v>
      </c>
      <c r="E5776" s="61" t="s">
        <v>151</v>
      </c>
      <c r="F5776" s="61" t="s">
        <v>924</v>
      </c>
      <c r="G5776" s="4" t="s">
        <v>35</v>
      </c>
      <c r="H5776" s="4" t="s">
        <v>36</v>
      </c>
      <c r="I5776" s="81" t="s">
        <v>8158</v>
      </c>
      <c r="J5776" s="81" t="s">
        <v>8159</v>
      </c>
      <c r="K5776" s="4" t="s">
        <v>466</v>
      </c>
      <c r="L5776" s="4" t="s">
        <v>7444</v>
      </c>
      <c r="M5776" s="4"/>
      <c r="N5776" s="93" t="s">
        <v>8160</v>
      </c>
      <c r="O5776" s="94"/>
      <c r="P5776" s="94"/>
      <c r="Q5776" s="4" t="s">
        <v>7606</v>
      </c>
      <c r="R5776" s="94"/>
    </row>
    <row r="5777" spans="2:22" x14ac:dyDescent="0.25">
      <c r="B5777" s="20" t="s">
        <v>7657</v>
      </c>
      <c r="C5777" s="21" t="s">
        <v>7658</v>
      </c>
      <c r="D5777" s="16" t="s">
        <v>29</v>
      </c>
      <c r="E5777" s="55"/>
      <c r="F5777" s="55" t="s">
        <v>243</v>
      </c>
      <c r="G5777" s="20"/>
      <c r="H5777" s="20"/>
      <c r="I5777" s="20"/>
      <c r="J5777" s="20"/>
      <c r="K5777" s="20"/>
      <c r="L5777" s="20"/>
      <c r="M5777" s="20"/>
      <c r="N5777" s="20"/>
      <c r="O5777" s="20"/>
      <c r="P5777" s="21" t="str">
        <f t="shared" ref="P5777:P5808" si="126">IF(D5777="Datos","Truncate table "&amp; B5777&amp; ";","")</f>
        <v>Truncate table DEMX17;</v>
      </c>
      <c r="Q5777" s="20"/>
      <c r="R5777" s="20"/>
      <c r="S5777"/>
      <c r="T5777"/>
      <c r="U5777"/>
      <c r="V5777"/>
    </row>
    <row r="5778" spans="2:22" x14ac:dyDescent="0.25">
      <c r="B5778" s="20" t="s">
        <v>7659</v>
      </c>
      <c r="C5778" s="21" t="s">
        <v>7660</v>
      </c>
      <c r="D5778" s="16" t="s">
        <v>29</v>
      </c>
      <c r="E5778" s="55"/>
      <c r="F5778" s="55" t="s">
        <v>243</v>
      </c>
      <c r="G5778" s="20"/>
      <c r="H5778" s="20"/>
      <c r="I5778" s="20"/>
      <c r="J5778" s="20"/>
      <c r="K5778" s="20"/>
      <c r="L5778" s="20"/>
      <c r="M5778" s="20"/>
      <c r="N5778" s="20"/>
      <c r="O5778" s="20"/>
      <c r="P5778" s="21" t="str">
        <f t="shared" si="126"/>
        <v>Truncate table FAT01;</v>
      </c>
      <c r="Q5778" s="20"/>
      <c r="R5778" s="20"/>
      <c r="S5778"/>
      <c r="T5778"/>
      <c r="U5778"/>
      <c r="V5778"/>
    </row>
    <row r="5779" spans="2:22" x14ac:dyDescent="0.25">
      <c r="B5779" s="20" t="s">
        <v>7661</v>
      </c>
      <c r="C5779" s="21" t="s">
        <v>7662</v>
      </c>
      <c r="D5779" s="16" t="s">
        <v>29</v>
      </c>
      <c r="E5779" s="55"/>
      <c r="F5779" s="55" t="s">
        <v>33</v>
      </c>
      <c r="G5779" s="20"/>
      <c r="H5779" s="20"/>
      <c r="I5779" s="20"/>
      <c r="J5779" s="20"/>
      <c r="K5779" s="20"/>
      <c r="L5779" s="20"/>
      <c r="M5779" s="20"/>
      <c r="N5779" s="20"/>
      <c r="O5779" s="20"/>
      <c r="P5779" s="21" t="str">
        <f t="shared" si="126"/>
        <v>Truncate table FBCTD40;</v>
      </c>
      <c r="Q5779" s="20"/>
      <c r="R5779" s="20"/>
      <c r="S5779"/>
      <c r="T5779"/>
      <c r="U5779"/>
      <c r="V5779"/>
    </row>
    <row r="5780" spans="2:22" x14ac:dyDescent="0.25">
      <c r="B5780" s="20" t="s">
        <v>7663</v>
      </c>
      <c r="C5780" s="21" t="s">
        <v>7662</v>
      </c>
      <c r="D5780" s="16" t="s">
        <v>29</v>
      </c>
      <c r="E5780" s="55"/>
      <c r="F5780" s="55" t="s">
        <v>33</v>
      </c>
      <c r="G5780" s="20"/>
      <c r="H5780" s="20"/>
      <c r="I5780" s="20"/>
      <c r="J5780" s="20"/>
      <c r="K5780" s="20"/>
      <c r="L5780" s="20"/>
      <c r="M5780" s="20"/>
      <c r="N5780" s="20"/>
      <c r="O5780" s="20"/>
      <c r="P5780" s="21" t="str">
        <f t="shared" si="126"/>
        <v>Truncate table FBC805;</v>
      </c>
      <c r="Q5780" s="20"/>
      <c r="R5780" s="20"/>
      <c r="S5780"/>
      <c r="T5780"/>
      <c r="U5780"/>
      <c r="V5780"/>
    </row>
    <row r="5781" spans="2:22" x14ac:dyDescent="0.25">
      <c r="B5781" s="20" t="s">
        <v>7664</v>
      </c>
      <c r="C5781" s="21" t="s">
        <v>7662</v>
      </c>
      <c r="D5781" s="16" t="s">
        <v>29</v>
      </c>
      <c r="E5781" s="55"/>
      <c r="F5781" s="55" t="s">
        <v>33</v>
      </c>
      <c r="G5781" s="20"/>
      <c r="H5781" s="20"/>
      <c r="I5781" s="20"/>
      <c r="J5781" s="20"/>
      <c r="K5781" s="20"/>
      <c r="L5781" s="20"/>
      <c r="M5781" s="20"/>
      <c r="N5781" s="20"/>
      <c r="O5781" s="20"/>
      <c r="P5781" s="21" t="str">
        <f t="shared" si="126"/>
        <v>Truncate table FBC890;</v>
      </c>
      <c r="Q5781" s="20"/>
      <c r="R5781" s="20"/>
      <c r="S5781"/>
      <c r="T5781"/>
      <c r="U5781"/>
      <c r="V5781"/>
    </row>
    <row r="5782" spans="2:22" x14ac:dyDescent="0.25">
      <c r="B5782" s="20" t="s">
        <v>7665</v>
      </c>
      <c r="C5782" s="21" t="s">
        <v>7662</v>
      </c>
      <c r="D5782" s="16" t="s">
        <v>29</v>
      </c>
      <c r="E5782" s="55"/>
      <c r="F5782" s="55" t="s">
        <v>33</v>
      </c>
      <c r="G5782" s="20"/>
      <c r="H5782" s="20"/>
      <c r="I5782" s="20"/>
      <c r="J5782" s="20"/>
      <c r="K5782" s="20"/>
      <c r="L5782" s="20"/>
      <c r="M5782" s="20"/>
      <c r="N5782" s="20"/>
      <c r="O5782" s="20"/>
      <c r="P5782" s="21" t="str">
        <f t="shared" si="126"/>
        <v>Truncate table FBC893;</v>
      </c>
      <c r="Q5782" s="20"/>
      <c r="R5782" s="20"/>
      <c r="S5782"/>
      <c r="T5782"/>
      <c r="U5782"/>
      <c r="V5782"/>
    </row>
    <row r="5783" spans="2:22" x14ac:dyDescent="0.25">
      <c r="B5783" s="20" t="s">
        <v>7666</v>
      </c>
      <c r="C5783" s="21" t="s">
        <v>1800</v>
      </c>
      <c r="D5783" s="16" t="s">
        <v>29</v>
      </c>
      <c r="E5783" s="55"/>
      <c r="F5783" s="55" t="s">
        <v>184</v>
      </c>
      <c r="G5783" s="20"/>
      <c r="H5783" s="20"/>
      <c r="I5783" s="20"/>
      <c r="J5783" s="20"/>
      <c r="K5783" s="20"/>
      <c r="L5783" s="20"/>
      <c r="M5783" s="20"/>
      <c r="N5783" s="20"/>
      <c r="O5783" s="20"/>
      <c r="P5783" s="21" t="str">
        <f t="shared" si="126"/>
        <v>Truncate table FCNV83;</v>
      </c>
      <c r="Q5783" s="20"/>
      <c r="R5783" s="20"/>
      <c r="S5783"/>
      <c r="T5783"/>
      <c r="U5783"/>
      <c r="V5783"/>
    </row>
    <row r="5784" spans="2:22" x14ac:dyDescent="0.25">
      <c r="B5784" s="20" t="s">
        <v>7667</v>
      </c>
      <c r="C5784" s="21" t="s">
        <v>1800</v>
      </c>
      <c r="D5784" s="16" t="s">
        <v>29</v>
      </c>
      <c r="E5784" s="55"/>
      <c r="F5784" s="55" t="s">
        <v>184</v>
      </c>
      <c r="G5784" s="20"/>
      <c r="H5784" s="20"/>
      <c r="I5784" s="20"/>
      <c r="J5784" s="20"/>
      <c r="K5784" s="20"/>
      <c r="L5784" s="20"/>
      <c r="M5784" s="20"/>
      <c r="N5784" s="20"/>
      <c r="O5784" s="20"/>
      <c r="P5784" s="21" t="str">
        <f t="shared" si="126"/>
        <v>Truncate table FCNV84;</v>
      </c>
      <c r="Q5784" s="20"/>
      <c r="R5784" s="20"/>
      <c r="S5784"/>
      <c r="T5784"/>
      <c r="U5784"/>
      <c r="V5784"/>
    </row>
    <row r="5785" spans="2:22" ht="40.5" x14ac:dyDescent="0.25">
      <c r="B5785" s="20" t="s">
        <v>7668</v>
      </c>
      <c r="C5785" s="60" t="s">
        <v>7669</v>
      </c>
      <c r="D5785" s="16" t="s">
        <v>29</v>
      </c>
      <c r="E5785" s="55"/>
      <c r="F5785" s="55" t="s">
        <v>7670</v>
      </c>
      <c r="G5785" s="20"/>
      <c r="H5785" s="20"/>
      <c r="I5785" s="20" t="str">
        <f>[7]Hoja1!$D$4</f>
        <v>2016-02-09 17:32:02.000</v>
      </c>
      <c r="J5785" s="20" t="str">
        <f>[7]Hoja1!$E$4</f>
        <v>2016-02-11 17:24:02.000</v>
      </c>
      <c r="K5785" s="20" t="str">
        <f>[7]Hoja1!$G$4</f>
        <v xml:space="preserve">JBERNET   </v>
      </c>
      <c r="L5785" s="21" t="str">
        <f>[7]Hoja1!$J$4</f>
        <v>No tiene. El documento de generación de la tabla FSH021 (Procesos PCC00024 y PCC00032) hacen referencia a dicha tabla.</v>
      </c>
      <c r="M5785" s="21"/>
      <c r="N5785" s="20"/>
      <c r="O5785" s="20"/>
      <c r="P5785" s="21" t="str">
        <f t="shared" si="126"/>
        <v>Truncate table FCV020;</v>
      </c>
      <c r="Q5785" s="20"/>
      <c r="R5785" s="20"/>
      <c r="S5785"/>
      <c r="T5785"/>
      <c r="U5785"/>
      <c r="V5785"/>
    </row>
    <row r="5786" spans="2:22" ht="40.5" x14ac:dyDescent="0.25">
      <c r="B5786" s="20" t="s">
        <v>7671</v>
      </c>
      <c r="C5786" s="21" t="str">
        <f>[7]Hoja1!$C$5</f>
        <v xml:space="preserve">Detalle Movimientos Vista   </v>
      </c>
      <c r="D5786" s="16" t="s">
        <v>29</v>
      </c>
      <c r="E5786" s="55"/>
      <c r="F5786" s="55" t="s">
        <v>7670</v>
      </c>
      <c r="G5786" s="20"/>
      <c r="H5786" s="20"/>
      <c r="I5786" s="20" t="str">
        <f>[7]Hoja1!$D$5</f>
        <v>2016-02-09 17:32:02.000</v>
      </c>
      <c r="J5786" s="20" t="str">
        <f>[7]Hoja1!$E$5</f>
        <v>2016-02-11 17:24:02.000</v>
      </c>
      <c r="K5786" s="20" t="str">
        <f>[7]Hoja1!$G$4</f>
        <v xml:space="preserve">JBERNET   </v>
      </c>
      <c r="L5786" s="21" t="str">
        <f>[7]Hoja1!$J$4</f>
        <v>No tiene. El documento de generación de la tabla FSH021 (Procesos PCC00024 y PCC00032) hacen referencia a dicha tabla.</v>
      </c>
      <c r="M5786" s="21"/>
      <c r="N5786" s="20"/>
      <c r="O5786" s="20"/>
      <c r="P5786" s="21" t="str">
        <f t="shared" si="126"/>
        <v>Truncate table FCV021;</v>
      </c>
      <c r="Q5786" s="20"/>
      <c r="R5786" s="20"/>
      <c r="S5786"/>
      <c r="T5786"/>
      <c r="U5786"/>
      <c r="V5786"/>
    </row>
    <row r="5787" spans="2:22" x14ac:dyDescent="0.25">
      <c r="B5787" s="20" t="s">
        <v>7672</v>
      </c>
      <c r="C5787" s="21" t="s">
        <v>2836</v>
      </c>
      <c r="D5787" s="16" t="s">
        <v>29</v>
      </c>
      <c r="E5787" s="55"/>
      <c r="F5787" s="55" t="s">
        <v>150</v>
      </c>
      <c r="G5787" s="20"/>
      <c r="H5787" s="20"/>
      <c r="I5787" s="20"/>
      <c r="J5787" s="20"/>
      <c r="K5787" s="20"/>
      <c r="L5787" s="20"/>
      <c r="M5787" s="20"/>
      <c r="N5787" s="20"/>
      <c r="O5787" s="20"/>
      <c r="P5787" s="21" t="str">
        <f t="shared" si="126"/>
        <v>Truncate table FCV100;</v>
      </c>
      <c r="Q5787" s="20"/>
      <c r="R5787" s="20"/>
      <c r="S5787"/>
      <c r="T5787"/>
      <c r="U5787"/>
      <c r="V5787"/>
    </row>
    <row r="5788" spans="2:22" x14ac:dyDescent="0.25">
      <c r="B5788" s="20" t="s">
        <v>7673</v>
      </c>
      <c r="C5788" s="21" t="s">
        <v>2836</v>
      </c>
      <c r="D5788" s="16" t="s">
        <v>29</v>
      </c>
      <c r="E5788" s="55"/>
      <c r="F5788" s="55" t="s">
        <v>150</v>
      </c>
      <c r="G5788" s="20"/>
      <c r="H5788" s="20"/>
      <c r="I5788" s="20"/>
      <c r="J5788" s="20"/>
      <c r="K5788" s="20"/>
      <c r="L5788" s="20"/>
      <c r="M5788" s="20"/>
      <c r="N5788" s="20"/>
      <c r="O5788" s="20"/>
      <c r="P5788" s="21" t="str">
        <f t="shared" si="126"/>
        <v>Truncate table FCV101;</v>
      </c>
      <c r="Q5788" s="20"/>
      <c r="R5788" s="20"/>
      <c r="S5788"/>
      <c r="T5788"/>
      <c r="U5788"/>
      <c r="V5788"/>
    </row>
    <row r="5789" spans="2:22" x14ac:dyDescent="0.25">
      <c r="B5789" s="20" t="s">
        <v>7674</v>
      </c>
      <c r="C5789" s="21" t="s">
        <v>2836</v>
      </c>
      <c r="D5789" s="16" t="s">
        <v>29</v>
      </c>
      <c r="E5789" s="55"/>
      <c r="F5789" s="55" t="s">
        <v>150</v>
      </c>
      <c r="G5789" s="20"/>
      <c r="H5789" s="20"/>
      <c r="I5789" s="20"/>
      <c r="J5789" s="20"/>
      <c r="K5789" s="20"/>
      <c r="L5789" s="20"/>
      <c r="M5789" s="20"/>
      <c r="N5789" s="20"/>
      <c r="O5789" s="20"/>
      <c r="P5789" s="21" t="str">
        <f t="shared" si="126"/>
        <v>Truncate table FCV102;</v>
      </c>
      <c r="Q5789" s="20"/>
      <c r="R5789" s="20"/>
      <c r="S5789"/>
      <c r="T5789"/>
      <c r="U5789"/>
      <c r="V5789"/>
    </row>
    <row r="5790" spans="2:22" x14ac:dyDescent="0.25">
      <c r="B5790" s="20" t="s">
        <v>7675</v>
      </c>
      <c r="C5790" s="21" t="s">
        <v>7676</v>
      </c>
      <c r="D5790" s="16" t="s">
        <v>29</v>
      </c>
      <c r="E5790" s="55"/>
      <c r="F5790" s="55" t="s">
        <v>150</v>
      </c>
      <c r="G5790" s="20"/>
      <c r="H5790" s="20"/>
      <c r="I5790" s="20"/>
      <c r="J5790" s="20"/>
      <c r="K5790" s="20"/>
      <c r="L5790" s="20"/>
      <c r="M5790" s="20"/>
      <c r="N5790" s="20"/>
      <c r="O5790" s="20"/>
      <c r="P5790" s="21" t="str">
        <f t="shared" si="126"/>
        <v>Truncate table FIF045;</v>
      </c>
      <c r="Q5790" s="20"/>
      <c r="R5790" s="20"/>
      <c r="S5790"/>
      <c r="T5790"/>
      <c r="U5790"/>
      <c r="V5790"/>
    </row>
    <row r="5791" spans="2:22" x14ac:dyDescent="0.25">
      <c r="B5791" s="20" t="s">
        <v>7677</v>
      </c>
      <c r="C5791" s="20" t="s">
        <v>7678</v>
      </c>
      <c r="D5791" s="16" t="s">
        <v>29</v>
      </c>
      <c r="E5791" s="280"/>
      <c r="F5791" s="20"/>
      <c r="G5791" s="280"/>
      <c r="H5791" s="280"/>
      <c r="I5791" s="20"/>
      <c r="J5791" s="20"/>
      <c r="K5791" s="20"/>
      <c r="L5791" s="20"/>
      <c r="M5791" s="20"/>
      <c r="N5791" s="20"/>
      <c r="O5791" s="20"/>
      <c r="P5791" s="21" t="str">
        <f t="shared" si="126"/>
        <v>Truncate table FPP078;</v>
      </c>
      <c r="Q5791" s="20"/>
      <c r="R5791" s="20"/>
      <c r="S5791"/>
      <c r="T5791"/>
      <c r="U5791"/>
      <c r="V5791"/>
    </row>
    <row r="5792" spans="2:22" x14ac:dyDescent="0.25">
      <c r="B5792" s="20" t="s">
        <v>7679</v>
      </c>
      <c r="C5792" s="21" t="s">
        <v>7680</v>
      </c>
      <c r="D5792" s="16" t="s">
        <v>29</v>
      </c>
      <c r="E5792" s="55"/>
      <c r="F5792" s="55" t="s">
        <v>184</v>
      </c>
      <c r="G5792" s="20"/>
      <c r="H5792" s="20"/>
      <c r="I5792" s="20"/>
      <c r="J5792" s="20"/>
      <c r="K5792" s="20"/>
      <c r="L5792" s="20"/>
      <c r="M5792" s="20"/>
      <c r="N5792" s="20"/>
      <c r="O5792" s="20"/>
      <c r="P5792" s="21" t="str">
        <f t="shared" si="126"/>
        <v>Truncate table FPP955;</v>
      </c>
      <c r="Q5792" s="20"/>
      <c r="R5792" s="20"/>
      <c r="S5792"/>
      <c r="T5792"/>
      <c r="U5792"/>
      <c r="V5792"/>
    </row>
    <row r="5793" spans="2:22" x14ac:dyDescent="0.25">
      <c r="B5793" s="20" t="s">
        <v>7681</v>
      </c>
      <c r="C5793" s="21" t="s">
        <v>7682</v>
      </c>
      <c r="D5793" s="16" t="s">
        <v>29</v>
      </c>
      <c r="E5793" s="55"/>
      <c r="F5793" s="55" t="s">
        <v>919</v>
      </c>
      <c r="G5793" s="20"/>
      <c r="H5793" s="20"/>
      <c r="I5793" s="20"/>
      <c r="J5793" s="20"/>
      <c r="K5793" s="20"/>
      <c r="L5793" s="20"/>
      <c r="M5793" s="20"/>
      <c r="N5793" s="20"/>
      <c r="O5793" s="20"/>
      <c r="P5793" s="21" t="str">
        <f t="shared" si="126"/>
        <v>Truncate table FRI000;</v>
      </c>
      <c r="Q5793" s="20"/>
      <c r="R5793" s="20"/>
      <c r="S5793"/>
      <c r="T5793"/>
      <c r="U5793"/>
      <c r="V5793"/>
    </row>
    <row r="5794" spans="2:22" x14ac:dyDescent="0.25">
      <c r="B5794" s="20" t="s">
        <v>7683</v>
      </c>
      <c r="C5794" s="21" t="s">
        <v>7682</v>
      </c>
      <c r="D5794" s="16" t="s">
        <v>29</v>
      </c>
      <c r="E5794" s="55"/>
      <c r="F5794" s="55" t="s">
        <v>919</v>
      </c>
      <c r="G5794" s="20"/>
      <c r="H5794" s="20"/>
      <c r="I5794" s="20"/>
      <c r="J5794" s="20"/>
      <c r="K5794" s="20"/>
      <c r="L5794" s="20"/>
      <c r="M5794" s="20"/>
      <c r="N5794" s="20"/>
      <c r="O5794" s="20"/>
      <c r="P5794" s="21" t="str">
        <f t="shared" si="126"/>
        <v>Truncate table FRI700;</v>
      </c>
      <c r="Q5794" s="20"/>
      <c r="R5794" s="20"/>
      <c r="S5794"/>
      <c r="T5794"/>
      <c r="U5794"/>
      <c r="V5794"/>
    </row>
    <row r="5795" spans="2:22" x14ac:dyDescent="0.25">
      <c r="B5795" s="20" t="s">
        <v>7684</v>
      </c>
      <c r="C5795" s="21" t="s">
        <v>7682</v>
      </c>
      <c r="D5795" s="16" t="s">
        <v>29</v>
      </c>
      <c r="E5795" s="55"/>
      <c r="F5795" s="55"/>
      <c r="G5795" s="20"/>
      <c r="H5795" s="20"/>
      <c r="I5795" s="20"/>
      <c r="J5795" s="20"/>
      <c r="K5795" s="20"/>
      <c r="L5795" s="20"/>
      <c r="M5795" s="20"/>
      <c r="N5795" s="20"/>
      <c r="O5795" s="20"/>
      <c r="P5795" s="21" t="str">
        <f t="shared" si="126"/>
        <v>Truncate table FRI701;</v>
      </c>
      <c r="Q5795" s="20"/>
      <c r="R5795" s="20"/>
      <c r="S5795"/>
      <c r="T5795"/>
      <c r="U5795"/>
      <c r="V5795"/>
    </row>
    <row r="5796" spans="2:22" x14ac:dyDescent="0.25">
      <c r="B5796" s="20" t="s">
        <v>7685</v>
      </c>
      <c r="C5796" s="21" t="s">
        <v>7682</v>
      </c>
      <c r="D5796" s="16" t="s">
        <v>29</v>
      </c>
      <c r="E5796" s="55"/>
      <c r="F5796" s="55"/>
      <c r="G5796" s="20"/>
      <c r="H5796" s="20"/>
      <c r="I5796" s="20"/>
      <c r="J5796" s="20"/>
      <c r="K5796" s="20"/>
      <c r="L5796" s="20"/>
      <c r="M5796" s="20"/>
      <c r="N5796" s="20"/>
      <c r="O5796" s="20"/>
      <c r="P5796" s="21" t="str">
        <f t="shared" si="126"/>
        <v>Truncate table FRI702;</v>
      </c>
      <c r="Q5796" s="20"/>
      <c r="R5796" s="20"/>
      <c r="S5796"/>
      <c r="T5796"/>
      <c r="U5796"/>
      <c r="V5796"/>
    </row>
    <row r="5797" spans="2:22" x14ac:dyDescent="0.25">
      <c r="B5797" s="20" t="s">
        <v>7686</v>
      </c>
      <c r="C5797" s="21" t="s">
        <v>7682</v>
      </c>
      <c r="D5797" s="16" t="s">
        <v>29</v>
      </c>
      <c r="E5797" s="55"/>
      <c r="F5797" s="55"/>
      <c r="G5797" s="20"/>
      <c r="H5797" s="20"/>
      <c r="I5797" s="20"/>
      <c r="J5797" s="20"/>
      <c r="K5797" s="20"/>
      <c r="L5797" s="20"/>
      <c r="M5797" s="20"/>
      <c r="N5797" s="20"/>
      <c r="O5797" s="20"/>
      <c r="P5797" s="21" t="str">
        <f t="shared" si="126"/>
        <v>Truncate table FRI703;</v>
      </c>
      <c r="Q5797" s="20"/>
      <c r="R5797" s="20"/>
      <c r="S5797"/>
      <c r="T5797"/>
      <c r="U5797"/>
      <c r="V5797"/>
    </row>
    <row r="5798" spans="2:22" x14ac:dyDescent="0.25">
      <c r="B5798" s="20" t="s">
        <v>7687</v>
      </c>
      <c r="C5798" s="21" t="s">
        <v>7682</v>
      </c>
      <c r="D5798" s="16" t="s">
        <v>29</v>
      </c>
      <c r="E5798" s="55"/>
      <c r="F5798" s="55"/>
      <c r="G5798" s="20"/>
      <c r="H5798" s="20"/>
      <c r="I5798" s="20"/>
      <c r="J5798" s="20"/>
      <c r="K5798" s="20"/>
      <c r="L5798" s="20"/>
      <c r="M5798" s="20"/>
      <c r="N5798" s="20"/>
      <c r="O5798" s="20"/>
      <c r="P5798" s="21" t="str">
        <f t="shared" si="126"/>
        <v>Truncate table FRI704;</v>
      </c>
      <c r="Q5798" s="20"/>
      <c r="R5798" s="20"/>
      <c r="S5798"/>
      <c r="T5798"/>
      <c r="U5798"/>
      <c r="V5798"/>
    </row>
    <row r="5799" spans="2:22" x14ac:dyDescent="0.25">
      <c r="B5799" s="20" t="s">
        <v>7688</v>
      </c>
      <c r="C5799" s="21" t="s">
        <v>7682</v>
      </c>
      <c r="D5799" s="16" t="s">
        <v>29</v>
      </c>
      <c r="E5799" s="55"/>
      <c r="F5799" s="55"/>
      <c r="G5799" s="20"/>
      <c r="H5799" s="20"/>
      <c r="I5799" s="20"/>
      <c r="J5799" s="20"/>
      <c r="K5799" s="20"/>
      <c r="L5799" s="20"/>
      <c r="M5799" s="20"/>
      <c r="N5799" s="20"/>
      <c r="O5799" s="20"/>
      <c r="P5799" s="21" t="str">
        <f t="shared" si="126"/>
        <v>Truncate table FRI705;</v>
      </c>
      <c r="Q5799" s="20"/>
      <c r="R5799" s="20"/>
      <c r="S5799"/>
      <c r="T5799"/>
      <c r="U5799"/>
      <c r="V5799"/>
    </row>
    <row r="5800" spans="2:22" x14ac:dyDescent="0.25">
      <c r="B5800" s="20" t="s">
        <v>7689</v>
      </c>
      <c r="C5800" s="21" t="s">
        <v>7682</v>
      </c>
      <c r="D5800" s="16" t="s">
        <v>29</v>
      </c>
      <c r="E5800" s="55"/>
      <c r="F5800" s="55"/>
      <c r="G5800" s="20"/>
      <c r="H5800" s="20"/>
      <c r="I5800" s="20"/>
      <c r="J5800" s="20"/>
      <c r="K5800" s="20"/>
      <c r="L5800" s="20"/>
      <c r="M5800" s="20"/>
      <c r="N5800" s="20"/>
      <c r="O5800" s="20"/>
      <c r="P5800" s="21" t="str">
        <f t="shared" si="126"/>
        <v>Truncate table FRI706;</v>
      </c>
      <c r="Q5800" s="20"/>
      <c r="R5800" s="20"/>
      <c r="S5800"/>
      <c r="T5800"/>
      <c r="U5800"/>
      <c r="V5800"/>
    </row>
    <row r="5801" spans="2:22" x14ac:dyDescent="0.25">
      <c r="B5801" s="20" t="s">
        <v>7690</v>
      </c>
      <c r="C5801" s="21" t="s">
        <v>7682</v>
      </c>
      <c r="D5801" s="16" t="s">
        <v>29</v>
      </c>
      <c r="E5801" s="55"/>
      <c r="F5801" s="55"/>
      <c r="G5801" s="20"/>
      <c r="H5801" s="20"/>
      <c r="I5801" s="20"/>
      <c r="J5801" s="20"/>
      <c r="K5801" s="20"/>
      <c r="L5801" s="20"/>
      <c r="M5801" s="20"/>
      <c r="N5801" s="20"/>
      <c r="O5801" s="20"/>
      <c r="P5801" s="21" t="str">
        <f t="shared" si="126"/>
        <v>Truncate table FRI707;</v>
      </c>
      <c r="Q5801" s="20"/>
      <c r="R5801" s="20"/>
      <c r="S5801"/>
      <c r="T5801"/>
      <c r="U5801"/>
      <c r="V5801"/>
    </row>
    <row r="5802" spans="2:22" x14ac:dyDescent="0.25">
      <c r="B5802" s="20" t="s">
        <v>7691</v>
      </c>
      <c r="C5802" s="21" t="s">
        <v>7682</v>
      </c>
      <c r="D5802" s="16" t="s">
        <v>29</v>
      </c>
      <c r="E5802" s="55"/>
      <c r="F5802" s="55"/>
      <c r="G5802" s="20"/>
      <c r="H5802" s="20"/>
      <c r="I5802" s="20"/>
      <c r="J5802" s="20"/>
      <c r="K5802" s="20"/>
      <c r="L5802" s="20"/>
      <c r="M5802" s="20"/>
      <c r="N5802" s="20"/>
      <c r="O5802" s="20"/>
      <c r="P5802" s="21" t="str">
        <f t="shared" si="126"/>
        <v>Truncate table FRI708;</v>
      </c>
      <c r="Q5802" s="20"/>
      <c r="R5802" s="20"/>
      <c r="S5802"/>
      <c r="T5802"/>
      <c r="U5802"/>
      <c r="V5802"/>
    </row>
    <row r="5803" spans="2:22" x14ac:dyDescent="0.25">
      <c r="B5803" s="20" t="s">
        <v>7692</v>
      </c>
      <c r="C5803" s="21" t="s">
        <v>7682</v>
      </c>
      <c r="D5803" s="16" t="s">
        <v>29</v>
      </c>
      <c r="E5803" s="55"/>
      <c r="F5803" s="55"/>
      <c r="G5803" s="20"/>
      <c r="H5803" s="20"/>
      <c r="I5803" s="20"/>
      <c r="J5803" s="20"/>
      <c r="K5803" s="20"/>
      <c r="L5803" s="20"/>
      <c r="M5803" s="20"/>
      <c r="N5803" s="20"/>
      <c r="O5803" s="20"/>
      <c r="P5803" s="21" t="str">
        <f t="shared" si="126"/>
        <v>Truncate table FRI709;</v>
      </c>
      <c r="Q5803" s="20"/>
      <c r="R5803" s="20"/>
      <c r="S5803"/>
      <c r="T5803"/>
      <c r="U5803"/>
      <c r="V5803"/>
    </row>
    <row r="5804" spans="2:22" x14ac:dyDescent="0.25">
      <c r="B5804" s="20" t="s">
        <v>7693</v>
      </c>
      <c r="C5804" s="21" t="s">
        <v>7682</v>
      </c>
      <c r="D5804" s="16" t="s">
        <v>29</v>
      </c>
      <c r="E5804" s="55"/>
      <c r="F5804" s="55"/>
      <c r="G5804" s="20"/>
      <c r="H5804" s="20"/>
      <c r="I5804" s="20"/>
      <c r="J5804" s="20"/>
      <c r="K5804" s="20"/>
      <c r="L5804" s="20"/>
      <c r="M5804" s="20"/>
      <c r="N5804" s="20"/>
      <c r="O5804" s="20"/>
      <c r="P5804" s="21" t="str">
        <f t="shared" si="126"/>
        <v>Truncate table FRI710;</v>
      </c>
      <c r="Q5804" s="20"/>
      <c r="R5804" s="20"/>
      <c r="S5804"/>
      <c r="T5804"/>
      <c r="U5804"/>
      <c r="V5804"/>
    </row>
    <row r="5805" spans="2:22" x14ac:dyDescent="0.25">
      <c r="B5805" s="20" t="s">
        <v>7694</v>
      </c>
      <c r="C5805" s="21" t="s">
        <v>7682</v>
      </c>
      <c r="D5805" s="16" t="s">
        <v>29</v>
      </c>
      <c r="E5805" s="55"/>
      <c r="F5805" s="55"/>
      <c r="G5805" s="20"/>
      <c r="H5805" s="20"/>
      <c r="I5805" s="20"/>
      <c r="J5805" s="20"/>
      <c r="K5805" s="20"/>
      <c r="L5805" s="20"/>
      <c r="M5805" s="20"/>
      <c r="N5805" s="20"/>
      <c r="O5805" s="20"/>
      <c r="P5805" s="21" t="str">
        <f t="shared" si="126"/>
        <v>Truncate table FRI711;</v>
      </c>
      <c r="Q5805" s="20"/>
      <c r="R5805" s="20"/>
      <c r="S5805"/>
      <c r="T5805"/>
      <c r="U5805"/>
      <c r="V5805"/>
    </row>
    <row r="5806" spans="2:22" x14ac:dyDescent="0.25">
      <c r="B5806" s="20" t="s">
        <v>7695</v>
      </c>
      <c r="C5806" s="21" t="s">
        <v>7682</v>
      </c>
      <c r="D5806" s="16" t="s">
        <v>29</v>
      </c>
      <c r="E5806" s="55"/>
      <c r="F5806" s="55"/>
      <c r="G5806" s="20"/>
      <c r="H5806" s="20"/>
      <c r="I5806" s="20"/>
      <c r="J5806" s="20"/>
      <c r="K5806" s="20"/>
      <c r="L5806" s="20"/>
      <c r="M5806" s="20"/>
      <c r="N5806" s="20"/>
      <c r="O5806" s="20"/>
      <c r="P5806" s="21" t="str">
        <f t="shared" si="126"/>
        <v>Truncate table FRI712;</v>
      </c>
      <c r="Q5806" s="20"/>
      <c r="R5806" s="20"/>
      <c r="S5806"/>
      <c r="T5806"/>
      <c r="U5806"/>
      <c r="V5806"/>
    </row>
    <row r="5807" spans="2:22" x14ac:dyDescent="0.25">
      <c r="B5807" s="20" t="s">
        <v>7696</v>
      </c>
      <c r="C5807" s="21" t="s">
        <v>7682</v>
      </c>
      <c r="D5807" s="16" t="s">
        <v>29</v>
      </c>
      <c r="E5807" s="55"/>
      <c r="F5807" s="55"/>
      <c r="G5807" s="20"/>
      <c r="H5807" s="20"/>
      <c r="I5807" s="20"/>
      <c r="J5807" s="20"/>
      <c r="K5807" s="20"/>
      <c r="L5807" s="20"/>
      <c r="M5807" s="20"/>
      <c r="N5807" s="20"/>
      <c r="O5807" s="20"/>
      <c r="P5807" s="21" t="str">
        <f t="shared" si="126"/>
        <v>Truncate table FRI713;</v>
      </c>
      <c r="Q5807" s="20"/>
      <c r="R5807" s="20"/>
      <c r="S5807"/>
      <c r="T5807"/>
      <c r="U5807"/>
      <c r="V5807"/>
    </row>
    <row r="5808" spans="2:22" x14ac:dyDescent="0.25">
      <c r="B5808" s="20" t="s">
        <v>7697</v>
      </c>
      <c r="C5808" s="21" t="s">
        <v>7682</v>
      </c>
      <c r="D5808" s="16" t="s">
        <v>29</v>
      </c>
      <c r="E5808" s="55"/>
      <c r="F5808" s="55"/>
      <c r="G5808" s="20"/>
      <c r="H5808" s="20"/>
      <c r="I5808" s="20"/>
      <c r="J5808" s="20"/>
      <c r="K5808" s="20"/>
      <c r="L5808" s="20"/>
      <c r="M5808" s="20"/>
      <c r="N5808" s="20"/>
      <c r="O5808" s="20"/>
      <c r="P5808" s="21" t="str">
        <f t="shared" si="126"/>
        <v>Truncate table FRI714;</v>
      </c>
      <c r="Q5808" s="20"/>
      <c r="R5808" s="20"/>
      <c r="S5808"/>
      <c r="T5808"/>
      <c r="U5808"/>
      <c r="V5808"/>
    </row>
    <row r="5809" spans="2:22" x14ac:dyDescent="0.25">
      <c r="B5809" s="20" t="s">
        <v>7698</v>
      </c>
      <c r="C5809" s="21" t="s">
        <v>7682</v>
      </c>
      <c r="D5809" s="16" t="s">
        <v>29</v>
      </c>
      <c r="E5809" s="55"/>
      <c r="F5809" s="55"/>
      <c r="G5809" s="20"/>
      <c r="H5809" s="20"/>
      <c r="I5809" s="20"/>
      <c r="J5809" s="20"/>
      <c r="K5809" s="20"/>
      <c r="L5809" s="20"/>
      <c r="M5809" s="20"/>
      <c r="N5809" s="20"/>
      <c r="O5809" s="20"/>
      <c r="P5809" s="21" t="str">
        <f t="shared" ref="P5809:P5840" si="127">IF(D5809="Datos","Truncate table "&amp; B5809&amp; ";","")</f>
        <v>Truncate table FRI720;</v>
      </c>
      <c r="Q5809" s="20"/>
      <c r="R5809" s="20"/>
      <c r="S5809"/>
      <c r="T5809"/>
      <c r="U5809"/>
      <c r="V5809"/>
    </row>
    <row r="5810" spans="2:22" x14ac:dyDescent="0.25">
      <c r="B5810" s="20" t="s">
        <v>7699</v>
      </c>
      <c r="C5810" s="21" t="s">
        <v>7682</v>
      </c>
      <c r="D5810" s="16" t="s">
        <v>29</v>
      </c>
      <c r="E5810" s="55"/>
      <c r="F5810" s="55"/>
      <c r="G5810" s="20"/>
      <c r="H5810" s="20"/>
      <c r="I5810" s="20"/>
      <c r="J5810" s="20"/>
      <c r="K5810" s="20"/>
      <c r="L5810" s="20"/>
      <c r="M5810" s="20"/>
      <c r="N5810" s="20"/>
      <c r="O5810" s="20"/>
      <c r="P5810" s="21" t="str">
        <f t="shared" si="127"/>
        <v>Truncate table FRI721;</v>
      </c>
      <c r="Q5810" s="20"/>
      <c r="R5810" s="20"/>
      <c r="S5810"/>
      <c r="T5810"/>
      <c r="U5810"/>
      <c r="V5810"/>
    </row>
    <row r="5811" spans="2:22" x14ac:dyDescent="0.25">
      <c r="B5811" s="20" t="s">
        <v>7700</v>
      </c>
      <c r="C5811" s="21" t="s">
        <v>7682</v>
      </c>
      <c r="D5811" s="16" t="s">
        <v>29</v>
      </c>
      <c r="E5811" s="55"/>
      <c r="F5811" s="55"/>
      <c r="G5811" s="20"/>
      <c r="H5811" s="20"/>
      <c r="I5811" s="20"/>
      <c r="J5811" s="20"/>
      <c r="K5811" s="20"/>
      <c r="L5811" s="20"/>
      <c r="M5811" s="20"/>
      <c r="N5811" s="20"/>
      <c r="O5811" s="20"/>
      <c r="P5811" s="21" t="str">
        <f t="shared" si="127"/>
        <v>Truncate table FRI722;</v>
      </c>
      <c r="Q5811" s="20"/>
      <c r="R5811" s="20"/>
      <c r="S5811"/>
      <c r="T5811"/>
      <c r="U5811"/>
      <c r="V5811"/>
    </row>
    <row r="5812" spans="2:22" x14ac:dyDescent="0.25">
      <c r="B5812" s="20" t="s">
        <v>7701</v>
      </c>
      <c r="C5812" s="21" t="s">
        <v>7702</v>
      </c>
      <c r="D5812" s="16" t="s">
        <v>29</v>
      </c>
      <c r="E5812" s="55"/>
      <c r="F5812" s="55" t="s">
        <v>243</v>
      </c>
      <c r="G5812" s="20"/>
      <c r="H5812" s="20"/>
      <c r="I5812" s="20"/>
      <c r="J5812" s="20"/>
      <c r="K5812" s="20"/>
      <c r="L5812" s="20"/>
      <c r="M5812" s="20"/>
      <c r="N5812" s="20"/>
      <c r="O5812" s="20"/>
      <c r="P5812" s="21" t="str">
        <f t="shared" si="127"/>
        <v>Truncate table FRPROFOL;</v>
      </c>
      <c r="Q5812" s="20"/>
      <c r="R5812" s="20"/>
      <c r="S5812"/>
      <c r="T5812"/>
      <c r="U5812"/>
      <c r="V5812"/>
    </row>
    <row r="5813" spans="2:22" x14ac:dyDescent="0.25">
      <c r="B5813" s="20" t="s">
        <v>7703</v>
      </c>
      <c r="C5813" s="21" t="s">
        <v>7704</v>
      </c>
      <c r="D5813" s="16" t="s">
        <v>29</v>
      </c>
      <c r="E5813" s="55"/>
      <c r="F5813" s="55" t="s">
        <v>243</v>
      </c>
      <c r="G5813" s="20"/>
      <c r="H5813" s="20"/>
      <c r="I5813" s="20"/>
      <c r="J5813" s="20"/>
      <c r="K5813" s="20"/>
      <c r="L5813" s="20"/>
      <c r="M5813" s="20"/>
      <c r="N5813" s="20"/>
      <c r="O5813" s="20"/>
      <c r="P5813" s="21" t="str">
        <f t="shared" si="127"/>
        <v>Truncate table FSA074;</v>
      </c>
      <c r="Q5813" s="20"/>
      <c r="R5813" s="20"/>
      <c r="S5813"/>
      <c r="T5813"/>
      <c r="U5813"/>
      <c r="V5813"/>
    </row>
    <row r="5814" spans="2:22" x14ac:dyDescent="0.25">
      <c r="B5814" s="20" t="s">
        <v>7705</v>
      </c>
      <c r="C5814" s="21" t="s">
        <v>7706</v>
      </c>
      <c r="D5814" s="16" t="s">
        <v>29</v>
      </c>
      <c r="E5814" s="55"/>
      <c r="F5814" s="55" t="s">
        <v>243</v>
      </c>
      <c r="G5814" s="20"/>
      <c r="H5814" s="20"/>
      <c r="I5814" s="20"/>
      <c r="J5814" s="20"/>
      <c r="K5814" s="20"/>
      <c r="L5814" s="20"/>
      <c r="M5814" s="20"/>
      <c r="N5814" s="20"/>
      <c r="O5814" s="20"/>
      <c r="P5814" s="21" t="str">
        <f t="shared" si="127"/>
        <v>Truncate table FSA250;</v>
      </c>
      <c r="Q5814" s="20"/>
      <c r="R5814" s="20"/>
      <c r="S5814"/>
      <c r="T5814"/>
      <c r="U5814"/>
      <c r="V5814"/>
    </row>
    <row r="5815" spans="2:22" x14ac:dyDescent="0.25">
      <c r="B5815" s="20" t="s">
        <v>7707</v>
      </c>
      <c r="C5815" s="21" t="s">
        <v>7706</v>
      </c>
      <c r="D5815" s="16" t="s">
        <v>29</v>
      </c>
      <c r="E5815" s="55"/>
      <c r="F5815" s="55" t="s">
        <v>243</v>
      </c>
      <c r="G5815" s="20"/>
      <c r="H5815" s="20"/>
      <c r="I5815" s="20"/>
      <c r="J5815" s="20"/>
      <c r="K5815" s="20"/>
      <c r="L5815" s="20"/>
      <c r="M5815" s="20"/>
      <c r="N5815" s="20"/>
      <c r="O5815" s="20"/>
      <c r="P5815" s="21" t="str">
        <f t="shared" si="127"/>
        <v>Truncate table FSA251;</v>
      </c>
      <c r="Q5815" s="20"/>
      <c r="R5815" s="20"/>
      <c r="S5815"/>
      <c r="T5815"/>
      <c r="U5815"/>
      <c r="V5815"/>
    </row>
    <row r="5816" spans="2:22" x14ac:dyDescent="0.25">
      <c r="B5816" s="20" t="s">
        <v>7708</v>
      </c>
      <c r="C5816" s="21" t="s">
        <v>2911</v>
      </c>
      <c r="D5816" s="16" t="s">
        <v>29</v>
      </c>
      <c r="E5816" s="55"/>
      <c r="F5816" s="55" t="s">
        <v>150</v>
      </c>
      <c r="G5816" s="20"/>
      <c r="H5816" s="20"/>
      <c r="I5816" s="20"/>
      <c r="J5816" s="20"/>
      <c r="K5816" s="20"/>
      <c r="L5816" s="20"/>
      <c r="M5816" s="20"/>
      <c r="N5816" s="20"/>
      <c r="O5816" s="20"/>
      <c r="P5816" s="21" t="str">
        <f t="shared" si="127"/>
        <v>Truncate table FSD236;</v>
      </c>
      <c r="Q5816" s="20"/>
      <c r="R5816" s="20"/>
      <c r="S5816"/>
      <c r="T5816"/>
      <c r="U5816"/>
      <c r="V5816"/>
    </row>
    <row r="5817" spans="2:22" x14ac:dyDescent="0.25">
      <c r="B5817" s="20" t="s">
        <v>7709</v>
      </c>
      <c r="C5817" s="21" t="s">
        <v>7658</v>
      </c>
      <c r="D5817" s="16" t="s">
        <v>29</v>
      </c>
      <c r="E5817" s="55"/>
      <c r="F5817" s="55" t="s">
        <v>243</v>
      </c>
      <c r="G5817" s="20"/>
      <c r="H5817" s="20"/>
      <c r="I5817" s="20"/>
      <c r="J5817" s="20"/>
      <c r="K5817" s="20"/>
      <c r="L5817" s="20"/>
      <c r="M5817" s="20"/>
      <c r="N5817" s="20"/>
      <c r="O5817" s="20"/>
      <c r="P5817" s="21" t="str">
        <f t="shared" si="127"/>
        <v>Truncate table FSD503;</v>
      </c>
      <c r="Q5817" s="20"/>
      <c r="R5817" s="20"/>
      <c r="S5817"/>
      <c r="T5817"/>
      <c r="U5817"/>
      <c r="V5817"/>
    </row>
    <row r="5818" spans="2:22" x14ac:dyDescent="0.25">
      <c r="B5818" s="20" t="s">
        <v>7710</v>
      </c>
      <c r="C5818" s="21" t="s">
        <v>7658</v>
      </c>
      <c r="D5818" s="16" t="s">
        <v>29</v>
      </c>
      <c r="E5818" s="55"/>
      <c r="F5818" s="55" t="s">
        <v>243</v>
      </c>
      <c r="G5818" s="20"/>
      <c r="H5818" s="20"/>
      <c r="I5818" s="20"/>
      <c r="J5818" s="20"/>
      <c r="K5818" s="20"/>
      <c r="L5818" s="20"/>
      <c r="M5818" s="20"/>
      <c r="N5818" s="20"/>
      <c r="O5818" s="20"/>
      <c r="P5818" s="21" t="str">
        <f t="shared" si="127"/>
        <v>Truncate table FSD504;</v>
      </c>
      <c r="Q5818" s="20"/>
      <c r="R5818" s="20"/>
      <c r="S5818"/>
      <c r="T5818"/>
      <c r="U5818"/>
      <c r="V5818"/>
    </row>
    <row r="5819" spans="2:22" x14ac:dyDescent="0.25">
      <c r="B5819" s="20" t="s">
        <v>7711</v>
      </c>
      <c r="C5819" s="21" t="s">
        <v>7712</v>
      </c>
      <c r="D5819" s="16" t="s">
        <v>29</v>
      </c>
      <c r="E5819" s="55"/>
      <c r="F5819" s="55" t="s">
        <v>2832</v>
      </c>
      <c r="G5819" s="20"/>
      <c r="H5819" s="20"/>
      <c r="I5819" s="20"/>
      <c r="J5819" s="20"/>
      <c r="K5819" s="20"/>
      <c r="L5819" s="20"/>
      <c r="M5819" s="20"/>
      <c r="N5819" s="20"/>
      <c r="O5819" s="20"/>
      <c r="P5819" s="21" t="str">
        <f t="shared" si="127"/>
        <v>Truncate table FSD527;</v>
      </c>
      <c r="Q5819" s="20"/>
      <c r="R5819" s="20"/>
      <c r="S5819"/>
      <c r="T5819"/>
      <c r="U5819"/>
      <c r="V5819"/>
    </row>
    <row r="5820" spans="2:22" x14ac:dyDescent="0.25">
      <c r="B5820" s="20" t="s">
        <v>7713</v>
      </c>
      <c r="C5820" s="21" t="s">
        <v>7714</v>
      </c>
      <c r="D5820" s="16" t="s">
        <v>29</v>
      </c>
      <c r="E5820" s="55"/>
      <c r="F5820" s="55" t="s">
        <v>4484</v>
      </c>
      <c r="G5820" s="20"/>
      <c r="H5820" s="20"/>
      <c r="I5820" s="20"/>
      <c r="J5820" s="20"/>
      <c r="K5820" s="20"/>
      <c r="L5820" s="20"/>
      <c r="M5820" s="20"/>
      <c r="N5820" s="20"/>
      <c r="O5820" s="20"/>
      <c r="P5820" s="21" t="str">
        <f t="shared" si="127"/>
        <v>Truncate table FSD820;</v>
      </c>
      <c r="Q5820" s="20"/>
      <c r="R5820" s="20"/>
      <c r="S5820"/>
      <c r="T5820"/>
      <c r="U5820"/>
      <c r="V5820"/>
    </row>
    <row r="5821" spans="2:22" x14ac:dyDescent="0.25">
      <c r="B5821" s="20" t="s">
        <v>7715</v>
      </c>
      <c r="C5821" s="21" t="s">
        <v>7714</v>
      </c>
      <c r="D5821" s="16" t="s">
        <v>29</v>
      </c>
      <c r="E5821" s="55"/>
      <c r="F5821" s="55" t="s">
        <v>4484</v>
      </c>
      <c r="G5821" s="20"/>
      <c r="H5821" s="20"/>
      <c r="I5821" s="20"/>
      <c r="J5821" s="20"/>
      <c r="K5821" s="20"/>
      <c r="L5821" s="20"/>
      <c r="M5821" s="20"/>
      <c r="N5821" s="20"/>
      <c r="O5821" s="20"/>
      <c r="P5821" s="21" t="str">
        <f t="shared" si="127"/>
        <v>Truncate table FSD821;</v>
      </c>
      <c r="Q5821" s="20"/>
      <c r="R5821" s="20"/>
      <c r="S5821"/>
      <c r="T5821"/>
      <c r="U5821"/>
      <c r="V5821"/>
    </row>
    <row r="5822" spans="2:22" x14ac:dyDescent="0.25">
      <c r="B5822" s="20" t="s">
        <v>7716</v>
      </c>
      <c r="C5822" s="21" t="s">
        <v>7714</v>
      </c>
      <c r="D5822" s="16" t="s">
        <v>29</v>
      </c>
      <c r="E5822" s="55"/>
      <c r="F5822" s="55" t="s">
        <v>4484</v>
      </c>
      <c r="G5822" s="20"/>
      <c r="H5822" s="20"/>
      <c r="I5822" s="20"/>
      <c r="J5822" s="20"/>
      <c r="K5822" s="20"/>
      <c r="L5822" s="20"/>
      <c r="M5822" s="20"/>
      <c r="N5822" s="20"/>
      <c r="O5822" s="20"/>
      <c r="P5822" s="21" t="str">
        <f t="shared" si="127"/>
        <v>Truncate table FSD822;</v>
      </c>
      <c r="Q5822" s="20"/>
      <c r="R5822" s="20"/>
      <c r="S5822"/>
      <c r="T5822"/>
      <c r="U5822"/>
      <c r="V5822"/>
    </row>
    <row r="5823" spans="2:22" x14ac:dyDescent="0.25">
      <c r="B5823" s="20" t="s">
        <v>7717</v>
      </c>
      <c r="C5823" s="21" t="s">
        <v>7714</v>
      </c>
      <c r="D5823" s="16" t="s">
        <v>29</v>
      </c>
      <c r="E5823" s="55"/>
      <c r="F5823" s="55" t="s">
        <v>4484</v>
      </c>
      <c r="G5823" s="20"/>
      <c r="H5823" s="20"/>
      <c r="I5823" s="20"/>
      <c r="J5823" s="20"/>
      <c r="K5823" s="20"/>
      <c r="L5823" s="20"/>
      <c r="M5823" s="20"/>
      <c r="N5823" s="20"/>
      <c r="O5823" s="20"/>
      <c r="P5823" s="21" t="str">
        <f t="shared" si="127"/>
        <v>Truncate table FSD823;</v>
      </c>
      <c r="Q5823" s="20"/>
      <c r="R5823" s="20"/>
      <c r="S5823"/>
      <c r="T5823"/>
      <c r="U5823"/>
      <c r="V5823"/>
    </row>
    <row r="5824" spans="2:22" x14ac:dyDescent="0.25">
      <c r="B5824" s="20" t="s">
        <v>7718</v>
      </c>
      <c r="C5824" s="21" t="s">
        <v>7714</v>
      </c>
      <c r="D5824" s="16" t="s">
        <v>29</v>
      </c>
      <c r="E5824" s="55"/>
      <c r="F5824" s="55" t="s">
        <v>4484</v>
      </c>
      <c r="G5824" s="20"/>
      <c r="H5824" s="20"/>
      <c r="I5824" s="20"/>
      <c r="J5824" s="20"/>
      <c r="K5824" s="20"/>
      <c r="L5824" s="20"/>
      <c r="M5824" s="20"/>
      <c r="N5824" s="20"/>
      <c r="O5824" s="20"/>
      <c r="P5824" s="21" t="str">
        <f t="shared" si="127"/>
        <v>Truncate table FSD824;</v>
      </c>
      <c r="Q5824" s="20"/>
      <c r="R5824" s="20"/>
      <c r="S5824"/>
      <c r="T5824"/>
      <c r="U5824"/>
      <c r="V5824"/>
    </row>
    <row r="5825" spans="2:22" x14ac:dyDescent="0.25">
      <c r="B5825" s="20" t="s">
        <v>7719</v>
      </c>
      <c r="C5825" s="21" t="s">
        <v>7714</v>
      </c>
      <c r="D5825" s="16" t="s">
        <v>29</v>
      </c>
      <c r="E5825" s="55"/>
      <c r="F5825" s="55" t="s">
        <v>4484</v>
      </c>
      <c r="G5825" s="20"/>
      <c r="H5825" s="20"/>
      <c r="I5825" s="20"/>
      <c r="J5825" s="20"/>
      <c r="K5825" s="20"/>
      <c r="L5825" s="20"/>
      <c r="M5825" s="20"/>
      <c r="N5825" s="20"/>
      <c r="O5825" s="20"/>
      <c r="P5825" s="21" t="str">
        <f t="shared" si="127"/>
        <v>Truncate table FSD825;</v>
      </c>
      <c r="Q5825" s="20"/>
      <c r="R5825" s="20"/>
      <c r="S5825"/>
      <c r="T5825"/>
      <c r="U5825"/>
      <c r="V5825"/>
    </row>
    <row r="5826" spans="2:22" x14ac:dyDescent="0.25">
      <c r="B5826" s="20" t="s">
        <v>7720</v>
      </c>
      <c r="C5826" s="21" t="s">
        <v>7714</v>
      </c>
      <c r="D5826" s="16" t="s">
        <v>29</v>
      </c>
      <c r="E5826" s="55"/>
      <c r="F5826" s="55" t="s">
        <v>4484</v>
      </c>
      <c r="G5826" s="20"/>
      <c r="H5826" s="20"/>
      <c r="I5826" s="20"/>
      <c r="J5826" s="20"/>
      <c r="K5826" s="20"/>
      <c r="L5826" s="20"/>
      <c r="M5826" s="20"/>
      <c r="N5826" s="20"/>
      <c r="O5826" s="20"/>
      <c r="P5826" s="21" t="str">
        <f t="shared" si="127"/>
        <v>Truncate table FSD826;</v>
      </c>
      <c r="Q5826" s="20"/>
      <c r="R5826" s="20"/>
      <c r="S5826"/>
      <c r="T5826"/>
      <c r="U5826"/>
      <c r="V5826"/>
    </row>
    <row r="5827" spans="2:22" x14ac:dyDescent="0.25">
      <c r="B5827" s="20" t="s">
        <v>7721</v>
      </c>
      <c r="C5827" s="21" t="s">
        <v>7714</v>
      </c>
      <c r="D5827" s="16" t="s">
        <v>29</v>
      </c>
      <c r="E5827" s="55"/>
      <c r="F5827" s="55" t="s">
        <v>4484</v>
      </c>
      <c r="G5827" s="20"/>
      <c r="H5827" s="20"/>
      <c r="I5827" s="20"/>
      <c r="J5827" s="20"/>
      <c r="K5827" s="20"/>
      <c r="L5827" s="20"/>
      <c r="M5827" s="20"/>
      <c r="N5827" s="20"/>
      <c r="O5827" s="20"/>
      <c r="P5827" s="21" t="str">
        <f t="shared" si="127"/>
        <v>Truncate table FSD827;</v>
      </c>
      <c r="Q5827" s="20"/>
      <c r="R5827" s="20"/>
      <c r="S5827"/>
      <c r="T5827"/>
      <c r="U5827"/>
      <c r="V5827"/>
    </row>
    <row r="5828" spans="2:22" x14ac:dyDescent="0.25">
      <c r="B5828" s="20" t="s">
        <v>7722</v>
      </c>
      <c r="C5828" s="21" t="s">
        <v>7714</v>
      </c>
      <c r="D5828" s="16" t="s">
        <v>29</v>
      </c>
      <c r="E5828" s="55"/>
      <c r="F5828" s="55" t="s">
        <v>4484</v>
      </c>
      <c r="G5828" s="20"/>
      <c r="H5828" s="20"/>
      <c r="I5828" s="20"/>
      <c r="J5828" s="20"/>
      <c r="K5828" s="20"/>
      <c r="L5828" s="20"/>
      <c r="M5828" s="20"/>
      <c r="N5828" s="20"/>
      <c r="O5828" s="20"/>
      <c r="P5828" s="21" t="str">
        <f t="shared" si="127"/>
        <v>Truncate table FSD828;</v>
      </c>
      <c r="Q5828" s="20"/>
      <c r="R5828" s="20"/>
      <c r="S5828"/>
      <c r="T5828"/>
      <c r="U5828"/>
      <c r="V5828"/>
    </row>
    <row r="5829" spans="2:22" x14ac:dyDescent="0.25">
      <c r="B5829" s="20" t="s">
        <v>7723</v>
      </c>
      <c r="C5829" s="21" t="s">
        <v>7714</v>
      </c>
      <c r="D5829" s="16" t="s">
        <v>29</v>
      </c>
      <c r="E5829" s="55"/>
      <c r="F5829" s="55" t="s">
        <v>4484</v>
      </c>
      <c r="G5829" s="20"/>
      <c r="H5829" s="20"/>
      <c r="I5829" s="20"/>
      <c r="J5829" s="20"/>
      <c r="K5829" s="20"/>
      <c r="L5829" s="20"/>
      <c r="M5829" s="20"/>
      <c r="N5829" s="20"/>
      <c r="O5829" s="20"/>
      <c r="P5829" s="21" t="str">
        <f t="shared" si="127"/>
        <v>Truncate table FSD829;</v>
      </c>
      <c r="Q5829" s="20"/>
      <c r="R5829" s="20"/>
      <c r="S5829"/>
      <c r="T5829"/>
      <c r="U5829"/>
      <c r="V5829"/>
    </row>
    <row r="5830" spans="2:22" x14ac:dyDescent="0.25">
      <c r="B5830" s="20" t="s">
        <v>7724</v>
      </c>
      <c r="C5830" s="21" t="s">
        <v>7714</v>
      </c>
      <c r="D5830" s="16" t="s">
        <v>29</v>
      </c>
      <c r="E5830" s="55"/>
      <c r="F5830" s="55" t="s">
        <v>4484</v>
      </c>
      <c r="G5830" s="20"/>
      <c r="H5830" s="20"/>
      <c r="I5830" s="20"/>
      <c r="J5830" s="20"/>
      <c r="K5830" s="20"/>
      <c r="L5830" s="20"/>
      <c r="M5830" s="20"/>
      <c r="N5830" s="20"/>
      <c r="O5830" s="20"/>
      <c r="P5830" s="21" t="str">
        <f t="shared" si="127"/>
        <v>Truncate table FSD830;</v>
      </c>
      <c r="Q5830" s="20"/>
      <c r="R5830" s="20"/>
      <c r="S5830"/>
      <c r="T5830"/>
      <c r="U5830"/>
      <c r="V5830"/>
    </row>
    <row r="5831" spans="2:22" x14ac:dyDescent="0.25">
      <c r="B5831" s="20" t="s">
        <v>7725</v>
      </c>
      <c r="C5831" s="21" t="s">
        <v>7714</v>
      </c>
      <c r="D5831" s="16" t="s">
        <v>29</v>
      </c>
      <c r="E5831" s="55"/>
      <c r="F5831" s="55" t="s">
        <v>4484</v>
      </c>
      <c r="G5831" s="20"/>
      <c r="H5831" s="20"/>
      <c r="I5831" s="20"/>
      <c r="J5831" s="20"/>
      <c r="K5831" s="20"/>
      <c r="L5831" s="20"/>
      <c r="M5831" s="20"/>
      <c r="N5831" s="20"/>
      <c r="O5831" s="20"/>
      <c r="P5831" s="21" t="str">
        <f t="shared" si="127"/>
        <v>Truncate table FSD831;</v>
      </c>
      <c r="Q5831" s="20"/>
      <c r="R5831" s="20"/>
      <c r="S5831"/>
      <c r="T5831"/>
      <c r="U5831"/>
      <c r="V5831"/>
    </row>
    <row r="5832" spans="2:22" x14ac:dyDescent="0.25">
      <c r="B5832" s="20" t="s">
        <v>7726</v>
      </c>
      <c r="C5832" s="21" t="s">
        <v>7727</v>
      </c>
      <c r="D5832" s="16" t="s">
        <v>29</v>
      </c>
      <c r="E5832" s="55"/>
      <c r="F5832" s="55" t="s">
        <v>3133</v>
      </c>
      <c r="G5832" s="20"/>
      <c r="H5832" s="20"/>
      <c r="I5832" s="20"/>
      <c r="J5832" s="20"/>
      <c r="K5832" s="20"/>
      <c r="L5832" s="20"/>
      <c r="M5832" s="20"/>
      <c r="N5832" s="20"/>
      <c r="O5832" s="20"/>
      <c r="P5832" s="21" t="str">
        <f t="shared" si="127"/>
        <v>Truncate table FSFIDH;</v>
      </c>
      <c r="Q5832" s="20"/>
      <c r="R5832" s="20"/>
      <c r="S5832"/>
      <c r="T5832"/>
      <c r="U5832"/>
      <c r="V5832"/>
    </row>
    <row r="5833" spans="2:22" x14ac:dyDescent="0.25">
      <c r="B5833" s="20" t="s">
        <v>7728</v>
      </c>
      <c r="C5833" s="21" t="s">
        <v>7727</v>
      </c>
      <c r="D5833" s="16" t="s">
        <v>29</v>
      </c>
      <c r="E5833" s="55"/>
      <c r="F5833" s="55" t="s">
        <v>3133</v>
      </c>
      <c r="G5833" s="20"/>
      <c r="H5833" s="20"/>
      <c r="I5833" s="20"/>
      <c r="J5833" s="20"/>
      <c r="K5833" s="20"/>
      <c r="L5833" s="20"/>
      <c r="M5833" s="20"/>
      <c r="N5833" s="20"/>
      <c r="O5833" s="20"/>
      <c r="P5833" s="21" t="str">
        <f t="shared" si="127"/>
        <v>Truncate table FSFI38;</v>
      </c>
      <c r="Q5833" s="20"/>
      <c r="R5833" s="20"/>
      <c r="S5833"/>
      <c r="T5833"/>
      <c r="U5833"/>
      <c r="V5833"/>
    </row>
    <row r="5834" spans="2:22" x14ac:dyDescent="0.25">
      <c r="B5834" s="20" t="s">
        <v>7729</v>
      </c>
      <c r="C5834" s="21" t="s">
        <v>7727</v>
      </c>
      <c r="D5834" s="16" t="s">
        <v>29</v>
      </c>
      <c r="E5834" s="55"/>
      <c r="F5834" s="55" t="s">
        <v>3133</v>
      </c>
      <c r="G5834" s="20"/>
      <c r="H5834" s="20"/>
      <c r="I5834" s="20"/>
      <c r="J5834" s="20"/>
      <c r="K5834" s="20"/>
      <c r="L5834" s="20"/>
      <c r="M5834" s="20"/>
      <c r="N5834" s="20"/>
      <c r="O5834" s="20"/>
      <c r="P5834" s="21" t="str">
        <f t="shared" si="127"/>
        <v>Truncate table FSFQ21;</v>
      </c>
      <c r="Q5834" s="20"/>
      <c r="R5834" s="20"/>
      <c r="S5834"/>
      <c r="T5834"/>
      <c r="U5834"/>
      <c r="V5834"/>
    </row>
    <row r="5835" spans="2:22" x14ac:dyDescent="0.25">
      <c r="B5835" s="20" t="s">
        <v>7730</v>
      </c>
      <c r="C5835" s="21" t="s">
        <v>7727</v>
      </c>
      <c r="D5835" s="16" t="s">
        <v>29</v>
      </c>
      <c r="E5835" s="55"/>
      <c r="F5835" s="55" t="s">
        <v>3133</v>
      </c>
      <c r="G5835" s="20"/>
      <c r="H5835" s="20"/>
      <c r="I5835" s="20"/>
      <c r="J5835" s="20"/>
      <c r="K5835" s="20"/>
      <c r="L5835" s="20"/>
      <c r="M5835" s="20"/>
      <c r="N5835" s="20"/>
      <c r="O5835" s="20"/>
      <c r="P5835" s="21" t="str">
        <f t="shared" si="127"/>
        <v>Truncate table FSFQ22;</v>
      </c>
      <c r="Q5835" s="20"/>
      <c r="R5835" s="20"/>
      <c r="S5835"/>
      <c r="T5835"/>
      <c r="U5835"/>
      <c r="V5835"/>
    </row>
    <row r="5836" spans="2:22" x14ac:dyDescent="0.25">
      <c r="B5836" s="20" t="s">
        <v>7731</v>
      </c>
      <c r="C5836" s="21" t="s">
        <v>7727</v>
      </c>
      <c r="D5836" s="16" t="s">
        <v>29</v>
      </c>
      <c r="E5836" s="55"/>
      <c r="F5836" s="55" t="s">
        <v>3133</v>
      </c>
      <c r="G5836" s="20"/>
      <c r="H5836" s="20"/>
      <c r="I5836" s="20"/>
      <c r="J5836" s="20"/>
      <c r="K5836" s="20"/>
      <c r="L5836" s="20"/>
      <c r="M5836" s="20"/>
      <c r="N5836" s="20"/>
      <c r="O5836" s="20"/>
      <c r="P5836" s="21" t="str">
        <f t="shared" si="127"/>
        <v>Truncate table FSFQ23;</v>
      </c>
      <c r="Q5836" s="20"/>
      <c r="R5836" s="20"/>
      <c r="S5836"/>
      <c r="T5836"/>
      <c r="U5836"/>
      <c r="V5836"/>
    </row>
    <row r="5837" spans="2:22" x14ac:dyDescent="0.25">
      <c r="B5837" s="20" t="s">
        <v>7732</v>
      </c>
      <c r="C5837" s="21" t="s">
        <v>7727</v>
      </c>
      <c r="D5837" s="16" t="s">
        <v>29</v>
      </c>
      <c r="E5837" s="55"/>
      <c r="F5837" s="55" t="s">
        <v>3133</v>
      </c>
      <c r="G5837" s="20"/>
      <c r="H5837" s="20"/>
      <c r="I5837" s="20"/>
      <c r="J5837" s="20"/>
      <c r="K5837" s="20"/>
      <c r="L5837" s="20"/>
      <c r="M5837" s="20"/>
      <c r="N5837" s="20"/>
      <c r="O5837" s="20"/>
      <c r="P5837" s="21" t="str">
        <f t="shared" si="127"/>
        <v>Truncate table FSFQ24;</v>
      </c>
      <c r="Q5837" s="20"/>
      <c r="R5837" s="20"/>
      <c r="S5837"/>
      <c r="T5837"/>
      <c r="U5837"/>
      <c r="V5837"/>
    </row>
    <row r="5838" spans="2:22" x14ac:dyDescent="0.25">
      <c r="B5838" s="20" t="s">
        <v>7733</v>
      </c>
      <c r="C5838" s="21" t="s">
        <v>7727</v>
      </c>
      <c r="D5838" s="16" t="s">
        <v>29</v>
      </c>
      <c r="E5838" s="55"/>
      <c r="F5838" s="55" t="s">
        <v>3133</v>
      </c>
      <c r="G5838" s="20"/>
      <c r="H5838" s="20"/>
      <c r="I5838" s="20"/>
      <c r="J5838" s="20"/>
      <c r="K5838" s="20"/>
      <c r="L5838" s="20"/>
      <c r="M5838" s="20"/>
      <c r="N5838" s="20"/>
      <c r="O5838" s="20"/>
      <c r="P5838" s="21" t="str">
        <f t="shared" si="127"/>
        <v>Truncate table FSFQ25;</v>
      </c>
      <c r="Q5838" s="20"/>
      <c r="R5838" s="20"/>
      <c r="S5838"/>
      <c r="T5838"/>
      <c r="U5838"/>
      <c r="V5838"/>
    </row>
    <row r="5839" spans="2:22" x14ac:dyDescent="0.25">
      <c r="B5839" s="20" t="s">
        <v>7734</v>
      </c>
      <c r="C5839" s="21" t="s">
        <v>7727</v>
      </c>
      <c r="D5839" s="16" t="s">
        <v>29</v>
      </c>
      <c r="E5839" s="55"/>
      <c r="F5839" s="55" t="s">
        <v>3133</v>
      </c>
      <c r="G5839" s="20"/>
      <c r="H5839" s="20"/>
      <c r="I5839" s="20"/>
      <c r="J5839" s="20"/>
      <c r="K5839" s="20"/>
      <c r="L5839" s="20"/>
      <c r="M5839" s="20"/>
      <c r="N5839" s="20"/>
      <c r="O5839" s="20"/>
      <c r="P5839" s="21" t="str">
        <f t="shared" si="127"/>
        <v>Truncate table FSFQ26;</v>
      </c>
      <c r="Q5839" s="20"/>
      <c r="R5839" s="20"/>
      <c r="S5839"/>
      <c r="T5839"/>
      <c r="U5839"/>
      <c r="V5839"/>
    </row>
    <row r="5840" spans="2:22" x14ac:dyDescent="0.25">
      <c r="B5840" s="20" t="s">
        <v>7735</v>
      </c>
      <c r="C5840" s="21" t="s">
        <v>7727</v>
      </c>
      <c r="D5840" s="16" t="s">
        <v>29</v>
      </c>
      <c r="E5840" s="55"/>
      <c r="F5840" s="55" t="s">
        <v>3133</v>
      </c>
      <c r="G5840" s="20"/>
      <c r="H5840" s="20"/>
      <c r="I5840" s="20"/>
      <c r="J5840" s="20"/>
      <c r="K5840" s="20"/>
      <c r="L5840" s="20"/>
      <c r="M5840" s="20"/>
      <c r="N5840" s="20"/>
      <c r="O5840" s="20"/>
      <c r="P5840" s="21" t="str">
        <f t="shared" si="127"/>
        <v>Truncate table FSFQ27;</v>
      </c>
      <c r="Q5840" s="20"/>
      <c r="R5840" s="20"/>
      <c r="S5840"/>
      <c r="T5840"/>
      <c r="U5840"/>
      <c r="V5840"/>
    </row>
    <row r="5841" spans="2:22" x14ac:dyDescent="0.25">
      <c r="B5841" s="20" t="s">
        <v>7736</v>
      </c>
      <c r="C5841" s="21" t="s">
        <v>7727</v>
      </c>
      <c r="D5841" s="16" t="s">
        <v>29</v>
      </c>
      <c r="E5841" s="55"/>
      <c r="F5841" s="55" t="s">
        <v>3133</v>
      </c>
      <c r="G5841" s="20"/>
      <c r="H5841" s="20"/>
      <c r="I5841" s="20"/>
      <c r="J5841" s="20"/>
      <c r="K5841" s="20"/>
      <c r="L5841" s="20"/>
      <c r="M5841" s="20"/>
      <c r="N5841" s="20"/>
      <c r="O5841" s="20"/>
      <c r="P5841" s="21" t="str">
        <f t="shared" ref="P5841:P5871" si="128">IF(D5841="Datos","Truncate table "&amp; B5841&amp; ";","")</f>
        <v>Truncate table FSFQ30;</v>
      </c>
      <c r="Q5841" s="20"/>
      <c r="R5841" s="20"/>
      <c r="S5841"/>
      <c r="T5841"/>
      <c r="U5841"/>
      <c r="V5841"/>
    </row>
    <row r="5842" spans="2:22" x14ac:dyDescent="0.25">
      <c r="B5842" s="16" t="s">
        <v>7737</v>
      </c>
      <c r="C5842" s="183" t="s">
        <v>9803</v>
      </c>
      <c r="D5842" s="16" t="s">
        <v>29</v>
      </c>
      <c r="E5842" s="300" t="s">
        <v>8230</v>
      </c>
      <c r="F5842" s="300" t="s">
        <v>3133</v>
      </c>
      <c r="G5842" s="16" t="s">
        <v>35</v>
      </c>
      <c r="H5842" s="16" t="s">
        <v>36</v>
      </c>
      <c r="I5842" s="20"/>
      <c r="J5842" s="20"/>
      <c r="K5842" s="16"/>
      <c r="L5842" s="16"/>
      <c r="M5842" s="16"/>
      <c r="N5842" s="16"/>
      <c r="O5842" s="16"/>
      <c r="P5842" s="21" t="str">
        <f t="shared" si="128"/>
        <v>Truncate table FSFT99;</v>
      </c>
      <c r="Q5842" s="20"/>
      <c r="R5842" s="20"/>
      <c r="S5842"/>
      <c r="T5842"/>
      <c r="U5842"/>
      <c r="V5842"/>
    </row>
    <row r="5843" spans="2:22" ht="81" x14ac:dyDescent="0.25">
      <c r="B5843" s="21" t="s">
        <v>7738</v>
      </c>
      <c r="C5843" s="21" t="s">
        <v>7739</v>
      </c>
      <c r="D5843" s="16" t="s">
        <v>29</v>
      </c>
      <c r="E5843" s="34"/>
      <c r="F5843" s="34" t="s">
        <v>235</v>
      </c>
      <c r="G5843" s="21"/>
      <c r="H5843" s="21"/>
      <c r="I5843" s="21" t="s">
        <v>7740</v>
      </c>
      <c r="J5843" s="21" t="s">
        <v>7741</v>
      </c>
      <c r="K5843" s="21" t="s">
        <v>7742</v>
      </c>
      <c r="L5843" s="275" t="s">
        <v>7743</v>
      </c>
      <c r="M5843" s="275"/>
      <c r="N5843" s="21" t="s">
        <v>7744</v>
      </c>
      <c r="O5843" s="21"/>
      <c r="P5843" s="21" t="str">
        <f t="shared" si="128"/>
        <v>Truncate table FSH025;</v>
      </c>
      <c r="Q5843" s="21"/>
      <c r="R5843" s="21"/>
      <c r="S5843"/>
      <c r="T5843"/>
      <c r="U5843"/>
      <c r="V5843"/>
    </row>
    <row r="5844" spans="2:22" x14ac:dyDescent="0.25">
      <c r="B5844" s="20" t="s">
        <v>7745</v>
      </c>
      <c r="C5844" s="21" t="s">
        <v>7746</v>
      </c>
      <c r="D5844" s="16" t="s">
        <v>29</v>
      </c>
      <c r="E5844" s="55"/>
      <c r="F5844" s="55" t="s">
        <v>7670</v>
      </c>
      <c r="G5844" s="20"/>
      <c r="H5844" s="20"/>
      <c r="I5844" s="20"/>
      <c r="J5844" s="20"/>
      <c r="K5844" s="20"/>
      <c r="L5844" s="20"/>
      <c r="M5844" s="20"/>
      <c r="N5844" s="20"/>
      <c r="O5844" s="20"/>
      <c r="P5844" s="21" t="str">
        <f t="shared" si="128"/>
        <v>Truncate table FSH111;</v>
      </c>
      <c r="Q5844" s="20"/>
      <c r="R5844" s="20"/>
      <c r="S5844"/>
      <c r="T5844"/>
      <c r="U5844"/>
      <c r="V5844"/>
    </row>
    <row r="5845" spans="2:22" x14ac:dyDescent="0.25">
      <c r="B5845" s="20" t="s">
        <v>7747</v>
      </c>
      <c r="C5845" s="21" t="s">
        <v>2854</v>
      </c>
      <c r="D5845" s="16" t="s">
        <v>29</v>
      </c>
      <c r="E5845" s="55"/>
      <c r="F5845" s="55" t="s">
        <v>2832</v>
      </c>
      <c r="G5845" s="20"/>
      <c r="H5845" s="20"/>
      <c r="I5845" s="20"/>
      <c r="J5845" s="20"/>
      <c r="K5845" s="20"/>
      <c r="L5845" s="20"/>
      <c r="M5845" s="20"/>
      <c r="N5845" s="20"/>
      <c r="O5845" s="20"/>
      <c r="P5845" s="21" t="str">
        <f t="shared" si="128"/>
        <v>Truncate table FSH205C;</v>
      </c>
      <c r="Q5845" s="20"/>
      <c r="R5845" s="20"/>
      <c r="S5845"/>
      <c r="T5845"/>
      <c r="U5845"/>
      <c r="V5845"/>
    </row>
    <row r="5846" spans="2:22" x14ac:dyDescent="0.25">
      <c r="B5846" s="20" t="s">
        <v>7748</v>
      </c>
      <c r="C5846" s="21" t="s">
        <v>2854</v>
      </c>
      <c r="D5846" s="16" t="s">
        <v>29</v>
      </c>
      <c r="E5846" s="55"/>
      <c r="F5846" s="55" t="s">
        <v>2832</v>
      </c>
      <c r="G5846" s="20"/>
      <c r="H5846" s="20"/>
      <c r="I5846" s="20"/>
      <c r="J5846" s="20"/>
      <c r="K5846" s="20"/>
      <c r="L5846" s="20"/>
      <c r="M5846" s="20"/>
      <c r="N5846" s="20"/>
      <c r="O5846" s="20"/>
      <c r="P5846" s="21" t="str">
        <f t="shared" si="128"/>
        <v>Truncate table FSH205P;</v>
      </c>
      <c r="Q5846" s="20"/>
      <c r="R5846" s="20"/>
      <c r="S5846"/>
      <c r="T5846"/>
      <c r="U5846"/>
      <c r="V5846"/>
    </row>
    <row r="5847" spans="2:22" x14ac:dyDescent="0.25">
      <c r="B5847" s="20" t="s">
        <v>7749</v>
      </c>
      <c r="C5847" s="21" t="s">
        <v>7750</v>
      </c>
      <c r="D5847" s="16" t="s">
        <v>29</v>
      </c>
      <c r="E5847" s="55"/>
      <c r="F5847" s="55" t="s">
        <v>243</v>
      </c>
      <c r="G5847" s="20"/>
      <c r="H5847" s="20"/>
      <c r="I5847" s="20"/>
      <c r="J5847" s="20"/>
      <c r="K5847" s="20"/>
      <c r="L5847" s="20"/>
      <c r="M5847" s="20"/>
      <c r="N5847" s="20"/>
      <c r="O5847" s="20"/>
      <c r="P5847" s="21" t="str">
        <f t="shared" si="128"/>
        <v>Truncate table FSI008N;</v>
      </c>
      <c r="Q5847" s="20"/>
      <c r="R5847" s="20"/>
      <c r="S5847"/>
      <c r="T5847"/>
      <c r="U5847"/>
      <c r="V5847"/>
    </row>
    <row r="5848" spans="2:22" x14ac:dyDescent="0.25">
      <c r="B5848" s="20" t="s">
        <v>7751</v>
      </c>
      <c r="C5848" s="21" t="s">
        <v>7752</v>
      </c>
      <c r="D5848" s="16" t="s">
        <v>29</v>
      </c>
      <c r="E5848" s="55"/>
      <c r="F5848" s="55" t="s">
        <v>184</v>
      </c>
      <c r="G5848" s="20"/>
      <c r="H5848" s="20"/>
      <c r="I5848" s="20"/>
      <c r="J5848" s="20"/>
      <c r="K5848" s="20"/>
      <c r="L5848" s="20"/>
      <c r="M5848" s="20"/>
      <c r="N5848" s="20"/>
      <c r="O5848" s="20"/>
      <c r="P5848" s="21" t="str">
        <f t="shared" si="128"/>
        <v>Truncate table FSP003;</v>
      </c>
      <c r="Q5848" s="20"/>
      <c r="R5848" s="20"/>
      <c r="S5848"/>
      <c r="T5848"/>
      <c r="U5848"/>
      <c r="V5848"/>
    </row>
    <row r="5849" spans="2:22" x14ac:dyDescent="0.25">
      <c r="B5849" s="20" t="s">
        <v>7753</v>
      </c>
      <c r="C5849" s="21" t="s">
        <v>7754</v>
      </c>
      <c r="D5849" s="16" t="s">
        <v>29</v>
      </c>
      <c r="E5849" s="55"/>
      <c r="F5849" s="55" t="s">
        <v>243</v>
      </c>
      <c r="G5849" s="20"/>
      <c r="H5849" s="20"/>
      <c r="I5849" s="20"/>
      <c r="J5849" s="20"/>
      <c r="K5849" s="20"/>
      <c r="L5849" s="20"/>
      <c r="M5849" s="20"/>
      <c r="N5849" s="20"/>
      <c r="O5849" s="20"/>
      <c r="P5849" s="21" t="str">
        <f t="shared" si="128"/>
        <v>Truncate table FSR114;</v>
      </c>
      <c r="Q5849" s="20"/>
      <c r="R5849" s="20"/>
      <c r="S5849"/>
      <c r="T5849"/>
      <c r="U5849"/>
      <c r="V5849"/>
    </row>
    <row r="5850" spans="2:22" x14ac:dyDescent="0.25">
      <c r="B5850" s="20" t="s">
        <v>7755</v>
      </c>
      <c r="C5850" s="21"/>
      <c r="D5850" s="16" t="s">
        <v>29</v>
      </c>
      <c r="E5850" s="55"/>
      <c r="F5850" s="55"/>
      <c r="G5850" s="20"/>
      <c r="H5850" s="20"/>
      <c r="I5850" s="20"/>
      <c r="J5850" s="20"/>
      <c r="K5850" s="20"/>
      <c r="L5850" s="20"/>
      <c r="M5850" s="20"/>
      <c r="N5850" s="20"/>
      <c r="O5850" s="20"/>
      <c r="P5850" s="21" t="str">
        <f t="shared" si="128"/>
        <v>Truncate table FSXR03;</v>
      </c>
      <c r="Q5850" s="20"/>
      <c r="R5850" s="20"/>
      <c r="S5850"/>
      <c r="T5850"/>
      <c r="U5850"/>
      <c r="V5850"/>
    </row>
    <row r="5851" spans="2:22" x14ac:dyDescent="0.25">
      <c r="B5851" s="20" t="s">
        <v>7756</v>
      </c>
      <c r="C5851" s="21" t="s">
        <v>7757</v>
      </c>
      <c r="D5851" s="16" t="s">
        <v>29</v>
      </c>
      <c r="E5851" s="55"/>
      <c r="F5851" s="55" t="s">
        <v>1711</v>
      </c>
      <c r="G5851" s="20"/>
      <c r="H5851" s="20"/>
      <c r="I5851" s="20"/>
      <c r="J5851" s="20"/>
      <c r="K5851" s="20"/>
      <c r="L5851" s="20"/>
      <c r="M5851" s="20"/>
      <c r="N5851" s="20"/>
      <c r="O5851" s="20"/>
      <c r="P5851" s="21" t="str">
        <f t="shared" si="128"/>
        <v>Truncate table FXAUNL;</v>
      </c>
      <c r="Q5851" s="20"/>
      <c r="R5851" s="20"/>
      <c r="S5851"/>
      <c r="T5851"/>
      <c r="U5851"/>
      <c r="V5851"/>
    </row>
    <row r="5852" spans="2:22" x14ac:dyDescent="0.25">
      <c r="B5852" s="20" t="s">
        <v>7758</v>
      </c>
      <c r="C5852" s="21" t="s">
        <v>7759</v>
      </c>
      <c r="D5852" s="16" t="s">
        <v>29</v>
      </c>
      <c r="E5852" s="55"/>
      <c r="F5852" s="55" t="s">
        <v>1711</v>
      </c>
      <c r="G5852" s="20"/>
      <c r="H5852" s="20"/>
      <c r="I5852" s="20"/>
      <c r="J5852" s="20"/>
      <c r="K5852" s="20"/>
      <c r="L5852" s="20"/>
      <c r="M5852" s="20"/>
      <c r="N5852" s="20"/>
      <c r="O5852" s="20"/>
      <c r="P5852" s="21" t="str">
        <f t="shared" si="128"/>
        <v>Truncate table FXD801A;</v>
      </c>
      <c r="Q5852" s="20"/>
      <c r="R5852" s="20"/>
      <c r="S5852"/>
      <c r="T5852"/>
      <c r="U5852"/>
      <c r="V5852"/>
    </row>
    <row r="5853" spans="2:22" x14ac:dyDescent="0.25">
      <c r="B5853" s="20" t="s">
        <v>7760</v>
      </c>
      <c r="C5853" s="21" t="s">
        <v>7761</v>
      </c>
      <c r="D5853" s="16" t="s">
        <v>29</v>
      </c>
      <c r="E5853" s="55"/>
      <c r="F5853" s="55" t="s">
        <v>1711</v>
      </c>
      <c r="G5853" s="20"/>
      <c r="H5853" s="20"/>
      <c r="I5853" s="20"/>
      <c r="J5853" s="20"/>
      <c r="K5853" s="20"/>
      <c r="L5853" s="20"/>
      <c r="M5853" s="20"/>
      <c r="N5853" s="20"/>
      <c r="O5853" s="20"/>
      <c r="P5853" s="21" t="str">
        <f t="shared" si="128"/>
        <v>Truncate table FXE801;</v>
      </c>
      <c r="Q5853" s="20"/>
      <c r="R5853" s="20"/>
      <c r="S5853"/>
      <c r="T5853"/>
      <c r="U5853"/>
      <c r="V5853"/>
    </row>
    <row r="5854" spans="2:22" x14ac:dyDescent="0.25">
      <c r="B5854" s="20" t="s">
        <v>7762</v>
      </c>
      <c r="C5854" s="21" t="s">
        <v>7763</v>
      </c>
      <c r="D5854" s="16" t="s">
        <v>29</v>
      </c>
      <c r="E5854" s="55"/>
      <c r="F5854" s="55" t="s">
        <v>1711</v>
      </c>
      <c r="G5854" s="20"/>
      <c r="H5854" s="20"/>
      <c r="I5854" s="20"/>
      <c r="J5854" s="20"/>
      <c r="K5854" s="20"/>
      <c r="L5854" s="20"/>
      <c r="M5854" s="20"/>
      <c r="N5854" s="20"/>
      <c r="O5854" s="20"/>
      <c r="P5854" s="21" t="str">
        <f t="shared" si="128"/>
        <v>Truncate table FXTCA1;</v>
      </c>
      <c r="Q5854" s="20"/>
      <c r="R5854" s="20"/>
      <c r="S5854"/>
      <c r="T5854"/>
      <c r="U5854"/>
      <c r="V5854"/>
    </row>
    <row r="5855" spans="2:22" x14ac:dyDescent="0.25">
      <c r="B5855" s="20" t="s">
        <v>7764</v>
      </c>
      <c r="C5855" s="21"/>
      <c r="D5855" s="16" t="s">
        <v>29</v>
      </c>
      <c r="E5855" s="55"/>
      <c r="F5855" s="55" t="s">
        <v>1711</v>
      </c>
      <c r="G5855" s="20"/>
      <c r="H5855" s="20"/>
      <c r="I5855" s="20"/>
      <c r="J5855" s="20"/>
      <c r="K5855" s="20"/>
      <c r="L5855" s="20"/>
      <c r="M5855" s="20"/>
      <c r="N5855" s="20"/>
      <c r="O5855" s="20"/>
      <c r="P5855" s="21" t="str">
        <f t="shared" si="128"/>
        <v>Truncate table FXT715;</v>
      </c>
      <c r="Q5855" s="20"/>
      <c r="R5855" s="20"/>
      <c r="S5855"/>
      <c r="T5855"/>
      <c r="U5855"/>
      <c r="V5855"/>
    </row>
    <row r="5856" spans="2:22" x14ac:dyDescent="0.25">
      <c r="B5856" s="20" t="s">
        <v>7765</v>
      </c>
      <c r="C5856" s="21" t="s">
        <v>7766</v>
      </c>
      <c r="D5856" s="16" t="s">
        <v>29</v>
      </c>
      <c r="E5856" s="55"/>
      <c r="F5856" s="55" t="s">
        <v>243</v>
      </c>
      <c r="G5856" s="20"/>
      <c r="H5856" s="20"/>
      <c r="I5856" s="20"/>
      <c r="J5856" s="20"/>
      <c r="K5856" s="20"/>
      <c r="L5856" s="20"/>
      <c r="M5856" s="20"/>
      <c r="N5856" s="20"/>
      <c r="O5856" s="20"/>
      <c r="P5856" s="21" t="str">
        <f t="shared" si="128"/>
        <v>Truncate table HAB001;</v>
      </c>
      <c r="Q5856" s="20"/>
      <c r="R5856" s="20"/>
      <c r="S5856"/>
      <c r="T5856"/>
      <c r="U5856"/>
      <c r="V5856"/>
    </row>
    <row r="5857" spans="2:22" x14ac:dyDescent="0.25">
      <c r="B5857" s="20" t="s">
        <v>7767</v>
      </c>
      <c r="C5857" s="21" t="s">
        <v>7768</v>
      </c>
      <c r="D5857" s="16" t="s">
        <v>29</v>
      </c>
      <c r="E5857" s="55"/>
      <c r="F5857" s="55" t="s">
        <v>243</v>
      </c>
      <c r="G5857" s="20"/>
      <c r="H5857" s="20"/>
      <c r="I5857" s="20"/>
      <c r="J5857" s="20"/>
      <c r="K5857" s="20"/>
      <c r="L5857" s="20"/>
      <c r="M5857" s="20"/>
      <c r="N5857" s="20"/>
      <c r="O5857" s="20"/>
      <c r="P5857" s="21" t="str">
        <f t="shared" si="128"/>
        <v>Truncate table HAB002;</v>
      </c>
      <c r="Q5857" s="20"/>
      <c r="R5857" s="20"/>
      <c r="S5857"/>
      <c r="T5857"/>
      <c r="U5857"/>
      <c r="V5857"/>
    </row>
    <row r="5858" spans="2:22" x14ac:dyDescent="0.25">
      <c r="B5858" s="20" t="s">
        <v>7769</v>
      </c>
      <c r="C5858" s="21" t="s">
        <v>7770</v>
      </c>
      <c r="D5858" s="16" t="s">
        <v>29</v>
      </c>
      <c r="E5858" s="55"/>
      <c r="F5858" s="55" t="s">
        <v>243</v>
      </c>
      <c r="G5858" s="20"/>
      <c r="H5858" s="20"/>
      <c r="I5858" s="20"/>
      <c r="J5858" s="20"/>
      <c r="K5858" s="20"/>
      <c r="L5858" s="20"/>
      <c r="M5858" s="20"/>
      <c r="N5858" s="20"/>
      <c r="O5858" s="20"/>
      <c r="P5858" s="21" t="str">
        <f t="shared" si="128"/>
        <v>Truncate table HAB003;</v>
      </c>
      <c r="Q5858" s="20"/>
      <c r="R5858" s="20"/>
      <c r="S5858"/>
      <c r="T5858"/>
      <c r="U5858"/>
      <c r="V5858"/>
    </row>
    <row r="5859" spans="2:22" ht="54" x14ac:dyDescent="0.25">
      <c r="B5859" s="21" t="s">
        <v>7771</v>
      </c>
      <c r="C5859" s="21" t="s">
        <v>7772</v>
      </c>
      <c r="D5859" s="16" t="s">
        <v>29</v>
      </c>
      <c r="E5859" s="34"/>
      <c r="F5859" s="34" t="s">
        <v>184</v>
      </c>
      <c r="G5859" s="21"/>
      <c r="H5859" s="21"/>
      <c r="I5859" s="21" t="s">
        <v>7773</v>
      </c>
      <c r="J5859" s="21" t="s">
        <v>7774</v>
      </c>
      <c r="K5859" s="21" t="s">
        <v>7775</v>
      </c>
      <c r="L5859" s="242" t="s">
        <v>7776</v>
      </c>
      <c r="M5859" s="242"/>
      <c r="N5859" s="21"/>
      <c r="O5859" s="21"/>
      <c r="P5859" s="21" t="str">
        <f t="shared" si="128"/>
        <v>Truncate table HAB005;</v>
      </c>
      <c r="Q5859" s="21"/>
      <c r="R5859" s="21"/>
    </row>
    <row r="5860" spans="2:22" x14ac:dyDescent="0.25">
      <c r="B5860" s="20" t="s">
        <v>7777</v>
      </c>
      <c r="C5860" s="21" t="s">
        <v>7778</v>
      </c>
      <c r="D5860" s="16" t="s">
        <v>29</v>
      </c>
      <c r="E5860" s="55"/>
      <c r="F5860" s="55" t="s">
        <v>243</v>
      </c>
      <c r="G5860" s="20"/>
      <c r="H5860" s="20"/>
      <c r="I5860" s="20"/>
      <c r="J5860" s="20"/>
      <c r="K5860" s="20"/>
      <c r="L5860" s="20"/>
      <c r="M5860" s="20"/>
      <c r="N5860" s="20"/>
      <c r="O5860" s="20"/>
      <c r="P5860" s="21" t="str">
        <f t="shared" si="128"/>
        <v>Truncate table HAB006;</v>
      </c>
      <c r="Q5860" s="20"/>
      <c r="R5860" s="20"/>
      <c r="S5860"/>
      <c r="T5860"/>
      <c r="U5860"/>
      <c r="V5860"/>
    </row>
    <row r="5861" spans="2:22" x14ac:dyDescent="0.25">
      <c r="B5861" s="20" t="s">
        <v>7779</v>
      </c>
      <c r="C5861" s="21" t="s">
        <v>7780</v>
      </c>
      <c r="D5861" s="16" t="s">
        <v>29</v>
      </c>
      <c r="E5861" s="55"/>
      <c r="F5861" s="55" t="s">
        <v>243</v>
      </c>
      <c r="G5861" s="20"/>
      <c r="H5861" s="20"/>
      <c r="I5861" s="20"/>
      <c r="J5861" s="20"/>
      <c r="K5861" s="20"/>
      <c r="L5861" s="20"/>
      <c r="M5861" s="20"/>
      <c r="N5861" s="20"/>
      <c r="O5861" s="20"/>
      <c r="P5861" s="21" t="str">
        <f t="shared" si="128"/>
        <v>Truncate table HAB010;</v>
      </c>
      <c r="Q5861" s="20"/>
      <c r="R5861" s="20"/>
      <c r="S5861"/>
      <c r="T5861"/>
      <c r="U5861"/>
      <c r="V5861"/>
    </row>
    <row r="5862" spans="2:22" x14ac:dyDescent="0.25">
      <c r="B5862" s="20" t="s">
        <v>7781</v>
      </c>
      <c r="C5862" s="21" t="s">
        <v>7782</v>
      </c>
      <c r="D5862" s="16" t="s">
        <v>29</v>
      </c>
      <c r="E5862" s="55"/>
      <c r="F5862" s="55" t="s">
        <v>243</v>
      </c>
      <c r="G5862" s="20"/>
      <c r="H5862" s="20"/>
      <c r="I5862" s="20"/>
      <c r="J5862" s="20"/>
      <c r="K5862" s="20"/>
      <c r="L5862" s="20"/>
      <c r="M5862" s="20"/>
      <c r="N5862" s="20"/>
      <c r="O5862" s="20"/>
      <c r="P5862" s="21" t="str">
        <f t="shared" si="128"/>
        <v>Truncate table HAB011;</v>
      </c>
      <c r="Q5862" s="20"/>
      <c r="R5862" s="20"/>
      <c r="S5862"/>
      <c r="T5862"/>
      <c r="U5862"/>
      <c r="V5862"/>
    </row>
    <row r="5863" spans="2:22" x14ac:dyDescent="0.25">
      <c r="B5863" s="20" t="s">
        <v>7783</v>
      </c>
      <c r="C5863" s="21" t="s">
        <v>7784</v>
      </c>
      <c r="D5863" s="16" t="s">
        <v>29</v>
      </c>
      <c r="E5863" s="55"/>
      <c r="F5863" s="55" t="s">
        <v>243</v>
      </c>
      <c r="G5863" s="20"/>
      <c r="H5863" s="20"/>
      <c r="I5863" s="20"/>
      <c r="J5863" s="20"/>
      <c r="K5863" s="20"/>
      <c r="L5863" s="20"/>
      <c r="M5863" s="20"/>
      <c r="N5863" s="20"/>
      <c r="O5863" s="20"/>
      <c r="P5863" s="21" t="str">
        <f t="shared" si="128"/>
        <v>Truncate table HAB012;</v>
      </c>
      <c r="Q5863" s="20"/>
      <c r="R5863" s="20"/>
      <c r="S5863"/>
      <c r="T5863"/>
      <c r="U5863"/>
      <c r="V5863"/>
    </row>
    <row r="5864" spans="2:22" x14ac:dyDescent="0.25">
      <c r="B5864" s="20" t="s">
        <v>7785</v>
      </c>
      <c r="C5864" s="21" t="s">
        <v>7786</v>
      </c>
      <c r="D5864" s="16" t="s">
        <v>29</v>
      </c>
      <c r="E5864" s="55"/>
      <c r="F5864" s="55" t="s">
        <v>243</v>
      </c>
      <c r="G5864" s="20"/>
      <c r="H5864" s="20"/>
      <c r="I5864" s="20"/>
      <c r="J5864" s="20"/>
      <c r="K5864" s="20"/>
      <c r="L5864" s="20"/>
      <c r="M5864" s="20"/>
      <c r="N5864" s="20"/>
      <c r="O5864" s="20"/>
      <c r="P5864" s="21" t="str">
        <f t="shared" si="128"/>
        <v>Truncate table HAB101;</v>
      </c>
      <c r="Q5864" s="20"/>
      <c r="R5864" s="20"/>
      <c r="S5864"/>
      <c r="T5864"/>
      <c r="U5864"/>
      <c r="V5864"/>
    </row>
    <row r="5865" spans="2:22" x14ac:dyDescent="0.25">
      <c r="B5865" s="20" t="s">
        <v>7787</v>
      </c>
      <c r="C5865" s="21" t="s">
        <v>7788</v>
      </c>
      <c r="D5865" s="16" t="s">
        <v>29</v>
      </c>
      <c r="E5865" s="55"/>
      <c r="F5865" s="55" t="s">
        <v>243</v>
      </c>
      <c r="G5865" s="20"/>
      <c r="H5865" s="20"/>
      <c r="I5865" s="20"/>
      <c r="J5865" s="20"/>
      <c r="K5865" s="20"/>
      <c r="L5865" s="20"/>
      <c r="M5865" s="20"/>
      <c r="N5865" s="20"/>
      <c r="O5865" s="20"/>
      <c r="P5865" s="21" t="str">
        <f t="shared" si="128"/>
        <v>Truncate table HAB102;</v>
      </c>
      <c r="Q5865" s="20"/>
      <c r="R5865" s="20"/>
      <c r="S5865"/>
      <c r="T5865"/>
      <c r="U5865"/>
      <c r="V5865"/>
    </row>
    <row r="5866" spans="2:22" x14ac:dyDescent="0.25">
      <c r="B5866" s="20" t="s">
        <v>7789</v>
      </c>
      <c r="C5866" s="21" t="s">
        <v>7790</v>
      </c>
      <c r="D5866" s="16" t="s">
        <v>29</v>
      </c>
      <c r="E5866" s="55"/>
      <c r="F5866" s="55"/>
      <c r="G5866" s="20"/>
      <c r="H5866" s="20"/>
      <c r="I5866" s="20"/>
      <c r="J5866" s="20"/>
      <c r="K5866" s="20"/>
      <c r="L5866" s="20"/>
      <c r="M5866" s="20"/>
      <c r="N5866" s="20"/>
      <c r="O5866" s="20"/>
      <c r="P5866" s="21" t="str">
        <f t="shared" si="128"/>
        <v>Truncate table HNUFE1;</v>
      </c>
      <c r="Q5866" s="20"/>
      <c r="R5866" s="20"/>
      <c r="S5866"/>
      <c r="T5866"/>
      <c r="U5866"/>
      <c r="V5866"/>
    </row>
    <row r="5867" spans="2:22" x14ac:dyDescent="0.25">
      <c r="B5867" s="20" t="s">
        <v>7791</v>
      </c>
      <c r="C5867" s="21" t="s">
        <v>7792</v>
      </c>
      <c r="D5867" s="16" t="s">
        <v>29</v>
      </c>
      <c r="E5867" s="55"/>
      <c r="F5867" s="55"/>
      <c r="G5867" s="20"/>
      <c r="H5867" s="20"/>
      <c r="I5867" s="20"/>
      <c r="J5867" s="20"/>
      <c r="K5867" s="20"/>
      <c r="L5867" s="20"/>
      <c r="M5867" s="20"/>
      <c r="N5867" s="20"/>
      <c r="O5867" s="20"/>
      <c r="P5867" s="21" t="str">
        <f t="shared" si="128"/>
        <v>Truncate table HNUF02;</v>
      </c>
      <c r="Q5867" s="20"/>
      <c r="R5867" s="20"/>
      <c r="S5867"/>
      <c r="T5867"/>
      <c r="U5867"/>
      <c r="V5867"/>
    </row>
    <row r="5868" spans="2:22" x14ac:dyDescent="0.25">
      <c r="B5868" s="20" t="s">
        <v>7793</v>
      </c>
      <c r="C5868" s="21" t="s">
        <v>7794</v>
      </c>
      <c r="D5868" s="16" t="s">
        <v>29</v>
      </c>
      <c r="E5868" s="55"/>
      <c r="F5868" s="55"/>
      <c r="G5868" s="20"/>
      <c r="H5868" s="20"/>
      <c r="I5868" s="20"/>
      <c r="J5868" s="20"/>
      <c r="K5868" s="20"/>
      <c r="L5868" s="20"/>
      <c r="M5868" s="20"/>
      <c r="N5868" s="20"/>
      <c r="O5868" s="20"/>
      <c r="P5868" s="21" t="str">
        <f t="shared" si="128"/>
        <v>Truncate table HNUF03;</v>
      </c>
      <c r="Q5868" s="20"/>
      <c r="R5868" s="20"/>
      <c r="S5868"/>
      <c r="T5868"/>
      <c r="U5868"/>
      <c r="V5868"/>
    </row>
    <row r="5869" spans="2:22" x14ac:dyDescent="0.25">
      <c r="B5869" s="20" t="s">
        <v>7795</v>
      </c>
      <c r="C5869" s="21" t="s">
        <v>7796</v>
      </c>
      <c r="D5869" s="16" t="s">
        <v>29</v>
      </c>
      <c r="E5869" s="55"/>
      <c r="F5869" s="55"/>
      <c r="G5869" s="20"/>
      <c r="H5869" s="20"/>
      <c r="I5869" s="20"/>
      <c r="J5869" s="20"/>
      <c r="K5869" s="20"/>
      <c r="L5869" s="20"/>
      <c r="M5869" s="20"/>
      <c r="N5869" s="20"/>
      <c r="O5869" s="20"/>
      <c r="P5869" s="21" t="str">
        <f t="shared" si="128"/>
        <v>Truncate table HNUF10;</v>
      </c>
      <c r="Q5869" s="20"/>
      <c r="R5869" s="20"/>
      <c r="S5869"/>
      <c r="T5869"/>
      <c r="U5869"/>
      <c r="V5869"/>
    </row>
    <row r="5870" spans="2:22" x14ac:dyDescent="0.25">
      <c r="B5870" s="20" t="s">
        <v>7797</v>
      </c>
      <c r="C5870" s="21" t="s">
        <v>7798</v>
      </c>
      <c r="D5870" s="16" t="s">
        <v>29</v>
      </c>
      <c r="E5870" s="55"/>
      <c r="F5870" s="55"/>
      <c r="G5870" s="20"/>
      <c r="H5870" s="20"/>
      <c r="I5870" s="20"/>
      <c r="J5870" s="20"/>
      <c r="K5870" s="20"/>
      <c r="L5870" s="20"/>
      <c r="M5870" s="20"/>
      <c r="N5870" s="20"/>
      <c r="O5870" s="20"/>
      <c r="P5870" s="21" t="str">
        <f t="shared" si="128"/>
        <v>Truncate table HNUF11;</v>
      </c>
      <c r="Q5870" s="20"/>
      <c r="R5870" s="20"/>
      <c r="S5870"/>
      <c r="T5870"/>
      <c r="U5870"/>
      <c r="V5870"/>
    </row>
    <row r="5871" spans="2:22" x14ac:dyDescent="0.25">
      <c r="B5871" s="20" t="s">
        <v>7799</v>
      </c>
      <c r="C5871" s="21" t="s">
        <v>7800</v>
      </c>
      <c r="D5871" s="16" t="s">
        <v>29</v>
      </c>
      <c r="E5871" s="55"/>
      <c r="F5871" s="55"/>
      <c r="G5871" s="20"/>
      <c r="H5871" s="20"/>
      <c r="I5871" s="20"/>
      <c r="J5871" s="20"/>
      <c r="K5871" s="20"/>
      <c r="L5871" s="20"/>
      <c r="M5871" s="20"/>
      <c r="N5871" s="20"/>
      <c r="O5871" s="20"/>
      <c r="P5871" s="21" t="str">
        <f t="shared" si="128"/>
        <v>Truncate table HNUF12;</v>
      </c>
      <c r="Q5871" s="20"/>
      <c r="R5871" s="20"/>
      <c r="S5871"/>
      <c r="T5871"/>
      <c r="U5871"/>
      <c r="V5871"/>
    </row>
    <row r="5872" spans="2:22" x14ac:dyDescent="0.25">
      <c r="B5872" s="20" t="s">
        <v>7801</v>
      </c>
      <c r="C5872" s="21" t="s">
        <v>7802</v>
      </c>
      <c r="D5872" s="16" t="s">
        <v>29</v>
      </c>
      <c r="E5872" s="55"/>
      <c r="F5872" s="55"/>
      <c r="G5872" s="20"/>
      <c r="H5872" s="20"/>
      <c r="I5872" s="20"/>
      <c r="J5872" s="20"/>
      <c r="K5872" s="20"/>
      <c r="L5872" s="20"/>
      <c r="M5872" s="20"/>
      <c r="N5872" s="20"/>
      <c r="O5872" s="20"/>
      <c r="P5872" s="21" t="str">
        <f t="shared" ref="P5872:P5903" si="129">IF(D5872="Datos","Truncate table "&amp; B5872&amp; ";","")</f>
        <v>Truncate table HNUF15;</v>
      </c>
      <c r="Q5872" s="20"/>
      <c r="R5872" s="20"/>
      <c r="S5872"/>
      <c r="T5872"/>
      <c r="U5872"/>
      <c r="V5872"/>
    </row>
    <row r="5873" spans="2:22" x14ac:dyDescent="0.25">
      <c r="B5873" s="20" t="s">
        <v>7803</v>
      </c>
      <c r="C5873" s="21" t="s">
        <v>7804</v>
      </c>
      <c r="D5873" s="16" t="s">
        <v>29</v>
      </c>
      <c r="E5873" s="55"/>
      <c r="F5873" s="55"/>
      <c r="G5873" s="20"/>
      <c r="H5873" s="20"/>
      <c r="I5873" s="20"/>
      <c r="J5873" s="20"/>
      <c r="K5873" s="20"/>
      <c r="L5873" s="20"/>
      <c r="M5873" s="20"/>
      <c r="N5873" s="20"/>
      <c r="O5873" s="20"/>
      <c r="P5873" s="21" t="str">
        <f t="shared" si="129"/>
        <v>Truncate table HNUF18;</v>
      </c>
      <c r="Q5873" s="20"/>
      <c r="R5873" s="20"/>
      <c r="S5873"/>
      <c r="T5873"/>
      <c r="U5873"/>
      <c r="V5873"/>
    </row>
    <row r="5874" spans="2:22" x14ac:dyDescent="0.25">
      <c r="B5874" s="20" t="s">
        <v>7805</v>
      </c>
      <c r="C5874" s="21" t="s">
        <v>7806</v>
      </c>
      <c r="D5874" s="16" t="s">
        <v>29</v>
      </c>
      <c r="E5874" s="55"/>
      <c r="F5874" s="55"/>
      <c r="G5874" s="20"/>
      <c r="H5874" s="20"/>
      <c r="I5874" s="20"/>
      <c r="J5874" s="20"/>
      <c r="K5874" s="20"/>
      <c r="L5874" s="20"/>
      <c r="M5874" s="20"/>
      <c r="N5874" s="20"/>
      <c r="O5874" s="20"/>
      <c r="P5874" s="21" t="str">
        <f t="shared" si="129"/>
        <v>Truncate table HNUF19;</v>
      </c>
      <c r="Q5874" s="20"/>
      <c r="R5874" s="20"/>
      <c r="S5874"/>
      <c r="T5874"/>
      <c r="U5874"/>
      <c r="V5874"/>
    </row>
    <row r="5875" spans="2:22" x14ac:dyDescent="0.25">
      <c r="B5875" s="20" t="s">
        <v>7807</v>
      </c>
      <c r="C5875" s="21" t="s">
        <v>7808</v>
      </c>
      <c r="D5875" s="16" t="s">
        <v>29</v>
      </c>
      <c r="E5875" s="55"/>
      <c r="F5875" s="55"/>
      <c r="G5875" s="20"/>
      <c r="H5875" s="20"/>
      <c r="I5875" s="20"/>
      <c r="J5875" s="20"/>
      <c r="K5875" s="20"/>
      <c r="L5875" s="20"/>
      <c r="M5875" s="20"/>
      <c r="N5875" s="20"/>
      <c r="O5875" s="20"/>
      <c r="P5875" s="21" t="str">
        <f t="shared" si="129"/>
        <v>Truncate table HNUF20;</v>
      </c>
      <c r="Q5875" s="20"/>
      <c r="R5875" s="20"/>
      <c r="S5875"/>
      <c r="T5875"/>
      <c r="U5875"/>
      <c r="V5875"/>
    </row>
    <row r="5876" spans="2:22" x14ac:dyDescent="0.25">
      <c r="B5876" s="20" t="s">
        <v>7809</v>
      </c>
      <c r="C5876" s="21" t="s">
        <v>7810</v>
      </c>
      <c r="D5876" s="16" t="s">
        <v>29</v>
      </c>
      <c r="E5876" s="55"/>
      <c r="F5876" s="55"/>
      <c r="G5876" s="20"/>
      <c r="H5876" s="20"/>
      <c r="I5876" s="20"/>
      <c r="J5876" s="20"/>
      <c r="K5876" s="20"/>
      <c r="L5876" s="20"/>
      <c r="M5876" s="20"/>
      <c r="N5876" s="20"/>
      <c r="O5876" s="20"/>
      <c r="P5876" s="21" t="str">
        <f t="shared" si="129"/>
        <v>Truncate table HNUF21;</v>
      </c>
      <c r="Q5876" s="20"/>
      <c r="R5876" s="20"/>
      <c r="S5876"/>
      <c r="T5876"/>
      <c r="U5876"/>
      <c r="V5876"/>
    </row>
    <row r="5877" spans="2:22" x14ac:dyDescent="0.25">
      <c r="B5877" s="20" t="s">
        <v>7811</v>
      </c>
      <c r="C5877" s="21" t="s">
        <v>7812</v>
      </c>
      <c r="D5877" s="16" t="s">
        <v>29</v>
      </c>
      <c r="E5877" s="55"/>
      <c r="F5877" s="55"/>
      <c r="G5877" s="20"/>
      <c r="H5877" s="20"/>
      <c r="I5877" s="20"/>
      <c r="J5877" s="20"/>
      <c r="K5877" s="20"/>
      <c r="L5877" s="20"/>
      <c r="M5877" s="20"/>
      <c r="N5877" s="20"/>
      <c r="O5877" s="20"/>
      <c r="P5877" s="21" t="str">
        <f t="shared" si="129"/>
        <v>Truncate table HNUF22;</v>
      </c>
      <c r="Q5877" s="20"/>
      <c r="R5877" s="20"/>
      <c r="S5877"/>
      <c r="T5877"/>
      <c r="U5877"/>
      <c r="V5877"/>
    </row>
    <row r="5878" spans="2:22" x14ac:dyDescent="0.25">
      <c r="B5878" s="20" t="s">
        <v>7813</v>
      </c>
      <c r="C5878" s="21" t="s">
        <v>7814</v>
      </c>
      <c r="D5878" s="16" t="s">
        <v>29</v>
      </c>
      <c r="E5878" s="55"/>
      <c r="F5878" s="55"/>
      <c r="G5878" s="20"/>
      <c r="H5878" s="20"/>
      <c r="I5878" s="20"/>
      <c r="J5878" s="20"/>
      <c r="K5878" s="20"/>
      <c r="L5878" s="20"/>
      <c r="M5878" s="20"/>
      <c r="N5878" s="20"/>
      <c r="O5878" s="20"/>
      <c r="P5878" s="21" t="str">
        <f t="shared" si="129"/>
        <v>Truncate table HNUF23;</v>
      </c>
      <c r="Q5878" s="20"/>
      <c r="R5878" s="20"/>
      <c r="S5878"/>
      <c r="T5878"/>
      <c r="U5878"/>
      <c r="V5878"/>
    </row>
    <row r="5879" spans="2:22" x14ac:dyDescent="0.25">
      <c r="B5879" s="20" t="s">
        <v>7815</v>
      </c>
      <c r="C5879" s="21" t="s">
        <v>7816</v>
      </c>
      <c r="D5879" s="16" t="s">
        <v>29</v>
      </c>
      <c r="E5879" s="55"/>
      <c r="F5879" s="55"/>
      <c r="G5879" s="20"/>
      <c r="H5879" s="20"/>
      <c r="I5879" s="20"/>
      <c r="J5879" s="20"/>
      <c r="K5879" s="20"/>
      <c r="L5879" s="20"/>
      <c r="M5879" s="20"/>
      <c r="N5879" s="20"/>
      <c r="O5879" s="20"/>
      <c r="P5879" s="21" t="str">
        <f t="shared" si="129"/>
        <v>Truncate table HNUF24;</v>
      </c>
      <c r="Q5879" s="20"/>
      <c r="R5879" s="20"/>
      <c r="S5879"/>
      <c r="T5879"/>
      <c r="U5879"/>
      <c r="V5879"/>
    </row>
    <row r="5880" spans="2:22" x14ac:dyDescent="0.25">
      <c r="B5880" s="20" t="s">
        <v>7817</v>
      </c>
      <c r="C5880" s="21" t="s">
        <v>7818</v>
      </c>
      <c r="D5880" s="16" t="s">
        <v>29</v>
      </c>
      <c r="E5880" s="55"/>
      <c r="F5880" s="55"/>
      <c r="G5880" s="20"/>
      <c r="H5880" s="20"/>
      <c r="I5880" s="20"/>
      <c r="J5880" s="20"/>
      <c r="K5880" s="20"/>
      <c r="L5880" s="20"/>
      <c r="M5880" s="20"/>
      <c r="N5880" s="20"/>
      <c r="O5880" s="20"/>
      <c r="P5880" s="21" t="str">
        <f t="shared" si="129"/>
        <v>Truncate table HNUF25;</v>
      </c>
      <c r="Q5880" s="20"/>
      <c r="R5880" s="20"/>
      <c r="S5880"/>
      <c r="T5880"/>
      <c r="U5880"/>
      <c r="V5880"/>
    </row>
    <row r="5881" spans="2:22" x14ac:dyDescent="0.25">
      <c r="B5881" s="20" t="s">
        <v>7819</v>
      </c>
      <c r="C5881" s="21" t="s">
        <v>7820</v>
      </c>
      <c r="D5881" s="16" t="s">
        <v>29</v>
      </c>
      <c r="E5881" s="55"/>
      <c r="F5881" s="55"/>
      <c r="G5881" s="20"/>
      <c r="H5881" s="20"/>
      <c r="I5881" s="20"/>
      <c r="J5881" s="20"/>
      <c r="K5881" s="20"/>
      <c r="L5881" s="20"/>
      <c r="M5881" s="20"/>
      <c r="N5881" s="20"/>
      <c r="O5881" s="20"/>
      <c r="P5881" s="21" t="str">
        <f t="shared" si="129"/>
        <v>Truncate table HNUF27;</v>
      </c>
      <c r="Q5881" s="20"/>
      <c r="R5881" s="20"/>
      <c r="S5881"/>
      <c r="T5881"/>
      <c r="U5881"/>
      <c r="V5881"/>
    </row>
    <row r="5882" spans="2:22" x14ac:dyDescent="0.25">
      <c r="B5882" s="20" t="s">
        <v>7821</v>
      </c>
      <c r="C5882" s="21" t="s">
        <v>7822</v>
      </c>
      <c r="D5882" s="16" t="s">
        <v>29</v>
      </c>
      <c r="E5882" s="55"/>
      <c r="F5882" s="55"/>
      <c r="G5882" s="20"/>
      <c r="H5882" s="20"/>
      <c r="I5882" s="20"/>
      <c r="J5882" s="20"/>
      <c r="K5882" s="20"/>
      <c r="L5882" s="20"/>
      <c r="M5882" s="20"/>
      <c r="N5882" s="20"/>
      <c r="O5882" s="20"/>
      <c r="P5882" s="21" t="str">
        <f t="shared" si="129"/>
        <v>Truncate table HNUF28;</v>
      </c>
      <c r="Q5882" s="20"/>
      <c r="R5882" s="20"/>
      <c r="S5882"/>
      <c r="T5882"/>
      <c r="U5882"/>
      <c r="V5882"/>
    </row>
    <row r="5883" spans="2:22" x14ac:dyDescent="0.25">
      <c r="B5883" s="20" t="s">
        <v>7823</v>
      </c>
      <c r="C5883" s="21" t="s">
        <v>7824</v>
      </c>
      <c r="D5883" s="16" t="s">
        <v>29</v>
      </c>
      <c r="E5883" s="55"/>
      <c r="F5883" s="55"/>
      <c r="G5883" s="20"/>
      <c r="H5883" s="20"/>
      <c r="I5883" s="20"/>
      <c r="J5883" s="20"/>
      <c r="K5883" s="20"/>
      <c r="L5883" s="20"/>
      <c r="M5883" s="20"/>
      <c r="N5883" s="20"/>
      <c r="O5883" s="20"/>
      <c r="P5883" s="21" t="str">
        <f t="shared" si="129"/>
        <v>Truncate table HNUF29;</v>
      </c>
      <c r="Q5883" s="20"/>
      <c r="R5883" s="20"/>
      <c r="S5883"/>
      <c r="T5883"/>
      <c r="U5883"/>
      <c r="V5883"/>
    </row>
    <row r="5884" spans="2:22" x14ac:dyDescent="0.25">
      <c r="B5884" s="20" t="s">
        <v>7825</v>
      </c>
      <c r="C5884" s="21" t="s">
        <v>7826</v>
      </c>
      <c r="D5884" s="16" t="s">
        <v>29</v>
      </c>
      <c r="E5884" s="55"/>
      <c r="F5884" s="55"/>
      <c r="G5884" s="20"/>
      <c r="H5884" s="20"/>
      <c r="I5884" s="20"/>
      <c r="J5884" s="20"/>
      <c r="K5884" s="20"/>
      <c r="L5884" s="20"/>
      <c r="M5884" s="20"/>
      <c r="N5884" s="20"/>
      <c r="O5884" s="20"/>
      <c r="P5884" s="21" t="str">
        <f t="shared" si="129"/>
        <v>Truncate table HNUF30;</v>
      </c>
      <c r="Q5884" s="20"/>
      <c r="R5884" s="20"/>
      <c r="S5884"/>
      <c r="T5884"/>
      <c r="U5884"/>
      <c r="V5884"/>
    </row>
    <row r="5885" spans="2:22" x14ac:dyDescent="0.25">
      <c r="B5885" s="20" t="s">
        <v>7827</v>
      </c>
      <c r="C5885" s="21" t="s">
        <v>7828</v>
      </c>
      <c r="D5885" s="16" t="s">
        <v>29</v>
      </c>
      <c r="E5885" s="55"/>
      <c r="F5885" s="55"/>
      <c r="G5885" s="20"/>
      <c r="H5885" s="20"/>
      <c r="I5885" s="20"/>
      <c r="J5885" s="20"/>
      <c r="K5885" s="20"/>
      <c r="L5885" s="20"/>
      <c r="M5885" s="20"/>
      <c r="N5885" s="20"/>
      <c r="O5885" s="20"/>
      <c r="P5885" s="21" t="str">
        <f t="shared" si="129"/>
        <v>Truncate table HNUF31;</v>
      </c>
      <c r="Q5885" s="20"/>
      <c r="R5885" s="20"/>
      <c r="S5885"/>
      <c r="T5885"/>
      <c r="U5885"/>
      <c r="V5885"/>
    </row>
    <row r="5886" spans="2:22" x14ac:dyDescent="0.25">
      <c r="B5886" s="20" t="s">
        <v>7829</v>
      </c>
      <c r="C5886" s="21" t="s">
        <v>7830</v>
      </c>
      <c r="D5886" s="16" t="s">
        <v>29</v>
      </c>
      <c r="E5886" s="55"/>
      <c r="F5886" s="55"/>
      <c r="G5886" s="20"/>
      <c r="H5886" s="20"/>
      <c r="I5886" s="20"/>
      <c r="J5886" s="20"/>
      <c r="K5886" s="20"/>
      <c r="L5886" s="20"/>
      <c r="M5886" s="20"/>
      <c r="N5886" s="20"/>
      <c r="O5886" s="20"/>
      <c r="P5886" s="21" t="str">
        <f t="shared" si="129"/>
        <v>Truncate table HNUF32;</v>
      </c>
      <c r="Q5886" s="20"/>
      <c r="R5886" s="20"/>
      <c r="S5886"/>
      <c r="T5886"/>
      <c r="U5886"/>
      <c r="V5886"/>
    </row>
    <row r="5887" spans="2:22" x14ac:dyDescent="0.25">
      <c r="B5887" s="20" t="s">
        <v>7831</v>
      </c>
      <c r="C5887" s="21" t="s">
        <v>7832</v>
      </c>
      <c r="D5887" s="16" t="s">
        <v>29</v>
      </c>
      <c r="E5887" s="55"/>
      <c r="F5887" s="55"/>
      <c r="G5887" s="20"/>
      <c r="H5887" s="20"/>
      <c r="I5887" s="20"/>
      <c r="J5887" s="20"/>
      <c r="K5887" s="20"/>
      <c r="L5887" s="20"/>
      <c r="M5887" s="20"/>
      <c r="N5887" s="20"/>
      <c r="O5887" s="20"/>
      <c r="P5887" s="21" t="str">
        <f t="shared" si="129"/>
        <v>Truncate table HNUF40;</v>
      </c>
      <c r="Q5887" s="20"/>
      <c r="R5887" s="20"/>
      <c r="S5887"/>
      <c r="T5887"/>
      <c r="U5887"/>
      <c r="V5887"/>
    </row>
    <row r="5888" spans="2:22" x14ac:dyDescent="0.25">
      <c r="B5888" s="20" t="s">
        <v>7833</v>
      </c>
      <c r="C5888" s="21" t="s">
        <v>7834</v>
      </c>
      <c r="D5888" s="16" t="s">
        <v>29</v>
      </c>
      <c r="E5888" s="55"/>
      <c r="F5888" s="55"/>
      <c r="G5888" s="20"/>
      <c r="H5888" s="20"/>
      <c r="I5888" s="20"/>
      <c r="J5888" s="20"/>
      <c r="K5888" s="20"/>
      <c r="L5888" s="20"/>
      <c r="M5888" s="20"/>
      <c r="N5888" s="20"/>
      <c r="O5888" s="20"/>
      <c r="P5888" s="21" t="str">
        <f t="shared" si="129"/>
        <v>Truncate table HNUF41;</v>
      </c>
      <c r="Q5888" s="20"/>
      <c r="R5888" s="20"/>
      <c r="S5888"/>
      <c r="T5888"/>
      <c r="U5888"/>
      <c r="V5888"/>
    </row>
    <row r="5889" spans="2:22" x14ac:dyDescent="0.25">
      <c r="B5889" s="20" t="s">
        <v>7835</v>
      </c>
      <c r="C5889" s="21" t="s">
        <v>7836</v>
      </c>
      <c r="D5889" s="16" t="s">
        <v>29</v>
      </c>
      <c r="E5889" s="55"/>
      <c r="F5889" s="55"/>
      <c r="G5889" s="20"/>
      <c r="H5889" s="20"/>
      <c r="I5889" s="20"/>
      <c r="J5889" s="20"/>
      <c r="K5889" s="20"/>
      <c r="L5889" s="20"/>
      <c r="M5889" s="20"/>
      <c r="N5889" s="20"/>
      <c r="O5889" s="20"/>
      <c r="P5889" s="21" t="str">
        <f t="shared" si="129"/>
        <v>Truncate table HNUF42;</v>
      </c>
      <c r="Q5889" s="20"/>
      <c r="R5889" s="20"/>
      <c r="S5889"/>
      <c r="T5889"/>
      <c r="U5889"/>
      <c r="V5889"/>
    </row>
    <row r="5890" spans="2:22" x14ac:dyDescent="0.25">
      <c r="B5890" s="20" t="s">
        <v>7837</v>
      </c>
      <c r="C5890" s="21" t="s">
        <v>7838</v>
      </c>
      <c r="D5890" s="16" t="s">
        <v>29</v>
      </c>
      <c r="E5890" s="55"/>
      <c r="F5890" s="55"/>
      <c r="G5890" s="20"/>
      <c r="H5890" s="20"/>
      <c r="I5890" s="20"/>
      <c r="J5890" s="20"/>
      <c r="K5890" s="20"/>
      <c r="L5890" s="20"/>
      <c r="M5890" s="20"/>
      <c r="N5890" s="20"/>
      <c r="O5890" s="20"/>
      <c r="P5890" s="21" t="str">
        <f t="shared" si="129"/>
        <v>Truncate table HNUF42B;</v>
      </c>
      <c r="Q5890" s="20"/>
      <c r="R5890" s="20"/>
      <c r="S5890"/>
      <c r="T5890"/>
      <c r="U5890"/>
      <c r="V5890"/>
    </row>
    <row r="5891" spans="2:22" x14ac:dyDescent="0.25">
      <c r="B5891" s="20" t="s">
        <v>7839</v>
      </c>
      <c r="C5891" s="21" t="s">
        <v>7840</v>
      </c>
      <c r="D5891" s="16" t="s">
        <v>29</v>
      </c>
      <c r="E5891" s="55"/>
      <c r="F5891" s="55"/>
      <c r="G5891" s="20"/>
      <c r="H5891" s="20"/>
      <c r="I5891" s="20"/>
      <c r="J5891" s="20"/>
      <c r="K5891" s="20"/>
      <c r="L5891" s="20"/>
      <c r="M5891" s="20"/>
      <c r="N5891" s="20"/>
      <c r="O5891" s="20"/>
      <c r="P5891" s="21" t="str">
        <f t="shared" si="129"/>
        <v>Truncate table HNUF51;</v>
      </c>
      <c r="Q5891" s="20"/>
      <c r="R5891" s="20"/>
      <c r="S5891"/>
      <c r="T5891"/>
      <c r="U5891"/>
      <c r="V5891"/>
    </row>
    <row r="5892" spans="2:22" x14ac:dyDescent="0.25">
      <c r="B5892" s="20" t="s">
        <v>7841</v>
      </c>
      <c r="C5892" s="21" t="s">
        <v>7842</v>
      </c>
      <c r="D5892" s="16" t="s">
        <v>29</v>
      </c>
      <c r="E5892" s="55"/>
      <c r="F5892" s="55"/>
      <c r="G5892" s="20"/>
      <c r="H5892" s="20"/>
      <c r="I5892" s="20"/>
      <c r="J5892" s="20"/>
      <c r="K5892" s="20"/>
      <c r="L5892" s="20"/>
      <c r="M5892" s="20"/>
      <c r="N5892" s="20"/>
      <c r="O5892" s="20"/>
      <c r="P5892" s="21" t="str">
        <f t="shared" si="129"/>
        <v>Truncate table HNUF53;</v>
      </c>
      <c r="Q5892" s="20"/>
      <c r="R5892" s="20"/>
      <c r="S5892"/>
      <c r="T5892"/>
      <c r="U5892"/>
      <c r="V5892"/>
    </row>
    <row r="5893" spans="2:22" x14ac:dyDescent="0.25">
      <c r="B5893" s="20" t="s">
        <v>7843</v>
      </c>
      <c r="C5893" s="21" t="s">
        <v>7844</v>
      </c>
      <c r="D5893" s="16" t="s">
        <v>29</v>
      </c>
      <c r="E5893" s="55"/>
      <c r="F5893" s="55"/>
      <c r="G5893" s="20"/>
      <c r="H5893" s="20"/>
      <c r="I5893" s="20"/>
      <c r="J5893" s="20"/>
      <c r="K5893" s="20"/>
      <c r="L5893" s="20"/>
      <c r="M5893" s="20"/>
      <c r="N5893" s="20"/>
      <c r="O5893" s="20"/>
      <c r="P5893" s="21" t="str">
        <f t="shared" si="129"/>
        <v>Truncate table HNUF76;</v>
      </c>
      <c r="Q5893" s="20"/>
      <c r="R5893" s="20"/>
      <c r="S5893"/>
      <c r="T5893"/>
      <c r="U5893"/>
      <c r="V5893"/>
    </row>
    <row r="5894" spans="2:22" x14ac:dyDescent="0.25">
      <c r="B5894" s="20" t="s">
        <v>7845</v>
      </c>
      <c r="C5894" s="21" t="s">
        <v>7846</v>
      </c>
      <c r="D5894" s="16" t="s">
        <v>29</v>
      </c>
      <c r="E5894" s="55"/>
      <c r="F5894" s="55"/>
      <c r="G5894" s="20"/>
      <c r="H5894" s="20"/>
      <c r="I5894" s="20"/>
      <c r="J5894" s="20"/>
      <c r="K5894" s="20"/>
      <c r="L5894" s="20"/>
      <c r="M5894" s="20"/>
      <c r="N5894" s="20"/>
      <c r="O5894" s="20"/>
      <c r="P5894" s="21" t="str">
        <f t="shared" si="129"/>
        <v>Truncate table HNUF8A;</v>
      </c>
      <c r="Q5894" s="20"/>
      <c r="R5894" s="20"/>
      <c r="S5894"/>
      <c r="T5894"/>
      <c r="U5894"/>
      <c r="V5894"/>
    </row>
    <row r="5895" spans="2:22" x14ac:dyDescent="0.25">
      <c r="B5895" s="20" t="s">
        <v>7847</v>
      </c>
      <c r="C5895" s="21" t="s">
        <v>7848</v>
      </c>
      <c r="D5895" s="16" t="s">
        <v>29</v>
      </c>
      <c r="E5895" s="55"/>
      <c r="F5895" s="55"/>
      <c r="G5895" s="20"/>
      <c r="H5895" s="20"/>
      <c r="I5895" s="20"/>
      <c r="J5895" s="20"/>
      <c r="K5895" s="20"/>
      <c r="L5895" s="20"/>
      <c r="M5895" s="20"/>
      <c r="N5895" s="20"/>
      <c r="O5895" s="20"/>
      <c r="P5895" s="21" t="str">
        <f t="shared" si="129"/>
        <v>Truncate table HNUF99;</v>
      </c>
      <c r="Q5895" s="20"/>
      <c r="R5895" s="20"/>
      <c r="S5895"/>
      <c r="T5895"/>
      <c r="U5895"/>
      <c r="V5895"/>
    </row>
    <row r="5896" spans="2:22" x14ac:dyDescent="0.25">
      <c r="B5896" s="20" t="s">
        <v>7849</v>
      </c>
      <c r="C5896" s="21" t="s">
        <v>3275</v>
      </c>
      <c r="D5896" s="16" t="s">
        <v>29</v>
      </c>
      <c r="E5896" s="55"/>
      <c r="F5896" s="55" t="s">
        <v>3133</v>
      </c>
      <c r="G5896" s="20"/>
      <c r="H5896" s="20"/>
      <c r="I5896" s="20"/>
      <c r="J5896" s="20"/>
      <c r="K5896" s="20"/>
      <c r="L5896" s="20"/>
      <c r="M5896" s="20"/>
      <c r="N5896" s="20"/>
      <c r="O5896" s="20"/>
      <c r="P5896" s="21" t="str">
        <f t="shared" si="129"/>
        <v>Truncate table FSFG01;</v>
      </c>
      <c r="Q5896" s="20"/>
      <c r="R5896" s="20"/>
      <c r="S5896"/>
      <c r="T5896"/>
      <c r="U5896"/>
      <c r="V5896"/>
    </row>
    <row r="5897" spans="2:22" x14ac:dyDescent="0.25">
      <c r="B5897" s="20" t="s">
        <v>7850</v>
      </c>
      <c r="C5897" s="21" t="s">
        <v>3275</v>
      </c>
      <c r="D5897" s="16" t="s">
        <v>29</v>
      </c>
      <c r="E5897" s="55"/>
      <c r="F5897" s="55" t="s">
        <v>3133</v>
      </c>
      <c r="G5897" s="20"/>
      <c r="H5897" s="20"/>
      <c r="I5897" s="20"/>
      <c r="J5897" s="20"/>
      <c r="K5897" s="20"/>
      <c r="L5897" s="20"/>
      <c r="M5897" s="20"/>
      <c r="N5897" s="20"/>
      <c r="O5897" s="20"/>
      <c r="P5897" s="21" t="str">
        <f t="shared" si="129"/>
        <v>Truncate table FSFG02;</v>
      </c>
      <c r="Q5897" s="20"/>
      <c r="R5897" s="20"/>
      <c r="S5897"/>
      <c r="T5897"/>
      <c r="U5897"/>
      <c r="V5897"/>
    </row>
    <row r="5898" spans="2:22" x14ac:dyDescent="0.25">
      <c r="B5898" s="20" t="s">
        <v>7851</v>
      </c>
      <c r="C5898" s="21" t="s">
        <v>3275</v>
      </c>
      <c r="D5898" s="16" t="s">
        <v>29</v>
      </c>
      <c r="E5898" s="55"/>
      <c r="F5898" s="55" t="s">
        <v>3133</v>
      </c>
      <c r="G5898" s="20"/>
      <c r="H5898" s="20"/>
      <c r="I5898" s="20"/>
      <c r="J5898" s="20"/>
      <c r="K5898" s="20"/>
      <c r="L5898" s="20"/>
      <c r="M5898" s="20"/>
      <c r="N5898" s="20"/>
      <c r="O5898" s="20"/>
      <c r="P5898" s="21" t="str">
        <f t="shared" si="129"/>
        <v>Truncate table FSFG03;</v>
      </c>
      <c r="Q5898" s="20"/>
      <c r="R5898" s="20"/>
      <c r="S5898"/>
      <c r="T5898"/>
      <c r="U5898"/>
      <c r="V5898"/>
    </row>
    <row r="5899" spans="2:22" x14ac:dyDescent="0.25">
      <c r="B5899" s="20" t="s">
        <v>7852</v>
      </c>
      <c r="C5899" s="21" t="s">
        <v>3275</v>
      </c>
      <c r="D5899" s="16" t="s">
        <v>29</v>
      </c>
      <c r="E5899" s="55"/>
      <c r="F5899" s="55" t="s">
        <v>3133</v>
      </c>
      <c r="G5899" s="20"/>
      <c r="H5899" s="20"/>
      <c r="I5899" s="20"/>
      <c r="J5899" s="20"/>
      <c r="K5899" s="20"/>
      <c r="L5899" s="20"/>
      <c r="M5899" s="20"/>
      <c r="N5899" s="20"/>
      <c r="O5899" s="20"/>
      <c r="P5899" s="21" t="str">
        <f t="shared" si="129"/>
        <v>Truncate table FSFG04;</v>
      </c>
      <c r="Q5899" s="20"/>
      <c r="R5899" s="20"/>
      <c r="S5899"/>
      <c r="T5899"/>
      <c r="U5899"/>
      <c r="V5899"/>
    </row>
    <row r="5900" spans="2:22" x14ac:dyDescent="0.25">
      <c r="B5900" s="20" t="s">
        <v>7853</v>
      </c>
      <c r="C5900" s="21" t="s">
        <v>3275</v>
      </c>
      <c r="D5900" s="16" t="s">
        <v>29</v>
      </c>
      <c r="E5900" s="55"/>
      <c r="F5900" s="55" t="s">
        <v>3133</v>
      </c>
      <c r="G5900" s="20"/>
      <c r="H5900" s="20"/>
      <c r="I5900" s="20"/>
      <c r="J5900" s="20"/>
      <c r="K5900" s="20"/>
      <c r="L5900" s="20"/>
      <c r="M5900" s="20"/>
      <c r="N5900" s="20"/>
      <c r="O5900" s="20"/>
      <c r="P5900" s="21" t="str">
        <f t="shared" si="129"/>
        <v>Truncate table FSFG05;</v>
      </c>
      <c r="Q5900" s="20"/>
      <c r="R5900" s="20"/>
      <c r="S5900"/>
      <c r="T5900"/>
      <c r="U5900"/>
      <c r="V5900"/>
    </row>
    <row r="5901" spans="2:22" x14ac:dyDescent="0.25">
      <c r="B5901" s="20" t="s">
        <v>7854</v>
      </c>
      <c r="C5901" s="21" t="s">
        <v>3275</v>
      </c>
      <c r="D5901" s="16" t="s">
        <v>29</v>
      </c>
      <c r="E5901" s="55"/>
      <c r="F5901" s="55" t="s">
        <v>3133</v>
      </c>
      <c r="G5901" s="20"/>
      <c r="H5901" s="20"/>
      <c r="I5901" s="20"/>
      <c r="J5901" s="20"/>
      <c r="K5901" s="20"/>
      <c r="L5901" s="20"/>
      <c r="M5901" s="20"/>
      <c r="N5901" s="20"/>
      <c r="O5901" s="20"/>
      <c r="P5901" s="21" t="str">
        <f t="shared" si="129"/>
        <v>Truncate table FSFG06;</v>
      </c>
      <c r="Q5901" s="20"/>
      <c r="R5901" s="20"/>
      <c r="S5901"/>
      <c r="T5901"/>
      <c r="U5901"/>
      <c r="V5901"/>
    </row>
    <row r="5902" spans="2:22" x14ac:dyDescent="0.25">
      <c r="B5902" s="20" t="s">
        <v>7855</v>
      </c>
      <c r="C5902" s="21" t="s">
        <v>7856</v>
      </c>
      <c r="D5902" s="16" t="s">
        <v>29</v>
      </c>
      <c r="E5902" s="55"/>
      <c r="F5902" s="55" t="s">
        <v>1198</v>
      </c>
      <c r="G5902" s="20"/>
      <c r="H5902" s="20"/>
      <c r="I5902" s="20"/>
      <c r="J5902" s="20"/>
      <c r="K5902" s="20"/>
      <c r="L5902" s="20"/>
      <c r="M5902" s="20"/>
      <c r="N5902" s="20"/>
      <c r="O5902" s="20"/>
      <c r="P5902" s="21" t="str">
        <f t="shared" si="129"/>
        <v>Truncate table IAR024;</v>
      </c>
      <c r="Q5902" s="20"/>
      <c r="R5902" s="20"/>
      <c r="S5902"/>
      <c r="T5902"/>
      <c r="U5902"/>
      <c r="V5902"/>
    </row>
    <row r="5903" spans="2:22" x14ac:dyDescent="0.25">
      <c r="B5903" s="20" t="s">
        <v>7857</v>
      </c>
      <c r="C5903" s="21" t="s">
        <v>7858</v>
      </c>
      <c r="D5903" s="16" t="s">
        <v>29</v>
      </c>
      <c r="E5903" s="55"/>
      <c r="F5903" s="55" t="s">
        <v>33</v>
      </c>
      <c r="G5903" s="20"/>
      <c r="H5903" s="20"/>
      <c r="I5903" s="20"/>
      <c r="J5903" s="20"/>
      <c r="K5903" s="20"/>
      <c r="L5903" s="20"/>
      <c r="M5903" s="20"/>
      <c r="N5903" s="20"/>
      <c r="O5903" s="20"/>
      <c r="P5903" s="21" t="str">
        <f t="shared" si="129"/>
        <v>Truncate table MORD50;</v>
      </c>
      <c r="Q5903" s="20"/>
      <c r="R5903" s="20"/>
      <c r="S5903"/>
      <c r="T5903"/>
      <c r="U5903"/>
      <c r="V5903"/>
    </row>
    <row r="5904" spans="2:22" x14ac:dyDescent="0.25">
      <c r="B5904" s="20" t="s">
        <v>7859</v>
      </c>
      <c r="C5904" s="21" t="s">
        <v>7860</v>
      </c>
      <c r="D5904" s="16" t="s">
        <v>29</v>
      </c>
      <c r="E5904" s="55"/>
      <c r="F5904" s="55" t="s">
        <v>7670</v>
      </c>
      <c r="G5904" s="20"/>
      <c r="H5904" s="20"/>
      <c r="I5904" s="20"/>
      <c r="J5904" s="20"/>
      <c r="K5904" s="20"/>
      <c r="L5904" s="20"/>
      <c r="M5904" s="20"/>
      <c r="N5904" s="20"/>
      <c r="O5904" s="20"/>
      <c r="P5904" s="21" t="str">
        <f t="shared" ref="P5904:P5923" si="130">IF(D5904="Datos","Truncate table "&amp; B5904&amp; ";","")</f>
        <v>Truncate table MPE003;</v>
      </c>
      <c r="Q5904" s="20"/>
      <c r="R5904" s="20"/>
      <c r="S5904"/>
      <c r="T5904"/>
      <c r="U5904"/>
      <c r="V5904"/>
    </row>
    <row r="5905" spans="2:22" x14ac:dyDescent="0.25">
      <c r="B5905" s="20" t="s">
        <v>7861</v>
      </c>
      <c r="C5905" s="21" t="s">
        <v>7862</v>
      </c>
      <c r="D5905" s="16" t="s">
        <v>29</v>
      </c>
      <c r="E5905" s="55"/>
      <c r="F5905" s="55" t="s">
        <v>7670</v>
      </c>
      <c r="G5905" s="20"/>
      <c r="H5905" s="20"/>
      <c r="I5905" s="20"/>
      <c r="J5905" s="20"/>
      <c r="K5905" s="20"/>
      <c r="L5905" s="20"/>
      <c r="M5905" s="20"/>
      <c r="N5905" s="20"/>
      <c r="O5905" s="20"/>
      <c r="P5905" s="21" t="str">
        <f t="shared" si="130"/>
        <v>Truncate table MPE012;</v>
      </c>
      <c r="Q5905" s="20"/>
      <c r="R5905" s="20"/>
      <c r="S5905"/>
      <c r="T5905"/>
      <c r="U5905"/>
      <c r="V5905"/>
    </row>
    <row r="5906" spans="2:22" x14ac:dyDescent="0.25">
      <c r="B5906" s="20" t="s">
        <v>7863</v>
      </c>
      <c r="C5906" s="21" t="s">
        <v>5493</v>
      </c>
      <c r="D5906" s="16" t="s">
        <v>29</v>
      </c>
      <c r="E5906" s="55"/>
      <c r="F5906" s="55" t="s">
        <v>7670</v>
      </c>
      <c r="G5906" s="20"/>
      <c r="H5906" s="20"/>
      <c r="I5906" s="20"/>
      <c r="J5906" s="20"/>
      <c r="K5906" s="20"/>
      <c r="L5906" s="20"/>
      <c r="M5906" s="20"/>
      <c r="N5906" s="20"/>
      <c r="O5906" s="20"/>
      <c r="P5906" s="21" t="str">
        <f t="shared" si="130"/>
        <v>Truncate table MPE021;</v>
      </c>
      <c r="Q5906" s="20"/>
      <c r="R5906" s="20"/>
      <c r="S5906"/>
      <c r="T5906"/>
      <c r="U5906"/>
      <c r="V5906"/>
    </row>
    <row r="5907" spans="2:22" ht="40.5" x14ac:dyDescent="0.25">
      <c r="B5907" s="21" t="s">
        <v>7864</v>
      </c>
      <c r="C5907" s="21" t="str">
        <f>[7]Hoja1!$C$7</f>
        <v>Extendida Ruta y Transito Banco</v>
      </c>
      <c r="D5907" s="16" t="s">
        <v>29</v>
      </c>
      <c r="E5907" s="34"/>
      <c r="F5907" s="34" t="s">
        <v>699</v>
      </c>
      <c r="G5907" s="21"/>
      <c r="H5907" s="21"/>
      <c r="I5907" s="62" t="s">
        <v>7865</v>
      </c>
      <c r="J5907" s="62" t="s">
        <v>7866</v>
      </c>
      <c r="K5907" s="62" t="s">
        <v>7867</v>
      </c>
      <c r="L5907" s="63" t="s">
        <v>7868</v>
      </c>
      <c r="M5907" s="63"/>
      <c r="N5907" s="21" t="str">
        <f>[7]Hoja1!$K$7</f>
        <v>Parámetros extendidos de Instituciones operantes de la cámara</v>
      </c>
      <c r="O5907" s="21"/>
      <c r="P5907" s="21" t="str">
        <f t="shared" si="130"/>
        <v>Truncate table MPE023;</v>
      </c>
      <c r="Q5907" s="21"/>
      <c r="R5907" s="21"/>
      <c r="S5907"/>
      <c r="T5907"/>
      <c r="U5907"/>
      <c r="V5907"/>
    </row>
    <row r="5908" spans="2:22" x14ac:dyDescent="0.25">
      <c r="B5908" s="20" t="s">
        <v>7869</v>
      </c>
      <c r="C5908" s="21" t="s">
        <v>7870</v>
      </c>
      <c r="D5908" s="16" t="s">
        <v>29</v>
      </c>
      <c r="E5908" s="55"/>
      <c r="F5908" s="55" t="s">
        <v>7670</v>
      </c>
      <c r="G5908" s="20"/>
      <c r="H5908" s="20"/>
      <c r="I5908" s="20"/>
      <c r="J5908" s="20"/>
      <c r="K5908" s="20"/>
      <c r="L5908" s="20"/>
      <c r="M5908" s="20"/>
      <c r="N5908" s="20"/>
      <c r="O5908" s="20"/>
      <c r="P5908" s="21" t="str">
        <f t="shared" si="130"/>
        <v>Truncate table MPE024;</v>
      </c>
      <c r="Q5908" s="20"/>
      <c r="R5908" s="20"/>
      <c r="S5908"/>
      <c r="T5908"/>
      <c r="U5908"/>
      <c r="V5908"/>
    </row>
    <row r="5909" spans="2:22" x14ac:dyDescent="0.25">
      <c r="B5909" s="20" t="s">
        <v>7871</v>
      </c>
      <c r="C5909" s="21" t="s">
        <v>7872</v>
      </c>
      <c r="D5909" s="16" t="s">
        <v>29</v>
      </c>
      <c r="E5909" s="55"/>
      <c r="F5909" s="55" t="s">
        <v>7670</v>
      </c>
      <c r="G5909" s="20"/>
      <c r="H5909" s="20"/>
      <c r="I5909" s="20"/>
      <c r="J5909" s="20"/>
      <c r="K5909" s="20"/>
      <c r="L5909" s="20"/>
      <c r="M5909" s="20"/>
      <c r="N5909" s="20"/>
      <c r="O5909" s="20"/>
      <c r="P5909" s="21" t="str">
        <f t="shared" si="130"/>
        <v>Truncate table MPE028;</v>
      </c>
      <c r="Q5909" s="20"/>
      <c r="R5909" s="20"/>
      <c r="S5909"/>
      <c r="T5909"/>
      <c r="U5909"/>
      <c r="V5909"/>
    </row>
    <row r="5910" spans="2:22" x14ac:dyDescent="0.25">
      <c r="B5910" s="20" t="s">
        <v>7873</v>
      </c>
      <c r="C5910" s="21" t="s">
        <v>7856</v>
      </c>
      <c r="D5910" s="16" t="s">
        <v>29</v>
      </c>
      <c r="E5910" s="55"/>
      <c r="F5910" s="55" t="s">
        <v>1198</v>
      </c>
      <c r="G5910" s="20"/>
      <c r="H5910" s="20"/>
      <c r="I5910" s="20"/>
      <c r="J5910" s="20"/>
      <c r="K5910" s="20"/>
      <c r="L5910" s="20"/>
      <c r="M5910" s="20"/>
      <c r="N5910" s="20"/>
      <c r="O5910" s="20"/>
      <c r="P5910" s="21" t="str">
        <f t="shared" si="130"/>
        <v>Truncate table PR316;</v>
      </c>
      <c r="Q5910" s="20"/>
      <c r="R5910" s="20"/>
      <c r="S5910"/>
      <c r="T5910"/>
      <c r="U5910"/>
      <c r="V5910"/>
    </row>
    <row r="5911" spans="2:22" x14ac:dyDescent="0.25">
      <c r="B5911" s="20" t="s">
        <v>7874</v>
      </c>
      <c r="C5911" s="21" t="s">
        <v>7858</v>
      </c>
      <c r="D5911" s="16" t="s">
        <v>29</v>
      </c>
      <c r="E5911" s="55"/>
      <c r="F5911" s="55" t="s">
        <v>33</v>
      </c>
      <c r="G5911" s="20"/>
      <c r="H5911" s="20"/>
      <c r="I5911" s="20"/>
      <c r="J5911" s="20"/>
      <c r="K5911" s="20"/>
      <c r="L5911" s="20"/>
      <c r="M5911" s="20"/>
      <c r="N5911" s="20"/>
      <c r="O5911" s="20"/>
      <c r="P5911" s="21" t="str">
        <f t="shared" si="130"/>
        <v>Truncate table RIB006;</v>
      </c>
      <c r="Q5911" s="20"/>
      <c r="R5911" s="20"/>
      <c r="S5911"/>
      <c r="T5911"/>
      <c r="U5911"/>
      <c r="V5911"/>
    </row>
    <row r="5912" spans="2:22" x14ac:dyDescent="0.25">
      <c r="B5912" s="20" t="s">
        <v>7875</v>
      </c>
      <c r="C5912" s="21" t="s">
        <v>7858</v>
      </c>
      <c r="D5912" s="16" t="s">
        <v>29</v>
      </c>
      <c r="E5912" s="55"/>
      <c r="F5912" s="55" t="s">
        <v>33</v>
      </c>
      <c r="G5912" s="20"/>
      <c r="H5912" s="20"/>
      <c r="I5912" s="20"/>
      <c r="J5912" s="20"/>
      <c r="K5912" s="20"/>
      <c r="L5912" s="20"/>
      <c r="M5912" s="20"/>
      <c r="N5912" s="20"/>
      <c r="O5912" s="20"/>
      <c r="P5912" s="21" t="str">
        <f t="shared" si="130"/>
        <v>Truncate table RIB014;</v>
      </c>
      <c r="Q5912" s="20"/>
      <c r="R5912" s="20"/>
      <c r="S5912"/>
      <c r="T5912"/>
      <c r="U5912"/>
      <c r="V5912"/>
    </row>
    <row r="5913" spans="2:22" x14ac:dyDescent="0.25">
      <c r="B5913" s="20" t="s">
        <v>7876</v>
      </c>
      <c r="C5913" s="21" t="s">
        <v>7877</v>
      </c>
      <c r="D5913" s="16" t="s">
        <v>29</v>
      </c>
      <c r="E5913" s="55"/>
      <c r="F5913" s="55" t="s">
        <v>33</v>
      </c>
      <c r="G5913" s="20"/>
      <c r="H5913" s="20"/>
      <c r="I5913" s="20"/>
      <c r="J5913" s="20"/>
      <c r="K5913" s="20"/>
      <c r="L5913" s="20"/>
      <c r="M5913" s="20"/>
      <c r="N5913" s="20"/>
      <c r="O5913" s="20"/>
      <c r="P5913" s="21" t="str">
        <f t="shared" si="130"/>
        <v>Truncate table SAT001;</v>
      </c>
      <c r="Q5913" s="20"/>
      <c r="R5913" s="20"/>
      <c r="S5913"/>
      <c r="T5913"/>
      <c r="U5913"/>
      <c r="V5913"/>
    </row>
    <row r="5914" spans="2:22" x14ac:dyDescent="0.25">
      <c r="B5914" s="118" t="s">
        <v>10166</v>
      </c>
      <c r="C5914" s="118" t="s">
        <v>10168</v>
      </c>
      <c r="D5914" s="118" t="s">
        <v>29</v>
      </c>
      <c r="E5914" s="55" t="s">
        <v>54</v>
      </c>
      <c r="F5914" s="55" t="s">
        <v>163</v>
      </c>
      <c r="G5914" s="20"/>
      <c r="H5914" s="20" t="s">
        <v>36</v>
      </c>
      <c r="I5914" s="20"/>
      <c r="J5914" s="20"/>
      <c r="K5914" t="s">
        <v>10161</v>
      </c>
      <c r="L5914" s="20"/>
      <c r="M5914" s="20" t="s">
        <v>10170</v>
      </c>
      <c r="N5914" s="20"/>
      <c r="O5914" s="20"/>
      <c r="P5914" s="21" t="str">
        <f t="shared" si="130"/>
        <v>Truncate table SNGC87;</v>
      </c>
      <c r="Q5914" s="20"/>
      <c r="R5914" s="20"/>
      <c r="S5914"/>
      <c r="T5914"/>
      <c r="U5914"/>
      <c r="V5914"/>
    </row>
    <row r="5915" spans="2:22" x14ac:dyDescent="0.25">
      <c r="B5915" s="118" t="s">
        <v>10167</v>
      </c>
      <c r="C5915" s="118" t="s">
        <v>10169</v>
      </c>
      <c r="D5915" s="118" t="s">
        <v>8152</v>
      </c>
      <c r="E5915" s="55" t="s">
        <v>54</v>
      </c>
      <c r="F5915" s="55" t="s">
        <v>163</v>
      </c>
      <c r="G5915" s="20"/>
      <c r="H5915" s="20" t="s">
        <v>36</v>
      </c>
      <c r="I5915" s="20"/>
      <c r="J5915" s="20"/>
      <c r="K5915" t="s">
        <v>10161</v>
      </c>
      <c r="L5915" s="20"/>
      <c r="M5915" s="20" t="s">
        <v>10170</v>
      </c>
      <c r="N5915" s="20"/>
      <c r="O5915" s="20"/>
      <c r="P5915" s="21" t="str">
        <f t="shared" si="130"/>
        <v/>
      </c>
      <c r="Q5915" s="20"/>
      <c r="R5915" s="20"/>
      <c r="S5915"/>
      <c r="T5915"/>
      <c r="U5915"/>
      <c r="V5915"/>
    </row>
    <row r="5916" spans="2:22" x14ac:dyDescent="0.25">
      <c r="B5916" s="20" t="s">
        <v>7878</v>
      </c>
      <c r="C5916" s="21" t="s">
        <v>7879</v>
      </c>
      <c r="D5916" s="16" t="s">
        <v>29</v>
      </c>
      <c r="E5916" s="55"/>
      <c r="F5916" s="55" t="s">
        <v>163</v>
      </c>
      <c r="G5916" s="20"/>
      <c r="H5916" s="20"/>
      <c r="I5916" s="20"/>
      <c r="J5916" s="20"/>
      <c r="K5916" s="20"/>
      <c r="L5916" s="20"/>
      <c r="M5916" s="20"/>
      <c r="N5916" s="20"/>
      <c r="O5916" s="20"/>
      <c r="P5916" s="21" t="str">
        <f t="shared" si="130"/>
        <v>Truncate table SNGC097;</v>
      </c>
      <c r="Q5916" s="20"/>
      <c r="R5916" s="20"/>
      <c r="S5916"/>
      <c r="T5916"/>
      <c r="U5916"/>
      <c r="V5916"/>
    </row>
    <row r="5917" spans="2:22" x14ac:dyDescent="0.25">
      <c r="B5917" s="20" t="s">
        <v>7880</v>
      </c>
      <c r="C5917" s="21" t="s">
        <v>7879</v>
      </c>
      <c r="D5917" s="16" t="s">
        <v>29</v>
      </c>
      <c r="E5917" s="55"/>
      <c r="F5917" s="55" t="s">
        <v>163</v>
      </c>
      <c r="G5917" s="20"/>
      <c r="H5917" s="20"/>
      <c r="I5917" s="20"/>
      <c r="J5917" s="20"/>
      <c r="K5917" s="20"/>
      <c r="L5917" s="20"/>
      <c r="M5917" s="20"/>
      <c r="N5917" s="20"/>
      <c r="O5917" s="20"/>
      <c r="P5917" s="21" t="str">
        <f t="shared" si="130"/>
        <v>Truncate table SNGC098;</v>
      </c>
      <c r="Q5917" s="20"/>
      <c r="R5917" s="20"/>
      <c r="S5917"/>
      <c r="T5917"/>
      <c r="U5917"/>
      <c r="V5917"/>
    </row>
    <row r="5918" spans="2:22" x14ac:dyDescent="0.25">
      <c r="B5918" s="20" t="s">
        <v>7881</v>
      </c>
      <c r="C5918" s="21" t="s">
        <v>7879</v>
      </c>
      <c r="D5918" s="16" t="s">
        <v>29</v>
      </c>
      <c r="E5918" s="55"/>
      <c r="F5918" s="55" t="s">
        <v>163</v>
      </c>
      <c r="G5918" s="20"/>
      <c r="H5918" s="20"/>
      <c r="I5918" s="20"/>
      <c r="J5918" s="20"/>
      <c r="K5918" s="20"/>
      <c r="L5918" s="20"/>
      <c r="M5918" s="20"/>
      <c r="N5918" s="20"/>
      <c r="O5918" s="20"/>
      <c r="P5918" s="21" t="str">
        <f t="shared" si="130"/>
        <v>Truncate table SNGC099;</v>
      </c>
      <c r="Q5918" s="20"/>
      <c r="R5918" s="20"/>
      <c r="S5918"/>
      <c r="T5918"/>
      <c r="U5918"/>
      <c r="V5918"/>
    </row>
    <row r="5919" spans="2:22" x14ac:dyDescent="0.25">
      <c r="B5919" s="20" t="s">
        <v>7882</v>
      </c>
      <c r="C5919" s="21" t="s">
        <v>7879</v>
      </c>
      <c r="D5919" s="16" t="s">
        <v>29</v>
      </c>
      <c r="E5919" s="55"/>
      <c r="F5919" s="55" t="s">
        <v>163</v>
      </c>
      <c r="G5919" s="20"/>
      <c r="H5919" s="20"/>
      <c r="I5919" s="20"/>
      <c r="J5919" s="20"/>
      <c r="K5919" s="20"/>
      <c r="L5919" s="20"/>
      <c r="M5919" s="20"/>
      <c r="N5919" s="20"/>
      <c r="O5919" s="20"/>
      <c r="P5919" s="21" t="str">
        <f t="shared" si="130"/>
        <v>Truncate table SNGC100;</v>
      </c>
      <c r="Q5919" s="20"/>
      <c r="R5919" s="20"/>
      <c r="S5919"/>
      <c r="T5919"/>
      <c r="U5919"/>
      <c r="V5919"/>
    </row>
    <row r="5920" spans="2:22" x14ac:dyDescent="0.25">
      <c r="B5920" s="20" t="s">
        <v>7883</v>
      </c>
      <c r="C5920" s="21" t="s">
        <v>7879</v>
      </c>
      <c r="D5920" s="16" t="s">
        <v>29</v>
      </c>
      <c r="E5920" s="55"/>
      <c r="F5920" s="55" t="s">
        <v>163</v>
      </c>
      <c r="G5920" s="20"/>
      <c r="H5920" s="20"/>
      <c r="I5920" s="20"/>
      <c r="J5920" s="20"/>
      <c r="K5920" s="20"/>
      <c r="L5920" s="20"/>
      <c r="M5920" s="20"/>
      <c r="N5920" s="20"/>
      <c r="O5920" s="20"/>
      <c r="P5920" s="21" t="str">
        <f t="shared" si="130"/>
        <v>Truncate table SNGC101;</v>
      </c>
      <c r="Q5920" s="20"/>
      <c r="R5920" s="20"/>
      <c r="S5920"/>
      <c r="T5920"/>
      <c r="U5920"/>
      <c r="V5920"/>
    </row>
    <row r="5921" spans="1:22" x14ac:dyDescent="0.25">
      <c r="B5921" s="20" t="s">
        <v>7884</v>
      </c>
      <c r="C5921" s="21" t="s">
        <v>7879</v>
      </c>
      <c r="D5921" s="16" t="s">
        <v>29</v>
      </c>
      <c r="E5921" s="55"/>
      <c r="F5921" s="55" t="s">
        <v>163</v>
      </c>
      <c r="G5921" s="20"/>
      <c r="H5921" s="20"/>
      <c r="I5921" s="20"/>
      <c r="J5921" s="20"/>
      <c r="K5921" s="20"/>
      <c r="L5921" s="20"/>
      <c r="M5921" s="20"/>
      <c r="N5921" s="20"/>
      <c r="O5921" s="20"/>
      <c r="P5921" s="21" t="str">
        <f t="shared" si="130"/>
        <v>Truncate table SNGC102;</v>
      </c>
      <c r="Q5921" s="20"/>
      <c r="R5921" s="20"/>
      <c r="S5921"/>
      <c r="T5921"/>
      <c r="U5921"/>
      <c r="V5921"/>
    </row>
    <row r="5922" spans="1:22" x14ac:dyDescent="0.25">
      <c r="B5922" s="20" t="s">
        <v>7885</v>
      </c>
      <c r="C5922" s="21" t="s">
        <v>7879</v>
      </c>
      <c r="D5922" s="16" t="s">
        <v>29</v>
      </c>
      <c r="E5922" s="55"/>
      <c r="F5922" s="55" t="s">
        <v>163</v>
      </c>
      <c r="G5922" s="20"/>
      <c r="H5922" s="20"/>
      <c r="I5922" s="20"/>
      <c r="J5922" s="20"/>
      <c r="K5922" s="20"/>
      <c r="L5922" s="20"/>
      <c r="M5922" s="20"/>
      <c r="N5922" s="20"/>
      <c r="O5922" s="20"/>
      <c r="P5922" s="21" t="str">
        <f t="shared" si="130"/>
        <v>Truncate table SNGC103;</v>
      </c>
      <c r="Q5922" s="20"/>
      <c r="R5922" s="20"/>
      <c r="S5922"/>
      <c r="T5922"/>
      <c r="U5922"/>
      <c r="V5922"/>
    </row>
    <row r="5923" spans="1:22" x14ac:dyDescent="0.25">
      <c r="B5923" s="20" t="s">
        <v>7886</v>
      </c>
      <c r="C5923" s="21" t="s">
        <v>7879</v>
      </c>
      <c r="D5923" s="16" t="s">
        <v>29</v>
      </c>
      <c r="E5923" s="55"/>
      <c r="F5923" s="55" t="s">
        <v>163</v>
      </c>
      <c r="G5923" s="20"/>
      <c r="H5923" s="20"/>
      <c r="I5923" s="20"/>
      <c r="J5923" s="20"/>
      <c r="K5923" s="20"/>
      <c r="L5923" s="20"/>
      <c r="M5923" s="20"/>
      <c r="N5923" s="20"/>
      <c r="O5923" s="20"/>
      <c r="P5923" s="21" t="str">
        <f t="shared" si="130"/>
        <v>Truncate table SNGC110;</v>
      </c>
      <c r="Q5923" s="20"/>
      <c r="R5923" s="20"/>
      <c r="S5923"/>
      <c r="T5923"/>
      <c r="U5923"/>
      <c r="V5923"/>
    </row>
    <row r="5924" spans="1:22" x14ac:dyDescent="0.25">
      <c r="B5924" s="270" t="s">
        <v>9659</v>
      </c>
      <c r="C5924" s="270" t="s">
        <v>9661</v>
      </c>
      <c r="D5924" s="16" t="s">
        <v>29</v>
      </c>
      <c r="E5924" s="271" t="s">
        <v>54</v>
      </c>
      <c r="F5924" s="271" t="s">
        <v>163</v>
      </c>
      <c r="G5924" s="20" t="s">
        <v>35</v>
      </c>
      <c r="H5924" s="20"/>
      <c r="I5924" s="20"/>
      <c r="J5924" s="20"/>
      <c r="K5924" s="20" t="s">
        <v>9658</v>
      </c>
      <c r="L5924" s="20"/>
      <c r="M5924" s="20"/>
      <c r="N5924" s="20"/>
      <c r="O5924" s="20"/>
      <c r="P5924" s="21"/>
      <c r="Q5924" s="20"/>
      <c r="R5924" s="20"/>
      <c r="S5924"/>
      <c r="T5924"/>
      <c r="U5924"/>
      <c r="V5924"/>
    </row>
    <row r="5925" spans="1:22" x14ac:dyDescent="0.25">
      <c r="B5925" s="270" t="s">
        <v>9660</v>
      </c>
      <c r="C5925" s="270" t="s">
        <v>9662</v>
      </c>
      <c r="D5925" s="16" t="s">
        <v>29</v>
      </c>
      <c r="E5925" s="271" t="s">
        <v>54</v>
      </c>
      <c r="F5925" s="271" t="s">
        <v>163</v>
      </c>
      <c r="G5925" s="20" t="s">
        <v>35</v>
      </c>
      <c r="H5925" s="20"/>
      <c r="I5925" s="20"/>
      <c r="J5925" s="20"/>
      <c r="K5925" s="20" t="s">
        <v>9658</v>
      </c>
      <c r="L5925" s="20"/>
      <c r="M5925" s="20"/>
      <c r="N5925" s="20"/>
      <c r="O5925" s="20"/>
      <c r="P5925" s="21"/>
      <c r="Q5925" s="20"/>
      <c r="R5925" s="20"/>
      <c r="S5925"/>
      <c r="T5925"/>
      <c r="U5925"/>
      <c r="V5925"/>
    </row>
    <row r="5926" spans="1:22" x14ac:dyDescent="0.25">
      <c r="B5926" s="20" t="s">
        <v>7887</v>
      </c>
      <c r="C5926" s="21" t="s">
        <v>7888</v>
      </c>
      <c r="D5926" s="16" t="s">
        <v>29</v>
      </c>
      <c r="E5926" s="55"/>
      <c r="F5926" s="55" t="s">
        <v>163</v>
      </c>
      <c r="G5926" s="20"/>
      <c r="H5926" s="20"/>
      <c r="I5926" s="20"/>
      <c r="J5926" s="20"/>
      <c r="K5926" s="20"/>
      <c r="L5926" s="20"/>
      <c r="M5926" s="20"/>
      <c r="N5926" s="20"/>
      <c r="O5926" s="20"/>
      <c r="P5926" s="21" t="str">
        <f t="shared" ref="P5926:P5957" si="131">IF(D5926="Datos","Truncate table "&amp; B5926&amp; ";","")</f>
        <v>Truncate table SNGC27;</v>
      </c>
      <c r="Q5926" s="20"/>
      <c r="R5926" s="20"/>
      <c r="S5926"/>
      <c r="T5926"/>
      <c r="U5926"/>
      <c r="V5926"/>
    </row>
    <row r="5927" spans="1:22" x14ac:dyDescent="0.25">
      <c r="B5927" s="20" t="s">
        <v>7889</v>
      </c>
      <c r="C5927" s="21" t="s">
        <v>7888</v>
      </c>
      <c r="D5927" s="16" t="s">
        <v>29</v>
      </c>
      <c r="E5927" s="55"/>
      <c r="F5927" s="55" t="s">
        <v>163</v>
      </c>
      <c r="G5927" s="20"/>
      <c r="H5927" s="20"/>
      <c r="I5927" s="20"/>
      <c r="J5927" s="20"/>
      <c r="K5927" s="20"/>
      <c r="L5927" s="20"/>
      <c r="M5927" s="20"/>
      <c r="N5927" s="20"/>
      <c r="O5927" s="20"/>
      <c r="P5927" s="21" t="str">
        <f t="shared" si="131"/>
        <v>Truncate table SNGC35;</v>
      </c>
      <c r="Q5927" s="20"/>
      <c r="R5927" s="20"/>
      <c r="S5927"/>
      <c r="T5927"/>
      <c r="U5927"/>
      <c r="V5927"/>
    </row>
    <row r="5928" spans="1:22" x14ac:dyDescent="0.25">
      <c r="B5928" s="20" t="s">
        <v>7890</v>
      </c>
      <c r="C5928" s="21" t="s">
        <v>7888</v>
      </c>
      <c r="D5928" s="16" t="s">
        <v>29</v>
      </c>
      <c r="E5928" s="55"/>
      <c r="F5928" s="55" t="s">
        <v>163</v>
      </c>
      <c r="G5928" s="20"/>
      <c r="H5928" s="20"/>
      <c r="I5928" s="20"/>
      <c r="J5928" s="20"/>
      <c r="K5928" s="20"/>
      <c r="L5928" s="20"/>
      <c r="M5928" s="20"/>
      <c r="N5928" s="20"/>
      <c r="O5928" s="20"/>
      <c r="P5928" s="21" t="str">
        <f t="shared" si="131"/>
        <v>Truncate table SNGC36;</v>
      </c>
      <c r="Q5928" s="20"/>
      <c r="R5928" s="20"/>
      <c r="S5928"/>
      <c r="T5928"/>
      <c r="U5928"/>
      <c r="V5928"/>
    </row>
    <row r="5929" spans="1:22" x14ac:dyDescent="0.25">
      <c r="B5929" s="20" t="s">
        <v>7891</v>
      </c>
      <c r="C5929" s="21" t="s">
        <v>7888</v>
      </c>
      <c r="D5929" s="16" t="s">
        <v>29</v>
      </c>
      <c r="E5929" s="55"/>
      <c r="F5929" s="55" t="s">
        <v>163</v>
      </c>
      <c r="G5929" s="20"/>
      <c r="H5929" s="20"/>
      <c r="I5929" s="20"/>
      <c r="J5929" s="20"/>
      <c r="K5929" s="20"/>
      <c r="L5929" s="20"/>
      <c r="M5929" s="20"/>
      <c r="N5929" s="20"/>
      <c r="O5929" s="20"/>
      <c r="P5929" s="21" t="str">
        <f t="shared" si="131"/>
        <v>Truncate table SNGC50;</v>
      </c>
      <c r="Q5929" s="20"/>
      <c r="R5929" s="20"/>
      <c r="S5929"/>
      <c r="T5929"/>
      <c r="U5929"/>
      <c r="V5929"/>
    </row>
    <row r="5930" spans="1:22" x14ac:dyDescent="0.25">
      <c r="A5930" s="240"/>
      <c r="B5930" s="20" t="s">
        <v>9512</v>
      </c>
      <c r="C5930" s="21"/>
      <c r="D5930" s="16" t="s">
        <v>29</v>
      </c>
      <c r="E5930" s="55"/>
      <c r="F5930" s="55"/>
      <c r="G5930" s="20"/>
      <c r="H5930" s="20"/>
      <c r="I5930" s="20"/>
      <c r="J5930" s="20"/>
      <c r="K5930" s="20"/>
      <c r="L5930" s="20"/>
      <c r="M5930" s="20"/>
      <c r="N5930" s="20"/>
      <c r="O5930" s="20"/>
      <c r="P5930" s="21" t="str">
        <f t="shared" si="131"/>
        <v>Truncate table SNGD05;</v>
      </c>
      <c r="Q5930" s="20"/>
      <c r="R5930" s="20"/>
      <c r="S5930"/>
      <c r="T5930"/>
      <c r="U5930"/>
      <c r="V5930"/>
    </row>
    <row r="5931" spans="1:22" x14ac:dyDescent="0.25">
      <c r="B5931" s="20" t="s">
        <v>7892</v>
      </c>
      <c r="C5931" s="21" t="s">
        <v>7893</v>
      </c>
      <c r="D5931" s="16" t="s">
        <v>29</v>
      </c>
      <c r="E5931" s="55"/>
      <c r="F5931" s="55" t="s">
        <v>243</v>
      </c>
      <c r="G5931" s="20"/>
      <c r="H5931" s="20"/>
      <c r="I5931" s="20"/>
      <c r="J5931" s="20"/>
      <c r="K5931" s="20"/>
      <c r="L5931" s="20"/>
      <c r="M5931" s="20"/>
      <c r="N5931" s="20"/>
      <c r="O5931" s="20"/>
      <c r="P5931" s="21" t="str">
        <f t="shared" si="131"/>
        <v>Truncate table SNGD13;</v>
      </c>
      <c r="Q5931" s="20"/>
      <c r="R5931" s="20"/>
      <c r="S5931"/>
      <c r="T5931"/>
      <c r="U5931"/>
      <c r="V5931"/>
    </row>
    <row r="5932" spans="1:22" x14ac:dyDescent="0.25">
      <c r="B5932" s="20" t="s">
        <v>7894</v>
      </c>
      <c r="C5932" s="21" t="s">
        <v>7895</v>
      </c>
      <c r="D5932" s="16" t="s">
        <v>29</v>
      </c>
      <c r="E5932" s="55"/>
      <c r="F5932" s="55" t="s">
        <v>243</v>
      </c>
      <c r="G5932" s="20"/>
      <c r="H5932" s="20"/>
      <c r="I5932" s="20"/>
      <c r="J5932" s="20"/>
      <c r="K5932" s="20"/>
      <c r="L5932" s="20"/>
      <c r="M5932" s="20"/>
      <c r="N5932" s="20"/>
      <c r="O5932" s="20"/>
      <c r="P5932" s="21" t="str">
        <f t="shared" si="131"/>
        <v>Truncate table SNG082;</v>
      </c>
      <c r="Q5932" s="20"/>
      <c r="R5932" s="20"/>
      <c r="S5932"/>
      <c r="T5932"/>
      <c r="U5932"/>
      <c r="V5932"/>
    </row>
    <row r="5933" spans="1:22" x14ac:dyDescent="0.25">
      <c r="B5933" s="20" t="s">
        <v>7896</v>
      </c>
      <c r="C5933" s="21" t="s">
        <v>7895</v>
      </c>
      <c r="D5933" s="16" t="s">
        <v>29</v>
      </c>
      <c r="E5933" s="55"/>
      <c r="F5933" s="55" t="s">
        <v>243</v>
      </c>
      <c r="G5933" s="20"/>
      <c r="H5933" s="20"/>
      <c r="I5933" s="20"/>
      <c r="J5933" s="20"/>
      <c r="K5933" s="20"/>
      <c r="L5933" s="20"/>
      <c r="M5933" s="20"/>
      <c r="N5933" s="20"/>
      <c r="O5933" s="20"/>
      <c r="P5933" s="21" t="str">
        <f t="shared" si="131"/>
        <v>Truncate table SNG994;</v>
      </c>
      <c r="Q5933" s="20"/>
      <c r="R5933" s="20"/>
      <c r="S5933"/>
      <c r="T5933"/>
      <c r="U5933"/>
      <c r="V5933"/>
    </row>
    <row r="5934" spans="1:22" x14ac:dyDescent="0.25">
      <c r="A5934" s="240"/>
      <c r="B5934" s="20" t="s">
        <v>9514</v>
      </c>
      <c r="C5934" s="21"/>
      <c r="D5934" s="16" t="s">
        <v>29</v>
      </c>
      <c r="E5934" s="55"/>
      <c r="F5934" s="55"/>
      <c r="G5934" s="20"/>
      <c r="H5934" s="20"/>
      <c r="I5934" s="20"/>
      <c r="J5934" s="20"/>
      <c r="K5934" s="20"/>
      <c r="L5934" s="20"/>
      <c r="M5934" s="20"/>
      <c r="N5934" s="20"/>
      <c r="O5934" s="20"/>
      <c r="P5934" s="21" t="str">
        <f t="shared" si="131"/>
        <v>Truncate table TDDA42;</v>
      </c>
      <c r="Q5934" s="20"/>
      <c r="R5934" s="20"/>
    </row>
    <row r="5935" spans="1:22" x14ac:dyDescent="0.25">
      <c r="A5935" s="240"/>
      <c r="B5935" s="20" t="s">
        <v>9515</v>
      </c>
      <c r="C5935" s="21"/>
      <c r="D5935" s="16" t="s">
        <v>29</v>
      </c>
      <c r="E5935" s="55"/>
      <c r="F5935" s="55"/>
      <c r="G5935" s="20"/>
      <c r="H5935" s="20"/>
      <c r="I5935" s="20"/>
      <c r="J5935" s="20"/>
      <c r="K5935" s="20"/>
      <c r="L5935" s="20"/>
      <c r="M5935" s="20"/>
      <c r="N5935" s="20"/>
      <c r="O5935" s="20"/>
      <c r="P5935" s="21" t="str">
        <f t="shared" si="131"/>
        <v>Truncate table TDDH01;</v>
      </c>
      <c r="Q5935" s="20"/>
      <c r="R5935" s="20"/>
    </row>
    <row r="5936" spans="1:22" x14ac:dyDescent="0.25">
      <c r="A5936" s="240"/>
      <c r="B5936" s="20" t="s">
        <v>9516</v>
      </c>
      <c r="C5936" s="21"/>
      <c r="D5936" s="16" t="s">
        <v>29</v>
      </c>
      <c r="E5936" s="55"/>
      <c r="F5936" s="55"/>
      <c r="G5936" s="20"/>
      <c r="H5936" s="20"/>
      <c r="I5936" s="20"/>
      <c r="J5936" s="20"/>
      <c r="K5936" s="20"/>
      <c r="L5936" s="20"/>
      <c r="M5936" s="20"/>
      <c r="N5936" s="20"/>
      <c r="O5936" s="20"/>
      <c r="P5936" s="21" t="str">
        <f t="shared" si="131"/>
        <v>Truncate table TDDH02;</v>
      </c>
      <c r="Q5936" s="20"/>
      <c r="R5936" s="20"/>
    </row>
    <row r="5937" spans="2:18" ht="54" x14ac:dyDescent="0.25">
      <c r="B5937" s="266" t="s">
        <v>7897</v>
      </c>
      <c r="C5937" s="64" t="s">
        <v>7898</v>
      </c>
      <c r="D5937" s="16" t="s">
        <v>29</v>
      </c>
      <c r="E5937" s="55"/>
      <c r="F5937" s="64" t="s">
        <v>4752</v>
      </c>
      <c r="G5937" s="20"/>
      <c r="H5937" s="20"/>
      <c r="I5937" s="20"/>
      <c r="J5937" s="20"/>
      <c r="K5937" s="20"/>
      <c r="L5937" s="21" t="s">
        <v>7899</v>
      </c>
      <c r="M5937" s="21"/>
      <c r="N5937" s="20"/>
      <c r="O5937" s="20"/>
      <c r="P5937" s="21" t="str">
        <f t="shared" si="131"/>
        <v>Truncate table TDDI01;</v>
      </c>
      <c r="Q5937" s="20"/>
      <c r="R5937" s="20"/>
    </row>
    <row r="5938" spans="2:18" ht="54" x14ac:dyDescent="0.25">
      <c r="B5938" s="20" t="s">
        <v>7900</v>
      </c>
      <c r="C5938" s="21" t="s">
        <v>7901</v>
      </c>
      <c r="D5938" s="16" t="s">
        <v>29</v>
      </c>
      <c r="E5938" s="55"/>
      <c r="F5938" s="55" t="s">
        <v>4752</v>
      </c>
      <c r="G5938" s="20"/>
      <c r="H5938" s="20"/>
      <c r="I5938" s="20"/>
      <c r="J5938" s="20"/>
      <c r="K5938" s="20"/>
      <c r="L5938" s="21" t="s">
        <v>7899</v>
      </c>
      <c r="M5938" s="21"/>
      <c r="N5938" s="20"/>
      <c r="O5938" s="20"/>
      <c r="P5938" s="21" t="str">
        <f t="shared" si="131"/>
        <v>Truncate table TDDI02;</v>
      </c>
      <c r="Q5938" s="20"/>
      <c r="R5938" s="20"/>
    </row>
    <row r="5939" spans="2:18" ht="54" x14ac:dyDescent="0.25">
      <c r="B5939" s="20" t="s">
        <v>7902</v>
      </c>
      <c r="C5939" s="21" t="s">
        <v>7903</v>
      </c>
      <c r="D5939" s="16" t="s">
        <v>29</v>
      </c>
      <c r="E5939" s="55"/>
      <c r="F5939" s="55" t="s">
        <v>4752</v>
      </c>
      <c r="G5939" s="20"/>
      <c r="H5939" s="20"/>
      <c r="I5939" s="20"/>
      <c r="J5939" s="20"/>
      <c r="K5939" s="20"/>
      <c r="L5939" s="21" t="s">
        <v>7899</v>
      </c>
      <c r="M5939" s="21"/>
      <c r="N5939" s="20"/>
      <c r="O5939" s="20"/>
      <c r="P5939" s="21" t="str">
        <f t="shared" si="131"/>
        <v>Truncate table TDDI03;</v>
      </c>
      <c r="Q5939" s="20"/>
      <c r="R5939" s="20"/>
    </row>
    <row r="5940" spans="2:18" ht="54" x14ac:dyDescent="0.25">
      <c r="B5940" s="20" t="s">
        <v>7904</v>
      </c>
      <c r="C5940" s="21" t="s">
        <v>7905</v>
      </c>
      <c r="D5940" s="16" t="s">
        <v>29</v>
      </c>
      <c r="E5940" s="55"/>
      <c r="F5940" s="55" t="s">
        <v>4752</v>
      </c>
      <c r="G5940" s="20"/>
      <c r="H5940" s="20"/>
      <c r="I5940" s="20"/>
      <c r="J5940" s="20"/>
      <c r="K5940" s="20"/>
      <c r="L5940" s="21" t="s">
        <v>7899</v>
      </c>
      <c r="M5940" s="21"/>
      <c r="N5940" s="20"/>
      <c r="O5940" s="20"/>
      <c r="P5940" s="21" t="str">
        <f t="shared" si="131"/>
        <v>Truncate table TDD002;</v>
      </c>
      <c r="Q5940" s="20"/>
      <c r="R5940" s="20"/>
    </row>
    <row r="5941" spans="2:18" ht="54" x14ac:dyDescent="0.25">
      <c r="B5941" s="20" t="s">
        <v>7906</v>
      </c>
      <c r="C5941" s="21" t="s">
        <v>7907</v>
      </c>
      <c r="D5941" s="16" t="s">
        <v>29</v>
      </c>
      <c r="E5941" s="55"/>
      <c r="F5941" s="55" t="s">
        <v>4752</v>
      </c>
      <c r="G5941" s="20"/>
      <c r="H5941" s="20"/>
      <c r="I5941" s="20"/>
      <c r="J5941" s="20"/>
      <c r="K5941" s="20"/>
      <c r="L5941" s="21" t="s">
        <v>7899</v>
      </c>
      <c r="M5941" s="21"/>
      <c r="N5941" s="20"/>
      <c r="O5941" s="20"/>
      <c r="P5941" s="21" t="str">
        <f t="shared" si="131"/>
        <v>Truncate table TDD004;</v>
      </c>
      <c r="Q5941" s="20"/>
      <c r="R5941" s="20"/>
    </row>
    <row r="5942" spans="2:18" ht="54" x14ac:dyDescent="0.25">
      <c r="B5942" s="20" t="s">
        <v>7908</v>
      </c>
      <c r="C5942" s="21" t="s">
        <v>7909</v>
      </c>
      <c r="D5942" s="16" t="s">
        <v>29</v>
      </c>
      <c r="E5942" s="55"/>
      <c r="F5942" s="55" t="s">
        <v>4752</v>
      </c>
      <c r="G5942" s="20"/>
      <c r="H5942" s="20"/>
      <c r="I5942" s="20"/>
      <c r="J5942" s="20"/>
      <c r="K5942" s="20"/>
      <c r="L5942" s="21" t="s">
        <v>7899</v>
      </c>
      <c r="M5942" s="21"/>
      <c r="N5942" s="20"/>
      <c r="O5942" s="20"/>
      <c r="P5942" s="21" t="str">
        <f t="shared" si="131"/>
        <v>Truncate table TDD006;</v>
      </c>
      <c r="Q5942" s="20"/>
      <c r="R5942" s="20"/>
    </row>
    <row r="5943" spans="2:18" ht="54" x14ac:dyDescent="0.25">
      <c r="B5943" s="20" t="s">
        <v>7910</v>
      </c>
      <c r="C5943" s="384" t="s">
        <v>7911</v>
      </c>
      <c r="D5943" s="16" t="s">
        <v>29</v>
      </c>
      <c r="E5943" s="55"/>
      <c r="F5943" s="55" t="s">
        <v>4752</v>
      </c>
      <c r="G5943" s="20"/>
      <c r="H5943" s="20"/>
      <c r="I5943" s="20"/>
      <c r="J5943" s="20"/>
      <c r="K5943" s="20"/>
      <c r="L5943" s="21" t="s">
        <v>7899</v>
      </c>
      <c r="M5943" s="21"/>
      <c r="N5943" s="20"/>
      <c r="O5943" s="20"/>
      <c r="P5943" s="21" t="str">
        <f t="shared" si="131"/>
        <v>Truncate table TDD007;</v>
      </c>
      <c r="Q5943" s="20"/>
      <c r="R5943" s="20"/>
    </row>
    <row r="5944" spans="2:18" ht="54" x14ac:dyDescent="0.25">
      <c r="B5944" s="20" t="s">
        <v>7912</v>
      </c>
      <c r="C5944" s="21" t="s">
        <v>7913</v>
      </c>
      <c r="D5944" s="16" t="s">
        <v>29</v>
      </c>
      <c r="E5944" s="55"/>
      <c r="F5944" s="55" t="s">
        <v>4752</v>
      </c>
      <c r="G5944" s="20"/>
      <c r="H5944" s="20"/>
      <c r="I5944" s="20"/>
      <c r="J5944" s="20"/>
      <c r="K5944" s="20"/>
      <c r="L5944" s="21" t="s">
        <v>7899</v>
      </c>
      <c r="M5944" s="21"/>
      <c r="N5944" s="20"/>
      <c r="O5944" s="20"/>
      <c r="P5944" s="21" t="str">
        <f t="shared" si="131"/>
        <v>Truncate table TDD008;</v>
      </c>
      <c r="Q5944" s="20"/>
      <c r="R5944" s="20"/>
    </row>
    <row r="5945" spans="2:18" ht="54" x14ac:dyDescent="0.25">
      <c r="B5945" s="20" t="s">
        <v>7914</v>
      </c>
      <c r="C5945" s="21" t="s">
        <v>7915</v>
      </c>
      <c r="D5945" s="16" t="s">
        <v>29</v>
      </c>
      <c r="E5945" s="55"/>
      <c r="F5945" s="55" t="s">
        <v>4752</v>
      </c>
      <c r="G5945" s="20"/>
      <c r="H5945" s="20"/>
      <c r="I5945" s="20"/>
      <c r="J5945" s="20"/>
      <c r="K5945" s="20"/>
      <c r="L5945" s="21" t="s">
        <v>7899</v>
      </c>
      <c r="M5945" s="21"/>
      <c r="N5945" s="20"/>
      <c r="O5945" s="20"/>
      <c r="P5945" s="21" t="str">
        <f t="shared" si="131"/>
        <v>Truncate table TDD010;</v>
      </c>
      <c r="Q5945" s="20"/>
      <c r="R5945" s="20"/>
    </row>
    <row r="5946" spans="2:18" ht="54" x14ac:dyDescent="0.25">
      <c r="B5946" s="20" t="s">
        <v>7916</v>
      </c>
      <c r="C5946" s="21" t="s">
        <v>7917</v>
      </c>
      <c r="D5946" s="16" t="s">
        <v>29</v>
      </c>
      <c r="E5946" s="55"/>
      <c r="F5946" s="55" t="s">
        <v>4752</v>
      </c>
      <c r="G5946" s="20"/>
      <c r="H5946" s="20"/>
      <c r="I5946" s="20"/>
      <c r="J5946" s="20"/>
      <c r="K5946" s="20"/>
      <c r="L5946" s="21" t="s">
        <v>7899</v>
      </c>
      <c r="M5946" s="21"/>
      <c r="N5946" s="20"/>
      <c r="O5946" s="20"/>
      <c r="P5946" s="21" t="str">
        <f t="shared" si="131"/>
        <v>Truncate table TDD012;</v>
      </c>
      <c r="Q5946" s="20"/>
      <c r="R5946" s="20"/>
    </row>
    <row r="5947" spans="2:18" ht="54" x14ac:dyDescent="0.25">
      <c r="B5947" s="20" t="s">
        <v>7918</v>
      </c>
      <c r="C5947" s="21" t="s">
        <v>7919</v>
      </c>
      <c r="D5947" s="16" t="s">
        <v>29</v>
      </c>
      <c r="E5947" s="55"/>
      <c r="F5947" s="55" t="s">
        <v>4752</v>
      </c>
      <c r="G5947" s="20"/>
      <c r="H5947" s="20"/>
      <c r="I5947" s="20"/>
      <c r="J5947" s="20"/>
      <c r="K5947" s="20"/>
      <c r="L5947" s="21" t="s">
        <v>7899</v>
      </c>
      <c r="M5947" s="21"/>
      <c r="N5947" s="20"/>
      <c r="O5947" s="20"/>
      <c r="P5947" s="21" t="str">
        <f t="shared" si="131"/>
        <v>Truncate table TDD013;</v>
      </c>
      <c r="Q5947" s="20"/>
      <c r="R5947" s="20"/>
    </row>
    <row r="5948" spans="2:18" ht="54.75" thickBot="1" x14ac:dyDescent="0.3">
      <c r="B5948" s="20" t="s">
        <v>7920</v>
      </c>
      <c r="C5948" s="21" t="s">
        <v>7921</v>
      </c>
      <c r="D5948" s="16" t="s">
        <v>29</v>
      </c>
      <c r="E5948" s="55"/>
      <c r="F5948" s="55" t="s">
        <v>4752</v>
      </c>
      <c r="G5948" s="20"/>
      <c r="H5948" s="20"/>
      <c r="I5948" s="20"/>
      <c r="J5948" s="20"/>
      <c r="K5948" s="20"/>
      <c r="L5948" s="21" t="s">
        <v>7899</v>
      </c>
      <c r="M5948" s="21"/>
      <c r="N5948" s="20"/>
      <c r="O5948" s="20"/>
      <c r="P5948" s="21" t="str">
        <f t="shared" si="131"/>
        <v>Truncate table TDD014;</v>
      </c>
      <c r="Q5948" s="20"/>
      <c r="R5948" s="20"/>
    </row>
    <row r="5949" spans="2:18" ht="54" x14ac:dyDescent="0.25">
      <c r="B5949" s="20" t="s">
        <v>7922</v>
      </c>
      <c r="C5949" s="21" t="s">
        <v>7923</v>
      </c>
      <c r="D5949" s="16" t="s">
        <v>29</v>
      </c>
      <c r="E5949" s="55"/>
      <c r="F5949" s="55" t="s">
        <v>4752</v>
      </c>
      <c r="G5949" s="20"/>
      <c r="H5949" s="20"/>
      <c r="I5949" s="65" t="str">
        <f>[8]Hoja1!$D$5</f>
        <v>2015-09-29 15:55:16.000</v>
      </c>
      <c r="J5949" s="65" t="str">
        <f>[8]Hoja1!$E$5</f>
        <v>2016-04-19 14:43:30.000</v>
      </c>
      <c r="K5949" s="20" t="s">
        <v>7924</v>
      </c>
      <c r="L5949" s="21" t="s">
        <v>7899</v>
      </c>
      <c r="M5949" s="21"/>
      <c r="N5949" s="20"/>
      <c r="O5949" s="20"/>
      <c r="P5949" s="21" t="str">
        <f t="shared" si="131"/>
        <v>Truncate table TDD015;</v>
      </c>
      <c r="Q5949" s="20"/>
      <c r="R5949" s="20"/>
    </row>
    <row r="5950" spans="2:18" ht="54" x14ac:dyDescent="0.25">
      <c r="B5950" s="20" t="s">
        <v>7925</v>
      </c>
      <c r="C5950" s="21" t="s">
        <v>7926</v>
      </c>
      <c r="D5950" s="16" t="s">
        <v>29</v>
      </c>
      <c r="E5950" s="55"/>
      <c r="F5950" s="55" t="s">
        <v>4752</v>
      </c>
      <c r="G5950" s="20"/>
      <c r="H5950" s="20"/>
      <c r="I5950" s="20"/>
      <c r="J5950" s="20"/>
      <c r="K5950" s="20"/>
      <c r="L5950" s="21" t="s">
        <v>7899</v>
      </c>
      <c r="M5950" s="21"/>
      <c r="N5950" s="20"/>
      <c r="O5950" s="20"/>
      <c r="P5950" s="21" t="str">
        <f t="shared" si="131"/>
        <v>Truncate table TDD016;</v>
      </c>
      <c r="Q5950" s="20"/>
      <c r="R5950" s="20"/>
    </row>
    <row r="5951" spans="2:18" ht="54" x14ac:dyDescent="0.25">
      <c r="B5951" s="20" t="s">
        <v>7927</v>
      </c>
      <c r="C5951" s="21" t="s">
        <v>7928</v>
      </c>
      <c r="D5951" s="16" t="s">
        <v>29</v>
      </c>
      <c r="E5951" s="55"/>
      <c r="F5951" s="55" t="s">
        <v>4752</v>
      </c>
      <c r="G5951" s="20"/>
      <c r="H5951" s="20"/>
      <c r="I5951" s="20"/>
      <c r="J5951" s="20"/>
      <c r="K5951" s="20"/>
      <c r="L5951" s="21" t="s">
        <v>7899</v>
      </c>
      <c r="M5951" s="21"/>
      <c r="N5951" s="20"/>
      <c r="O5951" s="20"/>
      <c r="P5951" s="21" t="str">
        <f t="shared" si="131"/>
        <v>Truncate table TDD017;</v>
      </c>
      <c r="Q5951" s="20"/>
      <c r="R5951" s="20"/>
    </row>
    <row r="5952" spans="2:18" ht="54" x14ac:dyDescent="0.25">
      <c r="B5952" s="20" t="s">
        <v>7929</v>
      </c>
      <c r="C5952" s="21" t="s">
        <v>7928</v>
      </c>
      <c r="D5952" s="16" t="s">
        <v>29</v>
      </c>
      <c r="E5952" s="55"/>
      <c r="F5952" s="55" t="s">
        <v>4752</v>
      </c>
      <c r="G5952" s="20"/>
      <c r="H5952" s="20"/>
      <c r="I5952" s="20"/>
      <c r="J5952" s="20"/>
      <c r="K5952" s="20"/>
      <c r="L5952" s="21" t="s">
        <v>7899</v>
      </c>
      <c r="M5952" s="21"/>
      <c r="N5952" s="20"/>
      <c r="O5952" s="20"/>
      <c r="P5952" s="21" t="str">
        <f t="shared" si="131"/>
        <v>Truncate table TDD018;</v>
      </c>
      <c r="Q5952" s="20"/>
      <c r="R5952" s="20"/>
    </row>
    <row r="5953" spans="2:18" ht="54" x14ac:dyDescent="0.25">
      <c r="B5953" s="20" t="s">
        <v>7930</v>
      </c>
      <c r="C5953" s="21" t="s">
        <v>7931</v>
      </c>
      <c r="D5953" s="16" t="s">
        <v>29</v>
      </c>
      <c r="E5953" s="55"/>
      <c r="F5953" s="55" t="s">
        <v>4752</v>
      </c>
      <c r="G5953" s="20"/>
      <c r="H5953" s="20"/>
      <c r="I5953" s="20"/>
      <c r="J5953" s="20"/>
      <c r="K5953" s="20"/>
      <c r="L5953" s="21" t="s">
        <v>7899</v>
      </c>
      <c r="M5953" s="21"/>
      <c r="N5953" s="20"/>
      <c r="O5953" s="20"/>
      <c r="P5953" s="21" t="str">
        <f t="shared" si="131"/>
        <v>Truncate table TDD019;</v>
      </c>
      <c r="Q5953" s="20"/>
      <c r="R5953" s="20"/>
    </row>
    <row r="5954" spans="2:18" ht="54" x14ac:dyDescent="0.25">
      <c r="B5954" s="20" t="s">
        <v>7932</v>
      </c>
      <c r="C5954" s="21" t="s">
        <v>7933</v>
      </c>
      <c r="D5954" s="16" t="s">
        <v>29</v>
      </c>
      <c r="E5954" s="55"/>
      <c r="F5954" s="55" t="s">
        <v>4752</v>
      </c>
      <c r="G5954" s="20"/>
      <c r="H5954" s="20"/>
      <c r="I5954" s="20"/>
      <c r="J5954" s="20"/>
      <c r="K5954" s="20"/>
      <c r="L5954" s="21" t="s">
        <v>7899</v>
      </c>
      <c r="M5954" s="21"/>
      <c r="N5954" s="20"/>
      <c r="O5954" s="20"/>
      <c r="P5954" s="21" t="str">
        <f t="shared" si="131"/>
        <v>Truncate table TDD020;</v>
      </c>
      <c r="Q5954" s="20"/>
      <c r="R5954" s="20"/>
    </row>
    <row r="5955" spans="2:18" ht="54" x14ac:dyDescent="0.25">
      <c r="B5955" s="20" t="s">
        <v>7934</v>
      </c>
      <c r="C5955" s="21" t="s">
        <v>7935</v>
      </c>
      <c r="D5955" s="16" t="s">
        <v>29</v>
      </c>
      <c r="E5955" s="55"/>
      <c r="F5955" s="55" t="s">
        <v>4752</v>
      </c>
      <c r="G5955" s="20"/>
      <c r="H5955" s="20"/>
      <c r="I5955" s="20"/>
      <c r="J5955" s="20"/>
      <c r="K5955" s="20"/>
      <c r="L5955" s="21" t="s">
        <v>7899</v>
      </c>
      <c r="M5955" s="21"/>
      <c r="N5955" s="20"/>
      <c r="O5955" s="20"/>
      <c r="P5955" s="21" t="str">
        <f t="shared" si="131"/>
        <v>Truncate table TDD021;</v>
      </c>
      <c r="Q5955" s="20"/>
      <c r="R5955" s="20"/>
    </row>
    <row r="5956" spans="2:18" ht="54" x14ac:dyDescent="0.25">
      <c r="B5956" s="20" t="s">
        <v>7936</v>
      </c>
      <c r="C5956" s="21" t="s">
        <v>7937</v>
      </c>
      <c r="D5956" s="16" t="s">
        <v>29</v>
      </c>
      <c r="E5956" s="55"/>
      <c r="F5956" s="55" t="s">
        <v>4752</v>
      </c>
      <c r="G5956" s="20"/>
      <c r="H5956" s="20"/>
      <c r="I5956" s="20"/>
      <c r="J5956" s="20"/>
      <c r="K5956" s="20"/>
      <c r="L5956" s="21" t="s">
        <v>7899</v>
      </c>
      <c r="M5956" s="21"/>
      <c r="N5956" s="20"/>
      <c r="O5956" s="20"/>
      <c r="P5956" s="21" t="str">
        <f t="shared" si="131"/>
        <v>Truncate table TDD022;</v>
      </c>
      <c r="Q5956" s="20"/>
      <c r="R5956" s="20"/>
    </row>
    <row r="5957" spans="2:18" ht="54" x14ac:dyDescent="0.25">
      <c r="B5957" s="21" t="s">
        <v>7938</v>
      </c>
      <c r="C5957" s="21" t="s">
        <v>7939</v>
      </c>
      <c r="D5957" s="16" t="s">
        <v>29</v>
      </c>
      <c r="E5957" s="34"/>
      <c r="F5957" s="34" t="s">
        <v>4752</v>
      </c>
      <c r="G5957" s="21"/>
      <c r="H5957" s="21"/>
      <c r="I5957" s="21" t="s">
        <v>7940</v>
      </c>
      <c r="J5957" s="21" t="s">
        <v>7941</v>
      </c>
      <c r="K5957" s="280"/>
      <c r="L5957" s="21" t="s">
        <v>7899</v>
      </c>
      <c r="M5957" s="21"/>
      <c r="N5957" s="21" t="s">
        <v>7942</v>
      </c>
      <c r="O5957" s="21" t="s">
        <v>38</v>
      </c>
      <c r="P5957" s="21" t="str">
        <f t="shared" si="131"/>
        <v>Truncate table TDD023;</v>
      </c>
      <c r="Q5957" s="20"/>
      <c r="R5957" s="20"/>
    </row>
    <row r="5958" spans="2:18" ht="54" x14ac:dyDescent="0.25">
      <c r="B5958" s="20" t="s">
        <v>7943</v>
      </c>
      <c r="C5958" s="21" t="s">
        <v>7944</v>
      </c>
      <c r="D5958" s="16" t="s">
        <v>29</v>
      </c>
      <c r="E5958" s="55" t="s">
        <v>151</v>
      </c>
      <c r="F5958" s="55" t="s">
        <v>4752</v>
      </c>
      <c r="G5958" s="20"/>
      <c r="H5958" s="20"/>
      <c r="I5958" s="20"/>
      <c r="J5958" s="20"/>
      <c r="K5958" s="20"/>
      <c r="L5958" s="21" t="s">
        <v>7899</v>
      </c>
      <c r="M5958" s="21"/>
      <c r="N5958" s="20"/>
      <c r="O5958" s="20"/>
      <c r="P5958" s="21" t="str">
        <f t="shared" ref="P5958:P5995" si="132">IF(D5958="Datos","Truncate table "&amp; B5958&amp; ";","")</f>
        <v>Truncate table TDD025;</v>
      </c>
      <c r="Q5958" s="20"/>
      <c r="R5958" s="20"/>
    </row>
    <row r="5959" spans="2:18" ht="54" x14ac:dyDescent="0.25">
      <c r="B5959" s="20" t="s">
        <v>7945</v>
      </c>
      <c r="C5959" s="21" t="s">
        <v>7946</v>
      </c>
      <c r="D5959" s="16" t="s">
        <v>29</v>
      </c>
      <c r="E5959" s="55"/>
      <c r="F5959" s="55" t="s">
        <v>4752</v>
      </c>
      <c r="G5959" s="20"/>
      <c r="H5959" s="20"/>
      <c r="I5959" s="20"/>
      <c r="J5959" s="20"/>
      <c r="K5959" s="20"/>
      <c r="L5959" s="21" t="s">
        <v>7899</v>
      </c>
      <c r="M5959" s="21"/>
      <c r="N5959" s="20"/>
      <c r="O5959" s="20"/>
      <c r="P5959" s="21" t="str">
        <f t="shared" si="132"/>
        <v>Truncate table TDD026;</v>
      </c>
      <c r="Q5959" s="20"/>
      <c r="R5959" s="20"/>
    </row>
    <row r="5960" spans="2:18" ht="54" x14ac:dyDescent="0.25">
      <c r="B5960" s="21" t="s">
        <v>7947</v>
      </c>
      <c r="C5960" s="21" t="s">
        <v>7948</v>
      </c>
      <c r="D5960" s="16" t="s">
        <v>29</v>
      </c>
      <c r="E5960" s="34"/>
      <c r="F5960" s="34" t="s">
        <v>4752</v>
      </c>
      <c r="G5960" s="21"/>
      <c r="H5960" s="21"/>
      <c r="I5960" s="21" t="s">
        <v>7949</v>
      </c>
      <c r="J5960" s="21" t="s">
        <v>7950</v>
      </c>
      <c r="K5960" s="21" t="s">
        <v>7474</v>
      </c>
      <c r="L5960" s="21" t="s">
        <v>7899</v>
      </c>
      <c r="M5960" s="21"/>
      <c r="N5960" s="21"/>
      <c r="O5960" s="21"/>
      <c r="P5960" s="21" t="str">
        <f t="shared" si="132"/>
        <v>Truncate table TDD027;</v>
      </c>
      <c r="Q5960" s="21"/>
      <c r="R5960" s="21"/>
    </row>
    <row r="5961" spans="2:18" ht="54" x14ac:dyDescent="0.25">
      <c r="B5961" s="20" t="s">
        <v>7951</v>
      </c>
      <c r="C5961" s="21" t="s">
        <v>7952</v>
      </c>
      <c r="D5961" s="16" t="s">
        <v>29</v>
      </c>
      <c r="E5961" s="55"/>
      <c r="F5961" s="55" t="s">
        <v>4752</v>
      </c>
      <c r="G5961" s="20"/>
      <c r="H5961" s="20"/>
      <c r="I5961" s="20"/>
      <c r="J5961" s="20"/>
      <c r="K5961" s="20"/>
      <c r="L5961" s="21" t="s">
        <v>7899</v>
      </c>
      <c r="M5961" s="21"/>
      <c r="N5961" s="20"/>
      <c r="O5961" s="20"/>
      <c r="P5961" s="21" t="str">
        <f t="shared" si="132"/>
        <v>Truncate table TDD029;</v>
      </c>
      <c r="Q5961" s="20"/>
      <c r="R5961" s="20"/>
    </row>
    <row r="5962" spans="2:18" ht="54" x14ac:dyDescent="0.25">
      <c r="B5962" s="16" t="s">
        <v>7953</v>
      </c>
      <c r="C5962" s="21" t="s">
        <v>7954</v>
      </c>
      <c r="D5962" s="16" t="s">
        <v>29</v>
      </c>
      <c r="E5962" s="58"/>
      <c r="F5962" s="58" t="s">
        <v>4752</v>
      </c>
      <c r="G5962" s="16"/>
      <c r="H5962" s="16"/>
      <c r="I5962" s="21" t="s">
        <v>7955</v>
      </c>
      <c r="J5962" s="21" t="s">
        <v>7956</v>
      </c>
      <c r="K5962" s="16" t="s">
        <v>7474</v>
      </c>
      <c r="L5962" s="21" t="s">
        <v>7899</v>
      </c>
      <c r="M5962" s="21"/>
      <c r="N5962" s="16"/>
      <c r="O5962" s="16"/>
      <c r="P5962" s="21" t="str">
        <f t="shared" si="132"/>
        <v>Truncate table TDD030;</v>
      </c>
      <c r="Q5962" s="16"/>
      <c r="R5962" s="16"/>
    </row>
    <row r="5963" spans="2:18" ht="54" x14ac:dyDescent="0.25">
      <c r="B5963" s="20" t="s">
        <v>7957</v>
      </c>
      <c r="C5963" s="21" t="s">
        <v>7958</v>
      </c>
      <c r="D5963" s="16" t="s">
        <v>29</v>
      </c>
      <c r="E5963" s="55"/>
      <c r="F5963" s="55" t="s">
        <v>4752</v>
      </c>
      <c r="G5963" s="20"/>
      <c r="H5963" s="20"/>
      <c r="I5963" s="20"/>
      <c r="J5963" s="20"/>
      <c r="K5963" s="20"/>
      <c r="L5963" s="21" t="s">
        <v>7899</v>
      </c>
      <c r="M5963" s="21"/>
      <c r="N5963" s="20"/>
      <c r="O5963" s="20"/>
      <c r="P5963" s="21" t="str">
        <f t="shared" si="132"/>
        <v>Truncate table TDD032;</v>
      </c>
      <c r="Q5963" s="20"/>
      <c r="R5963" s="20"/>
    </row>
    <row r="5964" spans="2:18" ht="54" x14ac:dyDescent="0.25">
      <c r="B5964" s="20" t="s">
        <v>7959</v>
      </c>
      <c r="C5964" s="21" t="s">
        <v>7960</v>
      </c>
      <c r="D5964" s="16" t="s">
        <v>29</v>
      </c>
      <c r="E5964" s="55"/>
      <c r="F5964" s="55" t="s">
        <v>4752</v>
      </c>
      <c r="G5964" s="20"/>
      <c r="H5964" s="20"/>
      <c r="I5964" s="20"/>
      <c r="J5964" s="20"/>
      <c r="K5964" s="20"/>
      <c r="L5964" s="21" t="s">
        <v>7899</v>
      </c>
      <c r="M5964" s="21"/>
      <c r="N5964" s="20"/>
      <c r="O5964" s="20"/>
      <c r="P5964" s="21" t="str">
        <f t="shared" si="132"/>
        <v>Truncate table TDD033;</v>
      </c>
      <c r="Q5964" s="20"/>
      <c r="R5964" s="20"/>
    </row>
    <row r="5965" spans="2:18" ht="54" x14ac:dyDescent="0.25">
      <c r="B5965" s="20" t="s">
        <v>7961</v>
      </c>
      <c r="C5965" s="21" t="s">
        <v>7962</v>
      </c>
      <c r="D5965" s="16" t="s">
        <v>29</v>
      </c>
      <c r="E5965" s="55" t="s">
        <v>151</v>
      </c>
      <c r="F5965" s="55" t="s">
        <v>4752</v>
      </c>
      <c r="G5965" s="20" t="s">
        <v>35</v>
      </c>
      <c r="H5965" s="20" t="s">
        <v>36</v>
      </c>
      <c r="I5965" s="20"/>
      <c r="J5965" s="20"/>
      <c r="K5965" s="20"/>
      <c r="L5965" s="21" t="s">
        <v>7899</v>
      </c>
      <c r="M5965" s="21"/>
      <c r="N5965" s="20"/>
      <c r="O5965" s="20"/>
      <c r="P5965" s="21" t="str">
        <f t="shared" si="132"/>
        <v>Truncate table TDD034;</v>
      </c>
      <c r="Q5965" s="20"/>
      <c r="R5965" s="20"/>
    </row>
    <row r="5966" spans="2:18" x14ac:dyDescent="0.25">
      <c r="B5966" s="20" t="s">
        <v>9596</v>
      </c>
      <c r="C5966" s="21" t="s">
        <v>9598</v>
      </c>
      <c r="D5966" s="16" t="s">
        <v>29</v>
      </c>
      <c r="E5966" s="55" t="s">
        <v>151</v>
      </c>
      <c r="F5966" s="55" t="s">
        <v>4752</v>
      </c>
      <c r="G5966" s="20" t="s">
        <v>35</v>
      </c>
      <c r="H5966" s="20" t="s">
        <v>36</v>
      </c>
      <c r="I5966" s="20"/>
      <c r="J5966" s="20"/>
      <c r="K5966" s="20" t="s">
        <v>9600</v>
      </c>
      <c r="L5966" s="21"/>
      <c r="M5966" s="21"/>
      <c r="N5966" s="20"/>
      <c r="O5966" s="20"/>
      <c r="P5966" s="21" t="str">
        <f t="shared" si="132"/>
        <v>Truncate table TDD037;</v>
      </c>
      <c r="Q5966" s="20"/>
      <c r="R5966" s="20"/>
    </row>
    <row r="5967" spans="2:18" x14ac:dyDescent="0.25">
      <c r="B5967" s="20" t="s">
        <v>9597</v>
      </c>
      <c r="C5967" s="21" t="s">
        <v>9599</v>
      </c>
      <c r="D5967" s="16" t="s">
        <v>29</v>
      </c>
      <c r="E5967" s="55" t="s">
        <v>151</v>
      </c>
      <c r="F5967" s="55" t="s">
        <v>4752</v>
      </c>
      <c r="G5967" s="20" t="s">
        <v>35</v>
      </c>
      <c r="H5967" s="20" t="s">
        <v>36</v>
      </c>
      <c r="I5967" s="20"/>
      <c r="J5967" s="20"/>
      <c r="K5967" s="20" t="s">
        <v>9600</v>
      </c>
      <c r="L5967" s="21"/>
      <c r="M5967" s="21"/>
      <c r="N5967" s="20"/>
      <c r="O5967" s="20"/>
      <c r="P5967" s="21" t="str">
        <f t="shared" si="132"/>
        <v>Truncate table TDD038;</v>
      </c>
      <c r="Q5967" s="20"/>
      <c r="R5967" s="20"/>
    </row>
    <row r="5968" spans="2:18" ht="54" x14ac:dyDescent="0.25">
      <c r="B5968" s="21" t="s">
        <v>7963</v>
      </c>
      <c r="C5968" s="21" t="str">
        <f>[7]Hoja1!$C$8</f>
        <v xml:space="preserve">Terminales POS        </v>
      </c>
      <c r="D5968" s="16" t="s">
        <v>29</v>
      </c>
      <c r="E5968" s="34"/>
      <c r="F5968" s="34" t="s">
        <v>4752</v>
      </c>
      <c r="G5968" s="21"/>
      <c r="H5968" s="21"/>
      <c r="I5968" s="21" t="str">
        <f>[7]Hoja1!$D$8</f>
        <v>2016-02-19 09:46:08.000</v>
      </c>
      <c r="J5968" s="21" t="str">
        <f>[7]Hoja1!$E$8</f>
        <v>2016-02-18 18:41:46.000</v>
      </c>
      <c r="K5968" s="62" t="s">
        <v>7924</v>
      </c>
      <c r="L5968" s="21" t="s">
        <v>7899</v>
      </c>
      <c r="M5968" s="21"/>
      <c r="N5968" s="21"/>
      <c r="O5968" s="21"/>
      <c r="P5968" s="21" t="str">
        <f t="shared" si="132"/>
        <v>Truncate table TDD043;</v>
      </c>
      <c r="Q5968" s="21"/>
      <c r="R5968" s="21"/>
    </row>
    <row r="5969" spans="2:22" x14ac:dyDescent="0.25">
      <c r="B5969" s="20" t="s">
        <v>7964</v>
      </c>
      <c r="C5969" s="21" t="s">
        <v>6812</v>
      </c>
      <c r="D5969" s="16" t="s">
        <v>29</v>
      </c>
      <c r="E5969" s="55"/>
      <c r="F5969" s="55" t="s">
        <v>243</v>
      </c>
      <c r="G5969" s="20"/>
      <c r="H5969" s="20"/>
      <c r="I5969" s="20"/>
      <c r="J5969" s="20"/>
      <c r="K5969" s="20"/>
      <c r="L5969" s="20"/>
      <c r="M5969" s="20"/>
      <c r="N5969" s="20"/>
      <c r="O5969" s="20"/>
      <c r="P5969" s="21" t="str">
        <f t="shared" si="132"/>
        <v>Truncate table XCR033;</v>
      </c>
      <c r="Q5969" s="20"/>
      <c r="R5969" s="20"/>
      <c r="S5969"/>
      <c r="T5969"/>
      <c r="U5969"/>
      <c r="V5969"/>
    </row>
    <row r="5970" spans="2:22" x14ac:dyDescent="0.25">
      <c r="B5970" s="20" t="s">
        <v>7965</v>
      </c>
      <c r="C5970" s="21" t="s">
        <v>6812</v>
      </c>
      <c r="D5970" s="16" t="s">
        <v>29</v>
      </c>
      <c r="E5970" s="55"/>
      <c r="F5970" s="55" t="s">
        <v>243</v>
      </c>
      <c r="G5970" s="20"/>
      <c r="H5970" s="20"/>
      <c r="I5970" s="20"/>
      <c r="J5970" s="20"/>
      <c r="K5970" s="20"/>
      <c r="L5970" s="20"/>
      <c r="M5970" s="20"/>
      <c r="N5970" s="20"/>
      <c r="O5970" s="20"/>
      <c r="P5970" s="21" t="str">
        <f t="shared" si="132"/>
        <v>Truncate table XCR034;</v>
      </c>
      <c r="Q5970" s="20"/>
      <c r="R5970" s="20"/>
      <c r="S5970"/>
      <c r="T5970"/>
      <c r="U5970"/>
      <c r="V5970"/>
    </row>
    <row r="5971" spans="2:22" x14ac:dyDescent="0.25">
      <c r="B5971" s="20" t="s">
        <v>7966</v>
      </c>
      <c r="C5971" s="21" t="s">
        <v>6812</v>
      </c>
      <c r="D5971" s="16" t="s">
        <v>29</v>
      </c>
      <c r="E5971" s="55"/>
      <c r="F5971" s="55" t="s">
        <v>243</v>
      </c>
      <c r="G5971" s="20"/>
      <c r="H5971" s="20"/>
      <c r="I5971" s="20"/>
      <c r="J5971" s="20"/>
      <c r="K5971" s="20"/>
      <c r="L5971" s="20"/>
      <c r="M5971" s="20"/>
      <c r="N5971" s="20"/>
      <c r="O5971" s="20"/>
      <c r="P5971" s="21" t="str">
        <f t="shared" si="132"/>
        <v>Truncate table XCR050;</v>
      </c>
      <c r="Q5971" s="20"/>
      <c r="R5971" s="20"/>
      <c r="S5971"/>
      <c r="T5971"/>
      <c r="U5971"/>
      <c r="V5971"/>
    </row>
    <row r="5972" spans="2:22" x14ac:dyDescent="0.25">
      <c r="B5972" s="20" t="s">
        <v>7967</v>
      </c>
      <c r="C5972" s="21" t="s">
        <v>7968</v>
      </c>
      <c r="D5972" s="16" t="s">
        <v>29</v>
      </c>
      <c r="E5972" s="55"/>
      <c r="F5972" s="55" t="s">
        <v>243</v>
      </c>
      <c r="G5972" s="20"/>
      <c r="H5972" s="20"/>
      <c r="I5972" s="20"/>
      <c r="J5972" s="20"/>
      <c r="K5972" s="20"/>
      <c r="L5972" s="20"/>
      <c r="M5972" s="20"/>
      <c r="N5972" s="20"/>
      <c r="O5972" s="20"/>
      <c r="P5972" s="21" t="str">
        <f t="shared" si="132"/>
        <v>Truncate table Z05507;</v>
      </c>
      <c r="Q5972" s="20"/>
      <c r="R5972" s="20"/>
      <c r="S5972"/>
      <c r="T5972"/>
      <c r="U5972"/>
      <c r="V5972"/>
    </row>
    <row r="5973" spans="2:22" ht="40.5" x14ac:dyDescent="0.25">
      <c r="B5973" s="5" t="s">
        <v>7970</v>
      </c>
      <c r="C5973" s="21" t="s">
        <v>7971</v>
      </c>
      <c r="D5973" s="16" t="s">
        <v>29</v>
      </c>
      <c r="E5973" s="55"/>
      <c r="F5973" s="55" t="s">
        <v>33</v>
      </c>
      <c r="G5973" s="20"/>
      <c r="H5973" s="20"/>
      <c r="I5973" s="20" t="s">
        <v>7972</v>
      </c>
      <c r="J5973" s="20" t="s">
        <v>7973</v>
      </c>
      <c r="K5973" s="20" t="s">
        <v>7520</v>
      </c>
      <c r="L5973" s="66" t="s">
        <v>7974</v>
      </c>
      <c r="M5973" s="66"/>
      <c r="N5973" s="16" t="s">
        <v>7975</v>
      </c>
      <c r="O5973" s="20"/>
      <c r="P5973" s="21" t="str">
        <f t="shared" si="132"/>
        <v>Truncate table XBRLINS;</v>
      </c>
      <c r="Q5973" s="20"/>
      <c r="R5973" s="20"/>
    </row>
    <row r="5974" spans="2:22" x14ac:dyDescent="0.25">
      <c r="B5974" s="5" t="s">
        <v>9541</v>
      </c>
      <c r="C5974" s="21"/>
      <c r="D5974" s="16" t="s">
        <v>29</v>
      </c>
      <c r="E5974" s="55"/>
      <c r="F5974" s="55"/>
      <c r="G5974" s="20"/>
      <c r="H5974" s="20"/>
      <c r="I5974" s="20"/>
      <c r="J5974" s="20"/>
      <c r="K5974" s="20"/>
      <c r="L5974" s="66"/>
      <c r="M5974" s="66"/>
      <c r="N5974" s="16"/>
      <c r="O5974" s="20"/>
      <c r="P5974" s="21" t="str">
        <f t="shared" si="132"/>
        <v>Truncate table  XBRLREP;</v>
      </c>
      <c r="Q5974" s="20"/>
      <c r="R5974" s="20"/>
    </row>
    <row r="5975" spans="2:22" ht="67.5" x14ac:dyDescent="0.25">
      <c r="B5975" s="4" t="s">
        <v>7976</v>
      </c>
      <c r="C5975" s="21" t="s">
        <v>7977</v>
      </c>
      <c r="D5975" s="16" t="s">
        <v>29</v>
      </c>
      <c r="E5975" s="34"/>
      <c r="F5975" s="34" t="s">
        <v>2992</v>
      </c>
      <c r="G5975" s="21"/>
      <c r="H5975" s="21"/>
      <c r="I5975" s="4" t="s">
        <v>7978</v>
      </c>
      <c r="J5975" s="4" t="s">
        <v>7979</v>
      </c>
      <c r="K5975" s="4" t="s">
        <v>7980</v>
      </c>
      <c r="L5975" s="29" t="s">
        <v>7981</v>
      </c>
      <c r="M5975" s="29"/>
      <c r="N5975" s="62" t="s">
        <v>7982</v>
      </c>
      <c r="O5975" s="21"/>
      <c r="P5975" s="21" t="str">
        <f t="shared" si="132"/>
        <v>Truncate table FSD860                                                                                                                          ;</v>
      </c>
      <c r="Q5975" s="20"/>
      <c r="R5975" s="20"/>
    </row>
    <row r="5976" spans="2:22" ht="67.5" x14ac:dyDescent="0.25">
      <c r="B5976" s="4" t="s">
        <v>7983</v>
      </c>
      <c r="C5976" s="4" t="s">
        <v>7984</v>
      </c>
      <c r="D5976" s="16" t="s">
        <v>29</v>
      </c>
      <c r="E5976" s="34"/>
      <c r="F5976" s="34" t="s">
        <v>2992</v>
      </c>
      <c r="G5976" s="21"/>
      <c r="H5976" s="21"/>
      <c r="I5976" s="4" t="s">
        <v>7978</v>
      </c>
      <c r="J5976" s="4" t="s">
        <v>7985</v>
      </c>
      <c r="K5976" s="4" t="s">
        <v>7980</v>
      </c>
      <c r="L5976" s="29" t="s">
        <v>7981</v>
      </c>
      <c r="M5976" s="29"/>
      <c r="N5976" s="62" t="s">
        <v>7986</v>
      </c>
      <c r="O5976" s="21"/>
      <c r="P5976" s="21" t="str">
        <f t="shared" si="132"/>
        <v>Truncate table FSD861                                                                                                                          ;</v>
      </c>
      <c r="Q5976" s="21"/>
      <c r="R5976" s="21"/>
    </row>
    <row r="5977" spans="2:22" ht="67.5" x14ac:dyDescent="0.25">
      <c r="B5977" s="4" t="s">
        <v>7987</v>
      </c>
      <c r="C5977" s="4" t="s">
        <v>7988</v>
      </c>
      <c r="D5977" s="16" t="s">
        <v>29</v>
      </c>
      <c r="E5977" s="55"/>
      <c r="F5977" s="4" t="s">
        <v>919</v>
      </c>
      <c r="G5977" s="20"/>
      <c r="H5977" s="20"/>
      <c r="I5977" s="4" t="s">
        <v>7989</v>
      </c>
      <c r="J5977" s="4" t="s">
        <v>7990</v>
      </c>
      <c r="K5977" s="4" t="s">
        <v>7991</v>
      </c>
      <c r="L5977" s="4" t="s">
        <v>7992</v>
      </c>
      <c r="M5977" s="4"/>
      <c r="N5977" s="20"/>
      <c r="O5977" s="20"/>
      <c r="P5977" s="21" t="str">
        <f t="shared" si="132"/>
        <v>Truncate table FSD519;</v>
      </c>
      <c r="Q5977" s="20"/>
      <c r="R5977" s="20"/>
    </row>
    <row r="5978" spans="2:22" ht="54" x14ac:dyDescent="0.25">
      <c r="B5978" s="23" t="s">
        <v>7993</v>
      </c>
      <c r="C5978" s="23" t="s">
        <v>7994</v>
      </c>
      <c r="D5978" s="16" t="s">
        <v>29</v>
      </c>
      <c r="E5978" s="58"/>
      <c r="F5978" s="58" t="s">
        <v>919</v>
      </c>
      <c r="G5978" s="16"/>
      <c r="H5978" s="16"/>
      <c r="I5978" s="23" t="s">
        <v>7995</v>
      </c>
      <c r="J5978" s="23" t="s">
        <v>7996</v>
      </c>
      <c r="K5978" s="29" t="s">
        <v>2437</v>
      </c>
      <c r="L5978" s="276" t="s">
        <v>7997</v>
      </c>
      <c r="M5978" s="276"/>
      <c r="N5978" s="20"/>
      <c r="O5978" s="20"/>
      <c r="P5978" s="21" t="str">
        <f t="shared" si="132"/>
        <v>Truncate table FSD450E                                                                                                                         ;</v>
      </c>
      <c r="Q5978" s="20"/>
      <c r="R5978" s="20"/>
    </row>
    <row r="5979" spans="2:22" ht="54" x14ac:dyDescent="0.25">
      <c r="B5979" s="21" t="s">
        <v>7998</v>
      </c>
      <c r="C5979" s="21" t="s">
        <v>7999</v>
      </c>
      <c r="D5979" s="16" t="s">
        <v>29</v>
      </c>
      <c r="E5979" s="34"/>
      <c r="F5979" s="34" t="s">
        <v>4752</v>
      </c>
      <c r="G5979" s="21"/>
      <c r="H5979" s="21"/>
      <c r="I5979" s="67" t="s">
        <v>8000</v>
      </c>
      <c r="J5979" s="67" t="s">
        <v>8001</v>
      </c>
      <c r="K5979" s="67" t="s">
        <v>7474</v>
      </c>
      <c r="L5979" s="21" t="s">
        <v>7899</v>
      </c>
      <c r="M5979" s="21"/>
      <c r="N5979" s="21"/>
      <c r="O5979" s="21"/>
      <c r="P5979" s="21" t="str">
        <f t="shared" si="132"/>
        <v>Truncate table TTDD044 ;</v>
      </c>
      <c r="Q5979" s="21"/>
      <c r="R5979" s="21"/>
    </row>
    <row r="5980" spans="2:22" ht="54" x14ac:dyDescent="0.25">
      <c r="B5980" s="20" t="s">
        <v>8002</v>
      </c>
      <c r="C5980" s="242" t="s">
        <v>8003</v>
      </c>
      <c r="D5980" s="16" t="s">
        <v>29</v>
      </c>
      <c r="E5980" s="261"/>
      <c r="F5980" s="261" t="s">
        <v>216</v>
      </c>
      <c r="G5980" s="91"/>
      <c r="H5980" s="91"/>
      <c r="I5980" s="91"/>
      <c r="J5980" s="91"/>
      <c r="K5980" s="38" t="s">
        <v>8004</v>
      </c>
      <c r="L5980" s="242" t="s">
        <v>8005</v>
      </c>
      <c r="M5980" s="242"/>
      <c r="N5980" s="91"/>
      <c r="O5980" s="91"/>
      <c r="P5980" s="216" t="str">
        <f t="shared" si="132"/>
        <v>Truncate table WFATTSVAL;</v>
      </c>
      <c r="Q5980" s="91"/>
      <c r="R5980" s="91"/>
      <c r="S5980"/>
      <c r="T5980"/>
      <c r="U5980"/>
      <c r="V5980"/>
    </row>
    <row r="5981" spans="2:22" ht="40.5" x14ac:dyDescent="0.25">
      <c r="B5981" s="21" t="s">
        <v>8006</v>
      </c>
      <c r="C5981" s="217" t="s">
        <v>8007</v>
      </c>
      <c r="D5981" s="16" t="s">
        <v>29</v>
      </c>
      <c r="E5981" s="218"/>
      <c r="F5981" s="218" t="s">
        <v>924</v>
      </c>
      <c r="G5981" s="217"/>
      <c r="H5981" s="217"/>
      <c r="I5981" s="217" t="s">
        <v>8008</v>
      </c>
      <c r="J5981" s="217" t="s">
        <v>8009</v>
      </c>
      <c r="K5981" s="217" t="s">
        <v>466</v>
      </c>
      <c r="L5981" s="217" t="s">
        <v>8010</v>
      </c>
      <c r="M5981" s="217"/>
      <c r="N5981" s="217"/>
      <c r="O5981" s="217"/>
      <c r="P5981" s="217" t="str">
        <f t="shared" si="132"/>
        <v>Truncate table CSML110;</v>
      </c>
      <c r="Q5981" s="217"/>
      <c r="R5981" s="217"/>
    </row>
    <row r="5982" spans="2:22" ht="40.5" x14ac:dyDescent="0.25">
      <c r="B5982" s="4" t="s">
        <v>8011</v>
      </c>
      <c r="C5982" s="4" t="s">
        <v>8012</v>
      </c>
      <c r="D5982" s="16" t="s">
        <v>29</v>
      </c>
      <c r="E5982" s="61"/>
      <c r="F5982" s="61" t="s">
        <v>924</v>
      </c>
      <c r="G5982" s="4"/>
      <c r="H5982" s="4"/>
      <c r="I5982" s="4" t="s">
        <v>8013</v>
      </c>
      <c r="J5982" s="4" t="s">
        <v>8014</v>
      </c>
      <c r="K5982" s="4" t="s">
        <v>466</v>
      </c>
      <c r="L5982" s="4" t="s">
        <v>8010</v>
      </c>
      <c r="M5982" s="4"/>
      <c r="N5982" s="4"/>
      <c r="O5982" s="4"/>
      <c r="P5982" s="21" t="str">
        <f t="shared" si="132"/>
        <v>Truncate table CSML111    ;</v>
      </c>
      <c r="Q5982" s="4"/>
      <c r="R5982" s="4"/>
    </row>
    <row r="5983" spans="2:22" ht="54" x14ac:dyDescent="0.25">
      <c r="B5983" s="4" t="s">
        <v>8015</v>
      </c>
      <c r="C5983" s="4" t="s">
        <v>8016</v>
      </c>
      <c r="D5983" s="16" t="s">
        <v>29</v>
      </c>
      <c r="E5983" s="61" t="s">
        <v>151</v>
      </c>
      <c r="F5983" s="61" t="s">
        <v>4752</v>
      </c>
      <c r="G5983" s="4"/>
      <c r="H5983" s="4"/>
      <c r="I5983" s="4" t="s">
        <v>8017</v>
      </c>
      <c r="J5983" s="4" t="s">
        <v>8018</v>
      </c>
      <c r="K5983" s="4" t="s">
        <v>7474</v>
      </c>
      <c r="L5983" s="4" t="s">
        <v>7899</v>
      </c>
      <c r="M5983" s="4"/>
      <c r="N5983" s="4"/>
      <c r="O5983" s="4"/>
      <c r="P5983" s="21" t="str">
        <f t="shared" si="132"/>
        <v>Truncate table TDD126   ;</v>
      </c>
      <c r="Q5983" s="22"/>
      <c r="R5983" s="22"/>
    </row>
    <row r="5984" spans="2:22" ht="40.5" x14ac:dyDescent="0.25">
      <c r="B5984" s="22" t="s">
        <v>8019</v>
      </c>
      <c r="C5984" s="22" t="s">
        <v>8020</v>
      </c>
      <c r="D5984" s="16" t="s">
        <v>29</v>
      </c>
      <c r="E5984" s="68" t="s">
        <v>3007</v>
      </c>
      <c r="F5984" s="68" t="s">
        <v>3133</v>
      </c>
      <c r="G5984" s="22"/>
      <c r="H5984" s="22"/>
      <c r="I5984" s="22" t="s">
        <v>8021</v>
      </c>
      <c r="J5984" s="22" t="s">
        <v>8022</v>
      </c>
      <c r="K5984" s="22" t="s">
        <v>8023</v>
      </c>
      <c r="L5984" s="22" t="s">
        <v>8024</v>
      </c>
      <c r="M5984" s="22"/>
      <c r="N5984" s="22"/>
      <c r="O5984" s="22"/>
      <c r="P5984" s="21" t="str">
        <f t="shared" si="132"/>
        <v>Truncate table FSFT69;</v>
      </c>
      <c r="Q5984" s="22"/>
      <c r="R5984" s="22"/>
    </row>
    <row r="5985" spans="1:18" x14ac:dyDescent="0.25">
      <c r="B5985" s="20" t="s">
        <v>8025</v>
      </c>
      <c r="C5985" s="21" t="s">
        <v>1024</v>
      </c>
      <c r="D5985" s="16" t="s">
        <v>29</v>
      </c>
      <c r="E5985" s="55" t="s">
        <v>54</v>
      </c>
      <c r="F5985" s="69" t="s">
        <v>3711</v>
      </c>
      <c r="G5985" s="20"/>
      <c r="H5985" s="20"/>
      <c r="I5985" s="20"/>
      <c r="J5985" s="20"/>
      <c r="K5985" s="20"/>
      <c r="L5985" s="20"/>
      <c r="M5985" s="20"/>
      <c r="N5985" s="20"/>
      <c r="O5985" s="20"/>
      <c r="P5985" s="21" t="str">
        <f t="shared" si="132"/>
        <v>Truncate table MSGA60;</v>
      </c>
      <c r="Q5985" s="20"/>
      <c r="R5985" s="20"/>
    </row>
    <row r="5986" spans="1:18" x14ac:dyDescent="0.25">
      <c r="B5986" s="20" t="s">
        <v>8026</v>
      </c>
      <c r="C5986" s="21" t="s">
        <v>8027</v>
      </c>
      <c r="D5986" s="16" t="s">
        <v>29</v>
      </c>
      <c r="E5986" s="55" t="s">
        <v>54</v>
      </c>
      <c r="F5986" s="69" t="s">
        <v>3711</v>
      </c>
      <c r="G5986" s="20"/>
      <c r="H5986" s="20"/>
      <c r="I5986" s="20"/>
      <c r="J5986" s="20"/>
      <c r="K5986" s="20"/>
      <c r="L5986" s="20"/>
      <c r="M5986" s="20"/>
      <c r="N5986" s="20"/>
      <c r="O5986" s="20"/>
      <c r="P5986" s="21" t="str">
        <f t="shared" si="132"/>
        <v>Truncate table MSGA61;</v>
      </c>
      <c r="Q5986" s="20"/>
      <c r="R5986" s="20"/>
    </row>
    <row r="5987" spans="1:18" x14ac:dyDescent="0.25">
      <c r="B5987" s="20" t="s">
        <v>8028</v>
      </c>
      <c r="C5987" s="21" t="s">
        <v>8029</v>
      </c>
      <c r="D5987" s="16" t="s">
        <v>29</v>
      </c>
      <c r="E5987" s="55" t="s">
        <v>54</v>
      </c>
      <c r="F5987" s="69" t="s">
        <v>3711</v>
      </c>
      <c r="G5987" s="20"/>
      <c r="H5987" s="20"/>
      <c r="I5987" s="20"/>
      <c r="J5987" s="20"/>
      <c r="K5987" s="20"/>
      <c r="L5987" s="20"/>
      <c r="M5987" s="20"/>
      <c r="N5987" s="20"/>
      <c r="O5987" s="20"/>
      <c r="P5987" s="21" t="str">
        <f t="shared" si="132"/>
        <v>Truncate table MSGA62;</v>
      </c>
      <c r="Q5987" s="20"/>
      <c r="R5987" s="20"/>
    </row>
    <row r="5988" spans="1:18" ht="40.5" x14ac:dyDescent="0.25">
      <c r="B5988" s="21" t="s">
        <v>8030</v>
      </c>
      <c r="C5988" s="21" t="s">
        <v>8031</v>
      </c>
      <c r="D5988" s="16" t="s">
        <v>29</v>
      </c>
      <c r="E5988" s="34" t="s">
        <v>151</v>
      </c>
      <c r="F5988" s="34" t="s">
        <v>2992</v>
      </c>
      <c r="G5988" s="21"/>
      <c r="H5988" s="21"/>
      <c r="I5988" s="21" t="s">
        <v>8032</v>
      </c>
      <c r="J5988" s="21" t="s">
        <v>8033</v>
      </c>
      <c r="K5988" s="21" t="s">
        <v>8034</v>
      </c>
      <c r="L5988" s="70" t="s">
        <v>8035</v>
      </c>
      <c r="M5988" s="70"/>
      <c r="N5988" s="21"/>
      <c r="O5988" s="21"/>
      <c r="P5988" s="21" t="str">
        <f t="shared" si="132"/>
        <v>Truncate table AHP0531;</v>
      </c>
      <c r="Q5988" s="20"/>
      <c r="R5988" s="20"/>
    </row>
    <row r="5989" spans="1:18" ht="40.5" x14ac:dyDescent="0.25">
      <c r="B5989" s="21" t="s">
        <v>8036</v>
      </c>
      <c r="C5989" s="21" t="s">
        <v>8037</v>
      </c>
      <c r="D5989" s="16" t="s">
        <v>29</v>
      </c>
      <c r="E5989" s="34" t="s">
        <v>151</v>
      </c>
      <c r="F5989" s="34" t="s">
        <v>2992</v>
      </c>
      <c r="G5989" s="21"/>
      <c r="H5989" s="21"/>
      <c r="I5989" s="21" t="s">
        <v>8038</v>
      </c>
      <c r="J5989" s="21" t="s">
        <v>8039</v>
      </c>
      <c r="K5989" s="21" t="s">
        <v>8040</v>
      </c>
      <c r="L5989" s="70" t="s">
        <v>8035</v>
      </c>
      <c r="M5989" s="70"/>
      <c r="N5989" s="20"/>
      <c r="O5989" s="20"/>
      <c r="P5989" s="21" t="str">
        <f t="shared" si="132"/>
        <v>Truncate table AHP9202;</v>
      </c>
      <c r="Q5989" s="20"/>
      <c r="R5989" s="20"/>
    </row>
    <row r="5990" spans="1:18" s="360" customFormat="1" x14ac:dyDescent="0.25">
      <c r="A5990" s="71"/>
      <c r="B5990" s="361" t="s">
        <v>10221</v>
      </c>
      <c r="C5990" s="361" t="s">
        <v>10227</v>
      </c>
      <c r="D5990" s="361" t="s">
        <v>10206</v>
      </c>
      <c r="E5990" s="366" t="s">
        <v>151</v>
      </c>
      <c r="F5990" s="366" t="s">
        <v>2992</v>
      </c>
      <c r="G5990" s="362" t="s">
        <v>35</v>
      </c>
      <c r="H5990" s="363" t="s">
        <v>36</v>
      </c>
      <c r="I5990" s="363"/>
      <c r="J5990" s="363"/>
      <c r="K5990" s="363"/>
      <c r="L5990" s="364"/>
      <c r="M5990" s="364"/>
      <c r="N5990" s="365"/>
      <c r="O5990" s="365"/>
      <c r="P5990" s="363" t="str">
        <f t="shared" si="132"/>
        <v/>
      </c>
      <c r="Q5990" s="365"/>
      <c r="R5990" s="365"/>
    </row>
    <row r="5991" spans="1:18" s="360" customFormat="1" x14ac:dyDescent="0.25">
      <c r="A5991" s="71"/>
      <c r="B5991" s="361" t="s">
        <v>10222</v>
      </c>
      <c r="C5991" s="367" t="s">
        <v>10229</v>
      </c>
      <c r="D5991" s="361" t="s">
        <v>10206</v>
      </c>
      <c r="E5991" s="366" t="s">
        <v>151</v>
      </c>
      <c r="F5991" s="366" t="s">
        <v>2992</v>
      </c>
      <c r="G5991" s="362" t="s">
        <v>35</v>
      </c>
      <c r="H5991" s="363" t="s">
        <v>36</v>
      </c>
      <c r="I5991" s="363"/>
      <c r="J5991" s="363"/>
      <c r="K5991" s="363"/>
      <c r="L5991" s="364"/>
      <c r="M5991" s="364"/>
      <c r="N5991" s="365"/>
      <c r="O5991" s="365"/>
      <c r="P5991" s="363" t="str">
        <f t="shared" si="132"/>
        <v/>
      </c>
      <c r="Q5991" s="365"/>
      <c r="R5991" s="365"/>
    </row>
    <row r="5992" spans="1:18" s="360" customFormat="1" x14ac:dyDescent="0.25">
      <c r="A5992" s="71"/>
      <c r="B5992" s="361" t="s">
        <v>10223</v>
      </c>
      <c r="C5992" s="361" t="s">
        <v>10228</v>
      </c>
      <c r="D5992" s="361" t="s">
        <v>29</v>
      </c>
      <c r="E5992" s="366" t="s">
        <v>151</v>
      </c>
      <c r="F5992" s="366" t="s">
        <v>2992</v>
      </c>
      <c r="G5992" s="362" t="s">
        <v>35</v>
      </c>
      <c r="H5992" s="363" t="s">
        <v>36</v>
      </c>
      <c r="I5992" s="363"/>
      <c r="J5992" s="363"/>
      <c r="K5992" s="363"/>
      <c r="L5992" s="364"/>
      <c r="M5992" s="364"/>
      <c r="N5992" s="365"/>
      <c r="O5992" s="365"/>
      <c r="P5992" s="363" t="str">
        <f t="shared" si="132"/>
        <v>Truncate table AHP9201;</v>
      </c>
      <c r="Q5992" s="365"/>
      <c r="R5992" s="365"/>
    </row>
    <row r="5993" spans="1:18" s="360" customFormat="1" x14ac:dyDescent="0.25">
      <c r="A5993" s="71"/>
      <c r="B5993" s="361" t="s">
        <v>10224</v>
      </c>
      <c r="C5993" s="361" t="s">
        <v>10230</v>
      </c>
      <c r="D5993" s="361" t="s">
        <v>29</v>
      </c>
      <c r="E5993" s="366" t="s">
        <v>151</v>
      </c>
      <c r="F5993" s="366" t="s">
        <v>2992</v>
      </c>
      <c r="G5993" s="362" t="s">
        <v>35</v>
      </c>
      <c r="H5993" s="363" t="s">
        <v>36</v>
      </c>
      <c r="I5993" s="363"/>
      <c r="J5993" s="363"/>
      <c r="K5993" s="363"/>
      <c r="L5993" s="364"/>
      <c r="M5993" s="364"/>
      <c r="N5993" s="365"/>
      <c r="O5993" s="365"/>
      <c r="P5993" s="363" t="str">
        <f t="shared" si="132"/>
        <v>Truncate table AHP9206;</v>
      </c>
      <c r="Q5993" s="365"/>
      <c r="R5993" s="365"/>
    </row>
    <row r="5994" spans="1:18" s="360" customFormat="1" x14ac:dyDescent="0.25">
      <c r="A5994" s="71"/>
      <c r="B5994" s="361" t="s">
        <v>10225</v>
      </c>
      <c r="C5994" s="361" t="s">
        <v>10231</v>
      </c>
      <c r="D5994" s="361" t="s">
        <v>29</v>
      </c>
      <c r="E5994" s="366" t="s">
        <v>151</v>
      </c>
      <c r="F5994" s="366" t="s">
        <v>2992</v>
      </c>
      <c r="G5994" s="362" t="s">
        <v>35</v>
      </c>
      <c r="H5994" s="363" t="s">
        <v>36</v>
      </c>
      <c r="I5994" s="363"/>
      <c r="J5994" s="363"/>
      <c r="K5994" s="363"/>
      <c r="L5994" s="364"/>
      <c r="M5994" s="364"/>
      <c r="N5994" s="365"/>
      <c r="O5994" s="365"/>
      <c r="P5994" s="363" t="str">
        <f t="shared" si="132"/>
        <v>Truncate table AHP9207;</v>
      </c>
      <c r="Q5994" s="365"/>
      <c r="R5994" s="365"/>
    </row>
    <row r="5995" spans="1:18" s="360" customFormat="1" x14ac:dyDescent="0.25">
      <c r="A5995" s="71"/>
      <c r="B5995" s="361" t="s">
        <v>10226</v>
      </c>
      <c r="C5995" s="361" t="s">
        <v>10232</v>
      </c>
      <c r="D5995" s="361" t="s">
        <v>29</v>
      </c>
      <c r="E5995" s="366" t="s">
        <v>151</v>
      </c>
      <c r="F5995" s="366" t="s">
        <v>2992</v>
      </c>
      <c r="G5995" s="362" t="s">
        <v>35</v>
      </c>
      <c r="H5995" s="363" t="s">
        <v>36</v>
      </c>
      <c r="I5995" s="363"/>
      <c r="J5995" s="363"/>
      <c r="K5995" s="363"/>
      <c r="L5995" s="364"/>
      <c r="M5995" s="364"/>
      <c r="N5995" s="365"/>
      <c r="O5995" s="365"/>
      <c r="P5995" s="363" t="str">
        <f t="shared" si="132"/>
        <v>Truncate table AHP9999;</v>
      </c>
      <c r="Q5995" s="365"/>
      <c r="R5995" s="365"/>
    </row>
    <row r="5996" spans="1:18" ht="54" x14ac:dyDescent="0.25">
      <c r="B5996" s="62" t="s">
        <v>8041</v>
      </c>
      <c r="C5996" s="62" t="s">
        <v>8042</v>
      </c>
      <c r="D5996" s="16" t="s">
        <v>29</v>
      </c>
      <c r="E5996" s="55" t="s">
        <v>34</v>
      </c>
      <c r="F5996" s="55" t="s">
        <v>33</v>
      </c>
      <c r="G5996" s="16" t="s">
        <v>35</v>
      </c>
      <c r="H5996" s="20"/>
      <c r="I5996" s="21" t="s">
        <v>8043</v>
      </c>
      <c r="J5996" s="21" t="s">
        <v>8044</v>
      </c>
      <c r="K5996" s="21" t="s">
        <v>8045</v>
      </c>
      <c r="L5996" s="21" t="s">
        <v>8046</v>
      </c>
      <c r="M5996" s="21"/>
      <c r="N5996" s="20"/>
      <c r="O5996" s="20"/>
      <c r="P5996" s="21" t="str">
        <f t="shared" ref="P5996:P6027" si="133">IF(D5996="Datos","Truncate table "&amp; B5996&amp; ";","")</f>
        <v>Truncate table FBC522;</v>
      </c>
      <c r="Q5996" s="20"/>
      <c r="R5996" s="20"/>
    </row>
    <row r="5997" spans="1:18" ht="54" x14ac:dyDescent="0.25">
      <c r="B5997" s="21" t="s">
        <v>8047</v>
      </c>
      <c r="C5997" s="21" t="s">
        <v>8048</v>
      </c>
      <c r="D5997" s="16" t="s">
        <v>29</v>
      </c>
      <c r="E5997" s="34" t="s">
        <v>54</v>
      </c>
      <c r="F5997" s="34" t="s">
        <v>235</v>
      </c>
      <c r="G5997" s="21" t="s">
        <v>8049</v>
      </c>
      <c r="H5997" s="21" t="s">
        <v>36</v>
      </c>
      <c r="I5997" s="21" t="s">
        <v>8050</v>
      </c>
      <c r="J5997" s="21">
        <f>[9]EQUIVALENCIAS!$D$6</f>
        <v>2</v>
      </c>
      <c r="K5997" s="21" t="s">
        <v>8051</v>
      </c>
      <c r="L5997" s="21" t="s">
        <v>8052</v>
      </c>
      <c r="M5997" s="21"/>
      <c r="N5997" s="21" t="s">
        <v>8053</v>
      </c>
      <c r="O5997" s="16"/>
      <c r="P5997" s="21" t="str">
        <f t="shared" si="133"/>
        <v>Truncate table DEMX3;</v>
      </c>
      <c r="Q5997" s="20"/>
      <c r="R5997" s="20"/>
    </row>
    <row r="5998" spans="1:18" ht="40.5" x14ac:dyDescent="0.25">
      <c r="B5998" s="21" t="s">
        <v>8054</v>
      </c>
      <c r="C5998" s="21" t="s">
        <v>8055</v>
      </c>
      <c r="D5998" s="16" t="s">
        <v>29</v>
      </c>
      <c r="E5998" s="34" t="s">
        <v>151</v>
      </c>
      <c r="F5998" s="34" t="s">
        <v>2992</v>
      </c>
      <c r="G5998" s="21" t="s">
        <v>35</v>
      </c>
      <c r="H5998" s="21" t="s">
        <v>36</v>
      </c>
      <c r="I5998" s="21" t="s">
        <v>8056</v>
      </c>
      <c r="J5998" s="21" t="s">
        <v>8057</v>
      </c>
      <c r="K5998" s="21" t="s">
        <v>8058</v>
      </c>
      <c r="L5998" s="21" t="s">
        <v>8059</v>
      </c>
      <c r="M5998" s="231"/>
      <c r="N5998" s="21"/>
      <c r="O5998" s="20"/>
      <c r="P5998" s="21" t="str">
        <f t="shared" si="133"/>
        <v>Truncate table DP702;</v>
      </c>
      <c r="Q5998" s="20"/>
      <c r="R5998" s="20"/>
    </row>
    <row r="5999" spans="1:18" ht="40.5" x14ac:dyDescent="0.25">
      <c r="B5999" s="20" t="s">
        <v>8060</v>
      </c>
      <c r="C5999" s="20" t="s">
        <v>8061</v>
      </c>
      <c r="D5999" s="16" t="s">
        <v>8152</v>
      </c>
      <c r="E5999" s="55" t="s">
        <v>54</v>
      </c>
      <c r="F5999" s="55" t="s">
        <v>8062</v>
      </c>
      <c r="G5999" s="20" t="s">
        <v>35</v>
      </c>
      <c r="H5999" s="20" t="s">
        <v>36</v>
      </c>
      <c r="I5999" s="20" t="s">
        <v>8063</v>
      </c>
      <c r="J5999" s="20" t="s">
        <v>8064</v>
      </c>
      <c r="K5999" s="5" t="s">
        <v>7969</v>
      </c>
      <c r="L5999" s="20"/>
      <c r="M5999" s="20"/>
      <c r="N5999" s="20"/>
      <c r="O5999" s="20"/>
      <c r="P5999" s="21" t="str">
        <f t="shared" si="133"/>
        <v/>
      </c>
      <c r="Q5999" s="20"/>
      <c r="R5999" s="20"/>
    </row>
    <row r="6000" spans="1:18" ht="67.5" x14ac:dyDescent="0.25">
      <c r="B6000" s="22" t="s">
        <v>8065</v>
      </c>
      <c r="C6000" s="22" t="s">
        <v>8066</v>
      </c>
      <c r="D6000" s="16" t="s">
        <v>29</v>
      </c>
      <c r="E6000" s="55" t="s">
        <v>151</v>
      </c>
      <c r="F6000" s="55" t="s">
        <v>2992</v>
      </c>
      <c r="G6000" s="20" t="s">
        <v>35</v>
      </c>
      <c r="H6000" s="20" t="s">
        <v>36</v>
      </c>
      <c r="I6000" s="22" t="s">
        <v>8067</v>
      </c>
      <c r="J6000" s="22" t="s">
        <v>8068</v>
      </c>
      <c r="K6000" s="4" t="s">
        <v>8034</v>
      </c>
      <c r="L6000" s="22" t="s">
        <v>8069</v>
      </c>
      <c r="M6000" s="22"/>
      <c r="N6000" s="20"/>
      <c r="O6000" s="20"/>
      <c r="P6000" s="21" t="str">
        <f t="shared" si="133"/>
        <v>Truncate table AHP0532;</v>
      </c>
      <c r="Q6000" s="20"/>
      <c r="R6000" s="20"/>
    </row>
    <row r="6001" spans="2:18" ht="75" customHeight="1" x14ac:dyDescent="0.25">
      <c r="B6001" s="5" t="s">
        <v>8070</v>
      </c>
      <c r="C6001" s="22" t="s">
        <v>8071</v>
      </c>
      <c r="D6001" s="16" t="s">
        <v>29</v>
      </c>
      <c r="E6001" s="55" t="s">
        <v>151</v>
      </c>
      <c r="F6001" s="69" t="s">
        <v>2992</v>
      </c>
      <c r="G6001" s="20" t="s">
        <v>35</v>
      </c>
      <c r="H6001" s="20" t="s">
        <v>36</v>
      </c>
      <c r="I6001" s="22" t="s">
        <v>8072</v>
      </c>
      <c r="J6001" s="22" t="s">
        <v>8073</v>
      </c>
      <c r="K6001" s="4" t="s">
        <v>8034</v>
      </c>
      <c r="L6001" s="22" t="s">
        <v>8069</v>
      </c>
      <c r="M6001" s="230"/>
      <c r="N6001" s="20"/>
      <c r="O6001" s="20"/>
      <c r="P6001" s="21" t="str">
        <f t="shared" si="133"/>
        <v>Truncate table AHP0534;</v>
      </c>
      <c r="Q6001" s="20"/>
      <c r="R6001" s="20"/>
    </row>
    <row r="6002" spans="2:18" ht="67.5" x14ac:dyDescent="0.25">
      <c r="B6002" s="4" t="s">
        <v>8074</v>
      </c>
      <c r="C6002" s="4" t="s">
        <v>8075</v>
      </c>
      <c r="D6002" s="16" t="s">
        <v>29</v>
      </c>
      <c r="E6002" s="55" t="s">
        <v>151</v>
      </c>
      <c r="F6002" s="55" t="s">
        <v>2992</v>
      </c>
      <c r="G6002" s="20" t="s">
        <v>35</v>
      </c>
      <c r="H6002" s="20" t="s">
        <v>36</v>
      </c>
      <c r="I6002" s="4" t="s">
        <v>8076</v>
      </c>
      <c r="J6002" s="4" t="s">
        <v>8077</v>
      </c>
      <c r="K6002" s="4" t="s">
        <v>8034</v>
      </c>
      <c r="L6002" s="20" t="s">
        <v>8069</v>
      </c>
      <c r="M6002" s="20"/>
      <c r="N6002" s="20"/>
      <c r="O6002" s="20"/>
      <c r="P6002" s="21" t="str">
        <f t="shared" si="133"/>
        <v>Truncate table AHP9200;</v>
      </c>
      <c r="Q6002" s="20"/>
      <c r="R6002" s="20"/>
    </row>
    <row r="6003" spans="2:18" ht="67.5" x14ac:dyDescent="0.25">
      <c r="B6003" s="62" t="s">
        <v>8078</v>
      </c>
      <c r="C6003" s="62" t="s">
        <v>8079</v>
      </c>
      <c r="D6003" s="16" t="s">
        <v>29</v>
      </c>
      <c r="E6003" s="55" t="s">
        <v>151</v>
      </c>
      <c r="F6003" s="55" t="s">
        <v>2992</v>
      </c>
      <c r="G6003" s="20" t="s">
        <v>35</v>
      </c>
      <c r="H6003" s="20" t="s">
        <v>36</v>
      </c>
      <c r="I6003" s="4" t="s">
        <v>8080</v>
      </c>
      <c r="J6003" s="4" t="s">
        <v>8081</v>
      </c>
      <c r="K6003" s="4" t="s">
        <v>8034</v>
      </c>
      <c r="L6003" s="20" t="s">
        <v>8069</v>
      </c>
      <c r="M6003" s="20"/>
      <c r="N6003" s="20"/>
      <c r="O6003" s="20"/>
      <c r="P6003" s="21" t="str">
        <f t="shared" si="133"/>
        <v>Truncate table AHP9201                                                                                                                         ;</v>
      </c>
      <c r="Q6003" s="20"/>
      <c r="R6003" s="20"/>
    </row>
    <row r="6004" spans="2:18" ht="40.5" x14ac:dyDescent="0.25">
      <c r="B6004" s="22" t="s">
        <v>8082</v>
      </c>
      <c r="C6004" s="4" t="s">
        <v>8083</v>
      </c>
      <c r="D6004" s="16" t="s">
        <v>29</v>
      </c>
      <c r="E6004" s="55" t="s">
        <v>34</v>
      </c>
      <c r="F6004" s="55" t="s">
        <v>33</v>
      </c>
      <c r="G6004" s="20" t="s">
        <v>35</v>
      </c>
      <c r="H6004" s="20" t="s">
        <v>36</v>
      </c>
      <c r="I6004" s="4" t="s">
        <v>8084</v>
      </c>
      <c r="J6004" s="4" t="s">
        <v>8085</v>
      </c>
      <c r="K6004" s="4" t="s">
        <v>8086</v>
      </c>
      <c r="L6004" s="22"/>
      <c r="M6004" s="22"/>
      <c r="N6004" s="20"/>
      <c r="O6004" s="20"/>
      <c r="P6004" s="21" t="str">
        <f t="shared" si="133"/>
        <v>Truncate table FBCT01;</v>
      </c>
      <c r="Q6004" s="20"/>
      <c r="R6004" s="20"/>
    </row>
    <row r="6005" spans="2:18" ht="40.5" x14ac:dyDescent="0.25">
      <c r="B6005" s="22" t="s">
        <v>8087</v>
      </c>
      <c r="C6005" s="22" t="s">
        <v>8088</v>
      </c>
      <c r="D6005" s="16" t="s">
        <v>29</v>
      </c>
      <c r="E6005" s="55" t="s">
        <v>34</v>
      </c>
      <c r="F6005" s="55" t="s">
        <v>33</v>
      </c>
      <c r="G6005" s="20" t="s">
        <v>35</v>
      </c>
      <c r="H6005" s="20" t="s">
        <v>36</v>
      </c>
      <c r="I6005" s="22" t="s">
        <v>8089</v>
      </c>
      <c r="J6005" s="22" t="s">
        <v>8090</v>
      </c>
      <c r="K6005" s="22" t="s">
        <v>8086</v>
      </c>
      <c r="L6005" s="22"/>
      <c r="M6005" s="22"/>
      <c r="N6005" s="20"/>
      <c r="O6005" s="20"/>
      <c r="P6005" s="21" t="str">
        <f t="shared" si="133"/>
        <v>Truncate table FBCT02;</v>
      </c>
      <c r="Q6005" s="20"/>
      <c r="R6005" s="20"/>
    </row>
    <row r="6006" spans="2:18" ht="63.75" customHeight="1" x14ac:dyDescent="0.25">
      <c r="B6006" s="4" t="s">
        <v>896</v>
      </c>
      <c r="C6006" s="4" t="s">
        <v>8091</v>
      </c>
      <c r="D6006" s="16" t="s">
        <v>29</v>
      </c>
      <c r="E6006" s="55" t="s">
        <v>54</v>
      </c>
      <c r="F6006" s="55" t="s">
        <v>235</v>
      </c>
      <c r="G6006" s="20" t="s">
        <v>35</v>
      </c>
      <c r="H6006" s="20" t="s">
        <v>36</v>
      </c>
      <c r="I6006" s="22" t="s">
        <v>898</v>
      </c>
      <c r="J6006" s="22" t="s">
        <v>8092</v>
      </c>
      <c r="K6006" s="4" t="s">
        <v>8093</v>
      </c>
      <c r="L6006" s="4" t="s">
        <v>8094</v>
      </c>
      <c r="M6006" s="231"/>
      <c r="N6006" s="4" t="s">
        <v>8095</v>
      </c>
      <c r="O6006" s="20"/>
      <c r="P6006" s="21" t="str">
        <f t="shared" si="133"/>
        <v>Truncate table CON102;</v>
      </c>
      <c r="Q6006" s="20"/>
      <c r="R6006" s="20"/>
    </row>
    <row r="6007" spans="2:18" ht="94.5" x14ac:dyDescent="0.25">
      <c r="B6007" s="5" t="s">
        <v>914</v>
      </c>
      <c r="C6007" s="22" t="s">
        <v>8096</v>
      </c>
      <c r="D6007" s="16" t="s">
        <v>29</v>
      </c>
      <c r="E6007" s="55" t="s">
        <v>34</v>
      </c>
      <c r="F6007" s="55" t="s">
        <v>33</v>
      </c>
      <c r="G6007" s="20" t="s">
        <v>35</v>
      </c>
      <c r="H6007" s="20" t="s">
        <v>36</v>
      </c>
      <c r="I6007" s="22" t="s">
        <v>8097</v>
      </c>
      <c r="J6007" s="22" t="s">
        <v>8098</v>
      </c>
      <c r="K6007" s="5" t="s">
        <v>8099</v>
      </c>
      <c r="L6007" s="22" t="s">
        <v>8100</v>
      </c>
      <c r="M6007" s="22"/>
      <c r="N6007" s="4" t="s">
        <v>8101</v>
      </c>
      <c r="O6007" s="20"/>
      <c r="P6007" s="21" t="str">
        <f t="shared" si="133"/>
        <v>Truncate table CRC1;</v>
      </c>
      <c r="Q6007" s="20"/>
      <c r="R6007" s="20"/>
    </row>
    <row r="6008" spans="2:18" ht="40.5" x14ac:dyDescent="0.25">
      <c r="B6008" s="22" t="s">
        <v>1601</v>
      </c>
      <c r="C6008" s="22" t="s">
        <v>8102</v>
      </c>
      <c r="D6008" s="16" t="s">
        <v>29</v>
      </c>
      <c r="E6008" s="55" t="s">
        <v>34</v>
      </c>
      <c r="F6008" s="55" t="s">
        <v>33</v>
      </c>
      <c r="G6008" s="20" t="s">
        <v>35</v>
      </c>
      <c r="H6008" s="20" t="s">
        <v>36</v>
      </c>
      <c r="I6008" s="22" t="s">
        <v>1603</v>
      </c>
      <c r="J6008" s="22" t="s">
        <v>8103</v>
      </c>
      <c r="K6008" s="22" t="s">
        <v>8086</v>
      </c>
      <c r="L6008" s="22"/>
      <c r="M6008" s="22"/>
      <c r="N6008" s="22"/>
      <c r="O6008" s="20"/>
      <c r="P6008" s="21" t="str">
        <f t="shared" si="133"/>
        <v>Truncate table FBC950;</v>
      </c>
      <c r="Q6008" s="20"/>
      <c r="R6008" s="20"/>
    </row>
    <row r="6009" spans="2:18" ht="40.5" x14ac:dyDescent="0.25">
      <c r="B6009" s="5" t="s">
        <v>7671</v>
      </c>
      <c r="C6009" s="22" t="s">
        <v>8104</v>
      </c>
      <c r="D6009" s="16" t="s">
        <v>29</v>
      </c>
      <c r="E6009" s="55" t="s">
        <v>54</v>
      </c>
      <c r="F6009" s="55" t="s">
        <v>163</v>
      </c>
      <c r="G6009" s="20" t="s">
        <v>35</v>
      </c>
      <c r="H6009" s="20" t="s">
        <v>36</v>
      </c>
      <c r="I6009" s="22" t="s">
        <v>8105</v>
      </c>
      <c r="J6009" s="22" t="s">
        <v>8106</v>
      </c>
      <c r="K6009" s="5" t="s">
        <v>8107</v>
      </c>
      <c r="L6009" s="22" t="s">
        <v>8108</v>
      </c>
      <c r="M6009" s="22"/>
      <c r="N6009" s="22"/>
      <c r="O6009" s="20"/>
      <c r="P6009" s="21" t="str">
        <f t="shared" si="133"/>
        <v>Truncate table FCV021;</v>
      </c>
      <c r="Q6009" s="20"/>
      <c r="R6009" s="20"/>
    </row>
    <row r="6010" spans="2:18" ht="54" x14ac:dyDescent="0.25">
      <c r="B6010" s="5" t="s">
        <v>8025</v>
      </c>
      <c r="C6010" s="22" t="s">
        <v>8109</v>
      </c>
      <c r="D6010" s="16" t="s">
        <v>29</v>
      </c>
      <c r="E6010" s="55" t="s">
        <v>54</v>
      </c>
      <c r="F6010" s="55" t="s">
        <v>3711</v>
      </c>
      <c r="G6010" s="20" t="s">
        <v>35</v>
      </c>
      <c r="H6010" s="20" t="s">
        <v>36</v>
      </c>
      <c r="I6010" s="22" t="s">
        <v>8110</v>
      </c>
      <c r="J6010" s="22" t="s">
        <v>8111</v>
      </c>
      <c r="K6010" s="5" t="s">
        <v>1068</v>
      </c>
      <c r="L6010" s="22" t="s">
        <v>8112</v>
      </c>
      <c r="M6010" s="226"/>
      <c r="N6010" s="47" t="s">
        <v>8113</v>
      </c>
      <c r="O6010" s="20"/>
      <c r="P6010" s="21" t="str">
        <f t="shared" si="133"/>
        <v>Truncate table MSGA60;</v>
      </c>
      <c r="Q6010" s="20"/>
      <c r="R6010" s="20"/>
    </row>
    <row r="6011" spans="2:18" ht="54" x14ac:dyDescent="0.25">
      <c r="B6011" s="7" t="s">
        <v>7470</v>
      </c>
      <c r="C6011" s="22" t="s">
        <v>8114</v>
      </c>
      <c r="D6011" s="16" t="s">
        <v>29</v>
      </c>
      <c r="E6011" s="55" t="s">
        <v>151</v>
      </c>
      <c r="F6011" s="55" t="s">
        <v>4752</v>
      </c>
      <c r="G6011" s="20" t="s">
        <v>35</v>
      </c>
      <c r="H6011" s="20" t="s">
        <v>36</v>
      </c>
      <c r="I6011" s="22" t="s">
        <v>7472</v>
      </c>
      <c r="J6011" s="22" t="s">
        <v>8115</v>
      </c>
      <c r="K6011" s="5" t="s">
        <v>7474</v>
      </c>
      <c r="L6011" s="22" t="s">
        <v>7899</v>
      </c>
      <c r="M6011" s="22"/>
      <c r="N6011" s="22"/>
      <c r="O6011" s="20"/>
      <c r="P6011" s="21" t="str">
        <f t="shared" si="133"/>
        <v>Truncate table TDD035;</v>
      </c>
      <c r="Q6011" s="20"/>
      <c r="R6011" s="20"/>
    </row>
    <row r="6012" spans="2:18" ht="54" x14ac:dyDescent="0.25">
      <c r="B6012" s="16" t="s">
        <v>8116</v>
      </c>
      <c r="C6012" s="5" t="s">
        <v>8117</v>
      </c>
      <c r="D6012" s="16" t="s">
        <v>29</v>
      </c>
      <c r="E6012" s="58" t="s">
        <v>54</v>
      </c>
      <c r="F6012" s="58" t="s">
        <v>155</v>
      </c>
      <c r="G6012" s="16" t="s">
        <v>35</v>
      </c>
      <c r="H6012" s="16" t="s">
        <v>36</v>
      </c>
      <c r="I6012" s="5" t="s">
        <v>8118</v>
      </c>
      <c r="J6012" s="104" t="s">
        <v>8477</v>
      </c>
      <c r="K6012" s="95" t="s">
        <v>5923</v>
      </c>
      <c r="L6012" s="16" t="s">
        <v>8119</v>
      </c>
      <c r="M6012" s="16"/>
      <c r="N6012" s="16"/>
      <c r="O6012" s="16"/>
      <c r="P6012" s="16" t="str">
        <f t="shared" si="133"/>
        <v>Truncate table BJFD08;</v>
      </c>
      <c r="Q6012" s="16" t="s">
        <v>7606</v>
      </c>
      <c r="R6012" s="16"/>
    </row>
    <row r="6013" spans="2:18" ht="40.5" x14ac:dyDescent="0.25">
      <c r="B6013" s="81" t="s">
        <v>8161</v>
      </c>
      <c r="C6013" s="81" t="s">
        <v>8162</v>
      </c>
      <c r="D6013" s="16" t="s">
        <v>29</v>
      </c>
      <c r="E6013" s="81" t="s">
        <v>3007</v>
      </c>
      <c r="F6013" s="81" t="s">
        <v>3133</v>
      </c>
      <c r="G6013" s="81" t="s">
        <v>35</v>
      </c>
      <c r="H6013" s="81" t="s">
        <v>36</v>
      </c>
      <c r="I6013" s="81" t="s">
        <v>8163</v>
      </c>
      <c r="J6013" s="81" t="s">
        <v>8164</v>
      </c>
      <c r="K6013" s="81" t="s">
        <v>8023</v>
      </c>
      <c r="L6013" s="93"/>
      <c r="M6013" s="93"/>
      <c r="N6013" s="93" t="s">
        <v>8165</v>
      </c>
      <c r="O6013" s="93"/>
      <c r="P6013" s="5" t="str">
        <f t="shared" si="133"/>
        <v>Truncate table FSFI202;</v>
      </c>
      <c r="Q6013" s="5" t="s">
        <v>7606</v>
      </c>
      <c r="R6013" s="93"/>
    </row>
    <row r="6014" spans="2:18" ht="27" x14ac:dyDescent="0.25">
      <c r="B6014" s="80" t="s">
        <v>8166</v>
      </c>
      <c r="C6014" s="80" t="s">
        <v>8167</v>
      </c>
      <c r="D6014" s="16" t="s">
        <v>29</v>
      </c>
      <c r="E6014" s="81" t="s">
        <v>3007</v>
      </c>
      <c r="F6014" s="81" t="s">
        <v>3133</v>
      </c>
      <c r="G6014" s="81" t="s">
        <v>35</v>
      </c>
      <c r="H6014" s="81" t="s">
        <v>36</v>
      </c>
      <c r="I6014" s="80" t="s">
        <v>8168</v>
      </c>
      <c r="J6014" s="281" t="s">
        <v>8234</v>
      </c>
      <c r="K6014" s="81" t="s">
        <v>8023</v>
      </c>
      <c r="L6014" s="81"/>
      <c r="M6014" s="81"/>
      <c r="N6014" s="81" t="s">
        <v>8165</v>
      </c>
      <c r="O6014" s="81"/>
      <c r="P6014" s="4" t="str">
        <f t="shared" si="133"/>
        <v>Truncate table FSFI204;</v>
      </c>
      <c r="Q6014" s="81" t="s">
        <v>7606</v>
      </c>
      <c r="R6014" s="81"/>
    </row>
    <row r="6015" spans="2:18" x14ac:dyDescent="0.25">
      <c r="B6015" s="81" t="s">
        <v>2565</v>
      </c>
      <c r="C6015" s="99" t="s">
        <v>8169</v>
      </c>
      <c r="D6015" s="16" t="s">
        <v>29</v>
      </c>
      <c r="E6015" s="81" t="s">
        <v>1096</v>
      </c>
      <c r="F6015" s="81" t="s">
        <v>184</v>
      </c>
      <c r="G6015" s="81" t="s">
        <v>35</v>
      </c>
      <c r="H6015" s="81" t="s">
        <v>36</v>
      </c>
      <c r="I6015" s="99" t="s">
        <v>8170</v>
      </c>
      <c r="J6015" s="99" t="s">
        <v>8171</v>
      </c>
      <c r="K6015" s="81" t="s">
        <v>1068</v>
      </c>
      <c r="L6015" s="81"/>
      <c r="M6015" s="81"/>
      <c r="N6015" s="81"/>
      <c r="O6015" s="81"/>
      <c r="P6015" s="4" t="str">
        <f t="shared" si="133"/>
        <v>Truncate table FPP251;</v>
      </c>
      <c r="Q6015" s="81" t="s">
        <v>7606</v>
      </c>
      <c r="R6015" s="81"/>
    </row>
    <row r="6016" spans="2:18" ht="25.5" x14ac:dyDescent="0.25">
      <c r="B6016" s="100" t="s">
        <v>8177</v>
      </c>
      <c r="C6016" s="100" t="s">
        <v>8178</v>
      </c>
      <c r="D6016" s="16" t="s">
        <v>29</v>
      </c>
      <c r="E6016" s="100" t="s">
        <v>151</v>
      </c>
      <c r="F6016" s="100" t="s">
        <v>544</v>
      </c>
      <c r="G6016" s="100" t="s">
        <v>35</v>
      </c>
      <c r="H6016" s="100" t="s">
        <v>36</v>
      </c>
      <c r="I6016" s="101" t="s">
        <v>8179</v>
      </c>
      <c r="J6016" s="101" t="s">
        <v>8180</v>
      </c>
      <c r="K6016" s="100" t="s">
        <v>7969</v>
      </c>
      <c r="L6016" s="100"/>
      <c r="M6016" s="100"/>
      <c r="N6016" s="102" t="s">
        <v>8181</v>
      </c>
      <c r="O6016" s="100"/>
      <c r="P6016" s="47" t="str">
        <f t="shared" si="133"/>
        <v>Truncate table FSC018;</v>
      </c>
      <c r="Q6016" s="100" t="s">
        <v>7606</v>
      </c>
      <c r="R6016" s="81"/>
    </row>
    <row r="6017" spans="1:18" ht="105.75" customHeight="1" x14ac:dyDescent="0.25">
      <c r="B6017" s="81" t="s">
        <v>8182</v>
      </c>
      <c r="C6017" s="81" t="s">
        <v>8183</v>
      </c>
      <c r="D6017" s="16" t="s">
        <v>29</v>
      </c>
      <c r="E6017" s="81" t="s">
        <v>243</v>
      </c>
      <c r="F6017" s="81" t="s">
        <v>243</v>
      </c>
      <c r="G6017" s="81" t="s">
        <v>35</v>
      </c>
      <c r="H6017" s="81" t="s">
        <v>36</v>
      </c>
      <c r="I6017" s="79" t="s">
        <v>8184</v>
      </c>
      <c r="J6017" s="79" t="s">
        <v>8185</v>
      </c>
      <c r="K6017" s="81" t="s">
        <v>8186</v>
      </c>
      <c r="L6017" s="98" t="s">
        <v>8187</v>
      </c>
      <c r="M6017" s="232"/>
      <c r="N6017" s="79" t="s">
        <v>8188</v>
      </c>
      <c r="O6017" s="81"/>
      <c r="P6017" s="47" t="str">
        <f t="shared" si="133"/>
        <v>Truncate table FST441;</v>
      </c>
      <c r="Q6017" s="81" t="s">
        <v>7606</v>
      </c>
      <c r="R6017" s="81"/>
    </row>
    <row r="6018" spans="1:18" x14ac:dyDescent="0.25">
      <c r="B6018" s="103" t="s">
        <v>8250</v>
      </c>
      <c r="C6018" s="103" t="s">
        <v>8251</v>
      </c>
      <c r="D6018" s="16" t="s">
        <v>29</v>
      </c>
      <c r="E6018" s="103" t="s">
        <v>428</v>
      </c>
      <c r="F6018" s="103" t="s">
        <v>8217</v>
      </c>
      <c r="G6018" s="103" t="s">
        <v>35</v>
      </c>
      <c r="H6018" s="103" t="s">
        <v>36</v>
      </c>
      <c r="I6018" s="182" t="s">
        <v>8252</v>
      </c>
      <c r="J6018" s="182" t="s">
        <v>8253</v>
      </c>
      <c r="K6018" s="103" t="s">
        <v>8254</v>
      </c>
      <c r="L6018" s="103"/>
      <c r="M6018" s="103"/>
      <c r="N6018" s="183" t="s">
        <v>8255</v>
      </c>
      <c r="O6018" s="103"/>
      <c r="P6018" s="47" t="str">
        <f t="shared" si="133"/>
        <v>Truncate table CDC001;</v>
      </c>
      <c r="Q6018" s="103" t="s">
        <v>7606</v>
      </c>
      <c r="R6018" s="82"/>
    </row>
    <row r="6019" spans="1:18" x14ac:dyDescent="0.25">
      <c r="B6019" s="82" t="s">
        <v>8256</v>
      </c>
      <c r="C6019" s="82" t="s">
        <v>8257</v>
      </c>
      <c r="D6019" s="16" t="s">
        <v>29</v>
      </c>
      <c r="E6019" s="82" t="s">
        <v>428</v>
      </c>
      <c r="F6019" s="82" t="s">
        <v>8217</v>
      </c>
      <c r="G6019" s="82" t="s">
        <v>35</v>
      </c>
      <c r="H6019" s="82" t="s">
        <v>36</v>
      </c>
      <c r="I6019" s="118" t="s">
        <v>8258</v>
      </c>
      <c r="J6019" s="118" t="s">
        <v>8259</v>
      </c>
      <c r="K6019" s="103" t="s">
        <v>8254</v>
      </c>
      <c r="L6019" s="82"/>
      <c r="M6019" s="82"/>
      <c r="N6019" s="183" t="s">
        <v>8255</v>
      </c>
      <c r="O6019" s="82"/>
      <c r="P6019" s="47" t="str">
        <f t="shared" si="133"/>
        <v>Truncate table CDC000;</v>
      </c>
      <c r="Q6019" s="82" t="s">
        <v>7606</v>
      </c>
      <c r="R6019" s="82"/>
    </row>
    <row r="6020" spans="1:18" ht="54" x14ac:dyDescent="0.25">
      <c r="B6020" s="185" t="s">
        <v>8260</v>
      </c>
      <c r="C6020" s="185" t="s">
        <v>8261</v>
      </c>
      <c r="D6020" s="16" t="s">
        <v>29</v>
      </c>
      <c r="E6020" s="185" t="s">
        <v>54</v>
      </c>
      <c r="F6020" s="185" t="s">
        <v>8193</v>
      </c>
      <c r="G6020" s="185" t="s">
        <v>35</v>
      </c>
      <c r="H6020" s="185" t="s">
        <v>36</v>
      </c>
      <c r="I6020" s="184" t="s">
        <v>8262</v>
      </c>
      <c r="J6020" s="184" t="s">
        <v>8263</v>
      </c>
      <c r="K6020" s="185" t="s">
        <v>8264</v>
      </c>
      <c r="L6020" s="82" t="s">
        <v>8265</v>
      </c>
      <c r="M6020" s="82"/>
      <c r="N6020" s="82"/>
      <c r="O6020" s="82"/>
      <c r="P6020" s="47" t="str">
        <f t="shared" si="133"/>
        <v>Truncate table RIB016;</v>
      </c>
      <c r="Q6020" s="82" t="s">
        <v>7606</v>
      </c>
      <c r="R6020" s="82"/>
    </row>
    <row r="6021" spans="1:18" ht="30" x14ac:dyDescent="0.25">
      <c r="B6021" s="185" t="s">
        <v>8276</v>
      </c>
      <c r="C6021" s="185" t="s">
        <v>8277</v>
      </c>
      <c r="D6021" s="16" t="s">
        <v>29</v>
      </c>
      <c r="E6021" s="185" t="s">
        <v>54</v>
      </c>
      <c r="F6021" s="185" t="s">
        <v>8200</v>
      </c>
      <c r="G6021" s="185" t="s">
        <v>35</v>
      </c>
      <c r="H6021" s="185" t="s">
        <v>36</v>
      </c>
      <c r="I6021" s="118" t="s">
        <v>8278</v>
      </c>
      <c r="J6021" s="118" t="s">
        <v>8279</v>
      </c>
      <c r="K6021" s="82" t="s">
        <v>8270</v>
      </c>
      <c r="L6021" s="186" t="s">
        <v>8271</v>
      </c>
      <c r="M6021" s="186"/>
      <c r="N6021" s="82"/>
      <c r="O6021" s="82"/>
      <c r="P6021" s="47" t="str">
        <f t="shared" si="133"/>
        <v>Truncate table NUST001;</v>
      </c>
      <c r="Q6021" s="82" t="s">
        <v>7606</v>
      </c>
      <c r="R6021" s="82"/>
    </row>
    <row r="6022" spans="1:18" ht="27" x14ac:dyDescent="0.25">
      <c r="B6022" s="82" t="s">
        <v>8266</v>
      </c>
      <c r="C6022" s="82" t="s">
        <v>8267</v>
      </c>
      <c r="D6022" s="16" t="s">
        <v>29</v>
      </c>
      <c r="E6022" s="82" t="s">
        <v>54</v>
      </c>
      <c r="F6022" s="82" t="s">
        <v>8200</v>
      </c>
      <c r="G6022" s="82" t="s">
        <v>35</v>
      </c>
      <c r="H6022" s="82" t="s">
        <v>36</v>
      </c>
      <c r="I6022" s="118" t="s">
        <v>8268</v>
      </c>
      <c r="J6022" s="118" t="s">
        <v>8269</v>
      </c>
      <c r="K6022" s="82" t="s">
        <v>8270</v>
      </c>
      <c r="L6022" s="82" t="s">
        <v>8271</v>
      </c>
      <c r="M6022" s="82"/>
      <c r="N6022" s="82"/>
      <c r="O6022" s="82"/>
      <c r="P6022" s="47" t="str">
        <f t="shared" si="133"/>
        <v>Truncate table NUST002;</v>
      </c>
      <c r="Q6022" s="82" t="s">
        <v>7606</v>
      </c>
      <c r="R6022" s="82"/>
    </row>
    <row r="6023" spans="1:18" ht="27" x14ac:dyDescent="0.25">
      <c r="B6023" s="82" t="s">
        <v>8272</v>
      </c>
      <c r="C6023" s="82" t="s">
        <v>8273</v>
      </c>
      <c r="D6023" s="16" t="s">
        <v>29</v>
      </c>
      <c r="E6023" s="82" t="s">
        <v>54</v>
      </c>
      <c r="F6023" s="82" t="s">
        <v>8200</v>
      </c>
      <c r="G6023" s="82" t="s">
        <v>35</v>
      </c>
      <c r="H6023" s="82" t="s">
        <v>36</v>
      </c>
      <c r="I6023" s="118" t="s">
        <v>8274</v>
      </c>
      <c r="J6023" s="118" t="s">
        <v>8275</v>
      </c>
      <c r="K6023" s="82" t="s">
        <v>8270</v>
      </c>
      <c r="L6023" s="82" t="s">
        <v>8271</v>
      </c>
      <c r="M6023" s="82"/>
      <c r="N6023" s="82"/>
      <c r="O6023" s="82"/>
      <c r="P6023" s="47" t="str">
        <f t="shared" si="133"/>
        <v>Truncate table NUST003;</v>
      </c>
      <c r="Q6023" s="82" t="s">
        <v>7606</v>
      </c>
      <c r="R6023" s="82"/>
    </row>
    <row r="6024" spans="1:18" x14ac:dyDescent="0.25">
      <c r="B6024" s="82" t="s">
        <v>8280</v>
      </c>
      <c r="C6024" s="82" t="s">
        <v>8281</v>
      </c>
      <c r="D6024" s="16" t="s">
        <v>29</v>
      </c>
      <c r="E6024" s="82" t="s">
        <v>54</v>
      </c>
      <c r="F6024" s="82" t="s">
        <v>8192</v>
      </c>
      <c r="G6024" s="82" t="s">
        <v>35</v>
      </c>
      <c r="H6024" s="82" t="s">
        <v>36</v>
      </c>
      <c r="I6024" s="118" t="s">
        <v>8282</v>
      </c>
      <c r="J6024" s="118" t="s">
        <v>8283</v>
      </c>
      <c r="K6024" s="82" t="s">
        <v>8284</v>
      </c>
      <c r="L6024" s="82" t="s">
        <v>8285</v>
      </c>
      <c r="M6024" s="82"/>
      <c r="N6024" s="82"/>
      <c r="O6024" s="82"/>
      <c r="P6024" s="47" t="str">
        <f t="shared" si="133"/>
        <v>Truncate table FRREPTASK;</v>
      </c>
      <c r="Q6024" s="82" t="s">
        <v>7606</v>
      </c>
      <c r="R6024" s="82"/>
    </row>
    <row r="6025" spans="1:18" ht="67.5" x14ac:dyDescent="0.25">
      <c r="B6025" s="185" t="s">
        <v>8286</v>
      </c>
      <c r="C6025" s="185" t="s">
        <v>8287</v>
      </c>
      <c r="D6025" s="16" t="s">
        <v>29</v>
      </c>
      <c r="E6025" s="185" t="s">
        <v>54</v>
      </c>
      <c r="F6025" s="185" t="s">
        <v>53</v>
      </c>
      <c r="G6025" s="185" t="s">
        <v>35</v>
      </c>
      <c r="H6025" s="185" t="s">
        <v>12</v>
      </c>
      <c r="I6025" s="187" t="s">
        <v>8288</v>
      </c>
      <c r="J6025" s="187" t="s">
        <v>8289</v>
      </c>
      <c r="K6025" s="185" t="s">
        <v>8290</v>
      </c>
      <c r="L6025" s="185" t="s">
        <v>8291</v>
      </c>
      <c r="M6025" s="185"/>
      <c r="N6025" s="185"/>
      <c r="O6025" s="185"/>
      <c r="P6025" s="47" t="str">
        <f t="shared" si="133"/>
        <v>Truncate table DEMX05;</v>
      </c>
      <c r="Q6025" s="185" t="s">
        <v>8139</v>
      </c>
      <c r="R6025" s="82"/>
    </row>
    <row r="6026" spans="1:18" ht="60" x14ac:dyDescent="0.25">
      <c r="A6026" s="241"/>
      <c r="B6026" s="189" t="s">
        <v>8292</v>
      </c>
      <c r="C6026" s="189" t="s">
        <v>8293</v>
      </c>
      <c r="D6026" s="16" t="s">
        <v>29</v>
      </c>
      <c r="E6026" s="189" t="s">
        <v>54</v>
      </c>
      <c r="F6026" s="189" t="s">
        <v>8192</v>
      </c>
      <c r="G6026" s="189" t="s">
        <v>35</v>
      </c>
      <c r="H6026" s="189" t="s">
        <v>36</v>
      </c>
      <c r="I6026" s="190" t="s">
        <v>8294</v>
      </c>
      <c r="J6026" s="187" t="s">
        <v>8295</v>
      </c>
      <c r="K6026" s="189" t="s">
        <v>8296</v>
      </c>
      <c r="L6026" s="189"/>
      <c r="M6026" s="221"/>
      <c r="N6026" s="278" t="s">
        <v>8297</v>
      </c>
      <c r="O6026" s="189"/>
      <c r="P6026" s="47" t="str">
        <f t="shared" si="133"/>
        <v>Truncate table FUP007A;</v>
      </c>
      <c r="Q6026" s="189" t="s">
        <v>7606</v>
      </c>
      <c r="R6026" s="189"/>
    </row>
    <row r="6027" spans="1:18" ht="30" x14ac:dyDescent="0.25">
      <c r="B6027" s="197" t="s">
        <v>8305</v>
      </c>
      <c r="C6027" s="192" t="s">
        <v>8306</v>
      </c>
      <c r="D6027" s="16" t="s">
        <v>29</v>
      </c>
      <c r="E6027" s="187" t="s">
        <v>54</v>
      </c>
      <c r="F6027" s="187" t="s">
        <v>53</v>
      </c>
      <c r="G6027" s="118" t="s">
        <v>35</v>
      </c>
      <c r="H6027" s="118" t="s">
        <v>36</v>
      </c>
      <c r="I6027" s="193" t="s">
        <v>8330</v>
      </c>
      <c r="J6027" s="188" t="s">
        <v>8331</v>
      </c>
      <c r="K6027" s="191" t="s">
        <v>8356</v>
      </c>
      <c r="L6027" s="195" t="s">
        <v>8362</v>
      </c>
      <c r="M6027" s="195"/>
      <c r="N6027" s="196" t="s">
        <v>8364</v>
      </c>
      <c r="O6027" s="118"/>
      <c r="P6027" s="47" t="str">
        <f t="shared" si="133"/>
        <v>Truncate table FBC208;</v>
      </c>
      <c r="Q6027" s="118"/>
      <c r="R6027" s="118"/>
    </row>
    <row r="6028" spans="1:18" ht="30" x14ac:dyDescent="0.25">
      <c r="B6028" s="197" t="s">
        <v>1339</v>
      </c>
      <c r="C6028" s="118" t="s">
        <v>8318</v>
      </c>
      <c r="D6028" s="16" t="s">
        <v>29</v>
      </c>
      <c r="E6028" s="118" t="s">
        <v>8232</v>
      </c>
      <c r="F6028" s="186" t="s">
        <v>8227</v>
      </c>
      <c r="G6028" s="118" t="s">
        <v>35</v>
      </c>
      <c r="H6028" s="118" t="s">
        <v>36</v>
      </c>
      <c r="I6028" s="188" t="s">
        <v>8332</v>
      </c>
      <c r="J6028" s="188" t="s">
        <v>8333</v>
      </c>
      <c r="K6028" s="191" t="s">
        <v>8357</v>
      </c>
      <c r="L6028" s="195" t="s">
        <v>8362</v>
      </c>
      <c r="M6028" s="195"/>
      <c r="N6028" s="196" t="s">
        <v>8365</v>
      </c>
      <c r="O6028" s="118"/>
      <c r="P6028" s="47" t="str">
        <f t="shared" ref="P6028:P6042" si="134">IF(D6028="Datos","Truncate table "&amp; B6028&amp; ";","")</f>
        <v>Truncate table FBC503;</v>
      </c>
      <c r="Q6028" s="118"/>
      <c r="R6028" s="118"/>
    </row>
    <row r="6029" spans="1:18" ht="30" x14ac:dyDescent="0.25">
      <c r="B6029" s="345" t="s">
        <v>8307</v>
      </c>
      <c r="C6029" s="118" t="s">
        <v>8319</v>
      </c>
      <c r="D6029" s="16" t="s">
        <v>29</v>
      </c>
      <c r="E6029" s="118" t="s">
        <v>8232</v>
      </c>
      <c r="F6029" s="186" t="s">
        <v>8227</v>
      </c>
      <c r="G6029" s="118" t="s">
        <v>35</v>
      </c>
      <c r="H6029" s="118" t="s">
        <v>36</v>
      </c>
      <c r="I6029" s="188" t="s">
        <v>8334</v>
      </c>
      <c r="J6029" s="188" t="s">
        <v>8335</v>
      </c>
      <c r="K6029" s="191" t="s">
        <v>8357</v>
      </c>
      <c r="L6029" s="195" t="s">
        <v>8362</v>
      </c>
      <c r="M6029" s="195"/>
      <c r="N6029" s="196" t="s">
        <v>8365</v>
      </c>
      <c r="O6029" s="118"/>
      <c r="P6029" s="47" t="str">
        <f t="shared" si="134"/>
        <v>Truncate table FBC592 ;</v>
      </c>
      <c r="Q6029" s="118"/>
      <c r="R6029" s="118"/>
    </row>
    <row r="6030" spans="1:18" ht="30" x14ac:dyDescent="0.25">
      <c r="B6030" s="197" t="s">
        <v>8308</v>
      </c>
      <c r="C6030" s="118" t="s">
        <v>8320</v>
      </c>
      <c r="D6030" s="16" t="s">
        <v>29</v>
      </c>
      <c r="E6030" s="118" t="s">
        <v>8232</v>
      </c>
      <c r="F6030" s="186" t="s">
        <v>8227</v>
      </c>
      <c r="G6030" s="118" t="s">
        <v>35</v>
      </c>
      <c r="H6030" s="118" t="s">
        <v>36</v>
      </c>
      <c r="I6030" s="188" t="s">
        <v>8336</v>
      </c>
      <c r="J6030" s="188" t="s">
        <v>8337</v>
      </c>
      <c r="K6030" s="191" t="s">
        <v>8357</v>
      </c>
      <c r="L6030" s="195" t="s">
        <v>8362</v>
      </c>
      <c r="M6030" s="195"/>
      <c r="N6030" s="196" t="s">
        <v>8366</v>
      </c>
      <c r="O6030" s="118"/>
      <c r="P6030" s="47" t="str">
        <f t="shared" si="134"/>
        <v>Truncate table FBC743;</v>
      </c>
      <c r="Q6030" s="118"/>
      <c r="R6030" s="118"/>
    </row>
    <row r="6031" spans="1:18" ht="30" x14ac:dyDescent="0.25">
      <c r="B6031" s="345" t="s">
        <v>8309</v>
      </c>
      <c r="C6031" s="186" t="s">
        <v>8321</v>
      </c>
      <c r="D6031" s="16" t="s">
        <v>29</v>
      </c>
      <c r="E6031" s="118" t="s">
        <v>54</v>
      </c>
      <c r="F6031" s="118" t="s">
        <v>53</v>
      </c>
      <c r="G6031" s="118" t="s">
        <v>35</v>
      </c>
      <c r="H6031" s="118" t="s">
        <v>36</v>
      </c>
      <c r="I6031" s="188" t="s">
        <v>8338</v>
      </c>
      <c r="J6031" s="188" t="s">
        <v>8339</v>
      </c>
      <c r="K6031" s="191" t="s">
        <v>8356</v>
      </c>
      <c r="L6031" s="196" t="s">
        <v>8362</v>
      </c>
      <c r="M6031" s="196"/>
      <c r="N6031" s="196" t="s">
        <v>8364</v>
      </c>
      <c r="O6031" s="118"/>
      <c r="P6031" s="47" t="str">
        <f t="shared" si="134"/>
        <v>Truncate table FBC824   ;</v>
      </c>
      <c r="Q6031" s="118"/>
      <c r="R6031" s="118"/>
    </row>
    <row r="6032" spans="1:18" ht="105" x14ac:dyDescent="0.25">
      <c r="B6032" s="345" t="s">
        <v>8310</v>
      </c>
      <c r="C6032" s="186" t="s">
        <v>8322</v>
      </c>
      <c r="D6032" s="16" t="s">
        <v>29</v>
      </c>
      <c r="E6032" s="118" t="s">
        <v>8232</v>
      </c>
      <c r="F6032" s="186" t="s">
        <v>8227</v>
      </c>
      <c r="G6032" s="118" t="s">
        <v>35</v>
      </c>
      <c r="H6032" s="118" t="s">
        <v>12</v>
      </c>
      <c r="I6032" s="188" t="s">
        <v>8340</v>
      </c>
      <c r="J6032" s="188" t="s">
        <v>8341</v>
      </c>
      <c r="K6032" s="191" t="s">
        <v>8358</v>
      </c>
      <c r="L6032" s="186" t="s">
        <v>8363</v>
      </c>
      <c r="M6032" s="186"/>
      <c r="N6032" s="191"/>
      <c r="O6032" s="118"/>
      <c r="P6032" s="47" t="str">
        <f t="shared" si="134"/>
        <v>Truncate table FBC867;</v>
      </c>
      <c r="Q6032" s="118" t="s">
        <v>8146</v>
      </c>
      <c r="R6032" s="118"/>
    </row>
    <row r="6033" spans="2:18" ht="30" x14ac:dyDescent="0.25">
      <c r="B6033" s="197" t="s">
        <v>8311</v>
      </c>
      <c r="C6033" s="118" t="s">
        <v>8323</v>
      </c>
      <c r="D6033" s="16" t="s">
        <v>29</v>
      </c>
      <c r="E6033" s="118" t="s">
        <v>8232</v>
      </c>
      <c r="F6033" s="186" t="s">
        <v>8227</v>
      </c>
      <c r="G6033" s="118" t="s">
        <v>35</v>
      </c>
      <c r="H6033" s="118" t="s">
        <v>36</v>
      </c>
      <c r="I6033" s="188" t="s">
        <v>8342</v>
      </c>
      <c r="J6033" s="188" t="s">
        <v>8343</v>
      </c>
      <c r="K6033" s="191" t="s">
        <v>8357</v>
      </c>
      <c r="L6033" s="195" t="s">
        <v>8362</v>
      </c>
      <c r="M6033" s="195"/>
      <c r="N6033" s="196" t="s">
        <v>8366</v>
      </c>
      <c r="O6033" s="118"/>
      <c r="P6033" s="47" t="str">
        <f t="shared" si="134"/>
        <v>Truncate table FBC056;</v>
      </c>
      <c r="Q6033" s="118"/>
      <c r="R6033" s="118"/>
    </row>
    <row r="6034" spans="2:18" ht="30" x14ac:dyDescent="0.25">
      <c r="B6034" s="197" t="s">
        <v>8312</v>
      </c>
      <c r="C6034" s="118" t="s">
        <v>8324</v>
      </c>
      <c r="D6034" s="16" t="s">
        <v>29</v>
      </c>
      <c r="E6034" s="118" t="s">
        <v>8232</v>
      </c>
      <c r="F6034" s="186" t="s">
        <v>8227</v>
      </c>
      <c r="G6034" s="118" t="s">
        <v>35</v>
      </c>
      <c r="H6034" s="118" t="s">
        <v>36</v>
      </c>
      <c r="I6034" s="188" t="s">
        <v>8344</v>
      </c>
      <c r="J6034" s="188" t="s">
        <v>8345</v>
      </c>
      <c r="K6034" s="191" t="s">
        <v>8357</v>
      </c>
      <c r="L6034" s="195" t="s">
        <v>8362</v>
      </c>
      <c r="M6034" s="195"/>
      <c r="N6034" s="196" t="s">
        <v>8366</v>
      </c>
      <c r="O6034" s="118"/>
      <c r="P6034" s="4" t="str">
        <f t="shared" si="134"/>
        <v>Truncate table FBC829;</v>
      </c>
      <c r="Q6034" s="118"/>
      <c r="R6034" s="118"/>
    </row>
    <row r="6035" spans="2:18" ht="30" x14ac:dyDescent="0.25">
      <c r="B6035" s="197" t="s">
        <v>8313</v>
      </c>
      <c r="C6035" s="186" t="s">
        <v>8325</v>
      </c>
      <c r="D6035" s="16" t="s">
        <v>29</v>
      </c>
      <c r="E6035" s="118" t="s">
        <v>54</v>
      </c>
      <c r="F6035" s="118" t="s">
        <v>53</v>
      </c>
      <c r="G6035" s="118" t="s">
        <v>35</v>
      </c>
      <c r="H6035" s="118" t="s">
        <v>36</v>
      </c>
      <c r="I6035" s="188" t="s">
        <v>8346</v>
      </c>
      <c r="J6035" s="188" t="s">
        <v>8347</v>
      </c>
      <c r="K6035" s="191" t="s">
        <v>8356</v>
      </c>
      <c r="L6035" s="196" t="s">
        <v>8362</v>
      </c>
      <c r="M6035" s="196"/>
      <c r="N6035" s="196" t="s">
        <v>8364</v>
      </c>
      <c r="O6035" s="118"/>
      <c r="P6035" s="4" t="str">
        <f t="shared" si="134"/>
        <v>Truncate table SD4311;</v>
      </c>
      <c r="Q6035" s="118"/>
      <c r="R6035" s="118"/>
    </row>
    <row r="6036" spans="2:18" x14ac:dyDescent="0.25">
      <c r="B6036" s="343" t="s">
        <v>8314</v>
      </c>
      <c r="C6036" s="188" t="s">
        <v>8327</v>
      </c>
      <c r="D6036" s="16" t="s">
        <v>29</v>
      </c>
      <c r="E6036" s="118" t="s">
        <v>151</v>
      </c>
      <c r="F6036" s="118" t="s">
        <v>8216</v>
      </c>
      <c r="G6036" s="118" t="s">
        <v>35</v>
      </c>
      <c r="H6036" s="118" t="s">
        <v>36</v>
      </c>
      <c r="I6036" s="188" t="s">
        <v>8348</v>
      </c>
      <c r="J6036" s="188" t="s">
        <v>8349</v>
      </c>
      <c r="K6036" s="191" t="s">
        <v>8360</v>
      </c>
      <c r="L6036" s="191"/>
      <c r="M6036" s="191"/>
      <c r="N6036" s="196" t="s">
        <v>8367</v>
      </c>
      <c r="O6036" s="118"/>
      <c r="P6036" s="4" t="str">
        <f t="shared" si="134"/>
        <v>Truncate table SNW023;</v>
      </c>
      <c r="Q6036" s="118"/>
      <c r="R6036" s="118"/>
    </row>
    <row r="6037" spans="2:18" x14ac:dyDescent="0.25">
      <c r="B6037" s="343" t="s">
        <v>8315</v>
      </c>
      <c r="C6037" s="188" t="s">
        <v>8326</v>
      </c>
      <c r="D6037" s="16" t="s">
        <v>29</v>
      </c>
      <c r="E6037" s="118" t="s">
        <v>428</v>
      </c>
      <c r="F6037" s="118" t="s">
        <v>8217</v>
      </c>
      <c r="G6037" s="118" t="s">
        <v>35</v>
      </c>
      <c r="H6037" s="118" t="s">
        <v>36</v>
      </c>
      <c r="I6037" s="188" t="s">
        <v>8350</v>
      </c>
      <c r="J6037" s="188" t="s">
        <v>8351</v>
      </c>
      <c r="K6037" s="191" t="s">
        <v>8361</v>
      </c>
      <c r="L6037" s="191"/>
      <c r="M6037" s="191"/>
      <c r="N6037" s="191"/>
      <c r="O6037" s="118"/>
      <c r="P6037" s="4" t="str">
        <f t="shared" si="134"/>
        <v>Truncate table FST800;</v>
      </c>
      <c r="Q6037" s="118"/>
      <c r="R6037" s="118"/>
    </row>
    <row r="6038" spans="2:18" x14ac:dyDescent="0.25">
      <c r="B6038" s="343" t="s">
        <v>8316</v>
      </c>
      <c r="C6038" s="188" t="s">
        <v>8328</v>
      </c>
      <c r="D6038" s="16" t="s">
        <v>29</v>
      </c>
      <c r="E6038" s="118" t="s">
        <v>428</v>
      </c>
      <c r="F6038" s="118" t="s">
        <v>8217</v>
      </c>
      <c r="G6038" s="118" t="s">
        <v>35</v>
      </c>
      <c r="H6038" s="118" t="s">
        <v>36</v>
      </c>
      <c r="I6038" s="188" t="s">
        <v>8352</v>
      </c>
      <c r="J6038" s="188" t="s">
        <v>8353</v>
      </c>
      <c r="K6038" s="191" t="s">
        <v>8359</v>
      </c>
      <c r="L6038" s="191"/>
      <c r="M6038" s="191"/>
      <c r="N6038" s="191"/>
      <c r="O6038" s="118"/>
      <c r="P6038" s="4" t="str">
        <f t="shared" si="134"/>
        <v>Truncate table FST801;</v>
      </c>
      <c r="Q6038" s="118"/>
      <c r="R6038" s="118"/>
    </row>
    <row r="6039" spans="2:18" x14ac:dyDescent="0.25">
      <c r="B6039" s="344" t="s">
        <v>8317</v>
      </c>
      <c r="C6039" s="193" t="s">
        <v>8329</v>
      </c>
      <c r="D6039" s="16" t="s">
        <v>29</v>
      </c>
      <c r="E6039" s="194" t="s">
        <v>151</v>
      </c>
      <c r="F6039" s="194" t="s">
        <v>8216</v>
      </c>
      <c r="G6039" s="118" t="s">
        <v>35</v>
      </c>
      <c r="H6039" s="118" t="s">
        <v>36</v>
      </c>
      <c r="I6039" s="188" t="s">
        <v>8354</v>
      </c>
      <c r="J6039" s="188" t="s">
        <v>8355</v>
      </c>
      <c r="K6039" s="191" t="s">
        <v>8360</v>
      </c>
      <c r="L6039" s="191"/>
      <c r="M6039" s="191"/>
      <c r="N6039" s="191"/>
      <c r="O6039" s="118"/>
      <c r="P6039" s="4" t="str">
        <f t="shared" si="134"/>
        <v>Truncate table X9995A;</v>
      </c>
      <c r="Q6039" s="118"/>
      <c r="R6039" s="118"/>
    </row>
    <row r="6040" spans="2:18" x14ac:dyDescent="0.25">
      <c r="B6040" s="118" t="s">
        <v>8478</v>
      </c>
      <c r="C6040" s="118" t="s">
        <v>8479</v>
      </c>
      <c r="D6040" s="16" t="s">
        <v>29</v>
      </c>
      <c r="E6040" s="118" t="s">
        <v>7662</v>
      </c>
      <c r="F6040" s="118"/>
      <c r="G6040" s="118" t="s">
        <v>35</v>
      </c>
      <c r="H6040" s="118" t="s">
        <v>36</v>
      </c>
      <c r="I6040" s="118"/>
      <c r="J6040" s="118"/>
      <c r="K6040" s="118"/>
      <c r="L6040" s="118"/>
      <c r="M6040" s="118"/>
      <c r="N6040" s="118"/>
      <c r="O6040" s="118"/>
      <c r="P6040" s="4" t="str">
        <f t="shared" si="134"/>
        <v>Truncate table FBCLDM;</v>
      </c>
      <c r="Q6040" s="118"/>
      <c r="R6040" s="118"/>
    </row>
    <row r="6041" spans="2:18" ht="54" x14ac:dyDescent="0.25">
      <c r="B6041" s="222" t="s">
        <v>8512</v>
      </c>
      <c r="C6041" s="278" t="s">
        <v>8513</v>
      </c>
      <c r="D6041" s="16" t="s">
        <v>29</v>
      </c>
      <c r="E6041" s="58" t="s">
        <v>151</v>
      </c>
      <c r="F6041" s="58" t="s">
        <v>4752</v>
      </c>
      <c r="G6041" s="16" t="s">
        <v>35</v>
      </c>
      <c r="H6041" s="16" t="s">
        <v>36</v>
      </c>
      <c r="I6041" s="187" t="s">
        <v>8514</v>
      </c>
      <c r="J6041" s="187" t="s">
        <v>8515</v>
      </c>
      <c r="K6041" s="5" t="s">
        <v>7474</v>
      </c>
      <c r="L6041" s="5" t="s">
        <v>7899</v>
      </c>
      <c r="M6041" s="5"/>
      <c r="N6041" s="182"/>
      <c r="O6041" s="182"/>
      <c r="P6041" s="21" t="str">
        <f t="shared" si="134"/>
        <v>Truncate table TDD045;</v>
      </c>
      <c r="Q6041" s="118"/>
      <c r="R6041" s="118"/>
    </row>
    <row r="6042" spans="2:18" ht="27" x14ac:dyDescent="0.25">
      <c r="B6042" s="184" t="s">
        <v>8518</v>
      </c>
      <c r="C6042" s="183" t="s">
        <v>8519</v>
      </c>
      <c r="D6042" s="16" t="s">
        <v>29</v>
      </c>
      <c r="E6042" s="182" t="s">
        <v>151</v>
      </c>
      <c r="F6042" s="220" t="s">
        <v>924</v>
      </c>
      <c r="G6042" s="16" t="s">
        <v>35</v>
      </c>
      <c r="H6042" s="16" t="s">
        <v>36</v>
      </c>
      <c r="I6042" s="182" t="s">
        <v>8521</v>
      </c>
      <c r="J6042" s="182" t="s">
        <v>8522</v>
      </c>
      <c r="K6042" s="182" t="s">
        <v>8523</v>
      </c>
      <c r="L6042" s="182" t="s">
        <v>8524</v>
      </c>
      <c r="M6042" s="227"/>
      <c r="N6042" s="221" t="s">
        <v>8520</v>
      </c>
      <c r="O6042" s="182"/>
      <c r="P6042" s="16" t="str">
        <f t="shared" si="134"/>
        <v>Truncate table CSMA01                                                                                                                          ;</v>
      </c>
      <c r="Q6042" s="182"/>
      <c r="R6042" s="182"/>
    </row>
    <row r="6043" spans="2:18" x14ac:dyDescent="0.25">
      <c r="B6043" s="182" t="s">
        <v>8525</v>
      </c>
      <c r="C6043" s="372" t="s">
        <v>8526</v>
      </c>
      <c r="D6043" s="16" t="s">
        <v>29</v>
      </c>
      <c r="E6043" s="182" t="s">
        <v>151</v>
      </c>
      <c r="F6043" s="183" t="s">
        <v>8212</v>
      </c>
      <c r="G6043" s="182" t="s">
        <v>35</v>
      </c>
      <c r="H6043" s="16" t="s">
        <v>36</v>
      </c>
      <c r="I6043" s="227" t="s">
        <v>8527</v>
      </c>
      <c r="J6043" s="182" t="s">
        <v>8528</v>
      </c>
      <c r="K6043" s="182" t="s">
        <v>8529</v>
      </c>
      <c r="L6043" s="182"/>
      <c r="M6043" s="182"/>
      <c r="N6043" s="182"/>
      <c r="O6043" s="182"/>
      <c r="P6043" s="182"/>
      <c r="Q6043" s="182"/>
      <c r="R6043" s="182"/>
    </row>
    <row r="6044" spans="2:18" x14ac:dyDescent="0.25">
      <c r="B6044" s="118" t="s">
        <v>8554</v>
      </c>
      <c r="C6044" s="16" t="s">
        <v>8546</v>
      </c>
      <c r="D6044" s="16" t="s">
        <v>29</v>
      </c>
      <c r="E6044" s="118" t="s">
        <v>8230</v>
      </c>
      <c r="F6044" s="118" t="s">
        <v>8219</v>
      </c>
      <c r="G6044" s="118" t="s">
        <v>35</v>
      </c>
      <c r="H6044" s="16" t="s">
        <v>36</v>
      </c>
      <c r="I6044" s="118"/>
      <c r="J6044" s="118"/>
      <c r="K6044" s="118"/>
      <c r="L6044" s="125"/>
      <c r="M6044" s="118"/>
      <c r="N6044" s="118"/>
      <c r="O6044" s="118"/>
      <c r="P6044" s="118"/>
      <c r="Q6044" s="118"/>
      <c r="R6044" s="118"/>
    </row>
    <row r="6045" spans="2:18" ht="90" x14ac:dyDescent="0.25">
      <c r="B6045" s="182" t="s">
        <v>8589</v>
      </c>
      <c r="C6045" s="182" t="s">
        <v>8592</v>
      </c>
      <c r="D6045" s="16" t="s">
        <v>29</v>
      </c>
      <c r="E6045" s="182" t="s">
        <v>54</v>
      </c>
      <c r="F6045" s="182" t="s">
        <v>8192</v>
      </c>
      <c r="G6045" s="182" t="s">
        <v>35</v>
      </c>
      <c r="H6045" s="16" t="s">
        <v>36</v>
      </c>
      <c r="I6045" s="118"/>
      <c r="J6045" s="118"/>
      <c r="K6045" s="182" t="s">
        <v>8270</v>
      </c>
      <c r="L6045" s="186" t="s">
        <v>8596</v>
      </c>
      <c r="M6045" s="236" t="s">
        <v>38</v>
      </c>
      <c r="N6045" s="118" t="s">
        <v>8597</v>
      </c>
      <c r="O6045" s="118" t="s">
        <v>38</v>
      </c>
      <c r="P6045" s="118"/>
      <c r="Q6045" s="118"/>
      <c r="R6045" s="118"/>
    </row>
    <row r="6046" spans="2:18" ht="90" x14ac:dyDescent="0.25">
      <c r="B6046" s="182" t="s">
        <v>8590</v>
      </c>
      <c r="C6046" s="182" t="s">
        <v>8593</v>
      </c>
      <c r="D6046" s="16" t="s">
        <v>29</v>
      </c>
      <c r="E6046" s="182" t="s">
        <v>54</v>
      </c>
      <c r="F6046" s="182" t="s">
        <v>8192</v>
      </c>
      <c r="G6046" s="182" t="s">
        <v>35</v>
      </c>
      <c r="H6046" s="16" t="s">
        <v>36</v>
      </c>
      <c r="I6046" s="118"/>
      <c r="J6046" s="118"/>
      <c r="K6046" s="182" t="s">
        <v>8270</v>
      </c>
      <c r="L6046" s="186" t="s">
        <v>8596</v>
      </c>
      <c r="M6046" s="236" t="s">
        <v>38</v>
      </c>
      <c r="N6046" s="118"/>
      <c r="O6046" s="118"/>
      <c r="P6046" s="118"/>
      <c r="Q6046" s="118"/>
      <c r="R6046" s="118"/>
    </row>
    <row r="6047" spans="2:18" ht="90" x14ac:dyDescent="0.25">
      <c r="B6047" s="182" t="s">
        <v>8591</v>
      </c>
      <c r="C6047" s="182" t="s">
        <v>8594</v>
      </c>
      <c r="D6047" s="16" t="s">
        <v>29</v>
      </c>
      <c r="E6047" s="182" t="s">
        <v>54</v>
      </c>
      <c r="F6047" s="182" t="s">
        <v>8192</v>
      </c>
      <c r="G6047" s="182" t="s">
        <v>35</v>
      </c>
      <c r="H6047" s="16" t="s">
        <v>36</v>
      </c>
      <c r="I6047" s="118"/>
      <c r="J6047" s="118"/>
      <c r="K6047" s="182" t="s">
        <v>8270</v>
      </c>
      <c r="L6047" s="186" t="s">
        <v>8596</v>
      </c>
      <c r="M6047" s="236" t="s">
        <v>38</v>
      </c>
      <c r="N6047" s="118"/>
      <c r="O6047" s="118"/>
      <c r="P6047" s="118"/>
      <c r="Q6047" s="118"/>
      <c r="R6047" s="118"/>
    </row>
    <row r="6048" spans="2:18" ht="90" x14ac:dyDescent="0.25">
      <c r="B6048" s="182" t="s">
        <v>8595</v>
      </c>
      <c r="C6048" s="182" t="s">
        <v>8427</v>
      </c>
      <c r="D6048" s="16" t="s">
        <v>29</v>
      </c>
      <c r="E6048" s="182" t="s">
        <v>54</v>
      </c>
      <c r="F6048" s="182" t="s">
        <v>8192</v>
      </c>
      <c r="G6048" s="182" t="s">
        <v>35</v>
      </c>
      <c r="H6048" s="16" t="s">
        <v>36</v>
      </c>
      <c r="I6048" s="118"/>
      <c r="J6048" s="118"/>
      <c r="K6048" s="182" t="s">
        <v>8270</v>
      </c>
      <c r="L6048" s="186" t="s">
        <v>8596</v>
      </c>
      <c r="M6048" s="236" t="s">
        <v>38</v>
      </c>
      <c r="N6048" s="118"/>
      <c r="O6048" s="118"/>
      <c r="P6048" s="16" t="str">
        <f t="shared" ref="P6048:P6066" si="135">IF(D6048="Datos","Truncate table "&amp; B6048&amp; ";","")</f>
        <v>Truncate table NUDE004;</v>
      </c>
      <c r="Q6048" s="118" t="s">
        <v>7606</v>
      </c>
      <c r="R6048" s="118"/>
    </row>
    <row r="6049" spans="1:18" x14ac:dyDescent="0.25">
      <c r="A6049" s="240"/>
      <c r="B6049" s="118" t="s">
        <v>9468</v>
      </c>
      <c r="C6049" s="118"/>
      <c r="D6049" s="16" t="s">
        <v>29</v>
      </c>
      <c r="E6049" s="118"/>
      <c r="F6049" s="118"/>
      <c r="G6049" s="118"/>
      <c r="H6049" s="16"/>
      <c r="I6049" s="118"/>
      <c r="J6049" s="118"/>
      <c r="K6049" s="118"/>
      <c r="L6049" s="118"/>
      <c r="M6049" s="236"/>
      <c r="N6049" s="118"/>
      <c r="O6049" s="118"/>
      <c r="P6049" s="16" t="str">
        <f t="shared" si="135"/>
        <v>Truncate table BTSBT1;</v>
      </c>
      <c r="Q6049" s="118"/>
      <c r="R6049" s="118"/>
    </row>
    <row r="6050" spans="1:18" x14ac:dyDescent="0.25">
      <c r="A6050" s="240"/>
      <c r="B6050" s="118" t="s">
        <v>9680</v>
      </c>
      <c r="C6050" s="118" t="s">
        <v>9681</v>
      </c>
      <c r="D6050" s="16" t="s">
        <v>29</v>
      </c>
      <c r="E6050" s="118" t="s">
        <v>54</v>
      </c>
      <c r="F6050" s="118" t="s">
        <v>8192</v>
      </c>
      <c r="G6050" s="118" t="s">
        <v>35</v>
      </c>
      <c r="H6050" s="16"/>
      <c r="I6050" s="118"/>
      <c r="J6050" s="118"/>
      <c r="K6050" s="118" t="s">
        <v>9653</v>
      </c>
      <c r="L6050" s="118"/>
      <c r="M6050" s="236"/>
      <c r="N6050" s="118"/>
      <c r="O6050" s="118"/>
      <c r="P6050" s="16" t="str">
        <f t="shared" si="135"/>
        <v>Truncate table BTSBT4;</v>
      </c>
      <c r="Q6050" s="118"/>
      <c r="R6050" s="118"/>
    </row>
    <row r="6051" spans="1:18" x14ac:dyDescent="0.25">
      <c r="A6051" s="240"/>
      <c r="B6051" s="118" t="s">
        <v>9471</v>
      </c>
      <c r="C6051" s="118"/>
      <c r="D6051" s="16" t="s">
        <v>29</v>
      </c>
      <c r="E6051" s="118"/>
      <c r="F6051" s="118"/>
      <c r="G6051" s="118"/>
      <c r="H6051" s="16"/>
      <c r="I6051" s="118"/>
      <c r="J6051" s="118"/>
      <c r="K6051" s="118"/>
      <c r="L6051" s="118"/>
      <c r="M6051" s="236"/>
      <c r="N6051" s="118"/>
      <c r="O6051" s="118"/>
      <c r="P6051" s="16" t="str">
        <f t="shared" si="135"/>
        <v>Truncate table CV022;</v>
      </c>
      <c r="Q6051" s="118"/>
      <c r="R6051" s="118"/>
    </row>
    <row r="6052" spans="1:18" x14ac:dyDescent="0.25">
      <c r="A6052" s="240"/>
      <c r="B6052" s="118" t="s">
        <v>9510</v>
      </c>
      <c r="C6052" s="118" t="s">
        <v>9728</v>
      </c>
      <c r="D6052" s="16" t="s">
        <v>29</v>
      </c>
      <c r="E6052" s="118" t="s">
        <v>54</v>
      </c>
      <c r="F6052" s="118" t="s">
        <v>8193</v>
      </c>
      <c r="G6052" s="118" t="s">
        <v>35</v>
      </c>
      <c r="H6052" s="118" t="s">
        <v>12</v>
      </c>
      <c r="I6052" s="118"/>
      <c r="J6052" s="118"/>
      <c r="K6052" s="118"/>
      <c r="L6052" s="118"/>
      <c r="M6052" s="236"/>
      <c r="N6052" s="118"/>
      <c r="O6052" s="118"/>
      <c r="P6052" s="16" t="str">
        <f t="shared" si="135"/>
        <v>Truncate table JARA01;</v>
      </c>
      <c r="Q6052" s="118" t="s">
        <v>8129</v>
      </c>
      <c r="R6052" s="118"/>
    </row>
    <row r="6053" spans="1:18" x14ac:dyDescent="0.25">
      <c r="A6053" s="240"/>
      <c r="B6053" s="118" t="s">
        <v>9511</v>
      </c>
      <c r="C6053" s="118" t="s">
        <v>9728</v>
      </c>
      <c r="D6053" s="16" t="s">
        <v>29</v>
      </c>
      <c r="E6053" s="118" t="s">
        <v>54</v>
      </c>
      <c r="F6053" s="118" t="s">
        <v>8193</v>
      </c>
      <c r="G6053" s="118" t="s">
        <v>35</v>
      </c>
      <c r="H6053" s="118" t="s">
        <v>12</v>
      </c>
      <c r="I6053" s="118"/>
      <c r="J6053" s="118"/>
      <c r="K6053" s="118"/>
      <c r="L6053" s="118"/>
      <c r="M6053" s="236"/>
      <c r="N6053" s="118"/>
      <c r="O6053" s="118"/>
      <c r="P6053" s="16" t="str">
        <f t="shared" si="135"/>
        <v>Truncate table JARA02;</v>
      </c>
      <c r="Q6053" s="118" t="s">
        <v>8129</v>
      </c>
      <c r="R6053" s="118"/>
    </row>
    <row r="6054" spans="1:18" s="360" customFormat="1" x14ac:dyDescent="0.25">
      <c r="A6054" s="240"/>
      <c r="B6054" s="369" t="s">
        <v>10233</v>
      </c>
      <c r="C6054" s="373" t="s">
        <v>9561</v>
      </c>
      <c r="D6054" s="362" t="s">
        <v>29</v>
      </c>
      <c r="E6054" s="369" t="s">
        <v>8232</v>
      </c>
      <c r="F6054" s="370" t="s">
        <v>8227</v>
      </c>
      <c r="G6054" s="369" t="s">
        <v>35</v>
      </c>
      <c r="H6054" s="369" t="s">
        <v>12</v>
      </c>
      <c r="I6054" s="369"/>
      <c r="J6054" s="369"/>
      <c r="K6054" s="369"/>
      <c r="L6054" s="361"/>
      <c r="M6054" s="368" t="s">
        <v>8149</v>
      </c>
      <c r="N6054" s="361"/>
      <c r="O6054" s="361"/>
      <c r="P6054" s="362" t="str">
        <f t="shared" si="135"/>
        <v>Truncate table BCAFIP;</v>
      </c>
      <c r="Q6054" s="361" t="s">
        <v>8129</v>
      </c>
      <c r="R6054" s="361"/>
    </row>
    <row r="6055" spans="1:18" x14ac:dyDescent="0.25">
      <c r="A6055" s="240"/>
      <c r="B6055" s="118" t="s">
        <v>9521</v>
      </c>
      <c r="C6055" s="118"/>
      <c r="D6055" s="16" t="s">
        <v>29</v>
      </c>
      <c r="E6055" s="118" t="s">
        <v>151</v>
      </c>
      <c r="F6055" s="118" t="s">
        <v>8213</v>
      </c>
      <c r="G6055" s="118" t="s">
        <v>28</v>
      </c>
      <c r="H6055" s="118"/>
      <c r="I6055" s="118"/>
      <c r="J6055" s="118"/>
      <c r="K6055" s="118"/>
      <c r="L6055" s="118"/>
      <c r="M6055" s="236"/>
      <c r="N6055" s="118"/>
      <c r="O6055" s="118"/>
      <c r="P6055" s="16" t="str">
        <f t="shared" si="135"/>
        <v>Truncate table CCS001;</v>
      </c>
      <c r="Q6055" s="118"/>
      <c r="R6055" s="118"/>
    </row>
    <row r="6056" spans="1:18" x14ac:dyDescent="0.25">
      <c r="A6056" s="240"/>
      <c r="B6056" s="118" t="s">
        <v>9522</v>
      </c>
      <c r="C6056" s="118"/>
      <c r="D6056" s="16" t="s">
        <v>29</v>
      </c>
      <c r="E6056" s="118" t="s">
        <v>151</v>
      </c>
      <c r="F6056" s="118" t="s">
        <v>8213</v>
      </c>
      <c r="G6056" s="118" t="s">
        <v>28</v>
      </c>
      <c r="H6056" s="118"/>
      <c r="I6056" s="118"/>
      <c r="J6056" s="118"/>
      <c r="K6056" s="118"/>
      <c r="L6056" s="118"/>
      <c r="M6056" s="236"/>
      <c r="N6056" s="118"/>
      <c r="O6056" s="118"/>
      <c r="P6056" s="16" t="str">
        <f t="shared" si="135"/>
        <v>Truncate table CCSE01;</v>
      </c>
      <c r="Q6056" s="118"/>
      <c r="R6056" s="118"/>
    </row>
    <row r="6057" spans="1:18" x14ac:dyDescent="0.25">
      <c r="A6057" s="240"/>
      <c r="B6057" s="118" t="s">
        <v>598</v>
      </c>
      <c r="C6057" s="118"/>
      <c r="D6057" s="16" t="s">
        <v>29</v>
      </c>
      <c r="E6057" s="118"/>
      <c r="F6057" s="118"/>
      <c r="G6057" s="118"/>
      <c r="H6057" s="118"/>
      <c r="I6057" s="118"/>
      <c r="J6057" s="118"/>
      <c r="K6057" s="118"/>
      <c r="L6057" s="118"/>
      <c r="M6057" s="236"/>
      <c r="N6057" s="118"/>
      <c r="O6057" s="118"/>
      <c r="P6057" s="16" t="str">
        <f t="shared" si="135"/>
        <v>Truncate table CDCREP0;</v>
      </c>
      <c r="Q6057" s="118"/>
      <c r="R6057" s="118"/>
    </row>
    <row r="6058" spans="1:18" x14ac:dyDescent="0.25">
      <c r="A6058" s="240"/>
      <c r="B6058" s="118" t="s">
        <v>9523</v>
      </c>
      <c r="C6058" s="118"/>
      <c r="D6058" s="16" t="s">
        <v>29</v>
      </c>
      <c r="E6058" s="118"/>
      <c r="F6058" s="118"/>
      <c r="G6058" s="118"/>
      <c r="H6058" s="118"/>
      <c r="I6058" s="118"/>
      <c r="J6058" s="118"/>
      <c r="K6058" s="118"/>
      <c r="L6058" s="118"/>
      <c r="M6058" s="236"/>
      <c r="N6058" s="118"/>
      <c r="O6058" s="118"/>
      <c r="P6058" s="16" t="str">
        <f t="shared" si="135"/>
        <v>Truncate table  CDCREP7;</v>
      </c>
      <c r="Q6058" s="118"/>
      <c r="R6058" s="118"/>
    </row>
    <row r="6059" spans="1:18" x14ac:dyDescent="0.25">
      <c r="A6059" s="240"/>
      <c r="B6059" s="118" t="s">
        <v>9524</v>
      </c>
      <c r="C6059" s="118"/>
      <c r="D6059" s="16" t="s">
        <v>29</v>
      </c>
      <c r="E6059" s="118"/>
      <c r="F6059" s="118"/>
      <c r="G6059" s="118"/>
      <c r="H6059" s="118"/>
      <c r="I6059" s="118"/>
      <c r="J6059" s="118"/>
      <c r="K6059" s="118"/>
      <c r="L6059" s="118"/>
      <c r="M6059" s="236"/>
      <c r="N6059" s="118"/>
      <c r="O6059" s="118"/>
      <c r="P6059" s="16" t="str">
        <f t="shared" si="135"/>
        <v>Truncate table  CDCREP8;</v>
      </c>
      <c r="Q6059" s="118"/>
      <c r="R6059" s="118"/>
    </row>
    <row r="6060" spans="1:18" x14ac:dyDescent="0.25">
      <c r="A6060" s="240"/>
      <c r="B6060" s="118" t="s">
        <v>9525</v>
      </c>
      <c r="C6060" s="118"/>
      <c r="D6060" s="16" t="s">
        <v>29</v>
      </c>
      <c r="E6060" s="118"/>
      <c r="F6060" s="118"/>
      <c r="G6060" s="118"/>
      <c r="H6060" s="118"/>
      <c r="I6060" s="118"/>
      <c r="J6060" s="118"/>
      <c r="K6060" s="118"/>
      <c r="L6060" s="118"/>
      <c r="M6060" s="236"/>
      <c r="N6060" s="118"/>
      <c r="O6060" s="118"/>
      <c r="P6060" s="16" t="str">
        <f t="shared" si="135"/>
        <v>Truncate table  COMPALI;</v>
      </c>
      <c r="Q6060" s="118"/>
      <c r="R6060" s="118"/>
    </row>
    <row r="6061" spans="1:18" x14ac:dyDescent="0.25">
      <c r="A6061" s="240"/>
      <c r="B6061" s="118" t="s">
        <v>9526</v>
      </c>
      <c r="C6061" s="118"/>
      <c r="D6061" s="16" t="s">
        <v>29</v>
      </c>
      <c r="E6061" s="118"/>
      <c r="F6061" s="118"/>
      <c r="G6061" s="118"/>
      <c r="H6061" s="118"/>
      <c r="I6061" s="118"/>
      <c r="J6061" s="118"/>
      <c r="K6061" s="118"/>
      <c r="L6061" s="118"/>
      <c r="M6061" s="236"/>
      <c r="N6061" s="118"/>
      <c r="O6061" s="118"/>
      <c r="P6061" s="16" t="str">
        <f t="shared" si="135"/>
        <v>Truncate table  COMPCBTE;</v>
      </c>
      <c r="Q6061" s="118"/>
      <c r="R6061" s="118"/>
    </row>
    <row r="6062" spans="1:18" ht="30" x14ac:dyDescent="0.25">
      <c r="A6062" s="240"/>
      <c r="B6062" s="118" t="s">
        <v>9560</v>
      </c>
      <c r="C6062" s="118" t="s">
        <v>9561</v>
      </c>
      <c r="D6062" s="16" t="s">
        <v>29</v>
      </c>
      <c r="E6062" s="118" t="s">
        <v>8232</v>
      </c>
      <c r="F6062" s="186" t="s">
        <v>8227</v>
      </c>
      <c r="G6062" s="118" t="s">
        <v>35</v>
      </c>
      <c r="H6062" s="118" t="s">
        <v>12</v>
      </c>
      <c r="I6062" s="118"/>
      <c r="J6062" s="118"/>
      <c r="K6062" s="118" t="s">
        <v>9562</v>
      </c>
      <c r="L6062" s="118"/>
      <c r="M6062" s="236"/>
      <c r="N6062" s="186" t="s">
        <v>9563</v>
      </c>
      <c r="O6062" s="118"/>
      <c r="P6062" s="16" t="str">
        <f t="shared" si="135"/>
        <v>Truncate table FBCAFIP;</v>
      </c>
      <c r="Q6062" s="118"/>
      <c r="R6062" s="118"/>
    </row>
    <row r="6063" spans="1:18" ht="30" x14ac:dyDescent="0.25">
      <c r="A6063" s="240"/>
      <c r="B6063" s="118" t="s">
        <v>9579</v>
      </c>
      <c r="C6063" s="186" t="s">
        <v>9580</v>
      </c>
      <c r="D6063" s="16" t="s">
        <v>29</v>
      </c>
      <c r="E6063" s="118" t="s">
        <v>734</v>
      </c>
      <c r="F6063" s="118" t="s">
        <v>8248</v>
      </c>
      <c r="G6063" s="118" t="s">
        <v>35</v>
      </c>
      <c r="H6063" s="118" t="s">
        <v>36</v>
      </c>
      <c r="I6063" s="118"/>
      <c r="J6063" s="118"/>
      <c r="K6063" s="118" t="s">
        <v>9581</v>
      </c>
      <c r="L6063" s="186" t="s">
        <v>9582</v>
      </c>
      <c r="M6063" s="236"/>
      <c r="N6063" s="118"/>
      <c r="O6063" s="118"/>
      <c r="P6063" s="16" t="str">
        <f t="shared" si="135"/>
        <v>Truncate table TCW000;</v>
      </c>
      <c r="Q6063" s="118" t="s">
        <v>8146</v>
      </c>
      <c r="R6063" s="118"/>
    </row>
    <row r="6064" spans="1:18" ht="30" x14ac:dyDescent="0.25">
      <c r="A6064" s="240"/>
      <c r="B6064" s="118" t="s">
        <v>9583</v>
      </c>
      <c r="C6064" s="186" t="s">
        <v>9584</v>
      </c>
      <c r="D6064" s="16" t="s">
        <v>29</v>
      </c>
      <c r="E6064" s="118" t="s">
        <v>734</v>
      </c>
      <c r="F6064" s="118" t="s">
        <v>8248</v>
      </c>
      <c r="G6064" s="118" t="s">
        <v>35</v>
      </c>
      <c r="H6064" s="118" t="s">
        <v>36</v>
      </c>
      <c r="I6064" s="118"/>
      <c r="J6064" s="118"/>
      <c r="K6064" s="118" t="s">
        <v>9581</v>
      </c>
      <c r="L6064" s="186" t="s">
        <v>9582</v>
      </c>
      <c r="M6064" s="236"/>
      <c r="N6064" s="118"/>
      <c r="O6064" s="118"/>
      <c r="P6064" s="16" t="str">
        <f t="shared" si="135"/>
        <v>Truncate table TCW001;</v>
      </c>
      <c r="Q6064" s="118" t="s">
        <v>8146</v>
      </c>
      <c r="R6064" s="118"/>
    </row>
    <row r="6065" spans="2:18" ht="30" x14ac:dyDescent="0.25">
      <c r="B6065" s="118" t="s">
        <v>9585</v>
      </c>
      <c r="C6065" s="118" t="s">
        <v>9586</v>
      </c>
      <c r="D6065" s="16" t="s">
        <v>29</v>
      </c>
      <c r="E6065" s="118" t="s">
        <v>734</v>
      </c>
      <c r="F6065" s="118" t="s">
        <v>8248</v>
      </c>
      <c r="G6065" s="118" t="s">
        <v>35</v>
      </c>
      <c r="H6065" s="118" t="s">
        <v>36</v>
      </c>
      <c r="I6065" s="118"/>
      <c r="J6065" s="118"/>
      <c r="K6065" s="118" t="s">
        <v>9581</v>
      </c>
      <c r="L6065" s="186" t="s">
        <v>9582</v>
      </c>
      <c r="M6065" s="236"/>
      <c r="N6065" s="118"/>
      <c r="O6065" s="118"/>
      <c r="P6065" s="16" t="str">
        <f t="shared" si="135"/>
        <v>Truncate table TCW003;</v>
      </c>
      <c r="Q6065" s="118" t="s">
        <v>8146</v>
      </c>
      <c r="R6065" s="118"/>
    </row>
    <row r="6066" spans="2:18" ht="45" x14ac:dyDescent="0.25">
      <c r="B6066" s="182" t="s">
        <v>9591</v>
      </c>
      <c r="C6066" s="183" t="s">
        <v>9592</v>
      </c>
      <c r="D6066" s="16" t="s">
        <v>29</v>
      </c>
      <c r="E6066" s="182" t="s">
        <v>734</v>
      </c>
      <c r="F6066" s="182" t="s">
        <v>8248</v>
      </c>
      <c r="G6066" s="182" t="s">
        <v>35</v>
      </c>
      <c r="H6066" s="182" t="s">
        <v>36</v>
      </c>
      <c r="I6066" s="182"/>
      <c r="J6066" s="182"/>
      <c r="K6066" s="182" t="s">
        <v>9593</v>
      </c>
      <c r="L6066" s="183" t="s">
        <v>9595</v>
      </c>
      <c r="M6066" s="267"/>
      <c r="N6066" s="183" t="s">
        <v>9594</v>
      </c>
      <c r="O6066" s="182"/>
      <c r="P6066" s="16" t="str">
        <f t="shared" si="135"/>
        <v>Truncate table TCW004;</v>
      </c>
      <c r="Q6066" s="118" t="s">
        <v>8146</v>
      </c>
      <c r="R6066" s="182"/>
    </row>
    <row r="6067" spans="2:18" x14ac:dyDescent="0.25">
      <c r="B6067" s="182" t="s">
        <v>9620</v>
      </c>
      <c r="C6067" s="183" t="s">
        <v>9621</v>
      </c>
      <c r="D6067" s="16" t="s">
        <v>29</v>
      </c>
      <c r="E6067" s="182" t="s">
        <v>428</v>
      </c>
      <c r="F6067" s="182" t="s">
        <v>8217</v>
      </c>
      <c r="G6067" s="182" t="s">
        <v>35</v>
      </c>
      <c r="H6067" s="182" t="s">
        <v>36</v>
      </c>
      <c r="I6067" s="182"/>
      <c r="J6067" s="182"/>
      <c r="K6067" s="182" t="s">
        <v>9603</v>
      </c>
      <c r="L6067" s="183"/>
      <c r="M6067" s="267"/>
      <c r="N6067" s="183"/>
      <c r="O6067" s="182"/>
      <c r="P6067" s="16"/>
      <c r="Q6067" s="182"/>
      <c r="R6067" s="182"/>
    </row>
    <row r="6068" spans="2:18" x14ac:dyDescent="0.25">
      <c r="B6068" s="202" t="s">
        <v>9616</v>
      </c>
      <c r="C6068" s="268" t="s">
        <v>9624</v>
      </c>
      <c r="D6068" s="16" t="s">
        <v>29</v>
      </c>
      <c r="E6068" s="182" t="s">
        <v>428</v>
      </c>
      <c r="F6068" s="182" t="s">
        <v>8217</v>
      </c>
      <c r="G6068" s="182" t="s">
        <v>35</v>
      </c>
      <c r="H6068" s="182" t="s">
        <v>36</v>
      </c>
      <c r="I6068" s="182"/>
      <c r="J6068" s="182"/>
      <c r="K6068" s="182" t="s">
        <v>9603</v>
      </c>
      <c r="L6068" s="183"/>
      <c r="M6068" s="267"/>
      <c r="N6068" s="183"/>
      <c r="O6068" s="182"/>
      <c r="P6068" s="16"/>
      <c r="Q6068" s="182"/>
      <c r="R6068" s="182"/>
    </row>
    <row r="6069" spans="2:18" x14ac:dyDescent="0.25">
      <c r="B6069" s="202" t="s">
        <v>9622</v>
      </c>
      <c r="C6069" s="268" t="s">
        <v>9625</v>
      </c>
      <c r="D6069" s="16" t="s">
        <v>29</v>
      </c>
      <c r="E6069" s="182" t="s">
        <v>428</v>
      </c>
      <c r="F6069" s="182" t="s">
        <v>8217</v>
      </c>
      <c r="G6069" s="182" t="s">
        <v>35</v>
      </c>
      <c r="H6069" s="182" t="s">
        <v>36</v>
      </c>
      <c r="I6069" s="182"/>
      <c r="J6069" s="182"/>
      <c r="K6069" s="182" t="s">
        <v>9603</v>
      </c>
      <c r="L6069" s="183"/>
      <c r="M6069" s="267"/>
      <c r="N6069" s="183"/>
      <c r="O6069" s="182"/>
      <c r="P6069" s="16"/>
      <c r="Q6069" s="182"/>
      <c r="R6069" s="182"/>
    </row>
    <row r="6070" spans="2:18" x14ac:dyDescent="0.25">
      <c r="B6070" s="202" t="s">
        <v>9623</v>
      </c>
      <c r="C6070" s="268" t="s">
        <v>9626</v>
      </c>
      <c r="D6070" s="16" t="s">
        <v>29</v>
      </c>
      <c r="E6070" s="182" t="s">
        <v>428</v>
      </c>
      <c r="F6070" s="182" t="s">
        <v>8217</v>
      </c>
      <c r="G6070" s="182" t="s">
        <v>35</v>
      </c>
      <c r="H6070" s="182" t="s">
        <v>36</v>
      </c>
      <c r="I6070" s="182"/>
      <c r="J6070" s="182"/>
      <c r="K6070" s="182" t="s">
        <v>9603</v>
      </c>
      <c r="L6070" s="183"/>
      <c r="M6070" s="267"/>
      <c r="N6070" s="183"/>
      <c r="O6070" s="182"/>
      <c r="P6070" s="16"/>
      <c r="Q6070" s="182"/>
      <c r="R6070" s="182"/>
    </row>
    <row r="6071" spans="2:18" ht="30" x14ac:dyDescent="0.25">
      <c r="B6071" s="182" t="s">
        <v>9618</v>
      </c>
      <c r="C6071" s="183" t="s">
        <v>9619</v>
      </c>
      <c r="D6071" s="16" t="s">
        <v>29</v>
      </c>
      <c r="E6071" s="182" t="s">
        <v>734</v>
      </c>
      <c r="F6071" s="182" t="s">
        <v>8248</v>
      </c>
      <c r="G6071" s="182" t="s">
        <v>35</v>
      </c>
      <c r="H6071" s="182" t="s">
        <v>36</v>
      </c>
      <c r="I6071" s="182"/>
      <c r="J6071" s="182"/>
      <c r="K6071" s="182" t="s">
        <v>8290</v>
      </c>
      <c r="L6071" s="183" t="s">
        <v>9595</v>
      </c>
      <c r="M6071" s="267"/>
      <c r="N6071" s="183"/>
      <c r="O6071" s="182"/>
      <c r="P6071" s="16" t="str">
        <f>IF(D6071="Datos","Truncate table "&amp; B6071&amp; ";","")</f>
        <v>Truncate table TCW006;</v>
      </c>
      <c r="Q6071" s="118" t="s">
        <v>8146</v>
      </c>
      <c r="R6071" s="182"/>
    </row>
    <row r="6072" spans="2:18" x14ac:dyDescent="0.25">
      <c r="B6072" s="118" t="s">
        <v>9601</v>
      </c>
      <c r="C6072" s="186" t="s">
        <v>9602</v>
      </c>
      <c r="D6072" s="16" t="s">
        <v>29</v>
      </c>
      <c r="E6072" s="118" t="s">
        <v>428</v>
      </c>
      <c r="F6072" s="118" t="s">
        <v>8217</v>
      </c>
      <c r="G6072" s="118" t="s">
        <v>35</v>
      </c>
      <c r="H6072" s="118" t="s">
        <v>36</v>
      </c>
      <c r="I6072" s="118"/>
      <c r="J6072" s="118"/>
      <c r="K6072" s="118" t="s">
        <v>9603</v>
      </c>
      <c r="L6072" s="118"/>
      <c r="M6072" s="236"/>
      <c r="N6072" s="186" t="s">
        <v>9604</v>
      </c>
      <c r="O6072" s="118"/>
      <c r="P6072" s="16" t="str">
        <f>IF(D6072="Datos","Truncate table "&amp; B6072&amp; ";","")</f>
        <v>Truncate table BTSDLH1 ;</v>
      </c>
      <c r="Q6072" s="118"/>
      <c r="R6072" s="118"/>
    </row>
    <row r="6073" spans="2:18" x14ac:dyDescent="0.25">
      <c r="B6073" s="118" t="s">
        <v>9616</v>
      </c>
      <c r="C6073" s="186" t="s">
        <v>9617</v>
      </c>
      <c r="D6073" s="16" t="s">
        <v>29</v>
      </c>
      <c r="E6073" s="118" t="s">
        <v>428</v>
      </c>
      <c r="F6073" s="118" t="s">
        <v>8217</v>
      </c>
      <c r="G6073" s="118" t="s">
        <v>35</v>
      </c>
      <c r="H6073" s="118" t="s">
        <v>36</v>
      </c>
      <c r="I6073" s="118"/>
      <c r="J6073" s="118"/>
      <c r="K6073" s="118" t="s">
        <v>9603</v>
      </c>
      <c r="L6073" s="118"/>
      <c r="M6073" s="236"/>
      <c r="N6073" s="186" t="s">
        <v>9604</v>
      </c>
      <c r="O6073" s="118"/>
      <c r="P6073" s="16"/>
      <c r="Q6073" s="118"/>
      <c r="R6073" s="118"/>
    </row>
    <row r="6074" spans="2:18" ht="60" x14ac:dyDescent="0.25">
      <c r="B6074" s="182" t="s">
        <v>9610</v>
      </c>
      <c r="C6074" s="183" t="s">
        <v>9611</v>
      </c>
      <c r="D6074" s="16" t="s">
        <v>29</v>
      </c>
      <c r="E6074" s="182" t="s">
        <v>8232</v>
      </c>
      <c r="F6074" s="183" t="s">
        <v>8227</v>
      </c>
      <c r="G6074" s="182" t="s">
        <v>35</v>
      </c>
      <c r="H6074" s="182" t="s">
        <v>12</v>
      </c>
      <c r="I6074" s="182"/>
      <c r="J6074" s="182"/>
      <c r="K6074" s="182" t="s">
        <v>7520</v>
      </c>
      <c r="L6074" s="183" t="s">
        <v>9612</v>
      </c>
      <c r="M6074" s="267"/>
      <c r="N6074" s="182"/>
      <c r="O6074" s="182"/>
      <c r="P6074" s="16" t="str">
        <f t="shared" ref="P6074:P6156" si="136">IF(D6074="Datos","Truncate table "&amp; B6074&amp; ";","")</f>
        <v>Truncate table RNUY01;</v>
      </c>
      <c r="Q6074" s="118"/>
      <c r="R6074" s="118"/>
    </row>
    <row r="6075" spans="2:18" ht="40.5" x14ac:dyDescent="0.25">
      <c r="B6075" s="182" t="s">
        <v>9629</v>
      </c>
      <c r="C6075" s="183" t="s">
        <v>9630</v>
      </c>
      <c r="D6075" s="16" t="s">
        <v>29</v>
      </c>
      <c r="E6075" s="182" t="s">
        <v>8232</v>
      </c>
      <c r="F6075" s="183" t="s">
        <v>8227</v>
      </c>
      <c r="G6075" s="182" t="s">
        <v>35</v>
      </c>
      <c r="H6075" s="182" t="s">
        <v>12</v>
      </c>
      <c r="I6075" s="182"/>
      <c r="J6075" s="182"/>
      <c r="K6075" s="182" t="s">
        <v>7520</v>
      </c>
      <c r="L6075" s="221" t="s">
        <v>9612</v>
      </c>
      <c r="M6075" s="267"/>
      <c r="N6075" s="182"/>
      <c r="O6075" s="182"/>
      <c r="P6075" s="16" t="str">
        <f t="shared" si="136"/>
        <v>Truncate table RNUY02  ;</v>
      </c>
      <c r="Q6075" s="118"/>
      <c r="R6075" s="118"/>
    </row>
    <row r="6076" spans="2:18" ht="30" x14ac:dyDescent="0.25">
      <c r="B6076" s="182" t="s">
        <v>9613</v>
      </c>
      <c r="C6076" s="183" t="s">
        <v>9614</v>
      </c>
      <c r="D6076" s="16" t="s">
        <v>29</v>
      </c>
      <c r="E6076" s="182" t="s">
        <v>8232</v>
      </c>
      <c r="F6076" s="183" t="s">
        <v>8227</v>
      </c>
      <c r="G6076" s="182" t="s">
        <v>35</v>
      </c>
      <c r="H6076" s="182" t="s">
        <v>12</v>
      </c>
      <c r="I6076" s="182"/>
      <c r="J6076" s="182"/>
      <c r="K6076" s="182" t="s">
        <v>9578</v>
      </c>
      <c r="L6076" s="182"/>
      <c r="M6076" s="267"/>
      <c r="N6076" s="183" t="s">
        <v>9615</v>
      </c>
      <c r="O6076" s="182"/>
      <c r="P6076" s="16" t="str">
        <f t="shared" si="136"/>
        <v>Truncate table TBC055;</v>
      </c>
      <c r="Q6076" s="118"/>
      <c r="R6076" s="118"/>
    </row>
    <row r="6077" spans="2:18" x14ac:dyDescent="0.25">
      <c r="B6077" s="118" t="s">
        <v>9627</v>
      </c>
      <c r="C6077" s="118" t="s">
        <v>9628</v>
      </c>
      <c r="D6077" s="16" t="s">
        <v>29</v>
      </c>
      <c r="E6077" s="118" t="s">
        <v>428</v>
      </c>
      <c r="F6077" s="118" t="s">
        <v>8217</v>
      </c>
      <c r="G6077" s="118" t="s">
        <v>35</v>
      </c>
      <c r="H6077" s="118" t="s">
        <v>36</v>
      </c>
      <c r="I6077" s="118"/>
      <c r="J6077" s="118"/>
      <c r="K6077" s="118" t="s">
        <v>7969</v>
      </c>
      <c r="L6077" s="118"/>
      <c r="M6077" s="236"/>
      <c r="N6077" s="118"/>
      <c r="O6077" s="118"/>
      <c r="P6077" s="16" t="str">
        <f t="shared" si="136"/>
        <v>Truncate table BTSSIM1;</v>
      </c>
      <c r="Q6077" s="118"/>
      <c r="R6077" s="118"/>
    </row>
    <row r="6078" spans="2:18" x14ac:dyDescent="0.25">
      <c r="B6078" s="118" t="s">
        <v>7897</v>
      </c>
      <c r="C6078" s="186" t="s">
        <v>9647</v>
      </c>
      <c r="D6078" s="16" t="s">
        <v>29</v>
      </c>
      <c r="E6078" s="118" t="s">
        <v>151</v>
      </c>
      <c r="F6078" s="118" t="s">
        <v>8215</v>
      </c>
      <c r="G6078" s="118" t="s">
        <v>35</v>
      </c>
      <c r="H6078" s="118" t="s">
        <v>36</v>
      </c>
      <c r="I6078" s="118"/>
      <c r="J6078" s="118"/>
      <c r="K6078" s="269" t="s">
        <v>7474</v>
      </c>
      <c r="L6078" s="118"/>
      <c r="M6078" s="236"/>
      <c r="N6078" s="118"/>
      <c r="O6078" s="118"/>
      <c r="P6078" s="16" t="str">
        <f t="shared" si="136"/>
        <v>Truncate table TDDI01;</v>
      </c>
      <c r="Q6078" s="118"/>
      <c r="R6078" s="118"/>
    </row>
    <row r="6079" spans="2:18" ht="27" x14ac:dyDescent="0.25">
      <c r="B6079" s="118" t="s">
        <v>8070</v>
      </c>
      <c r="C6079" s="186" t="s">
        <v>9648</v>
      </c>
      <c r="D6079" s="16" t="s">
        <v>29</v>
      </c>
      <c r="E6079" s="118" t="s">
        <v>54</v>
      </c>
      <c r="F6079" s="186" t="s">
        <v>9649</v>
      </c>
      <c r="G6079" s="118" t="s">
        <v>35</v>
      </c>
      <c r="H6079" s="118" t="s">
        <v>36</v>
      </c>
      <c r="I6079" s="118"/>
      <c r="J6079" s="118"/>
      <c r="K6079" s="269" t="s">
        <v>9650</v>
      </c>
      <c r="L6079" s="118"/>
      <c r="M6079" s="236"/>
      <c r="N6079" s="118"/>
      <c r="O6079" s="118"/>
      <c r="P6079" s="16" t="str">
        <f t="shared" si="136"/>
        <v>Truncate table AHP0534;</v>
      </c>
      <c r="Q6079" s="118"/>
      <c r="R6079" s="118"/>
    </row>
    <row r="6080" spans="2:18" x14ac:dyDescent="0.25">
      <c r="B6080" s="118" t="s">
        <v>9655</v>
      </c>
      <c r="C6080" s="118" t="s">
        <v>9656</v>
      </c>
      <c r="D6080" s="16" t="s">
        <v>29</v>
      </c>
      <c r="E6080" s="118" t="s">
        <v>54</v>
      </c>
      <c r="F6080" s="118" t="s">
        <v>8192</v>
      </c>
      <c r="G6080" s="118" t="s">
        <v>35</v>
      </c>
      <c r="H6080" s="118"/>
      <c r="I6080" s="118"/>
      <c r="J6080" s="118"/>
      <c r="K6080" s="118" t="s">
        <v>9651</v>
      </c>
      <c r="L6080" s="118"/>
      <c r="M6080" s="236"/>
      <c r="N6080" s="118"/>
      <c r="O6080" s="118"/>
      <c r="P6080" s="16" t="str">
        <f t="shared" si="136"/>
        <v>Truncate table BJD710;</v>
      </c>
      <c r="Q6080" s="118"/>
      <c r="R6080" s="118"/>
    </row>
    <row r="6081" spans="1:22" x14ac:dyDescent="0.25">
      <c r="B6081" s="118" t="s">
        <v>9663</v>
      </c>
      <c r="C6081" s="118" t="s">
        <v>9664</v>
      </c>
      <c r="D6081" s="16" t="s">
        <v>29</v>
      </c>
      <c r="E6081" s="118" t="s">
        <v>54</v>
      </c>
      <c r="F6081" s="118" t="s">
        <v>8192</v>
      </c>
      <c r="G6081" s="118" t="s">
        <v>35</v>
      </c>
      <c r="H6081" s="118"/>
      <c r="I6081" s="118"/>
      <c r="J6081" s="118"/>
      <c r="K6081" s="118" t="s">
        <v>9651</v>
      </c>
      <c r="L6081" s="118"/>
      <c r="M6081" s="236"/>
      <c r="N6081" s="272" t="s">
        <v>9665</v>
      </c>
      <c r="O6081" s="118"/>
      <c r="P6081" s="16" t="str">
        <f t="shared" si="136"/>
        <v>Truncate table BJDBC1;</v>
      </c>
      <c r="Q6081" s="118"/>
      <c r="R6081" s="118"/>
    </row>
    <row r="6082" spans="1:22" ht="27" x14ac:dyDescent="0.25">
      <c r="B6082" s="273" t="s">
        <v>9666</v>
      </c>
      <c r="C6082" s="201" t="s">
        <v>9669</v>
      </c>
      <c r="D6082" s="16" t="s">
        <v>29</v>
      </c>
      <c r="E6082" s="118" t="s">
        <v>54</v>
      </c>
      <c r="F6082" s="118" t="s">
        <v>163</v>
      </c>
      <c r="G6082" s="118" t="s">
        <v>35</v>
      </c>
      <c r="H6082" s="118"/>
      <c r="I6082" s="118"/>
      <c r="J6082" s="118"/>
      <c r="K6082" s="118" t="s">
        <v>9651</v>
      </c>
      <c r="L6082" s="118"/>
      <c r="M6082" s="236"/>
      <c r="N6082" s="270" t="s">
        <v>9672</v>
      </c>
      <c r="O6082" s="118"/>
      <c r="P6082" s="21" t="str">
        <f t="shared" si="136"/>
        <v>Truncate table FOCDE01                                                                                                                         ;</v>
      </c>
      <c r="Q6082" s="118"/>
      <c r="R6082" s="118"/>
    </row>
    <row r="6083" spans="1:22" s="125" customFormat="1" ht="27" x14ac:dyDescent="0.25">
      <c r="A6083" s="119"/>
      <c r="B6083" s="273" t="s">
        <v>9667</v>
      </c>
      <c r="C6083" s="82" t="s">
        <v>9670</v>
      </c>
      <c r="D6083" s="16" t="s">
        <v>29</v>
      </c>
      <c r="E6083" s="186" t="s">
        <v>54</v>
      </c>
      <c r="F6083" s="186" t="s">
        <v>163</v>
      </c>
      <c r="G6083" s="186" t="s">
        <v>35</v>
      </c>
      <c r="H6083" s="186"/>
      <c r="I6083" s="186"/>
      <c r="J6083" s="186"/>
      <c r="K6083" s="186" t="s">
        <v>9651</v>
      </c>
      <c r="L6083" s="186"/>
      <c r="M6083" s="274"/>
      <c r="N6083" s="273" t="s">
        <v>9672</v>
      </c>
      <c r="O6083" s="186"/>
      <c r="P6083" s="16" t="str">
        <f t="shared" si="136"/>
        <v>Truncate table FOCDE02                                                                                                                         ;</v>
      </c>
      <c r="Q6083" s="186"/>
      <c r="R6083" s="186"/>
      <c r="S6083" s="119"/>
      <c r="T6083" s="119"/>
      <c r="U6083" s="119"/>
      <c r="V6083" s="119"/>
    </row>
    <row r="6084" spans="1:22" s="125" customFormat="1" ht="27" x14ac:dyDescent="0.25">
      <c r="A6084" s="119"/>
      <c r="B6084" s="273" t="s">
        <v>9668</v>
      </c>
      <c r="C6084" s="82" t="s">
        <v>9671</v>
      </c>
      <c r="D6084" s="16" t="s">
        <v>29</v>
      </c>
      <c r="E6084" s="186" t="s">
        <v>54</v>
      </c>
      <c r="F6084" s="186" t="s">
        <v>163</v>
      </c>
      <c r="G6084" s="186" t="s">
        <v>35</v>
      </c>
      <c r="H6084" s="186"/>
      <c r="I6084" s="186"/>
      <c r="J6084" s="186"/>
      <c r="K6084" s="186" t="s">
        <v>9651</v>
      </c>
      <c r="L6084" s="186"/>
      <c r="M6084" s="274"/>
      <c r="N6084" s="273" t="s">
        <v>9672</v>
      </c>
      <c r="O6084" s="186"/>
      <c r="P6084" s="16" t="str">
        <f t="shared" si="136"/>
        <v>Truncate table FOCDE03                                                                                                                         ;</v>
      </c>
      <c r="Q6084" s="186"/>
      <c r="R6084" s="186"/>
      <c r="S6084" s="119"/>
      <c r="T6084" s="119"/>
      <c r="U6084" s="119"/>
      <c r="V6084" s="119"/>
    </row>
    <row r="6085" spans="1:22" ht="30" x14ac:dyDescent="0.25">
      <c r="B6085" s="286" t="s">
        <v>9701</v>
      </c>
      <c r="C6085" s="182" t="s">
        <v>9713</v>
      </c>
      <c r="D6085" s="16" t="s">
        <v>29</v>
      </c>
      <c r="E6085" s="182" t="s">
        <v>54</v>
      </c>
      <c r="F6085" s="182" t="s">
        <v>1198</v>
      </c>
      <c r="G6085" s="182" t="s">
        <v>35</v>
      </c>
      <c r="H6085" s="182" t="s">
        <v>12</v>
      </c>
      <c r="I6085" s="285"/>
      <c r="J6085" s="284"/>
      <c r="K6085" s="182" t="s">
        <v>9712</v>
      </c>
      <c r="L6085" s="186" t="s">
        <v>9725</v>
      </c>
      <c r="M6085" s="236"/>
      <c r="N6085" s="118"/>
      <c r="O6085" s="118"/>
      <c r="P6085" s="16" t="str">
        <f t="shared" si="136"/>
        <v>Truncate table FE0001;</v>
      </c>
      <c r="Q6085" s="118" t="s">
        <v>8146</v>
      </c>
      <c r="R6085" s="118"/>
    </row>
    <row r="6086" spans="1:22" ht="30" x14ac:dyDescent="0.25">
      <c r="B6086" s="286" t="s">
        <v>9702</v>
      </c>
      <c r="C6086" s="182" t="s">
        <v>9714</v>
      </c>
      <c r="D6086" s="16" t="s">
        <v>29</v>
      </c>
      <c r="E6086" s="118" t="s">
        <v>54</v>
      </c>
      <c r="F6086" s="118" t="s">
        <v>1198</v>
      </c>
      <c r="G6086" s="118" t="s">
        <v>35</v>
      </c>
      <c r="H6086" s="118" t="s">
        <v>12</v>
      </c>
      <c r="I6086" s="285"/>
      <c r="J6086" s="284"/>
      <c r="K6086" s="118" t="s">
        <v>9712</v>
      </c>
      <c r="L6086" s="186" t="s">
        <v>9725</v>
      </c>
      <c r="M6086" s="236"/>
      <c r="N6086" s="118"/>
      <c r="O6086" s="118"/>
      <c r="P6086" s="16" t="str">
        <f t="shared" si="136"/>
        <v>Truncate table FE0002;</v>
      </c>
      <c r="Q6086" s="118" t="s">
        <v>8146</v>
      </c>
      <c r="R6086" s="118"/>
    </row>
    <row r="6087" spans="1:22" ht="30" x14ac:dyDescent="0.25">
      <c r="B6087" s="286" t="s">
        <v>9703</v>
      </c>
      <c r="C6087" s="182" t="s">
        <v>9715</v>
      </c>
      <c r="D6087" s="16" t="s">
        <v>29</v>
      </c>
      <c r="E6087" s="118" t="s">
        <v>54</v>
      </c>
      <c r="F6087" s="118" t="s">
        <v>1198</v>
      </c>
      <c r="G6087" s="118" t="s">
        <v>35</v>
      </c>
      <c r="H6087" s="118" t="s">
        <v>12</v>
      </c>
      <c r="I6087" s="285"/>
      <c r="J6087" s="284"/>
      <c r="K6087" s="118" t="s">
        <v>9712</v>
      </c>
      <c r="L6087" s="186" t="s">
        <v>9725</v>
      </c>
      <c r="M6087" s="236"/>
      <c r="N6087" s="118"/>
      <c r="O6087" s="118"/>
      <c r="P6087" s="16" t="str">
        <f t="shared" si="136"/>
        <v>Truncate table FE0003;</v>
      </c>
      <c r="Q6087" s="118" t="s">
        <v>8146</v>
      </c>
      <c r="R6087" s="118"/>
    </row>
    <row r="6088" spans="1:22" ht="30" x14ac:dyDescent="0.25">
      <c r="B6088" s="286" t="s">
        <v>9704</v>
      </c>
      <c r="C6088" s="182" t="s">
        <v>9716</v>
      </c>
      <c r="D6088" s="16" t="s">
        <v>29</v>
      </c>
      <c r="E6088" s="118" t="s">
        <v>54</v>
      </c>
      <c r="F6088" s="118" t="s">
        <v>1198</v>
      </c>
      <c r="G6088" s="118" t="s">
        <v>35</v>
      </c>
      <c r="H6088" s="118" t="s">
        <v>12</v>
      </c>
      <c r="I6088" s="285"/>
      <c r="J6088" s="284"/>
      <c r="K6088" s="118" t="s">
        <v>9712</v>
      </c>
      <c r="L6088" s="186" t="s">
        <v>9725</v>
      </c>
      <c r="M6088" s="236"/>
      <c r="N6088" s="118"/>
      <c r="O6088" s="118"/>
      <c r="P6088" s="16" t="str">
        <f t="shared" si="136"/>
        <v>Truncate table FE0004;</v>
      </c>
      <c r="Q6088" s="118" t="s">
        <v>8146</v>
      </c>
      <c r="R6088" s="118"/>
    </row>
    <row r="6089" spans="1:22" ht="30" x14ac:dyDescent="0.25">
      <c r="B6089" s="286" t="s">
        <v>9705</v>
      </c>
      <c r="C6089" s="182" t="s">
        <v>9717</v>
      </c>
      <c r="D6089" s="16" t="s">
        <v>29</v>
      </c>
      <c r="E6089" s="118" t="s">
        <v>54</v>
      </c>
      <c r="F6089" s="118" t="s">
        <v>1198</v>
      </c>
      <c r="G6089" s="118" t="s">
        <v>35</v>
      </c>
      <c r="H6089" s="118" t="s">
        <v>12</v>
      </c>
      <c r="K6089" s="118" t="s">
        <v>9712</v>
      </c>
      <c r="L6089" s="186" t="s">
        <v>9725</v>
      </c>
      <c r="M6089" s="236"/>
      <c r="N6089" s="118"/>
      <c r="O6089" s="118"/>
      <c r="P6089" s="16" t="str">
        <f t="shared" si="136"/>
        <v>Truncate table FE0005;</v>
      </c>
      <c r="Q6089" s="118" t="s">
        <v>8146</v>
      </c>
      <c r="R6089" s="118"/>
    </row>
    <row r="6090" spans="1:22" ht="30" x14ac:dyDescent="0.25">
      <c r="B6090" s="286" t="s">
        <v>9706</v>
      </c>
      <c r="C6090" s="183" t="s">
        <v>9718</v>
      </c>
      <c r="D6090" s="16" t="s">
        <v>29</v>
      </c>
      <c r="E6090" s="118" t="s">
        <v>54</v>
      </c>
      <c r="F6090" s="118" t="s">
        <v>1198</v>
      </c>
      <c r="G6090" s="118" t="s">
        <v>35</v>
      </c>
      <c r="H6090" s="118" t="s">
        <v>12</v>
      </c>
      <c r="K6090" s="118" t="s">
        <v>9712</v>
      </c>
      <c r="L6090" s="186" t="s">
        <v>9725</v>
      </c>
      <c r="M6090" s="236"/>
      <c r="N6090" s="118"/>
      <c r="O6090" s="118"/>
      <c r="P6090" s="16" t="str">
        <f t="shared" si="136"/>
        <v>Truncate table FE0006;</v>
      </c>
      <c r="Q6090" s="118" t="s">
        <v>8146</v>
      </c>
      <c r="R6090" s="118"/>
    </row>
    <row r="6091" spans="1:22" ht="30" x14ac:dyDescent="0.25">
      <c r="B6091" s="286" t="s">
        <v>9707</v>
      </c>
      <c r="C6091" s="183" t="s">
        <v>9719</v>
      </c>
      <c r="D6091" s="16" t="s">
        <v>29</v>
      </c>
      <c r="E6091" s="118" t="s">
        <v>54</v>
      </c>
      <c r="F6091" s="118" t="s">
        <v>1198</v>
      </c>
      <c r="G6091" s="118" t="s">
        <v>35</v>
      </c>
      <c r="H6091" s="118" t="s">
        <v>12</v>
      </c>
      <c r="K6091" s="118" t="s">
        <v>9712</v>
      </c>
      <c r="L6091" s="186" t="s">
        <v>9725</v>
      </c>
      <c r="M6091" s="236"/>
      <c r="N6091" s="118"/>
      <c r="O6091" s="118"/>
      <c r="P6091" s="16" t="str">
        <f t="shared" si="136"/>
        <v>Truncate table FE0007 ;</v>
      </c>
      <c r="Q6091" s="118" t="s">
        <v>8146</v>
      </c>
      <c r="R6091" s="118"/>
    </row>
    <row r="6092" spans="1:22" ht="30" x14ac:dyDescent="0.25">
      <c r="B6092" s="286" t="s">
        <v>9708</v>
      </c>
      <c r="C6092" s="183" t="s">
        <v>9720</v>
      </c>
      <c r="D6092" s="16" t="s">
        <v>29</v>
      </c>
      <c r="E6092" s="118" t="s">
        <v>54</v>
      </c>
      <c r="F6092" s="118" t="s">
        <v>1198</v>
      </c>
      <c r="G6092" s="118" t="s">
        <v>35</v>
      </c>
      <c r="H6092" s="118" t="s">
        <v>12</v>
      </c>
      <c r="K6092" s="118" t="s">
        <v>9712</v>
      </c>
      <c r="L6092" s="186" t="s">
        <v>9725</v>
      </c>
      <c r="M6092" s="236"/>
      <c r="N6092" s="118"/>
      <c r="O6092" s="118"/>
      <c r="P6092" s="16" t="str">
        <f t="shared" si="136"/>
        <v>Truncate table FE0008;</v>
      </c>
      <c r="Q6092" s="118" t="s">
        <v>8146</v>
      </c>
      <c r="R6092" s="118"/>
    </row>
    <row r="6093" spans="1:22" ht="30" x14ac:dyDescent="0.25">
      <c r="B6093" s="286" t="s">
        <v>9709</v>
      </c>
      <c r="C6093" s="183" t="s">
        <v>9721</v>
      </c>
      <c r="D6093" s="16" t="s">
        <v>29</v>
      </c>
      <c r="E6093" s="118" t="s">
        <v>54</v>
      </c>
      <c r="F6093" s="118" t="s">
        <v>1198</v>
      </c>
      <c r="G6093" s="118" t="s">
        <v>35</v>
      </c>
      <c r="H6093" s="118" t="s">
        <v>12</v>
      </c>
      <c r="K6093" s="118" t="s">
        <v>9712</v>
      </c>
      <c r="L6093" s="186" t="s">
        <v>9725</v>
      </c>
      <c r="M6093" s="236"/>
      <c r="N6093" s="118"/>
      <c r="O6093" s="118"/>
      <c r="P6093" s="16" t="str">
        <f t="shared" si="136"/>
        <v>Truncate table FE0009;</v>
      </c>
      <c r="Q6093" s="118" t="s">
        <v>8146</v>
      </c>
      <c r="R6093" s="118"/>
    </row>
    <row r="6094" spans="1:22" ht="30" x14ac:dyDescent="0.25">
      <c r="B6094" s="286" t="s">
        <v>9710</v>
      </c>
      <c r="C6094" s="183" t="s">
        <v>9722</v>
      </c>
      <c r="D6094" s="16" t="s">
        <v>29</v>
      </c>
      <c r="E6094" s="118" t="s">
        <v>54</v>
      </c>
      <c r="F6094" s="118" t="s">
        <v>1198</v>
      </c>
      <c r="G6094" s="118" t="s">
        <v>35</v>
      </c>
      <c r="H6094" s="118" t="s">
        <v>12</v>
      </c>
      <c r="K6094" s="118" t="s">
        <v>9712</v>
      </c>
      <c r="L6094" s="186" t="s">
        <v>9725</v>
      </c>
      <c r="M6094" s="236"/>
      <c r="N6094" s="118"/>
      <c r="O6094" s="118"/>
      <c r="P6094" s="16" t="str">
        <f t="shared" si="136"/>
        <v>Truncate table FE0010;</v>
      </c>
      <c r="Q6094" s="118" t="s">
        <v>8146</v>
      </c>
      <c r="R6094" s="118"/>
    </row>
    <row r="6095" spans="1:22" ht="30" x14ac:dyDescent="0.25">
      <c r="B6095" s="286" t="s">
        <v>9711</v>
      </c>
      <c r="C6095" s="183" t="s">
        <v>9723</v>
      </c>
      <c r="D6095" s="16" t="s">
        <v>29</v>
      </c>
      <c r="E6095" s="118" t="s">
        <v>54</v>
      </c>
      <c r="F6095" s="118" t="s">
        <v>1198</v>
      </c>
      <c r="G6095" s="118" t="s">
        <v>35</v>
      </c>
      <c r="H6095" s="118" t="s">
        <v>12</v>
      </c>
      <c r="K6095" s="118" t="s">
        <v>9712</v>
      </c>
      <c r="L6095" s="186" t="s">
        <v>9725</v>
      </c>
      <c r="M6095" s="236"/>
      <c r="N6095" s="118"/>
      <c r="O6095" s="118"/>
      <c r="P6095" s="16" t="str">
        <f t="shared" si="136"/>
        <v>Truncate table FE0011;</v>
      </c>
      <c r="Q6095" s="118" t="s">
        <v>8146</v>
      </c>
      <c r="R6095" s="118"/>
    </row>
    <row r="6096" spans="1:22" ht="30" x14ac:dyDescent="0.25">
      <c r="B6096" s="222" t="s">
        <v>9700</v>
      </c>
      <c r="C6096" s="334" t="s">
        <v>9724</v>
      </c>
      <c r="D6096" s="16" t="s">
        <v>29</v>
      </c>
      <c r="E6096" s="194" t="s">
        <v>54</v>
      </c>
      <c r="F6096" s="194" t="s">
        <v>1198</v>
      </c>
      <c r="G6096" s="194" t="s">
        <v>35</v>
      </c>
      <c r="H6096" s="194" t="s">
        <v>12</v>
      </c>
      <c r="K6096" s="118" t="s">
        <v>9712</v>
      </c>
      <c r="L6096" s="335" t="s">
        <v>9725</v>
      </c>
      <c r="M6096" s="336"/>
      <c r="N6096" s="194"/>
      <c r="O6096" s="194"/>
      <c r="P6096" s="38" t="str">
        <f t="shared" si="136"/>
        <v>Truncate table FE0012;</v>
      </c>
      <c r="Q6096" s="194" t="s">
        <v>8146</v>
      </c>
      <c r="R6096" s="194"/>
    </row>
    <row r="6097" spans="1:22" x14ac:dyDescent="0.25">
      <c r="B6097" s="118" t="s">
        <v>11568</v>
      </c>
      <c r="C6097" s="118" t="s">
        <v>11569</v>
      </c>
      <c r="D6097" s="118" t="s">
        <v>29</v>
      </c>
      <c r="E6097" s="182" t="s">
        <v>8232</v>
      </c>
      <c r="F6097" s="183" t="s">
        <v>8227</v>
      </c>
      <c r="G6097" s="194" t="s">
        <v>35</v>
      </c>
      <c r="H6097" s="194" t="s">
        <v>12</v>
      </c>
      <c r="K6097" s="118" t="s">
        <v>11567</v>
      </c>
      <c r="L6097" s="335"/>
      <c r="M6097" s="336" t="s">
        <v>11158</v>
      </c>
      <c r="N6097" s="194"/>
      <c r="O6097" s="194" t="s">
        <v>11158</v>
      </c>
      <c r="P6097" s="38" t="str">
        <f t="shared" ref="P6097" si="137">IF(D6097="Datos","Truncate table "&amp; B6097&amp; ";","")</f>
        <v>Truncate table RNPE03;</v>
      </c>
      <c r="Q6097" s="194" t="s">
        <v>8144</v>
      </c>
      <c r="R6097" s="194"/>
    </row>
    <row r="6098" spans="1:22" x14ac:dyDescent="0.25">
      <c r="B6098" s="346" t="s">
        <v>11440</v>
      </c>
      <c r="C6098" s="346" t="s">
        <v>11441</v>
      </c>
      <c r="D6098" s="346" t="s">
        <v>29</v>
      </c>
      <c r="E6098" s="182" t="s">
        <v>8232</v>
      </c>
      <c r="F6098" s="183" t="s">
        <v>8227</v>
      </c>
      <c r="G6098" s="194" t="s">
        <v>35</v>
      </c>
      <c r="H6098" s="194" t="s">
        <v>12</v>
      </c>
      <c r="K6098" s="118" t="s">
        <v>10136</v>
      </c>
      <c r="L6098" s="335"/>
      <c r="M6098" s="336" t="s">
        <v>11158</v>
      </c>
      <c r="N6098" s="194"/>
      <c r="O6098" s="194" t="s">
        <v>11158</v>
      </c>
      <c r="P6098" s="38" t="str">
        <f t="shared" si="136"/>
        <v>Truncate table RNPE05;</v>
      </c>
      <c r="Q6098" s="194" t="s">
        <v>8144</v>
      </c>
      <c r="R6098" s="194"/>
    </row>
    <row r="6099" spans="1:22" x14ac:dyDescent="0.25">
      <c r="B6099" s="411" t="s">
        <v>11605</v>
      </c>
      <c r="C6099" s="346" t="s">
        <v>11606</v>
      </c>
      <c r="D6099" s="346" t="s">
        <v>29</v>
      </c>
      <c r="E6099" s="182" t="s">
        <v>8232</v>
      </c>
      <c r="F6099" s="183" t="s">
        <v>8227</v>
      </c>
      <c r="G6099" s="194" t="s">
        <v>35</v>
      </c>
      <c r="H6099" s="194" t="s">
        <v>12</v>
      </c>
      <c r="K6099" s="118"/>
      <c r="L6099" s="335"/>
      <c r="M6099" s="336" t="s">
        <v>8149</v>
      </c>
      <c r="N6099" s="194"/>
      <c r="O6099" s="194" t="s">
        <v>387</v>
      </c>
      <c r="P6099" s="38" t="str">
        <f t="shared" si="136"/>
        <v>Truncate table RNPE06;</v>
      </c>
      <c r="Q6099" s="194" t="s">
        <v>8144</v>
      </c>
      <c r="R6099" s="194"/>
    </row>
    <row r="6100" spans="1:22" s="227" customFormat="1" ht="30.75" customHeight="1" x14ac:dyDescent="0.25">
      <c r="A6100" s="388"/>
      <c r="B6100" s="222" t="s">
        <v>10126</v>
      </c>
      <c r="C6100" s="334" t="s">
        <v>10127</v>
      </c>
      <c r="D6100" s="222" t="s">
        <v>29</v>
      </c>
      <c r="E6100" s="182" t="s">
        <v>8232</v>
      </c>
      <c r="F6100" s="183" t="s">
        <v>8227</v>
      </c>
      <c r="G6100" s="182" t="s">
        <v>35</v>
      </c>
      <c r="H6100" s="182" t="s">
        <v>12</v>
      </c>
      <c r="I6100" s="182"/>
      <c r="J6100" s="410"/>
      <c r="K6100" s="182" t="s">
        <v>10136</v>
      </c>
      <c r="L6100" s="182"/>
      <c r="M6100" s="267"/>
      <c r="N6100" s="182"/>
      <c r="O6100" s="182"/>
      <c r="P6100" s="38" t="str">
        <f t="shared" si="136"/>
        <v>Truncate table RNPE07;</v>
      </c>
      <c r="Q6100" s="182" t="s">
        <v>8144</v>
      </c>
      <c r="R6100" s="182"/>
      <c r="S6100" s="388"/>
      <c r="T6100" s="388"/>
      <c r="U6100" s="388"/>
      <c r="V6100" s="388"/>
    </row>
    <row r="6101" spans="1:22" s="227" customFormat="1" ht="30.75" customHeight="1" x14ac:dyDescent="0.25">
      <c r="A6101" s="388"/>
      <c r="B6101" s="346" t="s">
        <v>11442</v>
      </c>
      <c r="C6101" s="346" t="s">
        <v>11443</v>
      </c>
      <c r="D6101" s="346" t="s">
        <v>29</v>
      </c>
      <c r="E6101" s="182" t="s">
        <v>8230</v>
      </c>
      <c r="F6101" s="183" t="s">
        <v>8221</v>
      </c>
      <c r="G6101" s="182" t="s">
        <v>35</v>
      </c>
      <c r="H6101" s="182" t="s">
        <v>12</v>
      </c>
      <c r="I6101" s="182"/>
      <c r="J6101" s="410"/>
      <c r="K6101" s="182" t="s">
        <v>10136</v>
      </c>
      <c r="L6101" s="182"/>
      <c r="M6101" s="336" t="s">
        <v>11158</v>
      </c>
      <c r="N6101" s="182"/>
      <c r="O6101" s="336" t="s">
        <v>11158</v>
      </c>
      <c r="P6101" s="38" t="str">
        <f t="shared" si="136"/>
        <v>Truncate table RNPE16;</v>
      </c>
      <c r="Q6101" s="182" t="s">
        <v>8144</v>
      </c>
      <c r="R6101" s="182"/>
      <c r="S6101" s="388"/>
      <c r="T6101" s="388"/>
      <c r="U6101" s="388"/>
      <c r="V6101" s="388"/>
    </row>
    <row r="6102" spans="1:22" x14ac:dyDescent="0.25">
      <c r="B6102" s="118" t="s">
        <v>10128</v>
      </c>
      <c r="C6102" s="118" t="s">
        <v>10131</v>
      </c>
      <c r="D6102" s="118" t="s">
        <v>8152</v>
      </c>
      <c r="E6102" s="118" t="s">
        <v>151</v>
      </c>
      <c r="F6102" s="5" t="s">
        <v>8213</v>
      </c>
      <c r="G6102" s="118" t="s">
        <v>35</v>
      </c>
      <c r="H6102" s="118" t="s">
        <v>36</v>
      </c>
      <c r="I6102" s="118"/>
      <c r="J6102" s="118"/>
      <c r="K6102" s="118" t="s">
        <v>2639</v>
      </c>
      <c r="L6102" s="118"/>
      <c r="M6102" s="236"/>
      <c r="N6102" s="118"/>
      <c r="O6102" s="118"/>
      <c r="P6102" s="38" t="str">
        <f t="shared" si="136"/>
        <v/>
      </c>
      <c r="Q6102" s="118"/>
      <c r="R6102" s="118"/>
    </row>
    <row r="6103" spans="1:22" x14ac:dyDescent="0.25">
      <c r="B6103" s="118" t="s">
        <v>1145</v>
      </c>
      <c r="C6103" s="118" t="s">
        <v>10129</v>
      </c>
      <c r="D6103" s="118" t="s">
        <v>8152</v>
      </c>
      <c r="E6103" s="118" t="s">
        <v>54</v>
      </c>
      <c r="F6103" s="118" t="s">
        <v>8241</v>
      </c>
      <c r="G6103" s="118" t="s">
        <v>35</v>
      </c>
      <c r="H6103" s="118" t="s">
        <v>12</v>
      </c>
      <c r="I6103" s="118"/>
      <c r="J6103" s="118"/>
      <c r="K6103" s="118" t="s">
        <v>10130</v>
      </c>
      <c r="L6103" s="118"/>
      <c r="M6103" s="236"/>
      <c r="N6103" s="118"/>
      <c r="O6103" s="118"/>
      <c r="P6103" s="38" t="str">
        <f t="shared" si="136"/>
        <v/>
      </c>
      <c r="Q6103" s="118"/>
      <c r="R6103" s="118"/>
    </row>
    <row r="6104" spans="1:22" x14ac:dyDescent="0.25">
      <c r="B6104" s="182" t="s">
        <v>5720</v>
      </c>
      <c r="C6104" s="118"/>
      <c r="D6104" s="118" t="s">
        <v>29</v>
      </c>
      <c r="E6104" s="118" t="s">
        <v>8232</v>
      </c>
      <c r="F6104" s="186" t="s">
        <v>8227</v>
      </c>
      <c r="G6104" s="118" t="s">
        <v>35</v>
      </c>
      <c r="H6104" s="118" t="s">
        <v>36</v>
      </c>
      <c r="I6104" s="118"/>
      <c r="J6104" s="118"/>
      <c r="K6104" s="118" t="s">
        <v>7497</v>
      </c>
      <c r="L6104" s="118"/>
      <c r="M6104" s="236"/>
      <c r="N6104" s="118"/>
      <c r="O6104" s="118"/>
      <c r="P6104" s="38" t="str">
        <f t="shared" si="136"/>
        <v>Truncate table PQT006;</v>
      </c>
      <c r="Q6104" s="118"/>
      <c r="R6104" s="118"/>
    </row>
    <row r="6105" spans="1:22" x14ac:dyDescent="0.25">
      <c r="B6105" s="118" t="s">
        <v>10132</v>
      </c>
      <c r="C6105" s="186" t="s">
        <v>10133</v>
      </c>
      <c r="D6105" s="118" t="s">
        <v>8152</v>
      </c>
      <c r="E6105" s="118" t="s">
        <v>8232</v>
      </c>
      <c r="F6105" s="186" t="s">
        <v>8227</v>
      </c>
      <c r="G6105" s="118" t="s">
        <v>35</v>
      </c>
      <c r="H6105" s="118" t="s">
        <v>12</v>
      </c>
      <c r="I6105" s="118"/>
      <c r="J6105" s="118"/>
      <c r="K6105" s="118" t="s">
        <v>9578</v>
      </c>
      <c r="L6105" s="118"/>
      <c r="M6105" s="236"/>
      <c r="N6105" s="118"/>
      <c r="O6105" s="118"/>
      <c r="P6105" s="38" t="str">
        <f t="shared" si="136"/>
        <v/>
      </c>
      <c r="Q6105" s="118"/>
      <c r="R6105" s="118"/>
    </row>
    <row r="6106" spans="1:22" x14ac:dyDescent="0.25">
      <c r="B6106" s="118" t="s">
        <v>10135</v>
      </c>
      <c r="C6106" s="118" t="s">
        <v>10134</v>
      </c>
      <c r="D6106" s="118" t="s">
        <v>8152</v>
      </c>
      <c r="E6106" s="118" t="s">
        <v>8232</v>
      </c>
      <c r="F6106" s="186" t="s">
        <v>8227</v>
      </c>
      <c r="G6106" s="118" t="s">
        <v>35</v>
      </c>
      <c r="H6106" s="118" t="s">
        <v>12</v>
      </c>
      <c r="I6106" s="118"/>
      <c r="J6106" s="118"/>
      <c r="K6106" s="118" t="s">
        <v>10136</v>
      </c>
      <c r="L6106" s="118"/>
      <c r="M6106" s="236"/>
      <c r="N6106" s="118"/>
      <c r="O6106" s="118"/>
      <c r="P6106" s="38" t="str">
        <f t="shared" si="136"/>
        <v/>
      </c>
      <c r="Q6106" s="118"/>
      <c r="R6106" s="118"/>
    </row>
    <row r="6107" spans="1:22" x14ac:dyDescent="0.25">
      <c r="B6107" s="272" t="s">
        <v>11504</v>
      </c>
      <c r="C6107" s="118"/>
      <c r="D6107" s="118" t="s">
        <v>29</v>
      </c>
      <c r="E6107" s="118" t="s">
        <v>8232</v>
      </c>
      <c r="F6107" s="186" t="s">
        <v>8227</v>
      </c>
      <c r="G6107" s="118" t="s">
        <v>35</v>
      </c>
      <c r="H6107" s="118" t="s">
        <v>12</v>
      </c>
      <c r="I6107" s="118"/>
      <c r="J6107" s="118"/>
      <c r="K6107" t="s">
        <v>10210</v>
      </c>
      <c r="L6107" s="118"/>
      <c r="M6107" s="236"/>
      <c r="N6107" s="118"/>
      <c r="O6107" s="118"/>
      <c r="P6107" s="38" t="str">
        <f t="shared" si="136"/>
        <v>Truncate table RRCOTK;</v>
      </c>
      <c r="Q6107" s="118" t="s">
        <v>8134</v>
      </c>
      <c r="R6107" s="118"/>
    </row>
    <row r="6108" spans="1:22" x14ac:dyDescent="0.25">
      <c r="A6108"/>
      <c r="B6108" s="118" t="s">
        <v>11462</v>
      </c>
      <c r="C6108" s="118" t="s">
        <v>11463</v>
      </c>
      <c r="D6108" s="118" t="s">
        <v>8152</v>
      </c>
      <c r="E6108" s="118" t="s">
        <v>54</v>
      </c>
      <c r="F6108" s="186" t="s">
        <v>8241</v>
      </c>
      <c r="G6108" s="118" t="s">
        <v>35</v>
      </c>
      <c r="H6108" s="118" t="s">
        <v>12</v>
      </c>
      <c r="I6108" s="118"/>
      <c r="J6108" s="118"/>
      <c r="K6108" s="118" t="s">
        <v>11464</v>
      </c>
      <c r="L6108" s="118"/>
      <c r="M6108" s="236" t="s">
        <v>387</v>
      </c>
      <c r="N6108" s="118"/>
      <c r="O6108" s="118"/>
      <c r="P6108" s="38" t="str">
        <f t="shared" si="136"/>
        <v/>
      </c>
      <c r="Q6108" s="118" t="s">
        <v>8134</v>
      </c>
      <c r="R6108" s="118"/>
      <c r="S6108"/>
      <c r="T6108"/>
      <c r="U6108"/>
      <c r="V6108"/>
    </row>
    <row r="6109" spans="1:22" x14ac:dyDescent="0.25">
      <c r="B6109" s="118" t="s">
        <v>10138</v>
      </c>
      <c r="C6109" s="118" t="s">
        <v>10137</v>
      </c>
      <c r="D6109" s="118" t="s">
        <v>8152</v>
      </c>
      <c r="E6109" s="118" t="s">
        <v>8232</v>
      </c>
      <c r="F6109" s="186" t="s">
        <v>8227</v>
      </c>
      <c r="G6109" s="118" t="s">
        <v>35</v>
      </c>
      <c r="H6109" s="118" t="s">
        <v>12</v>
      </c>
      <c r="I6109" s="118"/>
      <c r="J6109" s="118"/>
      <c r="K6109" s="118" t="s">
        <v>3325</v>
      </c>
      <c r="L6109" s="118"/>
      <c r="M6109" s="236"/>
      <c r="N6109" s="118"/>
      <c r="O6109" s="118"/>
      <c r="P6109" s="38" t="str">
        <f t="shared" si="136"/>
        <v/>
      </c>
      <c r="Q6109" s="118"/>
      <c r="R6109" s="118"/>
    </row>
    <row r="6110" spans="1:22" x14ac:dyDescent="0.25">
      <c r="B6110" s="118" t="s">
        <v>10139</v>
      </c>
      <c r="C6110" s="118" t="s">
        <v>10141</v>
      </c>
      <c r="D6110" s="118" t="s">
        <v>8152</v>
      </c>
      <c r="E6110" s="118" t="s">
        <v>151</v>
      </c>
      <c r="F6110" s="186" t="s">
        <v>8214</v>
      </c>
      <c r="G6110" s="118" t="s">
        <v>35</v>
      </c>
      <c r="H6110" s="118" t="s">
        <v>36</v>
      </c>
      <c r="I6110" s="118"/>
      <c r="J6110" s="118"/>
      <c r="K6110" s="118" t="s">
        <v>8529</v>
      </c>
      <c r="L6110" s="118"/>
      <c r="M6110" s="236"/>
      <c r="N6110" s="118"/>
      <c r="O6110" s="118"/>
      <c r="P6110" s="38" t="str">
        <f t="shared" si="136"/>
        <v/>
      </c>
      <c r="Q6110" s="118"/>
      <c r="R6110" s="118"/>
    </row>
    <row r="6111" spans="1:22" x14ac:dyDescent="0.25">
      <c r="B6111" s="118" t="s">
        <v>10140</v>
      </c>
      <c r="C6111" s="118" t="s">
        <v>10142</v>
      </c>
      <c r="D6111" s="118" t="s">
        <v>8152</v>
      </c>
      <c r="E6111" s="118" t="s">
        <v>151</v>
      </c>
      <c r="F6111" s="186" t="s">
        <v>8214</v>
      </c>
      <c r="G6111" s="118" t="s">
        <v>35</v>
      </c>
      <c r="H6111" s="118" t="s">
        <v>36</v>
      </c>
      <c r="I6111" s="118"/>
      <c r="J6111" s="118"/>
      <c r="K6111" s="118" t="s">
        <v>8529</v>
      </c>
      <c r="L6111" s="118"/>
      <c r="M6111" s="236"/>
      <c r="N6111" s="118"/>
      <c r="O6111" s="118"/>
      <c r="P6111" s="38" t="str">
        <f t="shared" si="136"/>
        <v/>
      </c>
      <c r="Q6111" s="118"/>
      <c r="R6111" s="118"/>
    </row>
    <row r="6112" spans="1:22" x14ac:dyDescent="0.25">
      <c r="B6112" s="118" t="s">
        <v>10143</v>
      </c>
      <c r="C6112" s="118" t="s">
        <v>10144</v>
      </c>
      <c r="D6112" s="118" t="s">
        <v>29</v>
      </c>
      <c r="E6112" s="118" t="s">
        <v>1096</v>
      </c>
      <c r="F6112" s="118" t="s">
        <v>1095</v>
      </c>
      <c r="G6112" s="118" t="s">
        <v>35</v>
      </c>
      <c r="H6112" s="118" t="s">
        <v>36</v>
      </c>
      <c r="I6112" s="118"/>
      <c r="J6112" s="118"/>
      <c r="K6112" s="118" t="s">
        <v>10145</v>
      </c>
      <c r="L6112" s="118"/>
      <c r="M6112" s="236"/>
      <c r="N6112" s="118"/>
      <c r="O6112" s="118"/>
      <c r="P6112" s="16" t="str">
        <f t="shared" si="136"/>
        <v>Truncate table DDOA80;</v>
      </c>
      <c r="Q6112" s="118"/>
      <c r="R6112" s="118"/>
    </row>
    <row r="6113" spans="1:22" x14ac:dyDescent="0.25">
      <c r="B6113" s="118" t="s">
        <v>10146</v>
      </c>
      <c r="C6113" s="118" t="s">
        <v>10148</v>
      </c>
      <c r="D6113" s="118" t="s">
        <v>29</v>
      </c>
      <c r="E6113" s="118" t="s">
        <v>1096</v>
      </c>
      <c r="F6113" s="118" t="s">
        <v>1095</v>
      </c>
      <c r="G6113" s="118" t="s">
        <v>35</v>
      </c>
      <c r="H6113" s="118" t="s">
        <v>36</v>
      </c>
      <c r="I6113" s="118"/>
      <c r="J6113" s="118"/>
      <c r="K6113" s="118" t="s">
        <v>10145</v>
      </c>
      <c r="L6113" s="118"/>
      <c r="M6113" s="236"/>
      <c r="N6113" s="118"/>
      <c r="O6113" s="118"/>
      <c r="P6113" s="16" t="str">
        <f t="shared" si="136"/>
        <v>Truncate table DDOA81;</v>
      </c>
      <c r="Q6113" s="118"/>
      <c r="R6113" s="118"/>
    </row>
    <row r="6114" spans="1:22" x14ac:dyDescent="0.25">
      <c r="B6114" s="118" t="s">
        <v>10147</v>
      </c>
      <c r="C6114" t="s">
        <v>10149</v>
      </c>
      <c r="D6114" s="118" t="s">
        <v>29</v>
      </c>
      <c r="E6114" s="118" t="s">
        <v>1096</v>
      </c>
      <c r="F6114" s="118" t="s">
        <v>1095</v>
      </c>
      <c r="G6114" s="118" t="s">
        <v>35</v>
      </c>
      <c r="H6114" s="118" t="s">
        <v>36</v>
      </c>
      <c r="I6114" s="118"/>
      <c r="J6114" s="118"/>
      <c r="K6114" s="118" t="s">
        <v>10145</v>
      </c>
      <c r="L6114" s="118"/>
      <c r="M6114" s="236"/>
      <c r="N6114" s="118"/>
      <c r="O6114" s="118"/>
      <c r="P6114" s="16" t="str">
        <f t="shared" si="136"/>
        <v>Truncate table DDOA82;</v>
      </c>
      <c r="Q6114" s="118"/>
      <c r="R6114" s="118"/>
    </row>
    <row r="6115" spans="1:22" x14ac:dyDescent="0.25">
      <c r="B6115" s="182" t="s">
        <v>10150</v>
      </c>
      <c r="C6115" s="182" t="s">
        <v>10152</v>
      </c>
      <c r="D6115" s="182" t="s">
        <v>8152</v>
      </c>
      <c r="E6115" s="182" t="s">
        <v>8232</v>
      </c>
      <c r="F6115" s="118" t="s">
        <v>10165</v>
      </c>
      <c r="G6115" s="182" t="s">
        <v>35</v>
      </c>
      <c r="H6115" s="182" t="s">
        <v>12</v>
      </c>
      <c r="I6115" s="182"/>
      <c r="J6115" s="182"/>
      <c r="K6115" s="338" t="s">
        <v>10153</v>
      </c>
      <c r="L6115" s="118"/>
      <c r="M6115" s="267" t="s">
        <v>1446</v>
      </c>
      <c r="O6115" s="118"/>
      <c r="P6115" s="38" t="str">
        <f t="shared" si="136"/>
        <v/>
      </c>
      <c r="Q6115" s="118"/>
      <c r="R6115" s="118"/>
    </row>
    <row r="6116" spans="1:22" x14ac:dyDescent="0.25">
      <c r="B6116" s="118" t="s">
        <v>10151</v>
      </c>
      <c r="C6116" s="118" t="s">
        <v>10152</v>
      </c>
      <c r="D6116" s="118" t="s">
        <v>29</v>
      </c>
      <c r="E6116" s="118" t="s">
        <v>8232</v>
      </c>
      <c r="F6116" s="118" t="s">
        <v>10165</v>
      </c>
      <c r="G6116" s="118" t="s">
        <v>35</v>
      </c>
      <c r="H6116" s="118" t="s">
        <v>12</v>
      </c>
      <c r="I6116" s="118"/>
      <c r="J6116" s="118"/>
      <c r="K6116" s="337" t="s">
        <v>10153</v>
      </c>
      <c r="L6116" s="118"/>
      <c r="M6116" s="236" t="s">
        <v>1446</v>
      </c>
      <c r="N6116" s="118"/>
      <c r="O6116" s="118"/>
      <c r="P6116" s="38" t="str">
        <f t="shared" si="136"/>
        <v>Truncate table RRCOP3;</v>
      </c>
      <c r="Q6116" s="118" t="s">
        <v>8134</v>
      </c>
      <c r="R6116" s="118"/>
    </row>
    <row r="6117" spans="1:22" x14ac:dyDescent="0.25">
      <c r="B6117" s="182" t="s">
        <v>10163</v>
      </c>
      <c r="C6117" s="341" t="s">
        <v>10164</v>
      </c>
      <c r="D6117" s="182" t="s">
        <v>29</v>
      </c>
      <c r="E6117" s="182" t="s">
        <v>8232</v>
      </c>
      <c r="F6117" s="182" t="s">
        <v>10165</v>
      </c>
      <c r="G6117" s="118" t="s">
        <v>35</v>
      </c>
      <c r="H6117" s="118" t="s">
        <v>12</v>
      </c>
      <c r="I6117" s="118"/>
      <c r="J6117" s="118"/>
      <c r="K6117" t="s">
        <v>10210</v>
      </c>
      <c r="L6117" s="118"/>
      <c r="M6117" s="236" t="s">
        <v>1446</v>
      </c>
      <c r="N6117" s="118"/>
      <c r="O6117" s="118"/>
      <c r="P6117" s="38" t="str">
        <f t="shared" si="136"/>
        <v>Truncate table RRCO07;</v>
      </c>
      <c r="Q6117" s="118" t="s">
        <v>8134</v>
      </c>
      <c r="R6117" s="118"/>
    </row>
    <row r="6118" spans="1:22" x14ac:dyDescent="0.25">
      <c r="B6118" s="118" t="s">
        <v>11505</v>
      </c>
      <c r="C6118" s="186" t="s">
        <v>11506</v>
      </c>
      <c r="D6118" s="182" t="s">
        <v>29</v>
      </c>
      <c r="E6118" s="182" t="s">
        <v>8232</v>
      </c>
      <c r="F6118" s="182" t="s">
        <v>10165</v>
      </c>
      <c r="G6118" s="118" t="s">
        <v>35</v>
      </c>
      <c r="H6118" s="118" t="s">
        <v>12</v>
      </c>
      <c r="I6118" s="118"/>
      <c r="J6118" s="118"/>
      <c r="K6118" t="s">
        <v>11464</v>
      </c>
      <c r="L6118" s="118"/>
      <c r="M6118" s="236" t="s">
        <v>1446</v>
      </c>
      <c r="N6118" s="118"/>
      <c r="O6118" s="118"/>
      <c r="P6118" s="38" t="str">
        <f t="shared" si="136"/>
        <v>Truncate table RRCO19;</v>
      </c>
      <c r="Q6118" s="118" t="s">
        <v>8134</v>
      </c>
      <c r="R6118" s="118"/>
    </row>
    <row r="6119" spans="1:22" ht="30" x14ac:dyDescent="0.25">
      <c r="B6119" s="338" t="s">
        <v>10154</v>
      </c>
      <c r="C6119" s="339" t="s">
        <v>10156</v>
      </c>
      <c r="D6119" s="182" t="s">
        <v>29</v>
      </c>
      <c r="E6119" s="182" t="s">
        <v>1096</v>
      </c>
      <c r="F6119" s="182" t="s">
        <v>184</v>
      </c>
      <c r="G6119" s="182" t="s">
        <v>35</v>
      </c>
      <c r="H6119" s="182" t="s">
        <v>12</v>
      </c>
      <c r="I6119" s="182"/>
      <c r="J6119" s="182"/>
      <c r="K6119" s="182" t="s">
        <v>10145</v>
      </c>
      <c r="L6119" s="182"/>
      <c r="M6119" s="267" t="s">
        <v>1438</v>
      </c>
      <c r="N6119" s="342" t="s">
        <v>10158</v>
      </c>
      <c r="O6119" s="118"/>
      <c r="P6119" s="38" t="str">
        <f t="shared" si="136"/>
        <v>Truncate table FPP967;</v>
      </c>
      <c r="Q6119" s="118"/>
      <c r="R6119" s="118"/>
    </row>
    <row r="6120" spans="1:22" x14ac:dyDescent="0.25">
      <c r="B6120" s="118" t="s">
        <v>10155</v>
      </c>
      <c r="C6120" s="118" t="s">
        <v>10157</v>
      </c>
      <c r="D6120" s="118" t="s">
        <v>29</v>
      </c>
      <c r="E6120" s="118" t="s">
        <v>1096</v>
      </c>
      <c r="F6120" s="118" t="s">
        <v>184</v>
      </c>
      <c r="G6120" s="118" t="s">
        <v>35</v>
      </c>
      <c r="H6120" s="118" t="s">
        <v>12</v>
      </c>
      <c r="I6120" s="118"/>
      <c r="J6120" s="118"/>
      <c r="K6120" s="118" t="s">
        <v>10145</v>
      </c>
      <c r="L6120" s="118"/>
      <c r="M6120" s="236" t="s">
        <v>1438</v>
      </c>
      <c r="N6120" s="118"/>
      <c r="O6120" s="118"/>
      <c r="P6120" s="38" t="str">
        <f t="shared" si="136"/>
        <v>Truncate table FPP968;</v>
      </c>
      <c r="Q6120" s="118"/>
      <c r="R6120" s="118"/>
    </row>
    <row r="6121" spans="1:22" ht="30" x14ac:dyDescent="0.25">
      <c r="B6121" s="222" t="s">
        <v>10159</v>
      </c>
      <c r="C6121" s="372" t="s">
        <v>10160</v>
      </c>
      <c r="D6121" s="222" t="s">
        <v>29</v>
      </c>
      <c r="E6121" s="222" t="s">
        <v>1096</v>
      </c>
      <c r="F6121" s="222" t="s">
        <v>184</v>
      </c>
      <c r="G6121" s="222" t="s">
        <v>35</v>
      </c>
      <c r="H6121" s="222" t="s">
        <v>12</v>
      </c>
      <c r="I6121" s="182"/>
      <c r="J6121" s="182"/>
      <c r="K6121" s="182" t="s">
        <v>10161</v>
      </c>
      <c r="L6121" s="182"/>
      <c r="M6121" s="267" t="s">
        <v>8144</v>
      </c>
      <c r="N6121" s="186" t="s">
        <v>10162</v>
      </c>
      <c r="O6121" s="118"/>
      <c r="P6121" s="16" t="str">
        <f t="shared" si="136"/>
        <v>Truncate table DEPE24;</v>
      </c>
      <c r="Q6121" s="118"/>
      <c r="R6121" s="118"/>
    </row>
    <row r="6122" spans="1:22" x14ac:dyDescent="0.25">
      <c r="B6122" s="118" t="s">
        <v>10171</v>
      </c>
      <c r="C6122" s="118" t="s">
        <v>10173</v>
      </c>
      <c r="D6122" s="118" t="s">
        <v>8152</v>
      </c>
      <c r="E6122" s="118" t="s">
        <v>54</v>
      </c>
      <c r="F6122" s="118" t="s">
        <v>8241</v>
      </c>
      <c r="G6122" s="182" t="s">
        <v>35</v>
      </c>
      <c r="H6122" s="182" t="s">
        <v>12</v>
      </c>
      <c r="I6122" s="118"/>
      <c r="J6122" s="284"/>
      <c r="K6122" s="118" t="s">
        <v>10175</v>
      </c>
      <c r="L6122" s="118"/>
      <c r="M6122" s="236" t="s">
        <v>1442</v>
      </c>
      <c r="N6122" s="118"/>
      <c r="O6122" s="118"/>
      <c r="P6122" s="16" t="str">
        <f t="shared" si="136"/>
        <v/>
      </c>
      <c r="Q6122" s="118"/>
      <c r="R6122" s="118"/>
    </row>
    <row r="6123" spans="1:22" x14ac:dyDescent="0.25">
      <c r="B6123" s="194" t="s">
        <v>10172</v>
      </c>
      <c r="C6123" s="194" t="s">
        <v>10174</v>
      </c>
      <c r="D6123" s="194" t="s">
        <v>29</v>
      </c>
      <c r="E6123" s="194" t="s">
        <v>54</v>
      </c>
      <c r="F6123" s="194" t="s">
        <v>8241</v>
      </c>
      <c r="G6123" s="222" t="s">
        <v>35</v>
      </c>
      <c r="H6123" s="222" t="s">
        <v>12</v>
      </c>
      <c r="K6123" s="194" t="s">
        <v>10175</v>
      </c>
      <c r="L6123" s="194"/>
      <c r="M6123" s="336" t="s">
        <v>1442</v>
      </c>
      <c r="N6123" s="335" t="s">
        <v>10176</v>
      </c>
      <c r="O6123" s="194"/>
      <c r="P6123" s="38" t="str">
        <f t="shared" si="136"/>
        <v>Truncate table DEPY41;</v>
      </c>
      <c r="Q6123" s="194"/>
      <c r="R6123" s="194"/>
    </row>
    <row r="6124" spans="1:22" x14ac:dyDescent="0.25">
      <c r="B6124" s="118"/>
      <c r="C6124" s="118"/>
      <c r="D6124" s="118"/>
      <c r="E6124" s="118"/>
      <c r="F6124" s="118"/>
      <c r="G6124" s="118"/>
      <c r="H6124" s="118"/>
      <c r="I6124" s="118"/>
      <c r="J6124" s="118"/>
      <c r="K6124" s="118"/>
      <c r="L6124" s="118"/>
      <c r="M6124" s="236"/>
      <c r="N6124" s="118"/>
      <c r="O6124" s="118"/>
      <c r="P6124" s="16" t="str">
        <f t="shared" si="136"/>
        <v/>
      </c>
      <c r="Q6124" s="118"/>
      <c r="R6124" s="118"/>
    </row>
    <row r="6125" spans="1:22" x14ac:dyDescent="0.25">
      <c r="B6125" s="346" t="s">
        <v>10177</v>
      </c>
      <c r="C6125" s="347" t="s">
        <v>10194</v>
      </c>
      <c r="D6125" s="347" t="s">
        <v>29</v>
      </c>
      <c r="E6125" s="118" t="s">
        <v>1096</v>
      </c>
      <c r="F6125" s="118" t="s">
        <v>184</v>
      </c>
      <c r="G6125" s="118" t="s">
        <v>35</v>
      </c>
      <c r="H6125" s="118" t="s">
        <v>36</v>
      </c>
      <c r="I6125" s="118"/>
      <c r="J6125" s="118"/>
      <c r="K6125" s="346" t="s">
        <v>10207</v>
      </c>
      <c r="L6125" s="118"/>
      <c r="M6125" s="236"/>
      <c r="N6125" s="118"/>
      <c r="O6125" s="118"/>
      <c r="P6125" s="16" t="str">
        <f t="shared" si="136"/>
        <v>Truncate table FPP280;</v>
      </c>
      <c r="Q6125" s="118"/>
      <c r="R6125" s="118"/>
    </row>
    <row r="6126" spans="1:22" x14ac:dyDescent="0.25">
      <c r="B6126" s="346" t="s">
        <v>10178</v>
      </c>
      <c r="C6126" s="347" t="s">
        <v>10195</v>
      </c>
      <c r="D6126" s="347" t="s">
        <v>10206</v>
      </c>
      <c r="E6126" s="118" t="s">
        <v>1096</v>
      </c>
      <c r="F6126" s="118" t="s">
        <v>184</v>
      </c>
      <c r="G6126" s="118" t="s">
        <v>35</v>
      </c>
      <c r="H6126" s="118" t="s">
        <v>36</v>
      </c>
      <c r="I6126" s="118"/>
      <c r="J6126" s="118"/>
      <c r="K6126" s="346" t="s">
        <v>10207</v>
      </c>
      <c r="L6126" s="118"/>
      <c r="M6126" s="236"/>
      <c r="N6126" s="118"/>
      <c r="O6126" s="118"/>
      <c r="P6126" s="16" t="str">
        <f t="shared" si="136"/>
        <v/>
      </c>
      <c r="Q6126" s="118"/>
      <c r="R6126" s="118"/>
    </row>
    <row r="6127" spans="1:22" x14ac:dyDescent="0.25">
      <c r="B6127" s="346" t="s">
        <v>10179</v>
      </c>
      <c r="C6127" s="348" t="s">
        <v>10196</v>
      </c>
      <c r="D6127" s="347" t="s">
        <v>29</v>
      </c>
      <c r="E6127" s="118" t="s">
        <v>1096</v>
      </c>
      <c r="F6127" s="118" t="s">
        <v>184</v>
      </c>
      <c r="G6127" s="118" t="s">
        <v>35</v>
      </c>
      <c r="H6127" s="118" t="s">
        <v>36</v>
      </c>
      <c r="I6127" s="118"/>
      <c r="J6127" s="118"/>
      <c r="K6127" s="346" t="s">
        <v>10207</v>
      </c>
      <c r="L6127" s="118"/>
      <c r="M6127" s="236"/>
      <c r="N6127" s="118"/>
      <c r="O6127" s="118"/>
      <c r="P6127" s="16" t="str">
        <f t="shared" si="136"/>
        <v>Truncate table FPP283;</v>
      </c>
      <c r="Q6127" s="118"/>
      <c r="R6127" s="118"/>
    </row>
    <row r="6128" spans="1:22" s="104" customFormat="1" x14ac:dyDescent="0.25">
      <c r="A6128" s="96"/>
      <c r="B6128" s="346" t="s">
        <v>10180</v>
      </c>
      <c r="C6128" s="349" t="s">
        <v>10208</v>
      </c>
      <c r="D6128" s="346" t="s">
        <v>29</v>
      </c>
      <c r="E6128" s="187" t="s">
        <v>8232</v>
      </c>
      <c r="F6128" s="184" t="s">
        <v>8227</v>
      </c>
      <c r="G6128" s="187" t="s">
        <v>35</v>
      </c>
      <c r="H6128" s="187" t="s">
        <v>12</v>
      </c>
      <c r="I6128" s="187"/>
      <c r="J6128" s="187"/>
      <c r="K6128" s="352" t="s">
        <v>10209</v>
      </c>
      <c r="L6128" s="187"/>
      <c r="M6128" s="351" t="s">
        <v>8141</v>
      </c>
      <c r="N6128" s="349" t="s">
        <v>10197</v>
      </c>
      <c r="O6128" s="187"/>
      <c r="P6128" s="16" t="str">
        <f t="shared" si="136"/>
        <v>Truncate table RRPN07;</v>
      </c>
      <c r="Q6128" s="187" t="s">
        <v>8141</v>
      </c>
      <c r="R6128" s="187"/>
      <c r="S6128" s="96"/>
      <c r="T6128" s="96"/>
      <c r="U6128" s="96"/>
      <c r="V6128" s="96"/>
    </row>
    <row r="6129" spans="2:18" x14ac:dyDescent="0.25">
      <c r="B6129" s="346" t="s">
        <v>10181</v>
      </c>
      <c r="C6129" s="353" t="s">
        <v>10198</v>
      </c>
      <c r="D6129" s="347" t="s">
        <v>29</v>
      </c>
      <c r="E6129" s="187" t="s">
        <v>8232</v>
      </c>
      <c r="F6129" s="184" t="s">
        <v>8227</v>
      </c>
      <c r="G6129" s="187" t="s">
        <v>35</v>
      </c>
      <c r="H6129" s="187" t="s">
        <v>12</v>
      </c>
      <c r="I6129" s="118"/>
      <c r="J6129" s="118"/>
      <c r="K6129" s="352" t="s">
        <v>10210</v>
      </c>
      <c r="L6129" s="118"/>
      <c r="M6129" s="351" t="s">
        <v>8141</v>
      </c>
      <c r="N6129" s="118"/>
      <c r="O6129" s="118"/>
      <c r="P6129" s="16" t="str">
        <f t="shared" si="136"/>
        <v>Truncate table RRPNTK;</v>
      </c>
      <c r="Q6129" s="118" t="s">
        <v>8141</v>
      </c>
      <c r="R6129" s="118"/>
    </row>
    <row r="6130" spans="2:18" x14ac:dyDescent="0.25">
      <c r="B6130" s="346" t="s">
        <v>11453</v>
      </c>
      <c r="C6130" s="406" t="s">
        <v>11454</v>
      </c>
      <c r="D6130" s="347" t="s">
        <v>29</v>
      </c>
      <c r="E6130" s="187" t="s">
        <v>8232</v>
      </c>
      <c r="F6130" s="184" t="s">
        <v>8227</v>
      </c>
      <c r="G6130" s="187" t="s">
        <v>35</v>
      </c>
      <c r="H6130" s="187" t="s">
        <v>12</v>
      </c>
      <c r="I6130" s="118"/>
      <c r="J6130" s="118"/>
      <c r="K6130" t="s">
        <v>11455</v>
      </c>
      <c r="L6130" s="118"/>
      <c r="M6130" s="351" t="s">
        <v>8141</v>
      </c>
      <c r="N6130" s="118"/>
      <c r="O6130" s="118" t="s">
        <v>387</v>
      </c>
      <c r="P6130" s="16" t="str">
        <f t="shared" si="136"/>
        <v>Truncate table RRPNT9;</v>
      </c>
      <c r="Q6130" s="118" t="s">
        <v>8141</v>
      </c>
      <c r="R6130" s="118"/>
    </row>
    <row r="6131" spans="2:18" x14ac:dyDescent="0.25">
      <c r="B6131" s="346" t="s">
        <v>10182</v>
      </c>
      <c r="C6131" s="346" t="s">
        <v>10199</v>
      </c>
      <c r="D6131" s="346" t="s">
        <v>29</v>
      </c>
      <c r="E6131" s="187" t="s">
        <v>8232</v>
      </c>
      <c r="F6131" s="184" t="s">
        <v>8227</v>
      </c>
      <c r="G6131" s="182" t="s">
        <v>35</v>
      </c>
      <c r="H6131" s="187" t="s">
        <v>12</v>
      </c>
      <c r="I6131" s="182"/>
      <c r="J6131" s="182"/>
      <c r="K6131" s="352" t="s">
        <v>10175</v>
      </c>
      <c r="L6131" s="118"/>
      <c r="M6131" s="236"/>
      <c r="N6131" s="118"/>
      <c r="O6131" s="118"/>
      <c r="P6131" s="16" t="str">
        <f t="shared" si="136"/>
        <v>Truncate table FBC7B5;</v>
      </c>
      <c r="Q6131" s="118" t="s">
        <v>8144</v>
      </c>
      <c r="R6131" s="118"/>
    </row>
    <row r="6132" spans="2:18" x14ac:dyDescent="0.25">
      <c r="B6132" s="118" t="s">
        <v>11585</v>
      </c>
      <c r="C6132" s="118" t="s">
        <v>11586</v>
      </c>
      <c r="D6132" s="118" t="s">
        <v>29</v>
      </c>
      <c r="E6132" s="187" t="s">
        <v>8232</v>
      </c>
      <c r="F6132" s="184" t="s">
        <v>8227</v>
      </c>
      <c r="G6132" s="182" t="s">
        <v>35</v>
      </c>
      <c r="H6132" s="187" t="s">
        <v>36</v>
      </c>
      <c r="I6132" s="182"/>
      <c r="J6132" s="182"/>
      <c r="K6132" t="s">
        <v>11464</v>
      </c>
      <c r="L6132" s="118"/>
      <c r="M6132" s="236"/>
      <c r="N6132" s="118"/>
      <c r="O6132" s="118"/>
      <c r="P6132" s="16" t="str">
        <f t="shared" si="136"/>
        <v>Truncate table RRPAR4;</v>
      </c>
      <c r="Q6132" s="118"/>
      <c r="R6132" s="118"/>
    </row>
    <row r="6133" spans="2:18" x14ac:dyDescent="0.25">
      <c r="B6133" s="118" t="s">
        <v>11587</v>
      </c>
      <c r="C6133" s="118" t="s">
        <v>11588</v>
      </c>
      <c r="D6133" s="118" t="s">
        <v>29</v>
      </c>
      <c r="E6133" s="187" t="s">
        <v>8232</v>
      </c>
      <c r="F6133" s="184" t="s">
        <v>8227</v>
      </c>
      <c r="G6133" s="182" t="s">
        <v>35</v>
      </c>
      <c r="H6133" s="187" t="s">
        <v>36</v>
      </c>
      <c r="I6133" s="182"/>
      <c r="J6133" s="182"/>
      <c r="K6133" t="s">
        <v>11464</v>
      </c>
      <c r="L6133" s="118"/>
      <c r="M6133" s="236"/>
      <c r="N6133" s="118"/>
      <c r="O6133" s="118"/>
      <c r="P6133" s="16" t="str">
        <f t="shared" si="136"/>
        <v>Truncate table RRPAR3;</v>
      </c>
      <c r="Q6133" s="118"/>
      <c r="R6133" s="118"/>
    </row>
    <row r="6134" spans="2:18" x14ac:dyDescent="0.25">
      <c r="B6134" s="118" t="s">
        <v>11468</v>
      </c>
      <c r="C6134" s="118" t="s">
        <v>11473</v>
      </c>
      <c r="D6134" s="346" t="s">
        <v>29</v>
      </c>
      <c r="E6134" s="187" t="s">
        <v>8232</v>
      </c>
      <c r="F6134" s="184" t="s">
        <v>8227</v>
      </c>
      <c r="G6134" s="182" t="s">
        <v>35</v>
      </c>
      <c r="H6134" s="187" t="s">
        <v>12</v>
      </c>
      <c r="I6134" s="182"/>
      <c r="J6134" s="182"/>
      <c r="K6134" s="118" t="s">
        <v>10211</v>
      </c>
      <c r="L6134" s="118"/>
      <c r="M6134" s="267" t="s">
        <v>8144</v>
      </c>
      <c r="N6134" s="118"/>
      <c r="O6134" s="118"/>
      <c r="P6134" s="16" t="str">
        <f t="shared" si="136"/>
        <v>Truncate table RRPE02;</v>
      </c>
      <c r="Q6134" s="118" t="s">
        <v>8144</v>
      </c>
      <c r="R6134" s="118"/>
    </row>
    <row r="6135" spans="2:18" x14ac:dyDescent="0.25">
      <c r="B6135" s="118" t="s">
        <v>11469</v>
      </c>
      <c r="C6135" s="118" t="s">
        <v>11474</v>
      </c>
      <c r="D6135" s="346" t="s">
        <v>29</v>
      </c>
      <c r="E6135" s="187" t="s">
        <v>8232</v>
      </c>
      <c r="F6135" s="184" t="s">
        <v>8227</v>
      </c>
      <c r="G6135" s="182" t="s">
        <v>35</v>
      </c>
      <c r="H6135" s="187" t="s">
        <v>12</v>
      </c>
      <c r="I6135" s="182"/>
      <c r="J6135" s="182"/>
      <c r="K6135" s="118" t="s">
        <v>10211</v>
      </c>
      <c r="L6135" s="118"/>
      <c r="M6135" s="267" t="s">
        <v>8144</v>
      </c>
      <c r="N6135" s="118"/>
      <c r="O6135" s="118"/>
      <c r="P6135" s="16" t="str">
        <f t="shared" si="136"/>
        <v>Truncate table RRPE03;</v>
      </c>
      <c r="Q6135" s="118" t="s">
        <v>8144</v>
      </c>
      <c r="R6135" s="118"/>
    </row>
    <row r="6136" spans="2:18" x14ac:dyDescent="0.25">
      <c r="B6136" s="118" t="s">
        <v>11470</v>
      </c>
      <c r="C6136" s="118" t="s">
        <v>11475</v>
      </c>
      <c r="D6136" s="346" t="s">
        <v>29</v>
      </c>
      <c r="E6136" s="187" t="s">
        <v>8232</v>
      </c>
      <c r="F6136" s="184" t="s">
        <v>8227</v>
      </c>
      <c r="G6136" s="182" t="s">
        <v>35</v>
      </c>
      <c r="H6136" s="187" t="s">
        <v>12</v>
      </c>
      <c r="I6136" s="182"/>
      <c r="J6136" s="182"/>
      <c r="K6136" s="118" t="s">
        <v>10211</v>
      </c>
      <c r="L6136" s="118"/>
      <c r="M6136" s="267" t="s">
        <v>8144</v>
      </c>
      <c r="N6136" s="118"/>
      <c r="O6136" s="118"/>
      <c r="P6136" s="16" t="str">
        <f t="shared" si="136"/>
        <v>Truncate table RRPE04;</v>
      </c>
      <c r="Q6136" s="118" t="s">
        <v>8144</v>
      </c>
      <c r="R6136" s="118"/>
    </row>
    <row r="6137" spans="2:18" x14ac:dyDescent="0.25">
      <c r="B6137" s="118" t="s">
        <v>11471</v>
      </c>
      <c r="C6137" s="118" t="s">
        <v>11476</v>
      </c>
      <c r="D6137" s="346" t="s">
        <v>29</v>
      </c>
      <c r="E6137" s="187" t="s">
        <v>8232</v>
      </c>
      <c r="F6137" s="184" t="s">
        <v>8227</v>
      </c>
      <c r="G6137" s="182" t="s">
        <v>35</v>
      </c>
      <c r="H6137" s="187" t="s">
        <v>12</v>
      </c>
      <c r="I6137" s="182"/>
      <c r="J6137" s="182"/>
      <c r="K6137" s="118" t="s">
        <v>10211</v>
      </c>
      <c r="L6137" s="118"/>
      <c r="M6137" s="267" t="s">
        <v>8144</v>
      </c>
      <c r="N6137" s="118"/>
      <c r="O6137" s="118"/>
      <c r="P6137" s="16" t="str">
        <f t="shared" si="136"/>
        <v>Truncate table RRPE05;</v>
      </c>
      <c r="Q6137" s="118" t="s">
        <v>8144</v>
      </c>
      <c r="R6137" s="118"/>
    </row>
    <row r="6138" spans="2:18" x14ac:dyDescent="0.25">
      <c r="B6138" s="118" t="s">
        <v>11472</v>
      </c>
      <c r="C6138" s="118" t="s">
        <v>11477</v>
      </c>
      <c r="D6138" s="346" t="s">
        <v>29</v>
      </c>
      <c r="E6138" s="187" t="s">
        <v>8232</v>
      </c>
      <c r="F6138" s="184" t="s">
        <v>8227</v>
      </c>
      <c r="G6138" s="182" t="s">
        <v>35</v>
      </c>
      <c r="H6138" s="187" t="s">
        <v>12</v>
      </c>
      <c r="I6138" s="182"/>
      <c r="J6138" s="182"/>
      <c r="K6138" s="118" t="s">
        <v>10211</v>
      </c>
      <c r="L6138" s="118"/>
      <c r="M6138" s="267" t="s">
        <v>8144</v>
      </c>
      <c r="N6138" s="118"/>
      <c r="O6138" s="118"/>
      <c r="P6138" s="16" t="str">
        <f t="shared" si="136"/>
        <v>Truncate table RRPE06;</v>
      </c>
      <c r="Q6138" s="118" t="s">
        <v>8144</v>
      </c>
      <c r="R6138" s="118"/>
    </row>
    <row r="6139" spans="2:18" x14ac:dyDescent="0.25">
      <c r="B6139" s="346" t="s">
        <v>10183</v>
      </c>
      <c r="C6139" s="353" t="s">
        <v>10212</v>
      </c>
      <c r="D6139" s="353" t="s">
        <v>29</v>
      </c>
      <c r="E6139" s="187" t="s">
        <v>8232</v>
      </c>
      <c r="F6139" s="184" t="s">
        <v>8227</v>
      </c>
      <c r="G6139" s="182" t="s">
        <v>35</v>
      </c>
      <c r="H6139" s="182" t="s">
        <v>12</v>
      </c>
      <c r="I6139" s="182"/>
      <c r="J6139" s="182"/>
      <c r="K6139" s="352" t="s">
        <v>10211</v>
      </c>
      <c r="L6139" s="182"/>
      <c r="M6139" s="267" t="s">
        <v>8144</v>
      </c>
      <c r="N6139" s="355" t="s">
        <v>10213</v>
      </c>
      <c r="O6139" s="118"/>
      <c r="P6139" s="50" t="str">
        <f t="shared" si="136"/>
        <v>Truncate table RRPE07;</v>
      </c>
      <c r="Q6139" s="118" t="s">
        <v>8144</v>
      </c>
      <c r="R6139" s="118"/>
    </row>
    <row r="6140" spans="2:18" x14ac:dyDescent="0.25">
      <c r="B6140" s="118" t="s">
        <v>11480</v>
      </c>
      <c r="C6140" s="118" t="s">
        <v>11481</v>
      </c>
      <c r="D6140" s="353" t="s">
        <v>29</v>
      </c>
      <c r="E6140" s="187" t="s">
        <v>8232</v>
      </c>
      <c r="F6140" s="184" t="s">
        <v>8227</v>
      </c>
      <c r="G6140" s="182" t="s">
        <v>35</v>
      </c>
      <c r="H6140" s="182" t="s">
        <v>12</v>
      </c>
      <c r="I6140" s="182"/>
      <c r="J6140" s="182"/>
      <c r="K6140" s="352" t="s">
        <v>10211</v>
      </c>
      <c r="L6140" s="182"/>
      <c r="M6140" s="267" t="s">
        <v>8144</v>
      </c>
      <c r="N6140" s="355" t="s">
        <v>10213</v>
      </c>
      <c r="O6140" s="118"/>
      <c r="P6140" s="50" t="str">
        <f t="shared" ref="P6140" si="138">IF(D6140="Datos","Truncate table "&amp; B6140&amp; ";","")</f>
        <v>Truncate table RRPE08;</v>
      </c>
      <c r="Q6140" s="118" t="s">
        <v>8144</v>
      </c>
      <c r="R6140" s="118"/>
    </row>
    <row r="6141" spans="2:18" x14ac:dyDescent="0.25">
      <c r="B6141" s="118" t="s">
        <v>11520</v>
      </c>
      <c r="C6141" s="118" t="s">
        <v>11521</v>
      </c>
      <c r="D6141" s="118" t="s">
        <v>29</v>
      </c>
      <c r="E6141" s="187" t="s">
        <v>8232</v>
      </c>
      <c r="F6141" s="184" t="s">
        <v>8227</v>
      </c>
      <c r="G6141" s="182" t="s">
        <v>35</v>
      </c>
      <c r="H6141" s="182" t="s">
        <v>12</v>
      </c>
      <c r="I6141" s="182"/>
      <c r="J6141" s="182"/>
      <c r="K6141" s="352" t="s">
        <v>10211</v>
      </c>
      <c r="L6141" s="182"/>
      <c r="M6141" s="267" t="s">
        <v>8144</v>
      </c>
      <c r="N6141" s="355" t="s">
        <v>10213</v>
      </c>
      <c r="O6141" s="118"/>
      <c r="P6141" s="50" t="str">
        <f t="shared" ref="P6141" si="139">IF(D6141="Datos","Truncate table "&amp; B6141&amp; ";","")</f>
        <v>Truncate table RRPE09;</v>
      </c>
      <c r="Q6141" s="118" t="s">
        <v>8144</v>
      </c>
      <c r="R6141" s="118"/>
    </row>
    <row r="6142" spans="2:18" x14ac:dyDescent="0.25">
      <c r="B6142" s="118" t="s">
        <v>11478</v>
      </c>
      <c r="C6142" s="118" t="s">
        <v>11479</v>
      </c>
      <c r="D6142" s="353" t="s">
        <v>29</v>
      </c>
      <c r="E6142" s="187" t="s">
        <v>8232</v>
      </c>
      <c r="F6142" s="184" t="s">
        <v>8227</v>
      </c>
      <c r="G6142" s="182" t="s">
        <v>35</v>
      </c>
      <c r="H6142" s="182" t="s">
        <v>12</v>
      </c>
      <c r="I6142" s="182"/>
      <c r="J6142" s="182"/>
      <c r="K6142" s="352" t="s">
        <v>10211</v>
      </c>
      <c r="L6142" s="182"/>
      <c r="M6142" s="267" t="s">
        <v>8144</v>
      </c>
      <c r="N6142" s="355" t="s">
        <v>10213</v>
      </c>
      <c r="O6142" s="118"/>
      <c r="P6142" s="50" t="str">
        <f t="shared" si="136"/>
        <v>Truncate table RRPE13;</v>
      </c>
      <c r="Q6142" s="118" t="s">
        <v>8144</v>
      </c>
      <c r="R6142" s="118"/>
    </row>
    <row r="6143" spans="2:18" x14ac:dyDescent="0.25">
      <c r="B6143" s="118" t="s">
        <v>11591</v>
      </c>
      <c r="C6143" s="118" t="s">
        <v>11592</v>
      </c>
      <c r="D6143" s="118" t="s">
        <v>29</v>
      </c>
      <c r="E6143" s="187" t="s">
        <v>8232</v>
      </c>
      <c r="F6143" s="184" t="s">
        <v>8227</v>
      </c>
      <c r="G6143" s="182" t="s">
        <v>35</v>
      </c>
      <c r="H6143" s="182" t="s">
        <v>12</v>
      </c>
      <c r="I6143" s="182"/>
      <c r="J6143" s="182"/>
      <c r="K6143" s="118" t="s">
        <v>10153</v>
      </c>
      <c r="L6143" s="182"/>
      <c r="M6143" s="267" t="s">
        <v>1446</v>
      </c>
      <c r="N6143" s="355"/>
      <c r="O6143" s="118"/>
      <c r="P6143" s="50" t="str">
        <f t="shared" si="136"/>
        <v>Truncate table RRCO11;</v>
      </c>
      <c r="Q6143" s="118" t="s">
        <v>8134</v>
      </c>
      <c r="R6143" s="118"/>
    </row>
    <row r="6144" spans="2:18" x14ac:dyDescent="0.25">
      <c r="B6144" s="118" t="s">
        <v>11593</v>
      </c>
      <c r="C6144" s="118" t="s">
        <v>11594</v>
      </c>
      <c r="D6144" s="118" t="s">
        <v>29</v>
      </c>
      <c r="E6144" s="187" t="s">
        <v>8232</v>
      </c>
      <c r="F6144" s="184" t="s">
        <v>8227</v>
      </c>
      <c r="G6144" s="182" t="s">
        <v>35</v>
      </c>
      <c r="H6144" s="182" t="s">
        <v>12</v>
      </c>
      <c r="I6144" s="182"/>
      <c r="J6144" s="182"/>
      <c r="K6144" s="118" t="s">
        <v>10153</v>
      </c>
      <c r="L6144" s="182"/>
      <c r="M6144" s="267" t="s">
        <v>1446</v>
      </c>
      <c r="N6144" s="355"/>
      <c r="O6144" s="118"/>
      <c r="P6144" s="50" t="str">
        <f t="shared" si="136"/>
        <v>Truncate table RRCO10;</v>
      </c>
      <c r="Q6144" s="118" t="s">
        <v>8134</v>
      </c>
      <c r="R6144" s="118"/>
    </row>
    <row r="6145" spans="2:18" x14ac:dyDescent="0.25">
      <c r="B6145" s="346" t="s">
        <v>10184</v>
      </c>
      <c r="C6145" s="347" t="s">
        <v>10214</v>
      </c>
      <c r="D6145" s="347" t="s">
        <v>29</v>
      </c>
      <c r="E6145" s="187" t="s">
        <v>8232</v>
      </c>
      <c r="F6145" s="184" t="s">
        <v>8227</v>
      </c>
      <c r="G6145" s="182" t="s">
        <v>35</v>
      </c>
      <c r="H6145" s="118" t="s">
        <v>12</v>
      </c>
      <c r="I6145" s="118"/>
      <c r="J6145" s="118"/>
      <c r="K6145" s="350" t="s">
        <v>10211</v>
      </c>
      <c r="L6145" s="118"/>
      <c r="M6145" s="236" t="s">
        <v>8144</v>
      </c>
      <c r="N6145" s="355" t="s">
        <v>10213</v>
      </c>
      <c r="O6145" s="118"/>
      <c r="P6145" s="16" t="str">
        <f t="shared" si="136"/>
        <v>Truncate table RRPE15;</v>
      </c>
      <c r="Q6145" s="118" t="s">
        <v>8144</v>
      </c>
      <c r="R6145" s="118"/>
    </row>
    <row r="6146" spans="2:18" x14ac:dyDescent="0.25">
      <c r="B6146" s="346" t="s">
        <v>10185</v>
      </c>
      <c r="C6146" s="347" t="s">
        <v>10215</v>
      </c>
      <c r="D6146" s="347" t="s">
        <v>29</v>
      </c>
      <c r="E6146" s="187" t="s">
        <v>8232</v>
      </c>
      <c r="F6146" s="184" t="s">
        <v>8227</v>
      </c>
      <c r="G6146" s="182" t="s">
        <v>35</v>
      </c>
      <c r="H6146" s="118" t="s">
        <v>12</v>
      </c>
      <c r="I6146" s="118"/>
      <c r="J6146" s="118"/>
      <c r="K6146" s="350" t="s">
        <v>10211</v>
      </c>
      <c r="L6146" s="118"/>
      <c r="M6146" s="236" t="s">
        <v>8144</v>
      </c>
      <c r="N6146" s="355" t="s">
        <v>10213</v>
      </c>
      <c r="O6146" s="118"/>
      <c r="P6146" s="16" t="str">
        <f t="shared" si="136"/>
        <v>Truncate table RRPE16;</v>
      </c>
      <c r="Q6146" s="118" t="s">
        <v>8144</v>
      </c>
      <c r="R6146" s="118"/>
    </row>
    <row r="6147" spans="2:18" x14ac:dyDescent="0.25">
      <c r="B6147" s="118" t="s">
        <v>11509</v>
      </c>
      <c r="C6147" s="118" t="s">
        <v>11510</v>
      </c>
      <c r="D6147" s="347" t="s">
        <v>29</v>
      </c>
      <c r="E6147" s="187" t="s">
        <v>8232</v>
      </c>
      <c r="F6147" s="184" t="s">
        <v>8227</v>
      </c>
      <c r="G6147" s="182" t="s">
        <v>35</v>
      </c>
      <c r="H6147" s="118" t="s">
        <v>12</v>
      </c>
      <c r="I6147" s="118"/>
      <c r="J6147" s="118"/>
      <c r="K6147" t="s">
        <v>9578</v>
      </c>
      <c r="L6147" s="118"/>
      <c r="M6147" s="236" t="s">
        <v>8144</v>
      </c>
      <c r="N6147" s="355" t="s">
        <v>10213</v>
      </c>
      <c r="O6147" s="118"/>
      <c r="P6147" s="16" t="str">
        <f t="shared" ref="P6147" si="140">IF(D6147="Datos","Truncate table "&amp; B6147&amp; ";","")</f>
        <v>Truncate table RRPE17;</v>
      </c>
      <c r="Q6147" s="118" t="s">
        <v>8144</v>
      </c>
      <c r="R6147" s="118"/>
    </row>
    <row r="6148" spans="2:18" x14ac:dyDescent="0.25">
      <c r="B6148" s="118" t="s">
        <v>11502</v>
      </c>
      <c r="C6148" s="118" t="s">
        <v>11503</v>
      </c>
      <c r="D6148" s="347" t="s">
        <v>29</v>
      </c>
      <c r="E6148" s="187" t="s">
        <v>8232</v>
      </c>
      <c r="F6148" s="184" t="s">
        <v>8227</v>
      </c>
      <c r="G6148" s="182" t="s">
        <v>35</v>
      </c>
      <c r="H6148" s="118" t="s">
        <v>12</v>
      </c>
      <c r="I6148" s="118"/>
      <c r="J6148" s="118"/>
      <c r="K6148" s="350" t="s">
        <v>10211</v>
      </c>
      <c r="L6148" s="118"/>
      <c r="M6148" s="236" t="s">
        <v>8144</v>
      </c>
      <c r="N6148" s="355" t="s">
        <v>10213</v>
      </c>
      <c r="O6148" s="118"/>
      <c r="P6148" s="16" t="str">
        <f t="shared" ref="P6148" si="141">IF(D6148="Datos","Truncate table "&amp; B6148&amp; ";","")</f>
        <v>Truncate table RRPE18;</v>
      </c>
      <c r="Q6148" s="118" t="s">
        <v>8144</v>
      </c>
      <c r="R6148" s="118"/>
    </row>
    <row r="6149" spans="2:18" x14ac:dyDescent="0.25">
      <c r="B6149" s="118" t="s">
        <v>11589</v>
      </c>
      <c r="C6149" s="118" t="s">
        <v>11590</v>
      </c>
      <c r="D6149" s="118" t="s">
        <v>29</v>
      </c>
      <c r="E6149" s="187" t="s">
        <v>8232</v>
      </c>
      <c r="F6149" s="184" t="s">
        <v>8227</v>
      </c>
      <c r="G6149" s="182" t="s">
        <v>35</v>
      </c>
      <c r="H6149" s="118" t="s">
        <v>12</v>
      </c>
      <c r="I6149" s="118"/>
      <c r="J6149" s="118"/>
      <c r="K6149" s="350" t="s">
        <v>10211</v>
      </c>
      <c r="L6149" s="118"/>
      <c r="M6149" s="236" t="s">
        <v>8144</v>
      </c>
      <c r="N6149" s="355" t="s">
        <v>10213</v>
      </c>
      <c r="O6149" s="118"/>
      <c r="P6149" s="16" t="str">
        <f t="shared" ref="P6149" si="142">IF(D6149="Datos","Truncate table "&amp; B6149&amp; ";","")</f>
        <v>Truncate table RRPE20;</v>
      </c>
      <c r="Q6149" s="118" t="s">
        <v>8144</v>
      </c>
      <c r="R6149" s="118"/>
    </row>
    <row r="6150" spans="2:18" x14ac:dyDescent="0.25">
      <c r="B6150" s="346" t="s">
        <v>11444</v>
      </c>
      <c r="C6150" s="346" t="s">
        <v>11445</v>
      </c>
      <c r="D6150" s="346" t="s">
        <v>10206</v>
      </c>
      <c r="E6150" s="187" t="s">
        <v>8232</v>
      </c>
      <c r="F6150" s="184" t="s">
        <v>8227</v>
      </c>
      <c r="G6150" s="182" t="s">
        <v>35</v>
      </c>
      <c r="H6150" s="118" t="s">
        <v>12</v>
      </c>
      <c r="I6150" s="118"/>
      <c r="J6150" s="118"/>
      <c r="K6150" t="s">
        <v>11446</v>
      </c>
      <c r="L6150" s="118"/>
      <c r="M6150" s="236" t="s">
        <v>8144</v>
      </c>
      <c r="N6150" s="355"/>
      <c r="O6150" s="118"/>
      <c r="P6150" s="16" t="str">
        <f t="shared" ref="P6150" si="143">IF(D6150="Datos","Truncate table "&amp; B6150&amp; ";","")</f>
        <v/>
      </c>
      <c r="Q6150" s="118" t="s">
        <v>8144</v>
      </c>
      <c r="R6150" s="118"/>
    </row>
    <row r="6151" spans="2:18" x14ac:dyDescent="0.25">
      <c r="B6151" s="346" t="s">
        <v>10186</v>
      </c>
      <c r="C6151" s="347" t="s">
        <v>10200</v>
      </c>
      <c r="D6151" s="347" t="s">
        <v>29</v>
      </c>
      <c r="E6151" s="187" t="s">
        <v>8232</v>
      </c>
      <c r="F6151" s="184" t="s">
        <v>8227</v>
      </c>
      <c r="G6151" s="182" t="s">
        <v>35</v>
      </c>
      <c r="H6151" s="118" t="s">
        <v>12</v>
      </c>
      <c r="I6151" s="118"/>
      <c r="J6151" s="118"/>
      <c r="K6151" s="350" t="s">
        <v>10210</v>
      </c>
      <c r="L6151" s="118"/>
      <c r="M6151" s="236" t="s">
        <v>8141</v>
      </c>
      <c r="N6151" s="118"/>
      <c r="O6151" s="118"/>
      <c r="P6151" s="16" t="str">
        <f t="shared" si="136"/>
        <v>Truncate table RRPNTH;</v>
      </c>
      <c r="Q6151" s="118" t="s">
        <v>8141</v>
      </c>
      <c r="R6151" s="118"/>
    </row>
    <row r="6152" spans="2:18" x14ac:dyDescent="0.25">
      <c r="B6152" s="346" t="s">
        <v>10187</v>
      </c>
      <c r="C6152" s="347" t="s">
        <v>10201</v>
      </c>
      <c r="D6152" s="347" t="s">
        <v>29</v>
      </c>
      <c r="E6152" s="187" t="s">
        <v>8232</v>
      </c>
      <c r="F6152" s="184" t="s">
        <v>8227</v>
      </c>
      <c r="G6152" s="182" t="s">
        <v>35</v>
      </c>
      <c r="H6152" s="118" t="s">
        <v>12</v>
      </c>
      <c r="I6152" s="118"/>
      <c r="J6152" s="118"/>
      <c r="K6152" s="350" t="s">
        <v>10210</v>
      </c>
      <c r="L6152" s="118"/>
      <c r="M6152" s="236" t="s">
        <v>8141</v>
      </c>
      <c r="N6152" s="118"/>
      <c r="O6152" s="118"/>
      <c r="P6152" s="16" t="str">
        <f t="shared" si="136"/>
        <v>Truncate table RRPNTJ;</v>
      </c>
      <c r="Q6152" s="118" t="s">
        <v>8141</v>
      </c>
      <c r="R6152" s="118"/>
    </row>
    <row r="6153" spans="2:18" x14ac:dyDescent="0.25">
      <c r="B6153" s="346" t="s">
        <v>10188</v>
      </c>
      <c r="C6153" s="347" t="s">
        <v>10202</v>
      </c>
      <c r="D6153" s="347" t="s">
        <v>10206</v>
      </c>
      <c r="E6153" s="118" t="s">
        <v>151</v>
      </c>
      <c r="F6153" s="118" t="s">
        <v>8148</v>
      </c>
      <c r="G6153" s="118" t="s">
        <v>35</v>
      </c>
      <c r="H6153" s="118" t="s">
        <v>12</v>
      </c>
      <c r="I6153" s="118"/>
      <c r="J6153" s="118"/>
      <c r="K6153" s="350" t="s">
        <v>10216</v>
      </c>
      <c r="L6153" s="118"/>
      <c r="M6153" s="356" t="s">
        <v>8134</v>
      </c>
      <c r="N6153" s="118"/>
      <c r="O6153" s="118"/>
      <c r="P6153" s="16" t="str">
        <f t="shared" si="136"/>
        <v/>
      </c>
      <c r="Q6153" s="118" t="s">
        <v>8134</v>
      </c>
      <c r="R6153" s="118"/>
    </row>
    <row r="6154" spans="2:18" x14ac:dyDescent="0.25">
      <c r="B6154" s="346" t="s">
        <v>10189</v>
      </c>
      <c r="C6154" s="353" t="s">
        <v>10203</v>
      </c>
      <c r="D6154" s="353" t="s">
        <v>29</v>
      </c>
      <c r="E6154" s="182" t="s">
        <v>8232</v>
      </c>
      <c r="F6154" s="186" t="s">
        <v>8227</v>
      </c>
      <c r="G6154" s="182" t="s">
        <v>35</v>
      </c>
      <c r="H6154" s="182" t="s">
        <v>12</v>
      </c>
      <c r="I6154" s="118"/>
      <c r="J6154" s="118"/>
      <c r="K6154" s="182" t="str">
        <f>[10]Hoja1!$J$30</f>
        <v>PBENTANCOR</v>
      </c>
      <c r="L6154" s="118"/>
      <c r="M6154" s="267" t="s">
        <v>8141</v>
      </c>
      <c r="N6154" s="118"/>
      <c r="O6154" s="118"/>
      <c r="P6154" s="16" t="str">
        <f t="shared" si="136"/>
        <v>Truncate table RRPNTI;</v>
      </c>
      <c r="Q6154" s="118" t="s">
        <v>8141</v>
      </c>
      <c r="R6154" s="118"/>
    </row>
    <row r="6155" spans="2:18" x14ac:dyDescent="0.25">
      <c r="B6155" s="358" t="s">
        <v>10190</v>
      </c>
      <c r="C6155" s="359" t="s">
        <v>10204</v>
      </c>
      <c r="D6155" s="359" t="s">
        <v>29</v>
      </c>
      <c r="E6155" s="194" t="s">
        <v>1096</v>
      </c>
      <c r="F6155" s="194" t="s">
        <v>184</v>
      </c>
      <c r="G6155" s="194" t="s">
        <v>35</v>
      </c>
      <c r="H6155" s="194" t="s">
        <v>36</v>
      </c>
      <c r="K6155" s="358" t="s">
        <v>10217</v>
      </c>
      <c r="L6155" s="194"/>
      <c r="M6155" s="336"/>
      <c r="N6155" s="194"/>
      <c r="O6155" s="194"/>
      <c r="P6155" s="38" t="str">
        <f t="shared" si="136"/>
        <v>Truncate table FPP520;</v>
      </c>
      <c r="Q6155" s="194"/>
      <c r="R6155" s="194"/>
    </row>
    <row r="6156" spans="2:18" x14ac:dyDescent="0.25">
      <c r="B6156" s="357" t="s">
        <v>10191</v>
      </c>
      <c r="C6156" s="347" t="s">
        <v>10205</v>
      </c>
      <c r="D6156" s="347" t="s">
        <v>29</v>
      </c>
      <c r="E6156" s="118" t="s">
        <v>54</v>
      </c>
      <c r="F6156" s="118" t="s">
        <v>8241</v>
      </c>
      <c r="G6156" s="118" t="s">
        <v>35</v>
      </c>
      <c r="H6156" s="118" t="s">
        <v>36</v>
      </c>
      <c r="I6156" s="118"/>
      <c r="J6156" s="118"/>
      <c r="K6156" s="357" t="s">
        <v>10218</v>
      </c>
      <c r="L6156" s="118"/>
      <c r="M6156" s="236"/>
      <c r="N6156" s="118"/>
      <c r="O6156" s="118"/>
      <c r="P6156" s="16" t="str">
        <f t="shared" si="136"/>
        <v>Truncate table FSX010;</v>
      </c>
      <c r="Q6156" s="118"/>
      <c r="R6156" s="118"/>
    </row>
    <row r="6157" spans="2:18" x14ac:dyDescent="0.25">
      <c r="B6157" s="346" t="s">
        <v>10192</v>
      </c>
      <c r="C6157" s="353" t="s">
        <v>11465</v>
      </c>
      <c r="D6157" s="353" t="s">
        <v>29</v>
      </c>
      <c r="E6157" s="182" t="s">
        <v>8232</v>
      </c>
      <c r="F6157" s="186" t="s">
        <v>8227</v>
      </c>
      <c r="G6157" s="182" t="s">
        <v>35</v>
      </c>
      <c r="H6157" s="182" t="s">
        <v>12</v>
      </c>
      <c r="I6157" s="118"/>
      <c r="J6157" s="118"/>
      <c r="K6157" s="352" t="s">
        <v>10219</v>
      </c>
      <c r="L6157" s="118"/>
      <c r="M6157" s="267" t="s">
        <v>8141</v>
      </c>
      <c r="N6157" s="118"/>
      <c r="O6157" s="118"/>
      <c r="P6157" s="16" t="str">
        <f t="shared" ref="P6157:P6220" si="144">IF(D6157="Datos","Truncate table "&amp; B6157&amp; ";","")</f>
        <v>Truncate table RRPNTL;</v>
      </c>
      <c r="Q6157" s="118"/>
      <c r="R6157" s="118"/>
    </row>
    <row r="6158" spans="2:18" x14ac:dyDescent="0.25">
      <c r="B6158" s="118" t="s">
        <v>11466</v>
      </c>
      <c r="C6158" s="118" t="s">
        <v>11467</v>
      </c>
      <c r="D6158" s="353" t="s">
        <v>29</v>
      </c>
      <c r="E6158" s="182" t="s">
        <v>54</v>
      </c>
      <c r="F6158" s="186" t="s">
        <v>8209</v>
      </c>
      <c r="G6158" s="182" t="s">
        <v>35</v>
      </c>
      <c r="H6158" s="182" t="s">
        <v>12</v>
      </c>
      <c r="I6158" s="118"/>
      <c r="J6158" s="118"/>
      <c r="K6158" t="s">
        <v>10210</v>
      </c>
      <c r="L6158" s="118"/>
      <c r="M6158" s="267" t="s">
        <v>8141</v>
      </c>
      <c r="N6158" s="118"/>
      <c r="O6158" s="118"/>
      <c r="P6158" s="16" t="str">
        <f t="shared" si="144"/>
        <v>Truncate table RRPNTM;</v>
      </c>
      <c r="Q6158" s="118" t="s">
        <v>8141</v>
      </c>
      <c r="R6158" s="118"/>
    </row>
    <row r="6159" spans="2:18" x14ac:dyDescent="0.25">
      <c r="B6159" s="346" t="s">
        <v>10193</v>
      </c>
      <c r="C6159" s="353" t="s">
        <v>10220</v>
      </c>
      <c r="D6159" s="353" t="s">
        <v>29</v>
      </c>
      <c r="E6159" s="182" t="s">
        <v>8232</v>
      </c>
      <c r="F6159" s="186" t="s">
        <v>8227</v>
      </c>
      <c r="G6159" s="182" t="s">
        <v>35</v>
      </c>
      <c r="H6159" s="182" t="s">
        <v>12</v>
      </c>
      <c r="I6159" s="354"/>
      <c r="J6159" s="354"/>
      <c r="K6159" s="352" t="s">
        <v>10136</v>
      </c>
      <c r="L6159" s="118"/>
      <c r="M6159" s="236"/>
      <c r="N6159" s="118"/>
      <c r="O6159" s="118"/>
      <c r="P6159" s="16" t="str">
        <f t="shared" si="144"/>
        <v>Truncate table RRPEA2;</v>
      </c>
      <c r="Q6159" s="118"/>
      <c r="R6159" s="118"/>
    </row>
    <row r="6160" spans="2:18" x14ac:dyDescent="0.25">
      <c r="B6160" s="118" t="s">
        <v>11507</v>
      </c>
      <c r="C6160" s="118" t="s">
        <v>11508</v>
      </c>
      <c r="D6160" s="353" t="s">
        <v>29</v>
      </c>
      <c r="E6160" s="182" t="s">
        <v>8232</v>
      </c>
      <c r="F6160" s="186" t="s">
        <v>8227</v>
      </c>
      <c r="G6160" s="182" t="s">
        <v>35</v>
      </c>
      <c r="H6160" s="182" t="s">
        <v>12</v>
      </c>
      <c r="K6160" s="118" t="s">
        <v>9578</v>
      </c>
      <c r="L6160" s="118"/>
      <c r="M6160" s="236" t="s">
        <v>8144</v>
      </c>
      <c r="N6160" s="118"/>
      <c r="O6160" s="118"/>
      <c r="P6160" s="16" t="str">
        <f t="shared" si="144"/>
        <v>Truncate table RRPEA6;</v>
      </c>
      <c r="Q6160" s="236" t="s">
        <v>8144</v>
      </c>
      <c r="R6160" s="118"/>
    </row>
    <row r="6161" spans="1:175" x14ac:dyDescent="0.25">
      <c r="B6161" s="118" t="s">
        <v>11516</v>
      </c>
      <c r="C6161" s="118" t="s">
        <v>11517</v>
      </c>
      <c r="D6161" s="118" t="s">
        <v>29</v>
      </c>
      <c r="E6161" s="182" t="s">
        <v>8232</v>
      </c>
      <c r="F6161" s="186" t="s">
        <v>8227</v>
      </c>
      <c r="G6161" s="182" t="s">
        <v>35</v>
      </c>
      <c r="H6161" s="182" t="s">
        <v>12</v>
      </c>
      <c r="K6161" t="s">
        <v>10211</v>
      </c>
      <c r="L6161" s="194"/>
      <c r="M6161" s="236" t="s">
        <v>8144</v>
      </c>
      <c r="N6161" s="118"/>
      <c r="O6161" s="194"/>
      <c r="P6161" s="16" t="str">
        <f t="shared" ref="P6161" si="145">IF(D6161="Datos","Truncate table "&amp; B6161&amp; ";","")</f>
        <v>Truncate table RRPEB1;</v>
      </c>
      <c r="Q6161" s="236" t="s">
        <v>8144</v>
      </c>
      <c r="R6161" s="118"/>
    </row>
    <row r="6162" spans="1:175" s="360" customFormat="1" x14ac:dyDescent="0.25">
      <c r="A6162" s="71"/>
      <c r="B6162" s="391" t="s">
        <v>10234</v>
      </c>
      <c r="C6162" s="391" t="s">
        <v>10235</v>
      </c>
      <c r="D6162" s="391" t="s">
        <v>29</v>
      </c>
      <c r="E6162" s="391" t="s">
        <v>8232</v>
      </c>
      <c r="F6162" s="392" t="s">
        <v>8227</v>
      </c>
      <c r="G6162" s="391" t="s">
        <v>35</v>
      </c>
      <c r="H6162" s="389" t="s">
        <v>12</v>
      </c>
      <c r="I6162" s="389"/>
      <c r="J6162" s="389"/>
      <c r="K6162" s="389"/>
      <c r="L6162" s="389"/>
      <c r="M6162" s="393" t="s">
        <v>8149</v>
      </c>
      <c r="N6162" s="337"/>
      <c r="O6162" s="389"/>
      <c r="P6162" s="10" t="str">
        <f t="shared" si="144"/>
        <v>Truncate table BC0002;</v>
      </c>
      <c r="Q6162" s="389" t="s">
        <v>1442</v>
      </c>
      <c r="R6162" s="389"/>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c r="CW6162"/>
      <c r="CX6162"/>
      <c r="CY6162"/>
      <c r="CZ6162"/>
      <c r="DA6162"/>
      <c r="DB6162"/>
      <c r="DC6162"/>
      <c r="DD6162"/>
      <c r="DE6162"/>
      <c r="DF6162"/>
      <c r="DG6162"/>
      <c r="DH6162"/>
      <c r="DI6162"/>
      <c r="DJ6162"/>
      <c r="DK6162"/>
      <c r="DL6162"/>
      <c r="DM6162"/>
      <c r="DN6162"/>
      <c r="DO6162"/>
      <c r="DP6162"/>
      <c r="DQ6162"/>
      <c r="DR6162"/>
      <c r="DS6162"/>
      <c r="DT6162"/>
      <c r="DU6162"/>
      <c r="DV6162"/>
      <c r="DW6162"/>
      <c r="DX6162"/>
      <c r="DY6162"/>
      <c r="DZ6162"/>
      <c r="EA6162"/>
      <c r="EB6162"/>
      <c r="EC6162"/>
      <c r="ED6162"/>
      <c r="EE6162"/>
      <c r="EF6162"/>
      <c r="EG6162"/>
      <c r="EH6162"/>
      <c r="EI6162"/>
      <c r="EJ6162"/>
      <c r="EK6162"/>
      <c r="EL6162"/>
      <c r="EM6162"/>
      <c r="EN6162"/>
      <c r="EO6162"/>
      <c r="EP6162"/>
      <c r="EQ6162"/>
      <c r="ER6162"/>
      <c r="ES6162"/>
      <c r="ET6162"/>
      <c r="EU6162"/>
      <c r="EV6162"/>
      <c r="EW6162"/>
      <c r="EX6162"/>
      <c r="EY6162"/>
      <c r="EZ6162"/>
      <c r="FA6162"/>
      <c r="FB6162"/>
      <c r="FC6162"/>
      <c r="FD6162"/>
      <c r="FE6162"/>
      <c r="FF6162"/>
      <c r="FG6162"/>
      <c r="FH6162"/>
      <c r="FI6162"/>
      <c r="FJ6162"/>
      <c r="FK6162"/>
      <c r="FL6162"/>
      <c r="FM6162"/>
      <c r="FN6162"/>
      <c r="FO6162"/>
      <c r="FP6162"/>
      <c r="FQ6162"/>
      <c r="FR6162"/>
      <c r="FS6162"/>
    </row>
    <row r="6163" spans="1:175" s="360" customFormat="1" x14ac:dyDescent="0.25">
      <c r="A6163" s="71"/>
      <c r="B6163" s="338" t="s">
        <v>11159</v>
      </c>
      <c r="C6163" s="338" t="s">
        <v>11160</v>
      </c>
      <c r="D6163" s="338" t="s">
        <v>29</v>
      </c>
      <c r="E6163" s="338" t="s">
        <v>8232</v>
      </c>
      <c r="F6163" s="392" t="s">
        <v>8227</v>
      </c>
      <c r="G6163" s="391" t="s">
        <v>35</v>
      </c>
      <c r="H6163" s="389" t="s">
        <v>12</v>
      </c>
      <c r="I6163" s="389"/>
      <c r="J6163" s="389"/>
      <c r="K6163" s="389"/>
      <c r="L6163" s="389"/>
      <c r="M6163" s="393" t="s">
        <v>8149</v>
      </c>
      <c r="N6163" s="337"/>
      <c r="O6163" s="389"/>
      <c r="P6163" s="10" t="str">
        <f t="shared" si="144"/>
        <v>Truncate table BCPETXT;</v>
      </c>
      <c r="Q6163" s="389" t="s">
        <v>8144</v>
      </c>
      <c r="R6163" s="389"/>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c r="CW6163"/>
      <c r="CX6163"/>
      <c r="CY6163"/>
      <c r="CZ6163"/>
      <c r="DA6163"/>
      <c r="DB6163"/>
      <c r="DC6163"/>
      <c r="DD6163"/>
      <c r="DE6163"/>
      <c r="DF6163"/>
      <c r="DG6163"/>
      <c r="DH6163"/>
      <c r="DI6163"/>
      <c r="DJ6163"/>
      <c r="DK6163"/>
      <c r="DL6163"/>
      <c r="DM6163"/>
      <c r="DN6163"/>
      <c r="DO6163"/>
      <c r="DP6163"/>
      <c r="DQ6163"/>
      <c r="DR6163"/>
      <c r="DS6163"/>
      <c r="DT6163"/>
      <c r="DU6163"/>
      <c r="DV6163"/>
      <c r="DW6163"/>
      <c r="DX6163"/>
      <c r="DY6163"/>
      <c r="DZ6163"/>
      <c r="EA6163"/>
      <c r="EB6163"/>
      <c r="EC6163"/>
      <c r="ED6163"/>
      <c r="EE6163"/>
      <c r="EF6163"/>
      <c r="EG6163"/>
      <c r="EH6163"/>
      <c r="EI6163"/>
      <c r="EJ6163"/>
      <c r="EK6163"/>
      <c r="EL6163"/>
      <c r="EM6163"/>
      <c r="EN6163"/>
      <c r="EO6163"/>
      <c r="EP6163"/>
      <c r="EQ6163"/>
      <c r="ER6163"/>
      <c r="ES6163"/>
      <c r="ET6163"/>
      <c r="EU6163"/>
      <c r="EV6163"/>
      <c r="EW6163"/>
      <c r="EX6163"/>
      <c r="EY6163"/>
      <c r="EZ6163"/>
      <c r="FA6163"/>
      <c r="FB6163"/>
      <c r="FC6163"/>
      <c r="FD6163"/>
      <c r="FE6163"/>
      <c r="FF6163"/>
      <c r="FG6163"/>
      <c r="FH6163"/>
      <c r="FI6163"/>
      <c r="FJ6163"/>
      <c r="FK6163"/>
      <c r="FL6163"/>
      <c r="FM6163"/>
      <c r="FN6163"/>
      <c r="FO6163"/>
      <c r="FP6163"/>
      <c r="FQ6163"/>
      <c r="FR6163"/>
      <c r="FS6163"/>
    </row>
    <row r="6164" spans="1:175" s="360" customFormat="1" x14ac:dyDescent="0.25">
      <c r="A6164" s="71"/>
      <c r="B6164" s="337" t="s">
        <v>10236</v>
      </c>
      <c r="C6164" s="337" t="s">
        <v>10237</v>
      </c>
      <c r="D6164" s="338" t="s">
        <v>29</v>
      </c>
      <c r="E6164" s="338" t="s">
        <v>8232</v>
      </c>
      <c r="F6164" s="394" t="s">
        <v>8227</v>
      </c>
      <c r="G6164" s="338" t="s">
        <v>35</v>
      </c>
      <c r="H6164" s="389" t="s">
        <v>12</v>
      </c>
      <c r="I6164" s="337"/>
      <c r="J6164" s="337"/>
      <c r="K6164" s="337"/>
      <c r="L6164" s="337"/>
      <c r="M6164" s="393" t="s">
        <v>8149</v>
      </c>
      <c r="N6164" s="337"/>
      <c r="O6164" s="337"/>
      <c r="P6164" s="5" t="str">
        <f t="shared" si="144"/>
        <v>Truncate table BCPY026;</v>
      </c>
      <c r="Q6164" s="389" t="s">
        <v>1442</v>
      </c>
      <c r="R6164" s="337"/>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c r="CW6164"/>
      <c r="CX6164"/>
      <c r="CY6164"/>
      <c r="CZ6164"/>
      <c r="DA6164"/>
      <c r="DB6164"/>
      <c r="DC6164"/>
      <c r="DD6164"/>
      <c r="DE6164"/>
      <c r="DF6164"/>
      <c r="DG6164"/>
      <c r="DH6164"/>
      <c r="DI6164"/>
      <c r="DJ6164"/>
      <c r="DK6164"/>
      <c r="DL6164"/>
      <c r="DM6164"/>
      <c r="DN6164"/>
      <c r="DO6164"/>
      <c r="DP6164"/>
      <c r="DQ6164"/>
      <c r="DR6164"/>
      <c r="DS6164"/>
      <c r="DT6164"/>
      <c r="DU6164"/>
      <c r="DV6164"/>
      <c r="DW6164"/>
      <c r="DX6164"/>
      <c r="DY6164"/>
      <c r="DZ6164"/>
      <c r="EA6164"/>
      <c r="EB6164"/>
      <c r="EC6164"/>
      <c r="ED6164"/>
      <c r="EE6164"/>
      <c r="EF6164"/>
      <c r="EG6164"/>
      <c r="EH6164"/>
      <c r="EI6164"/>
      <c r="EJ6164"/>
      <c r="EK6164"/>
      <c r="EL6164"/>
      <c r="EM6164"/>
      <c r="EN6164"/>
      <c r="EO6164"/>
      <c r="EP6164"/>
      <c r="EQ6164"/>
      <c r="ER6164"/>
      <c r="ES6164"/>
      <c r="ET6164"/>
      <c r="EU6164"/>
      <c r="EV6164"/>
      <c r="EW6164"/>
      <c r="EX6164"/>
      <c r="EY6164"/>
      <c r="EZ6164"/>
      <c r="FA6164"/>
      <c r="FB6164"/>
      <c r="FC6164"/>
      <c r="FD6164"/>
      <c r="FE6164"/>
      <c r="FF6164"/>
      <c r="FG6164"/>
      <c r="FH6164"/>
      <c r="FI6164"/>
      <c r="FJ6164"/>
      <c r="FK6164"/>
      <c r="FL6164"/>
      <c r="FM6164"/>
      <c r="FN6164"/>
      <c r="FO6164"/>
      <c r="FP6164"/>
      <c r="FQ6164"/>
      <c r="FR6164"/>
      <c r="FS6164"/>
    </row>
    <row r="6165" spans="1:175" s="360" customFormat="1" x14ac:dyDescent="0.25">
      <c r="A6165" s="71"/>
      <c r="B6165" s="337" t="s">
        <v>10238</v>
      </c>
      <c r="C6165" s="337" t="s">
        <v>10239</v>
      </c>
      <c r="D6165" s="338" t="s">
        <v>29</v>
      </c>
      <c r="E6165" s="338" t="s">
        <v>8232</v>
      </c>
      <c r="F6165" s="394" t="s">
        <v>8227</v>
      </c>
      <c r="G6165" s="338" t="s">
        <v>35</v>
      </c>
      <c r="H6165" s="389" t="s">
        <v>12</v>
      </c>
      <c r="I6165" s="337"/>
      <c r="J6165" s="337"/>
      <c r="K6165" s="337"/>
      <c r="L6165" s="337"/>
      <c r="M6165" s="393" t="s">
        <v>8149</v>
      </c>
      <c r="N6165" s="337"/>
      <c r="O6165" s="337"/>
      <c r="P6165" s="5" t="str">
        <f t="shared" si="144"/>
        <v>Truncate table BCPY127;</v>
      </c>
      <c r="Q6165" s="389" t="s">
        <v>1442</v>
      </c>
      <c r="R6165" s="337"/>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c r="CW6165"/>
      <c r="CX6165"/>
      <c r="CY6165"/>
      <c r="CZ6165"/>
      <c r="DA6165"/>
      <c r="DB6165"/>
      <c r="DC6165"/>
      <c r="DD6165"/>
      <c r="DE6165"/>
      <c r="DF6165"/>
      <c r="DG6165"/>
      <c r="DH6165"/>
      <c r="DI6165"/>
      <c r="DJ6165"/>
      <c r="DK6165"/>
      <c r="DL6165"/>
      <c r="DM6165"/>
      <c r="DN6165"/>
      <c r="DO6165"/>
      <c r="DP6165"/>
      <c r="DQ6165"/>
      <c r="DR6165"/>
      <c r="DS6165"/>
      <c r="DT6165"/>
      <c r="DU6165"/>
      <c r="DV6165"/>
      <c r="DW6165"/>
      <c r="DX6165"/>
      <c r="DY6165"/>
      <c r="DZ6165"/>
      <c r="EA6165"/>
      <c r="EB6165"/>
      <c r="EC6165"/>
      <c r="ED6165"/>
      <c r="EE6165"/>
      <c r="EF6165"/>
      <c r="EG6165"/>
      <c r="EH6165"/>
      <c r="EI6165"/>
      <c r="EJ6165"/>
      <c r="EK6165"/>
      <c r="EL6165"/>
      <c r="EM6165"/>
      <c r="EN6165"/>
      <c r="EO6165"/>
      <c r="EP6165"/>
      <c r="EQ6165"/>
      <c r="ER6165"/>
      <c r="ES6165"/>
      <c r="ET6165"/>
      <c r="EU6165"/>
      <c r="EV6165"/>
      <c r="EW6165"/>
      <c r="EX6165"/>
      <c r="EY6165"/>
      <c r="EZ6165"/>
      <c r="FA6165"/>
      <c r="FB6165"/>
      <c r="FC6165"/>
      <c r="FD6165"/>
      <c r="FE6165"/>
      <c r="FF6165"/>
      <c r="FG6165"/>
      <c r="FH6165"/>
      <c r="FI6165"/>
      <c r="FJ6165"/>
      <c r="FK6165"/>
      <c r="FL6165"/>
      <c r="FM6165"/>
      <c r="FN6165"/>
      <c r="FO6165"/>
      <c r="FP6165"/>
      <c r="FQ6165"/>
      <c r="FR6165"/>
      <c r="FS6165"/>
    </row>
    <row r="6166" spans="1:175" s="360" customFormat="1" x14ac:dyDescent="0.25">
      <c r="A6166" s="71"/>
      <c r="B6166" s="337" t="s">
        <v>10240</v>
      </c>
      <c r="C6166" s="337" t="s">
        <v>10241</v>
      </c>
      <c r="D6166" s="338" t="s">
        <v>29</v>
      </c>
      <c r="E6166" s="338" t="s">
        <v>8232</v>
      </c>
      <c r="F6166" s="394" t="s">
        <v>8227</v>
      </c>
      <c r="G6166" s="338" t="s">
        <v>35</v>
      </c>
      <c r="H6166" s="389" t="s">
        <v>12</v>
      </c>
      <c r="I6166" s="337"/>
      <c r="J6166" s="337"/>
      <c r="K6166" s="337"/>
      <c r="L6166" s="337"/>
      <c r="M6166" s="393" t="s">
        <v>8149</v>
      </c>
      <c r="N6166" s="337"/>
      <c r="O6166" s="337"/>
      <c r="P6166" s="5" t="str">
        <f t="shared" si="144"/>
        <v>Truncate table BCPY129;</v>
      </c>
      <c r="Q6166" s="389" t="s">
        <v>1442</v>
      </c>
      <c r="R6166" s="337"/>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c r="CW6166"/>
      <c r="CX6166"/>
      <c r="CY6166"/>
      <c r="CZ6166"/>
      <c r="DA6166"/>
      <c r="DB6166"/>
      <c r="DC6166"/>
      <c r="DD6166"/>
      <c r="DE6166"/>
      <c r="DF6166"/>
      <c r="DG6166"/>
      <c r="DH6166"/>
      <c r="DI6166"/>
      <c r="DJ6166"/>
      <c r="DK6166"/>
      <c r="DL6166"/>
      <c r="DM6166"/>
      <c r="DN6166"/>
      <c r="DO6166"/>
      <c r="DP6166"/>
      <c r="DQ6166"/>
      <c r="DR6166"/>
      <c r="DS6166"/>
      <c r="DT6166"/>
      <c r="DU6166"/>
      <c r="DV6166"/>
      <c r="DW6166"/>
      <c r="DX6166"/>
      <c r="DY6166"/>
      <c r="DZ6166"/>
      <c r="EA6166"/>
      <c r="EB6166"/>
      <c r="EC6166"/>
      <c r="ED6166"/>
      <c r="EE6166"/>
      <c r="EF6166"/>
      <c r="EG6166"/>
      <c r="EH6166"/>
      <c r="EI6166"/>
      <c r="EJ6166"/>
      <c r="EK6166"/>
      <c r="EL6166"/>
      <c r="EM6166"/>
      <c r="EN6166"/>
      <c r="EO6166"/>
      <c r="EP6166"/>
      <c r="EQ6166"/>
      <c r="ER6166"/>
      <c r="ES6166"/>
      <c r="ET6166"/>
      <c r="EU6166"/>
      <c r="EV6166"/>
      <c r="EW6166"/>
      <c r="EX6166"/>
      <c r="EY6166"/>
      <c r="EZ6166"/>
      <c r="FA6166"/>
      <c r="FB6166"/>
      <c r="FC6166"/>
      <c r="FD6166"/>
      <c r="FE6166"/>
      <c r="FF6166"/>
      <c r="FG6166"/>
      <c r="FH6166"/>
      <c r="FI6166"/>
      <c r="FJ6166"/>
      <c r="FK6166"/>
      <c r="FL6166"/>
      <c r="FM6166"/>
      <c r="FN6166"/>
      <c r="FO6166"/>
      <c r="FP6166"/>
      <c r="FQ6166"/>
      <c r="FR6166"/>
      <c r="FS6166"/>
    </row>
    <row r="6167" spans="1:175" s="360" customFormat="1" x14ac:dyDescent="0.25">
      <c r="A6167" s="71"/>
      <c r="B6167" s="337" t="s">
        <v>10242</v>
      </c>
      <c r="C6167" s="337" t="s">
        <v>10243</v>
      </c>
      <c r="D6167" s="338" t="s">
        <v>29</v>
      </c>
      <c r="E6167" s="338" t="s">
        <v>8232</v>
      </c>
      <c r="F6167" s="394" t="s">
        <v>8227</v>
      </c>
      <c r="G6167" s="338" t="s">
        <v>35</v>
      </c>
      <c r="H6167" s="389" t="s">
        <v>12</v>
      </c>
      <c r="I6167" s="337"/>
      <c r="J6167" s="337"/>
      <c r="K6167" s="337"/>
      <c r="L6167" s="337"/>
      <c r="M6167" s="393" t="s">
        <v>8149</v>
      </c>
      <c r="N6167" s="337"/>
      <c r="O6167" s="337"/>
      <c r="P6167" s="5" t="str">
        <f t="shared" si="144"/>
        <v>Truncate table BCPY134;</v>
      </c>
      <c r="Q6167" s="389" t="s">
        <v>1442</v>
      </c>
      <c r="R6167" s="33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c r="CW6167"/>
      <c r="CX6167"/>
      <c r="CY6167"/>
      <c r="CZ6167"/>
      <c r="DA6167"/>
      <c r="DB6167"/>
      <c r="DC6167"/>
      <c r="DD6167"/>
      <c r="DE6167"/>
      <c r="DF6167"/>
      <c r="DG6167"/>
      <c r="DH6167"/>
      <c r="DI6167"/>
      <c r="DJ6167"/>
      <c r="DK6167"/>
      <c r="DL6167"/>
      <c r="DM6167"/>
      <c r="DN6167"/>
      <c r="DO6167"/>
      <c r="DP6167"/>
      <c r="DQ6167"/>
      <c r="DR6167"/>
      <c r="DS6167"/>
      <c r="DT6167"/>
      <c r="DU6167"/>
      <c r="DV6167"/>
      <c r="DW6167"/>
      <c r="DX6167"/>
      <c r="DY6167"/>
      <c r="DZ6167"/>
      <c r="EA6167"/>
      <c r="EB6167"/>
      <c r="EC6167"/>
      <c r="ED6167"/>
      <c r="EE6167"/>
      <c r="EF6167"/>
      <c r="EG6167"/>
      <c r="EH6167"/>
      <c r="EI6167"/>
      <c r="EJ6167"/>
      <c r="EK6167"/>
      <c r="EL6167"/>
      <c r="EM6167"/>
      <c r="EN6167"/>
      <c r="EO6167"/>
      <c r="EP6167"/>
      <c r="EQ6167"/>
      <c r="ER6167"/>
      <c r="ES6167"/>
      <c r="ET6167"/>
      <c r="EU6167"/>
      <c r="EV6167"/>
      <c r="EW6167"/>
      <c r="EX6167"/>
      <c r="EY6167"/>
      <c r="EZ6167"/>
      <c r="FA6167"/>
      <c r="FB6167"/>
      <c r="FC6167"/>
      <c r="FD6167"/>
      <c r="FE6167"/>
      <c r="FF6167"/>
      <c r="FG6167"/>
      <c r="FH6167"/>
      <c r="FI6167"/>
      <c r="FJ6167"/>
      <c r="FK6167"/>
      <c r="FL6167"/>
      <c r="FM6167"/>
      <c r="FN6167"/>
      <c r="FO6167"/>
      <c r="FP6167"/>
      <c r="FQ6167"/>
      <c r="FR6167"/>
      <c r="FS6167"/>
    </row>
    <row r="6168" spans="1:175" s="360" customFormat="1" x14ac:dyDescent="0.25">
      <c r="A6168" s="71"/>
      <c r="B6168" s="337" t="s">
        <v>10244</v>
      </c>
      <c r="C6168" s="337" t="s">
        <v>10245</v>
      </c>
      <c r="D6168" s="338" t="s">
        <v>29</v>
      </c>
      <c r="E6168" s="338" t="s">
        <v>8232</v>
      </c>
      <c r="F6168" s="394" t="s">
        <v>8227</v>
      </c>
      <c r="G6168" s="338" t="s">
        <v>35</v>
      </c>
      <c r="H6168" s="389" t="s">
        <v>12</v>
      </c>
      <c r="I6168" s="337"/>
      <c r="J6168" s="337"/>
      <c r="K6168" s="337"/>
      <c r="L6168" s="337"/>
      <c r="M6168" s="393" t="s">
        <v>8149</v>
      </c>
      <c r="N6168" s="337"/>
      <c r="O6168" s="337"/>
      <c r="P6168" s="5" t="str">
        <f t="shared" si="144"/>
        <v>Truncate table BCPY200;</v>
      </c>
      <c r="Q6168" s="389" t="s">
        <v>1442</v>
      </c>
      <c r="R6168" s="337"/>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c r="CW6168"/>
      <c r="CX6168"/>
      <c r="CY6168"/>
      <c r="CZ6168"/>
      <c r="DA6168"/>
      <c r="DB6168"/>
      <c r="DC6168"/>
      <c r="DD6168"/>
      <c r="DE6168"/>
      <c r="DF6168"/>
      <c r="DG6168"/>
      <c r="DH6168"/>
      <c r="DI6168"/>
      <c r="DJ6168"/>
      <c r="DK6168"/>
      <c r="DL6168"/>
      <c r="DM6168"/>
      <c r="DN6168"/>
      <c r="DO6168"/>
      <c r="DP6168"/>
      <c r="DQ6168"/>
      <c r="DR6168"/>
      <c r="DS6168"/>
      <c r="DT6168"/>
      <c r="DU6168"/>
      <c r="DV6168"/>
      <c r="DW6168"/>
      <c r="DX6168"/>
      <c r="DY6168"/>
      <c r="DZ6168"/>
      <c r="EA6168"/>
      <c r="EB6168"/>
      <c r="EC6168"/>
      <c r="ED6168"/>
      <c r="EE6168"/>
      <c r="EF6168"/>
      <c r="EG6168"/>
      <c r="EH6168"/>
      <c r="EI6168"/>
      <c r="EJ6168"/>
      <c r="EK6168"/>
      <c r="EL6168"/>
      <c r="EM6168"/>
      <c r="EN6168"/>
      <c r="EO6168"/>
      <c r="EP6168"/>
      <c r="EQ6168"/>
      <c r="ER6168"/>
      <c r="ES6168"/>
      <c r="ET6168"/>
      <c r="EU6168"/>
      <c r="EV6168"/>
      <c r="EW6168"/>
      <c r="EX6168"/>
      <c r="EY6168"/>
      <c r="EZ6168"/>
      <c r="FA6168"/>
      <c r="FB6168"/>
      <c r="FC6168"/>
      <c r="FD6168"/>
      <c r="FE6168"/>
      <c r="FF6168"/>
      <c r="FG6168"/>
      <c r="FH6168"/>
      <c r="FI6168"/>
      <c r="FJ6168"/>
      <c r="FK6168"/>
      <c r="FL6168"/>
      <c r="FM6168"/>
      <c r="FN6168"/>
      <c r="FO6168"/>
      <c r="FP6168"/>
      <c r="FQ6168"/>
      <c r="FR6168"/>
      <c r="FS6168"/>
    </row>
    <row r="6169" spans="1:175" s="360" customFormat="1" x14ac:dyDescent="0.25">
      <c r="A6169" s="71"/>
      <c r="B6169" s="337" t="s">
        <v>10246</v>
      </c>
      <c r="C6169" s="337" t="s">
        <v>10247</v>
      </c>
      <c r="D6169" s="338" t="s">
        <v>29</v>
      </c>
      <c r="E6169" s="338" t="s">
        <v>8232</v>
      </c>
      <c r="F6169" s="394" t="s">
        <v>8227</v>
      </c>
      <c r="G6169" s="338" t="s">
        <v>35</v>
      </c>
      <c r="H6169" s="389" t="s">
        <v>12</v>
      </c>
      <c r="I6169" s="337"/>
      <c r="J6169" s="337"/>
      <c r="K6169" s="337"/>
      <c r="L6169" s="337"/>
      <c r="M6169" s="393" t="s">
        <v>8149</v>
      </c>
      <c r="N6169" s="337"/>
      <c r="O6169" s="337"/>
      <c r="P6169" s="5" t="str">
        <f t="shared" si="144"/>
        <v>Truncate table BCPY369;</v>
      </c>
      <c r="Q6169" s="389" t="s">
        <v>1442</v>
      </c>
      <c r="R6169" s="337"/>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c r="CW6169"/>
      <c r="CX6169"/>
      <c r="CY6169"/>
      <c r="CZ6169"/>
      <c r="DA6169"/>
      <c r="DB6169"/>
      <c r="DC6169"/>
      <c r="DD6169"/>
      <c r="DE6169"/>
      <c r="DF6169"/>
      <c r="DG6169"/>
      <c r="DH6169"/>
      <c r="DI6169"/>
      <c r="DJ6169"/>
      <c r="DK6169"/>
      <c r="DL6169"/>
      <c r="DM6169"/>
      <c r="DN6169"/>
      <c r="DO6169"/>
      <c r="DP6169"/>
      <c r="DQ6169"/>
      <c r="DR6169"/>
      <c r="DS6169"/>
      <c r="DT6169"/>
      <c r="DU6169"/>
      <c r="DV6169"/>
      <c r="DW6169"/>
      <c r="DX6169"/>
      <c r="DY6169"/>
      <c r="DZ6169"/>
      <c r="EA6169"/>
      <c r="EB6169"/>
      <c r="EC6169"/>
      <c r="ED6169"/>
      <c r="EE6169"/>
      <c r="EF6169"/>
      <c r="EG6169"/>
      <c r="EH6169"/>
      <c r="EI6169"/>
      <c r="EJ6169"/>
      <c r="EK6169"/>
      <c r="EL6169"/>
      <c r="EM6169"/>
      <c r="EN6169"/>
      <c r="EO6169"/>
      <c r="EP6169"/>
      <c r="EQ6169"/>
      <c r="ER6169"/>
      <c r="ES6169"/>
      <c r="ET6169"/>
      <c r="EU6169"/>
      <c r="EV6169"/>
      <c r="EW6169"/>
      <c r="EX6169"/>
      <c r="EY6169"/>
      <c r="EZ6169"/>
      <c r="FA6169"/>
      <c r="FB6169"/>
      <c r="FC6169"/>
      <c r="FD6169"/>
      <c r="FE6169"/>
      <c r="FF6169"/>
      <c r="FG6169"/>
      <c r="FH6169"/>
      <c r="FI6169"/>
      <c r="FJ6169"/>
      <c r="FK6169"/>
      <c r="FL6169"/>
      <c r="FM6169"/>
      <c r="FN6169"/>
      <c r="FO6169"/>
      <c r="FP6169"/>
      <c r="FQ6169"/>
      <c r="FR6169"/>
      <c r="FS6169"/>
    </row>
    <row r="6170" spans="1:175" s="360" customFormat="1" x14ac:dyDescent="0.25">
      <c r="A6170" s="71"/>
      <c r="B6170" s="337" t="s">
        <v>10248</v>
      </c>
      <c r="C6170" s="337" t="s">
        <v>10249</v>
      </c>
      <c r="D6170" s="338" t="s">
        <v>29</v>
      </c>
      <c r="E6170" s="338" t="s">
        <v>8232</v>
      </c>
      <c r="F6170" s="394" t="s">
        <v>8227</v>
      </c>
      <c r="G6170" s="338" t="s">
        <v>35</v>
      </c>
      <c r="H6170" s="389" t="s">
        <v>12</v>
      </c>
      <c r="I6170" s="337"/>
      <c r="J6170" s="337"/>
      <c r="K6170" s="337"/>
      <c r="L6170" s="337"/>
      <c r="M6170" s="393" t="s">
        <v>8149</v>
      </c>
      <c r="N6170" s="337"/>
      <c r="O6170" s="337"/>
      <c r="P6170" s="5" t="str">
        <f t="shared" si="144"/>
        <v>Truncate table BCPY370;</v>
      </c>
      <c r="Q6170" s="389" t="s">
        <v>1442</v>
      </c>
      <c r="R6170" s="337"/>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c r="CW6170"/>
      <c r="CX6170"/>
      <c r="CY6170"/>
      <c r="CZ6170"/>
      <c r="DA6170"/>
      <c r="DB6170"/>
      <c r="DC6170"/>
      <c r="DD6170"/>
      <c r="DE6170"/>
      <c r="DF6170"/>
      <c r="DG6170"/>
      <c r="DH6170"/>
      <c r="DI6170"/>
      <c r="DJ6170"/>
      <c r="DK6170"/>
      <c r="DL6170"/>
      <c r="DM6170"/>
      <c r="DN6170"/>
      <c r="DO6170"/>
      <c r="DP6170"/>
      <c r="DQ6170"/>
      <c r="DR6170"/>
      <c r="DS6170"/>
      <c r="DT6170"/>
      <c r="DU6170"/>
      <c r="DV6170"/>
      <c r="DW6170"/>
      <c r="DX6170"/>
      <c r="DY6170"/>
      <c r="DZ6170"/>
      <c r="EA6170"/>
      <c r="EB6170"/>
      <c r="EC6170"/>
      <c r="ED6170"/>
      <c r="EE6170"/>
      <c r="EF6170"/>
      <c r="EG6170"/>
      <c r="EH6170"/>
      <c r="EI6170"/>
      <c r="EJ6170"/>
      <c r="EK6170"/>
      <c r="EL6170"/>
      <c r="EM6170"/>
      <c r="EN6170"/>
      <c r="EO6170"/>
      <c r="EP6170"/>
      <c r="EQ6170"/>
      <c r="ER6170"/>
      <c r="ES6170"/>
      <c r="ET6170"/>
      <c r="EU6170"/>
      <c r="EV6170"/>
      <c r="EW6170"/>
      <c r="EX6170"/>
      <c r="EY6170"/>
      <c r="EZ6170"/>
      <c r="FA6170"/>
      <c r="FB6170"/>
      <c r="FC6170"/>
      <c r="FD6170"/>
      <c r="FE6170"/>
      <c r="FF6170"/>
      <c r="FG6170"/>
      <c r="FH6170"/>
      <c r="FI6170"/>
      <c r="FJ6170"/>
      <c r="FK6170"/>
      <c r="FL6170"/>
      <c r="FM6170"/>
      <c r="FN6170"/>
      <c r="FO6170"/>
      <c r="FP6170"/>
      <c r="FQ6170"/>
      <c r="FR6170"/>
      <c r="FS6170"/>
    </row>
    <row r="6171" spans="1:175" s="360" customFormat="1" x14ac:dyDescent="0.25">
      <c r="A6171" s="71"/>
      <c r="B6171" s="337" t="s">
        <v>10250</v>
      </c>
      <c r="C6171" s="337" t="s">
        <v>8547</v>
      </c>
      <c r="D6171" s="338" t="s">
        <v>29</v>
      </c>
      <c r="E6171" s="338" t="s">
        <v>8232</v>
      </c>
      <c r="F6171" s="394" t="s">
        <v>8227</v>
      </c>
      <c r="G6171" s="338" t="s">
        <v>35</v>
      </c>
      <c r="H6171" s="389" t="s">
        <v>12</v>
      </c>
      <c r="I6171" s="337"/>
      <c r="J6171" s="337"/>
      <c r="K6171" s="337"/>
      <c r="L6171" s="337"/>
      <c r="M6171" s="393" t="s">
        <v>8149</v>
      </c>
      <c r="N6171" s="337"/>
      <c r="O6171" s="337"/>
      <c r="P6171" s="5" t="str">
        <f t="shared" si="144"/>
        <v>Truncate table BCPY439;</v>
      </c>
      <c r="Q6171" s="389" t="s">
        <v>1442</v>
      </c>
      <c r="R6171" s="337"/>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c r="CW6171"/>
      <c r="CX6171"/>
      <c r="CY6171"/>
      <c r="CZ6171"/>
      <c r="DA6171"/>
      <c r="DB6171"/>
      <c r="DC6171"/>
      <c r="DD6171"/>
      <c r="DE6171"/>
      <c r="DF6171"/>
      <c r="DG6171"/>
      <c r="DH6171"/>
      <c r="DI6171"/>
      <c r="DJ6171"/>
      <c r="DK6171"/>
      <c r="DL6171"/>
      <c r="DM6171"/>
      <c r="DN6171"/>
      <c r="DO6171"/>
      <c r="DP6171"/>
      <c r="DQ6171"/>
      <c r="DR6171"/>
      <c r="DS6171"/>
      <c r="DT6171"/>
      <c r="DU6171"/>
      <c r="DV6171"/>
      <c r="DW6171"/>
      <c r="DX6171"/>
      <c r="DY6171"/>
      <c r="DZ6171"/>
      <c r="EA6171"/>
      <c r="EB6171"/>
      <c r="EC6171"/>
      <c r="ED6171"/>
      <c r="EE6171"/>
      <c r="EF6171"/>
      <c r="EG6171"/>
      <c r="EH6171"/>
      <c r="EI6171"/>
      <c r="EJ6171"/>
      <c r="EK6171"/>
      <c r="EL6171"/>
      <c r="EM6171"/>
      <c r="EN6171"/>
      <c r="EO6171"/>
      <c r="EP6171"/>
      <c r="EQ6171"/>
      <c r="ER6171"/>
      <c r="ES6171"/>
      <c r="ET6171"/>
      <c r="EU6171"/>
      <c r="EV6171"/>
      <c r="EW6171"/>
      <c r="EX6171"/>
      <c r="EY6171"/>
      <c r="EZ6171"/>
      <c r="FA6171"/>
      <c r="FB6171"/>
      <c r="FC6171"/>
      <c r="FD6171"/>
      <c r="FE6171"/>
      <c r="FF6171"/>
      <c r="FG6171"/>
      <c r="FH6171"/>
      <c r="FI6171"/>
      <c r="FJ6171"/>
      <c r="FK6171"/>
      <c r="FL6171"/>
      <c r="FM6171"/>
      <c r="FN6171"/>
      <c r="FO6171"/>
      <c r="FP6171"/>
      <c r="FQ6171"/>
      <c r="FR6171"/>
      <c r="FS6171"/>
    </row>
    <row r="6172" spans="1:175" s="360" customFormat="1" x14ac:dyDescent="0.25">
      <c r="A6172" s="71"/>
      <c r="B6172" s="337" t="s">
        <v>10251</v>
      </c>
      <c r="C6172" s="337" t="s">
        <v>10252</v>
      </c>
      <c r="D6172" s="338" t="s">
        <v>29</v>
      </c>
      <c r="E6172" s="338" t="s">
        <v>8232</v>
      </c>
      <c r="F6172" s="394" t="s">
        <v>8227</v>
      </c>
      <c r="G6172" s="338" t="s">
        <v>35</v>
      </c>
      <c r="H6172" s="389" t="s">
        <v>12</v>
      </c>
      <c r="I6172" s="337"/>
      <c r="J6172" s="337"/>
      <c r="K6172" s="337"/>
      <c r="L6172" s="337"/>
      <c r="M6172" s="393" t="s">
        <v>8149</v>
      </c>
      <c r="N6172" s="337"/>
      <c r="O6172" s="337"/>
      <c r="P6172" s="5" t="str">
        <f t="shared" si="144"/>
        <v>Truncate table BCPY80;</v>
      </c>
      <c r="Q6172" s="389" t="s">
        <v>1442</v>
      </c>
      <c r="R6172" s="337"/>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c r="CW6172"/>
      <c r="CX6172"/>
      <c r="CY6172"/>
      <c r="CZ6172"/>
      <c r="DA6172"/>
      <c r="DB6172"/>
      <c r="DC6172"/>
      <c r="DD6172"/>
      <c r="DE6172"/>
      <c r="DF6172"/>
      <c r="DG6172"/>
      <c r="DH6172"/>
      <c r="DI6172"/>
      <c r="DJ6172"/>
      <c r="DK6172"/>
      <c r="DL6172"/>
      <c r="DM6172"/>
      <c r="DN6172"/>
      <c r="DO6172"/>
      <c r="DP6172"/>
      <c r="DQ6172"/>
      <c r="DR6172"/>
      <c r="DS6172"/>
      <c r="DT6172"/>
      <c r="DU6172"/>
      <c r="DV6172"/>
      <c r="DW6172"/>
      <c r="DX6172"/>
      <c r="DY6172"/>
      <c r="DZ6172"/>
      <c r="EA6172"/>
      <c r="EB6172"/>
      <c r="EC6172"/>
      <c r="ED6172"/>
      <c r="EE6172"/>
      <c r="EF6172"/>
      <c r="EG6172"/>
      <c r="EH6172"/>
      <c r="EI6172"/>
      <c r="EJ6172"/>
      <c r="EK6172"/>
      <c r="EL6172"/>
      <c r="EM6172"/>
      <c r="EN6172"/>
      <c r="EO6172"/>
      <c r="EP6172"/>
      <c r="EQ6172"/>
      <c r="ER6172"/>
      <c r="ES6172"/>
      <c r="ET6172"/>
      <c r="EU6172"/>
      <c r="EV6172"/>
      <c r="EW6172"/>
      <c r="EX6172"/>
      <c r="EY6172"/>
      <c r="EZ6172"/>
      <c r="FA6172"/>
      <c r="FB6172"/>
      <c r="FC6172"/>
      <c r="FD6172"/>
      <c r="FE6172"/>
      <c r="FF6172"/>
      <c r="FG6172"/>
      <c r="FH6172"/>
      <c r="FI6172"/>
      <c r="FJ6172"/>
      <c r="FK6172"/>
      <c r="FL6172"/>
      <c r="FM6172"/>
      <c r="FN6172"/>
      <c r="FO6172"/>
      <c r="FP6172"/>
      <c r="FQ6172"/>
      <c r="FR6172"/>
      <c r="FS6172"/>
    </row>
    <row r="6173" spans="1:175" s="360" customFormat="1" x14ac:dyDescent="0.25">
      <c r="A6173" s="71"/>
      <c r="B6173" s="337" t="s">
        <v>10253</v>
      </c>
      <c r="C6173" s="337" t="s">
        <v>10254</v>
      </c>
      <c r="D6173" s="338" t="s">
        <v>29</v>
      </c>
      <c r="E6173" s="338" t="s">
        <v>8232</v>
      </c>
      <c r="F6173" s="394" t="s">
        <v>8227</v>
      </c>
      <c r="G6173" s="338" t="s">
        <v>35</v>
      </c>
      <c r="H6173" s="389" t="s">
        <v>12</v>
      </c>
      <c r="I6173" s="337"/>
      <c r="J6173" s="337"/>
      <c r="K6173" s="337"/>
      <c r="L6173" s="337"/>
      <c r="M6173" s="393" t="s">
        <v>8149</v>
      </c>
      <c r="N6173" s="337"/>
      <c r="O6173" s="337"/>
      <c r="P6173" s="5" t="str">
        <f t="shared" si="144"/>
        <v>Truncate table BCPY83;</v>
      </c>
      <c r="Q6173" s="389" t="s">
        <v>1442</v>
      </c>
      <c r="R6173" s="337"/>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c r="CW6173"/>
      <c r="CX6173"/>
      <c r="CY6173"/>
      <c r="CZ6173"/>
      <c r="DA6173"/>
      <c r="DB6173"/>
      <c r="DC6173"/>
      <c r="DD6173"/>
      <c r="DE6173"/>
      <c r="DF6173"/>
      <c r="DG6173"/>
      <c r="DH6173"/>
      <c r="DI6173"/>
      <c r="DJ6173"/>
      <c r="DK6173"/>
      <c r="DL6173"/>
      <c r="DM6173"/>
      <c r="DN6173"/>
      <c r="DO6173"/>
      <c r="DP6173"/>
      <c r="DQ6173"/>
      <c r="DR6173"/>
      <c r="DS6173"/>
      <c r="DT6173"/>
      <c r="DU6173"/>
      <c r="DV6173"/>
      <c r="DW6173"/>
      <c r="DX6173"/>
      <c r="DY6173"/>
      <c r="DZ6173"/>
      <c r="EA6173"/>
      <c r="EB6173"/>
      <c r="EC6173"/>
      <c r="ED6173"/>
      <c r="EE6173"/>
      <c r="EF6173"/>
      <c r="EG6173"/>
      <c r="EH6173"/>
      <c r="EI6173"/>
      <c r="EJ6173"/>
      <c r="EK6173"/>
      <c r="EL6173"/>
      <c r="EM6173"/>
      <c r="EN6173"/>
      <c r="EO6173"/>
      <c r="EP6173"/>
      <c r="EQ6173"/>
      <c r="ER6173"/>
      <c r="ES6173"/>
      <c r="ET6173"/>
      <c r="EU6173"/>
      <c r="EV6173"/>
      <c r="EW6173"/>
      <c r="EX6173"/>
      <c r="EY6173"/>
      <c r="EZ6173"/>
      <c r="FA6173"/>
      <c r="FB6173"/>
      <c r="FC6173"/>
      <c r="FD6173"/>
      <c r="FE6173"/>
      <c r="FF6173"/>
      <c r="FG6173"/>
      <c r="FH6173"/>
      <c r="FI6173"/>
      <c r="FJ6173"/>
      <c r="FK6173"/>
      <c r="FL6173"/>
      <c r="FM6173"/>
      <c r="FN6173"/>
      <c r="FO6173"/>
      <c r="FP6173"/>
      <c r="FQ6173"/>
      <c r="FR6173"/>
      <c r="FS6173"/>
    </row>
    <row r="6174" spans="1:175" s="360" customFormat="1" x14ac:dyDescent="0.25">
      <c r="A6174" s="71"/>
      <c r="B6174" s="337" t="s">
        <v>10255</v>
      </c>
      <c r="C6174" s="337" t="s">
        <v>10256</v>
      </c>
      <c r="D6174" s="338" t="s">
        <v>29</v>
      </c>
      <c r="E6174" s="338" t="s">
        <v>8232</v>
      </c>
      <c r="F6174" s="394" t="s">
        <v>8227</v>
      </c>
      <c r="G6174" s="338" t="s">
        <v>35</v>
      </c>
      <c r="H6174" s="389" t="s">
        <v>12</v>
      </c>
      <c r="I6174" s="337"/>
      <c r="J6174" s="337"/>
      <c r="K6174" s="337"/>
      <c r="L6174" s="337"/>
      <c r="M6174" s="393" t="s">
        <v>8149</v>
      </c>
      <c r="N6174" s="337"/>
      <c r="O6174" s="337"/>
      <c r="P6174" s="5" t="str">
        <f t="shared" si="144"/>
        <v>Truncate table BCPY84;</v>
      </c>
      <c r="Q6174" s="389" t="s">
        <v>1442</v>
      </c>
      <c r="R6174" s="337"/>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c r="CW6174"/>
      <c r="CX6174"/>
      <c r="CY6174"/>
      <c r="CZ6174"/>
      <c r="DA6174"/>
      <c r="DB6174"/>
      <c r="DC6174"/>
      <c r="DD6174"/>
      <c r="DE6174"/>
      <c r="DF6174"/>
      <c r="DG6174"/>
      <c r="DH6174"/>
      <c r="DI6174"/>
      <c r="DJ6174"/>
      <c r="DK6174"/>
      <c r="DL6174"/>
      <c r="DM6174"/>
      <c r="DN6174"/>
      <c r="DO6174"/>
      <c r="DP6174"/>
      <c r="DQ6174"/>
      <c r="DR6174"/>
      <c r="DS6174"/>
      <c r="DT6174"/>
      <c r="DU6174"/>
      <c r="DV6174"/>
      <c r="DW6174"/>
      <c r="DX6174"/>
      <c r="DY6174"/>
      <c r="DZ6174"/>
      <c r="EA6174"/>
      <c r="EB6174"/>
      <c r="EC6174"/>
      <c r="ED6174"/>
      <c r="EE6174"/>
      <c r="EF6174"/>
      <c r="EG6174"/>
      <c r="EH6174"/>
      <c r="EI6174"/>
      <c r="EJ6174"/>
      <c r="EK6174"/>
      <c r="EL6174"/>
      <c r="EM6174"/>
      <c r="EN6174"/>
      <c r="EO6174"/>
      <c r="EP6174"/>
      <c r="EQ6174"/>
      <c r="ER6174"/>
      <c r="ES6174"/>
      <c r="ET6174"/>
      <c r="EU6174"/>
      <c r="EV6174"/>
      <c r="EW6174"/>
      <c r="EX6174"/>
      <c r="EY6174"/>
      <c r="EZ6174"/>
      <c r="FA6174"/>
      <c r="FB6174"/>
      <c r="FC6174"/>
      <c r="FD6174"/>
      <c r="FE6174"/>
      <c r="FF6174"/>
      <c r="FG6174"/>
      <c r="FH6174"/>
      <c r="FI6174"/>
      <c r="FJ6174"/>
      <c r="FK6174"/>
      <c r="FL6174"/>
      <c r="FM6174"/>
      <c r="FN6174"/>
      <c r="FO6174"/>
      <c r="FP6174"/>
      <c r="FQ6174"/>
      <c r="FR6174"/>
      <c r="FS6174"/>
    </row>
    <row r="6175" spans="1:175" s="360" customFormat="1" x14ac:dyDescent="0.25">
      <c r="A6175" s="71"/>
      <c r="B6175" s="337" t="s">
        <v>10257</v>
      </c>
      <c r="C6175" s="337" t="s">
        <v>10258</v>
      </c>
      <c r="D6175" s="338" t="s">
        <v>29</v>
      </c>
      <c r="E6175" s="338" t="s">
        <v>8232</v>
      </c>
      <c r="F6175" s="394" t="s">
        <v>8227</v>
      </c>
      <c r="G6175" s="338" t="s">
        <v>35</v>
      </c>
      <c r="H6175" s="389" t="s">
        <v>12</v>
      </c>
      <c r="I6175" s="337"/>
      <c r="J6175" s="337"/>
      <c r="K6175" s="337"/>
      <c r="L6175" s="337"/>
      <c r="M6175" s="393" t="s">
        <v>8149</v>
      </c>
      <c r="N6175" s="337"/>
      <c r="O6175" s="337"/>
      <c r="P6175" s="5" t="str">
        <f t="shared" si="144"/>
        <v>Truncate table BCPY85;</v>
      </c>
      <c r="Q6175" s="389" t="s">
        <v>1442</v>
      </c>
      <c r="R6175" s="337"/>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c r="CW6175"/>
      <c r="CX6175"/>
      <c r="CY6175"/>
      <c r="CZ6175"/>
      <c r="DA6175"/>
      <c r="DB6175"/>
      <c r="DC6175"/>
      <c r="DD6175"/>
      <c r="DE6175"/>
      <c r="DF6175"/>
      <c r="DG6175"/>
      <c r="DH6175"/>
      <c r="DI6175"/>
      <c r="DJ6175"/>
      <c r="DK6175"/>
      <c r="DL6175"/>
      <c r="DM6175"/>
      <c r="DN6175"/>
      <c r="DO6175"/>
      <c r="DP6175"/>
      <c r="DQ6175"/>
      <c r="DR6175"/>
      <c r="DS6175"/>
      <c r="DT6175"/>
      <c r="DU6175"/>
      <c r="DV6175"/>
      <c r="DW6175"/>
      <c r="DX6175"/>
      <c r="DY6175"/>
      <c r="DZ6175"/>
      <c r="EA6175"/>
      <c r="EB6175"/>
      <c r="EC6175"/>
      <c r="ED6175"/>
      <c r="EE6175"/>
      <c r="EF6175"/>
      <c r="EG6175"/>
      <c r="EH6175"/>
      <c r="EI6175"/>
      <c r="EJ6175"/>
      <c r="EK6175"/>
      <c r="EL6175"/>
      <c r="EM6175"/>
      <c r="EN6175"/>
      <c r="EO6175"/>
      <c r="EP6175"/>
      <c r="EQ6175"/>
      <c r="ER6175"/>
      <c r="ES6175"/>
      <c r="ET6175"/>
      <c r="EU6175"/>
      <c r="EV6175"/>
      <c r="EW6175"/>
      <c r="EX6175"/>
      <c r="EY6175"/>
      <c r="EZ6175"/>
      <c r="FA6175"/>
      <c r="FB6175"/>
      <c r="FC6175"/>
      <c r="FD6175"/>
      <c r="FE6175"/>
      <c r="FF6175"/>
      <c r="FG6175"/>
      <c r="FH6175"/>
      <c r="FI6175"/>
      <c r="FJ6175"/>
      <c r="FK6175"/>
      <c r="FL6175"/>
      <c r="FM6175"/>
      <c r="FN6175"/>
      <c r="FO6175"/>
      <c r="FP6175"/>
      <c r="FQ6175"/>
      <c r="FR6175"/>
      <c r="FS6175"/>
    </row>
    <row r="6176" spans="1:175" s="360" customFormat="1" x14ac:dyDescent="0.25">
      <c r="A6176" s="71"/>
      <c r="B6176" s="389" t="s">
        <v>10259</v>
      </c>
      <c r="C6176" s="389" t="s">
        <v>10260</v>
      </c>
      <c r="D6176" s="391" t="s">
        <v>29</v>
      </c>
      <c r="E6176" s="391" t="s">
        <v>8232</v>
      </c>
      <c r="F6176" s="392" t="s">
        <v>8227</v>
      </c>
      <c r="G6176" s="391" t="s">
        <v>35</v>
      </c>
      <c r="H6176" s="389" t="s">
        <v>12</v>
      </c>
      <c r="I6176" s="389"/>
      <c r="J6176" s="389"/>
      <c r="K6176" s="389"/>
      <c r="L6176" s="389"/>
      <c r="M6176" s="393" t="s">
        <v>8149</v>
      </c>
      <c r="N6176" s="389"/>
      <c r="O6176" s="389"/>
      <c r="P6176" s="10" t="str">
        <f t="shared" si="144"/>
        <v>Truncate table BCPY86;</v>
      </c>
      <c r="Q6176" s="389" t="s">
        <v>1442</v>
      </c>
      <c r="R6176" s="389"/>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c r="CW6176"/>
      <c r="CX6176"/>
      <c r="CY6176"/>
      <c r="CZ6176"/>
      <c r="DA6176"/>
      <c r="DB6176"/>
      <c r="DC6176"/>
      <c r="DD6176"/>
      <c r="DE6176"/>
      <c r="DF6176"/>
      <c r="DG6176"/>
      <c r="DH6176"/>
      <c r="DI6176"/>
      <c r="DJ6176"/>
      <c r="DK6176"/>
      <c r="DL6176"/>
      <c r="DM6176"/>
      <c r="DN6176"/>
      <c r="DO6176"/>
      <c r="DP6176"/>
      <c r="DQ6176"/>
      <c r="DR6176"/>
      <c r="DS6176"/>
      <c r="DT6176"/>
      <c r="DU6176"/>
      <c r="DV6176"/>
      <c r="DW6176"/>
      <c r="DX6176"/>
      <c r="DY6176"/>
      <c r="DZ6176"/>
      <c r="EA6176"/>
      <c r="EB6176"/>
      <c r="EC6176"/>
      <c r="ED6176"/>
      <c r="EE6176"/>
      <c r="EF6176"/>
      <c r="EG6176"/>
      <c r="EH6176"/>
      <c r="EI6176"/>
      <c r="EJ6176"/>
      <c r="EK6176"/>
      <c r="EL6176"/>
      <c r="EM6176"/>
      <c r="EN6176"/>
      <c r="EO6176"/>
      <c r="EP6176"/>
      <c r="EQ6176"/>
      <c r="ER6176"/>
      <c r="ES6176"/>
      <c r="ET6176"/>
      <c r="EU6176"/>
      <c r="EV6176"/>
      <c r="EW6176"/>
      <c r="EX6176"/>
      <c r="EY6176"/>
      <c r="EZ6176"/>
      <c r="FA6176"/>
      <c r="FB6176"/>
      <c r="FC6176"/>
      <c r="FD6176"/>
      <c r="FE6176"/>
      <c r="FF6176"/>
      <c r="FG6176"/>
      <c r="FH6176"/>
      <c r="FI6176"/>
      <c r="FJ6176"/>
      <c r="FK6176"/>
      <c r="FL6176"/>
      <c r="FM6176"/>
      <c r="FN6176"/>
      <c r="FO6176"/>
      <c r="FP6176"/>
      <c r="FQ6176"/>
      <c r="FR6176"/>
      <c r="FS6176"/>
    </row>
    <row r="6177" spans="2:18" x14ac:dyDescent="0.25">
      <c r="B6177" s="337" t="s">
        <v>10261</v>
      </c>
      <c r="C6177" s="337" t="s">
        <v>10262</v>
      </c>
      <c r="D6177" s="338" t="s">
        <v>29</v>
      </c>
      <c r="E6177" s="338" t="s">
        <v>8232</v>
      </c>
      <c r="F6177" s="394" t="s">
        <v>8227</v>
      </c>
      <c r="G6177" s="338" t="s">
        <v>35</v>
      </c>
      <c r="H6177" s="337" t="s">
        <v>36</v>
      </c>
      <c r="I6177" s="337"/>
      <c r="J6177" s="337"/>
      <c r="K6177" s="337"/>
      <c r="L6177" s="337"/>
      <c r="M6177" s="395" t="s">
        <v>10170</v>
      </c>
      <c r="N6177" s="337"/>
      <c r="O6177" s="337"/>
      <c r="P6177" s="5" t="str">
        <f t="shared" si="144"/>
        <v>Truncate table BCTPAQ;</v>
      </c>
      <c r="Q6177" s="337"/>
      <c r="R6177" s="337"/>
    </row>
    <row r="6178" spans="2:18" x14ac:dyDescent="0.25">
      <c r="B6178" s="337" t="s">
        <v>10263</v>
      </c>
      <c r="C6178" s="337" t="s">
        <v>10264</v>
      </c>
      <c r="D6178" s="338" t="s">
        <v>29</v>
      </c>
      <c r="E6178" s="338" t="s">
        <v>8232</v>
      </c>
      <c r="F6178" s="394" t="s">
        <v>8227</v>
      </c>
      <c r="G6178" s="338" t="s">
        <v>35</v>
      </c>
      <c r="H6178" s="337" t="s">
        <v>36</v>
      </c>
      <c r="I6178" s="337"/>
      <c r="J6178" s="337"/>
      <c r="K6178" s="337"/>
      <c r="L6178" s="337"/>
      <c r="M6178" s="395" t="s">
        <v>10170</v>
      </c>
      <c r="N6178" s="337"/>
      <c r="O6178" s="337"/>
      <c r="P6178" s="5" t="str">
        <f t="shared" si="144"/>
        <v>Truncate table BCTPER;</v>
      </c>
      <c r="Q6178" s="337"/>
      <c r="R6178" s="337"/>
    </row>
    <row r="6179" spans="2:18" x14ac:dyDescent="0.25">
      <c r="B6179" s="337" t="s">
        <v>10265</v>
      </c>
      <c r="C6179" s="337" t="s">
        <v>10266</v>
      </c>
      <c r="D6179" s="338" t="s">
        <v>29</v>
      </c>
      <c r="E6179" s="338" t="s">
        <v>8232</v>
      </c>
      <c r="F6179" s="394" t="s">
        <v>8227</v>
      </c>
      <c r="G6179" s="338" t="s">
        <v>35</v>
      </c>
      <c r="H6179" s="337" t="s">
        <v>36</v>
      </c>
      <c r="I6179" s="337"/>
      <c r="J6179" s="337"/>
      <c r="K6179" s="337"/>
      <c r="L6179" s="337"/>
      <c r="M6179" s="395" t="s">
        <v>10170</v>
      </c>
      <c r="N6179" s="337"/>
      <c r="O6179" s="337"/>
      <c r="P6179" s="5" t="str">
        <f t="shared" si="144"/>
        <v>Truncate table BCTPFI;</v>
      </c>
      <c r="Q6179" s="337"/>
      <c r="R6179" s="337"/>
    </row>
    <row r="6180" spans="2:18" x14ac:dyDescent="0.25">
      <c r="B6180" s="337" t="s">
        <v>10267</v>
      </c>
      <c r="C6180" s="337" t="s">
        <v>10268</v>
      </c>
      <c r="D6180" s="338" t="s">
        <v>29</v>
      </c>
      <c r="E6180" s="338" t="s">
        <v>8232</v>
      </c>
      <c r="F6180" s="394" t="s">
        <v>8227</v>
      </c>
      <c r="G6180" s="338" t="s">
        <v>35</v>
      </c>
      <c r="H6180" s="337" t="s">
        <v>36</v>
      </c>
      <c r="I6180" s="337"/>
      <c r="J6180" s="337"/>
      <c r="K6180" s="337"/>
      <c r="L6180" s="337"/>
      <c r="M6180" s="395" t="s">
        <v>10170</v>
      </c>
      <c r="N6180" s="337"/>
      <c r="O6180" s="337"/>
      <c r="P6180" s="5" t="str">
        <f t="shared" si="144"/>
        <v>Truncate table BCTPRE;</v>
      </c>
      <c r="Q6180" s="337"/>
      <c r="R6180" s="337"/>
    </row>
    <row r="6181" spans="2:18" x14ac:dyDescent="0.25">
      <c r="B6181" s="338" t="s">
        <v>10269</v>
      </c>
      <c r="C6181" s="338" t="s">
        <v>10270</v>
      </c>
      <c r="D6181" s="338" t="s">
        <v>29</v>
      </c>
      <c r="E6181" s="338" t="s">
        <v>8232</v>
      </c>
      <c r="F6181" s="394" t="s">
        <v>8227</v>
      </c>
      <c r="G6181" s="338" t="s">
        <v>35</v>
      </c>
      <c r="H6181" s="337" t="s">
        <v>36</v>
      </c>
      <c r="I6181" s="337"/>
      <c r="J6181" s="337"/>
      <c r="K6181" s="337"/>
      <c r="L6181" s="337"/>
      <c r="M6181" s="395" t="s">
        <v>10170</v>
      </c>
      <c r="N6181" s="337"/>
      <c r="O6181" s="337"/>
      <c r="P6181" s="5" t="str">
        <f t="shared" si="144"/>
        <v>Truncate table BCTTCR;</v>
      </c>
      <c r="Q6181" s="337"/>
      <c r="R6181" s="337"/>
    </row>
    <row r="6182" spans="2:18" x14ac:dyDescent="0.25">
      <c r="B6182" s="337" t="s">
        <v>10271</v>
      </c>
      <c r="C6182" s="337" t="s">
        <v>10272</v>
      </c>
      <c r="D6182" s="338" t="s">
        <v>29</v>
      </c>
      <c r="E6182" s="337" t="s">
        <v>54</v>
      </c>
      <c r="F6182" s="337" t="s">
        <v>8241</v>
      </c>
      <c r="G6182" s="337" t="s">
        <v>35</v>
      </c>
      <c r="H6182" s="337" t="s">
        <v>36</v>
      </c>
      <c r="I6182" s="337"/>
      <c r="J6182" s="337"/>
      <c r="K6182" s="337"/>
      <c r="L6182" s="337"/>
      <c r="M6182" s="395" t="s">
        <v>10170</v>
      </c>
      <c r="N6182" s="337"/>
      <c r="O6182" s="337" t="s">
        <v>38</v>
      </c>
      <c r="P6182" s="5" t="str">
        <f t="shared" si="144"/>
        <v>Truncate table BDA001;</v>
      </c>
      <c r="Q6182" s="337"/>
      <c r="R6182" s="337"/>
    </row>
    <row r="6183" spans="2:18" x14ac:dyDescent="0.25">
      <c r="B6183" s="337" t="s">
        <v>10273</v>
      </c>
      <c r="C6183" s="337" t="s">
        <v>10274</v>
      </c>
      <c r="D6183" s="338" t="s">
        <v>29</v>
      </c>
      <c r="E6183" s="337" t="s">
        <v>54</v>
      </c>
      <c r="F6183" s="337" t="s">
        <v>8241</v>
      </c>
      <c r="G6183" s="337" t="s">
        <v>35</v>
      </c>
      <c r="H6183" s="337" t="s">
        <v>36</v>
      </c>
      <c r="I6183" s="337"/>
      <c r="J6183" s="337"/>
      <c r="K6183" s="337"/>
      <c r="L6183" s="337"/>
      <c r="M6183" s="395" t="s">
        <v>10170</v>
      </c>
      <c r="N6183" s="337"/>
      <c r="O6183" s="337" t="s">
        <v>38</v>
      </c>
      <c r="P6183" s="5" t="str">
        <f t="shared" si="144"/>
        <v>Truncate table BDA002;</v>
      </c>
      <c r="Q6183" s="337"/>
      <c r="R6183" s="337"/>
    </row>
    <row r="6184" spans="2:18" x14ac:dyDescent="0.25">
      <c r="B6184" s="337" t="s">
        <v>10275</v>
      </c>
      <c r="C6184" s="337" t="s">
        <v>10276</v>
      </c>
      <c r="D6184" s="338" t="s">
        <v>29</v>
      </c>
      <c r="E6184" s="337" t="s">
        <v>54</v>
      </c>
      <c r="F6184" s="337" t="s">
        <v>8241</v>
      </c>
      <c r="G6184" s="337" t="s">
        <v>35</v>
      </c>
      <c r="H6184" s="337" t="s">
        <v>36</v>
      </c>
      <c r="I6184" s="337"/>
      <c r="J6184" s="337"/>
      <c r="K6184" s="337"/>
      <c r="L6184" s="337"/>
      <c r="M6184" s="395" t="s">
        <v>10170</v>
      </c>
      <c r="N6184" s="337"/>
      <c r="O6184" s="337" t="s">
        <v>38</v>
      </c>
      <c r="P6184" s="5" t="str">
        <f t="shared" si="144"/>
        <v>Truncate table BDA003;</v>
      </c>
      <c r="Q6184" s="337"/>
      <c r="R6184" s="337"/>
    </row>
    <row r="6185" spans="2:18" x14ac:dyDescent="0.25">
      <c r="B6185" s="337" t="s">
        <v>10277</v>
      </c>
      <c r="C6185" s="337" t="s">
        <v>10278</v>
      </c>
      <c r="D6185" s="338" t="s">
        <v>29</v>
      </c>
      <c r="E6185" s="337" t="s">
        <v>54</v>
      </c>
      <c r="F6185" s="337" t="s">
        <v>8241</v>
      </c>
      <c r="G6185" s="337" t="s">
        <v>35</v>
      </c>
      <c r="H6185" s="337" t="s">
        <v>36</v>
      </c>
      <c r="I6185" s="337"/>
      <c r="J6185" s="337"/>
      <c r="K6185" s="337"/>
      <c r="L6185" s="337"/>
      <c r="M6185" s="395" t="s">
        <v>10170</v>
      </c>
      <c r="N6185" s="337"/>
      <c r="O6185" s="337" t="s">
        <v>38</v>
      </c>
      <c r="P6185" s="5" t="str">
        <f t="shared" si="144"/>
        <v>Truncate table BDA004;</v>
      </c>
      <c r="Q6185" s="337"/>
      <c r="R6185" s="337"/>
    </row>
    <row r="6186" spans="2:18" x14ac:dyDescent="0.25">
      <c r="B6186" s="337" t="s">
        <v>10279</v>
      </c>
      <c r="C6186" s="337" t="s">
        <v>10280</v>
      </c>
      <c r="D6186" s="338" t="s">
        <v>29</v>
      </c>
      <c r="E6186" s="337" t="s">
        <v>54</v>
      </c>
      <c r="F6186" s="337" t="s">
        <v>8241</v>
      </c>
      <c r="G6186" s="337" t="s">
        <v>35</v>
      </c>
      <c r="H6186" s="337" t="s">
        <v>36</v>
      </c>
      <c r="I6186" s="337"/>
      <c r="J6186" s="337"/>
      <c r="K6186" s="337"/>
      <c r="L6186" s="337"/>
      <c r="M6186" s="395" t="s">
        <v>10170</v>
      </c>
      <c r="N6186" s="337"/>
      <c r="O6186" s="337" t="s">
        <v>38</v>
      </c>
      <c r="P6186" s="5" t="str">
        <f t="shared" si="144"/>
        <v>Truncate table BDA005;</v>
      </c>
      <c r="Q6186" s="337"/>
      <c r="R6186" s="337"/>
    </row>
    <row r="6187" spans="2:18" x14ac:dyDescent="0.25">
      <c r="B6187" s="337" t="s">
        <v>10281</v>
      </c>
      <c r="C6187" s="337" t="s">
        <v>10282</v>
      </c>
      <c r="D6187" s="338" t="s">
        <v>29</v>
      </c>
      <c r="E6187" s="337" t="s">
        <v>54</v>
      </c>
      <c r="F6187" s="337" t="s">
        <v>8241</v>
      </c>
      <c r="G6187" s="337" t="s">
        <v>35</v>
      </c>
      <c r="H6187" s="337" t="s">
        <v>36</v>
      </c>
      <c r="I6187" s="337"/>
      <c r="J6187" s="337"/>
      <c r="K6187" s="337"/>
      <c r="L6187" s="337"/>
      <c r="M6187" s="395" t="s">
        <v>10170</v>
      </c>
      <c r="N6187" s="337"/>
      <c r="O6187" s="337" t="s">
        <v>38</v>
      </c>
      <c r="P6187" s="5" t="str">
        <f t="shared" si="144"/>
        <v>Truncate table BDA006;</v>
      </c>
      <c r="Q6187" s="337"/>
      <c r="R6187" s="337"/>
    </row>
    <row r="6188" spans="2:18" x14ac:dyDescent="0.25">
      <c r="B6188" s="337" t="s">
        <v>10283</v>
      </c>
      <c r="C6188" s="337" t="s">
        <v>10284</v>
      </c>
      <c r="D6188" s="338" t="s">
        <v>29</v>
      </c>
      <c r="E6188" s="337" t="s">
        <v>54</v>
      </c>
      <c r="F6188" s="337" t="s">
        <v>8241</v>
      </c>
      <c r="G6188" s="337" t="s">
        <v>35</v>
      </c>
      <c r="H6188" s="337" t="s">
        <v>36</v>
      </c>
      <c r="I6188" s="337"/>
      <c r="J6188" s="337"/>
      <c r="K6188" s="337"/>
      <c r="L6188" s="337"/>
      <c r="M6188" s="395" t="s">
        <v>10170</v>
      </c>
      <c r="N6188" s="337"/>
      <c r="O6188" s="337" t="s">
        <v>38</v>
      </c>
      <c r="P6188" s="5" t="str">
        <f t="shared" si="144"/>
        <v>Truncate table BDA007;</v>
      </c>
      <c r="Q6188" s="337"/>
      <c r="R6188" s="337"/>
    </row>
    <row r="6189" spans="2:18" x14ac:dyDescent="0.25">
      <c r="B6189" s="337" t="s">
        <v>10285</v>
      </c>
      <c r="C6189" s="337" t="s">
        <v>10286</v>
      </c>
      <c r="D6189" s="338" t="s">
        <v>29</v>
      </c>
      <c r="E6189" s="337" t="s">
        <v>54</v>
      </c>
      <c r="F6189" s="337" t="s">
        <v>8241</v>
      </c>
      <c r="G6189" s="337" t="s">
        <v>35</v>
      </c>
      <c r="H6189" s="337" t="s">
        <v>36</v>
      </c>
      <c r="I6189" s="337"/>
      <c r="J6189" s="337"/>
      <c r="K6189" s="337"/>
      <c r="L6189" s="337"/>
      <c r="M6189" s="395" t="s">
        <v>10170</v>
      </c>
      <c r="N6189" s="337"/>
      <c r="O6189" s="337" t="s">
        <v>38</v>
      </c>
      <c r="P6189" s="5" t="str">
        <f t="shared" si="144"/>
        <v>Truncate table BDA008;</v>
      </c>
      <c r="Q6189" s="337"/>
      <c r="R6189" s="337"/>
    </row>
    <row r="6190" spans="2:18" x14ac:dyDescent="0.25">
      <c r="B6190" s="337" t="s">
        <v>10287</v>
      </c>
      <c r="C6190" s="337" t="s">
        <v>10288</v>
      </c>
      <c r="D6190" s="337" t="s">
        <v>10206</v>
      </c>
      <c r="E6190" s="337" t="s">
        <v>428</v>
      </c>
      <c r="F6190" s="337" t="s">
        <v>8217</v>
      </c>
      <c r="G6190" s="337" t="s">
        <v>35</v>
      </c>
      <c r="H6190" s="337" t="s">
        <v>36</v>
      </c>
      <c r="I6190" s="71"/>
      <c r="J6190" s="71"/>
      <c r="K6190" s="337"/>
      <c r="L6190" s="337"/>
      <c r="M6190" s="396" t="s">
        <v>10170</v>
      </c>
      <c r="N6190" s="337"/>
      <c r="O6190" s="337"/>
      <c r="P6190" s="5" t="str">
        <f t="shared" si="144"/>
        <v/>
      </c>
      <c r="Q6190" s="337"/>
      <c r="R6190" s="337"/>
    </row>
    <row r="6191" spans="2:18" x14ac:dyDescent="0.25">
      <c r="B6191" s="337" t="s">
        <v>10289</v>
      </c>
      <c r="C6191" s="337" t="s">
        <v>10290</v>
      </c>
      <c r="D6191" s="337" t="s">
        <v>10206</v>
      </c>
      <c r="E6191" s="337" t="s">
        <v>428</v>
      </c>
      <c r="F6191" s="337" t="s">
        <v>8217</v>
      </c>
      <c r="G6191" s="337" t="s">
        <v>35</v>
      </c>
      <c r="H6191" s="337" t="s">
        <v>36</v>
      </c>
      <c r="I6191" s="71"/>
      <c r="J6191" s="71"/>
      <c r="K6191" s="337"/>
      <c r="L6191" s="337"/>
      <c r="M6191" s="396" t="s">
        <v>10170</v>
      </c>
      <c r="N6191" s="337"/>
      <c r="O6191" s="337"/>
      <c r="P6191" s="5" t="str">
        <f t="shared" si="144"/>
        <v/>
      </c>
      <c r="Q6191" s="337"/>
      <c r="R6191" s="337"/>
    </row>
    <row r="6192" spans="2:18" x14ac:dyDescent="0.25">
      <c r="B6192" s="337" t="s">
        <v>10291</v>
      </c>
      <c r="C6192" s="337" t="s">
        <v>10292</v>
      </c>
      <c r="D6192" s="337" t="s">
        <v>29</v>
      </c>
      <c r="E6192" s="337" t="s">
        <v>428</v>
      </c>
      <c r="F6192" s="337" t="s">
        <v>8217</v>
      </c>
      <c r="G6192" s="337" t="s">
        <v>35</v>
      </c>
      <c r="H6192" s="337" t="s">
        <v>36</v>
      </c>
      <c r="I6192" s="71"/>
      <c r="J6192" s="71"/>
      <c r="K6192" s="337"/>
      <c r="L6192" s="337"/>
      <c r="M6192" s="396" t="s">
        <v>10170</v>
      </c>
      <c r="N6192" s="337"/>
      <c r="O6192" s="337"/>
      <c r="P6192" s="5" t="str">
        <f t="shared" si="144"/>
        <v>Truncate table BTC102;</v>
      </c>
      <c r="Q6192" s="337"/>
      <c r="R6192" s="337"/>
    </row>
    <row r="6193" spans="2:18" x14ac:dyDescent="0.25">
      <c r="B6193" s="337" t="s">
        <v>10293</v>
      </c>
      <c r="C6193" s="337" t="s">
        <v>10294</v>
      </c>
      <c r="D6193" s="337" t="s">
        <v>29</v>
      </c>
      <c r="E6193" s="337" t="s">
        <v>428</v>
      </c>
      <c r="F6193" s="337" t="s">
        <v>8217</v>
      </c>
      <c r="G6193" s="337" t="s">
        <v>35</v>
      </c>
      <c r="H6193" s="337" t="s">
        <v>36</v>
      </c>
      <c r="I6193" s="71"/>
      <c r="J6193" s="71"/>
      <c r="K6193" s="337"/>
      <c r="L6193" s="337"/>
      <c r="M6193" s="396" t="s">
        <v>10170</v>
      </c>
      <c r="N6193" s="337"/>
      <c r="O6193" s="337"/>
      <c r="P6193" s="5" t="str">
        <f t="shared" si="144"/>
        <v>Truncate table BTC103;</v>
      </c>
      <c r="Q6193" s="337"/>
      <c r="R6193" s="337"/>
    </row>
    <row r="6194" spans="2:18" x14ac:dyDescent="0.25">
      <c r="B6194" s="337" t="s">
        <v>10295</v>
      </c>
      <c r="C6194" s="337" t="s">
        <v>10296</v>
      </c>
      <c r="D6194" s="337" t="s">
        <v>10206</v>
      </c>
      <c r="E6194" s="337" t="s">
        <v>428</v>
      </c>
      <c r="F6194" s="337" t="s">
        <v>8217</v>
      </c>
      <c r="G6194" s="337" t="s">
        <v>35</v>
      </c>
      <c r="H6194" s="337" t="s">
        <v>36</v>
      </c>
      <c r="I6194" s="71"/>
      <c r="J6194" s="71"/>
      <c r="K6194" s="337"/>
      <c r="L6194" s="337"/>
      <c r="M6194" s="395" t="s">
        <v>10170</v>
      </c>
      <c r="N6194" s="337"/>
      <c r="O6194" s="337"/>
      <c r="P6194" s="5" t="str">
        <f t="shared" si="144"/>
        <v/>
      </c>
      <c r="Q6194" s="337"/>
      <c r="R6194" s="337"/>
    </row>
    <row r="6195" spans="2:18" x14ac:dyDescent="0.25">
      <c r="B6195" s="337" t="s">
        <v>10297</v>
      </c>
      <c r="C6195" s="337" t="s">
        <v>2459</v>
      </c>
      <c r="D6195" s="337" t="s">
        <v>10206</v>
      </c>
      <c r="E6195" s="337" t="s">
        <v>428</v>
      </c>
      <c r="F6195" s="337" t="s">
        <v>8217</v>
      </c>
      <c r="G6195" s="337" t="s">
        <v>35</v>
      </c>
      <c r="H6195" s="337" t="s">
        <v>36</v>
      </c>
      <c r="I6195" s="71"/>
      <c r="J6195" s="71"/>
      <c r="K6195" s="337"/>
      <c r="L6195" s="337"/>
      <c r="M6195" s="395" t="s">
        <v>10170</v>
      </c>
      <c r="N6195" s="337"/>
      <c r="O6195" s="337"/>
      <c r="P6195" s="5" t="str">
        <f t="shared" si="144"/>
        <v/>
      </c>
      <c r="Q6195" s="337"/>
      <c r="R6195" s="337"/>
    </row>
    <row r="6196" spans="2:18" x14ac:dyDescent="0.25">
      <c r="B6196" s="389" t="s">
        <v>10298</v>
      </c>
      <c r="C6196" s="389" t="s">
        <v>10299</v>
      </c>
      <c r="D6196" s="389" t="s">
        <v>10206</v>
      </c>
      <c r="E6196" s="389" t="s">
        <v>428</v>
      </c>
      <c r="F6196" s="389" t="s">
        <v>8217</v>
      </c>
      <c r="G6196" s="389" t="s">
        <v>35</v>
      </c>
      <c r="H6196" s="389" t="s">
        <v>36</v>
      </c>
      <c r="I6196" s="71"/>
      <c r="J6196" s="71"/>
      <c r="K6196" s="389"/>
      <c r="L6196" s="389"/>
      <c r="M6196" s="395" t="s">
        <v>10170</v>
      </c>
      <c r="N6196" s="389"/>
      <c r="O6196" s="389"/>
      <c r="P6196" s="10" t="str">
        <f t="shared" si="144"/>
        <v/>
      </c>
      <c r="Q6196" s="389"/>
      <c r="R6196" s="389"/>
    </row>
    <row r="6197" spans="2:18" x14ac:dyDescent="0.25">
      <c r="B6197" s="337" t="s">
        <v>10300</v>
      </c>
      <c r="C6197" s="337" t="s">
        <v>10301</v>
      </c>
      <c r="D6197" s="337" t="s">
        <v>10206</v>
      </c>
      <c r="E6197" s="389" t="s">
        <v>428</v>
      </c>
      <c r="F6197" s="389" t="s">
        <v>8217</v>
      </c>
      <c r="G6197" s="389" t="s">
        <v>35</v>
      </c>
      <c r="H6197" s="389" t="s">
        <v>36</v>
      </c>
      <c r="I6197" s="337"/>
      <c r="J6197" s="337"/>
      <c r="K6197" s="337"/>
      <c r="L6197" s="337"/>
      <c r="M6197" s="395" t="s">
        <v>10170</v>
      </c>
      <c r="N6197" s="337"/>
      <c r="O6197" s="337"/>
      <c r="P6197" s="5" t="str">
        <f t="shared" si="144"/>
        <v/>
      </c>
      <c r="Q6197" s="337"/>
      <c r="R6197" s="337"/>
    </row>
    <row r="6198" spans="2:18" x14ac:dyDescent="0.25">
      <c r="B6198" s="337" t="s">
        <v>10302</v>
      </c>
      <c r="C6198" s="337" t="s">
        <v>10303</v>
      </c>
      <c r="D6198" s="337" t="s">
        <v>10206</v>
      </c>
      <c r="E6198" s="389" t="s">
        <v>428</v>
      </c>
      <c r="F6198" s="389" t="s">
        <v>8217</v>
      </c>
      <c r="G6198" s="389" t="s">
        <v>35</v>
      </c>
      <c r="H6198" s="389" t="s">
        <v>36</v>
      </c>
      <c r="I6198" s="337"/>
      <c r="J6198" s="337"/>
      <c r="K6198" s="337"/>
      <c r="L6198" s="337"/>
      <c r="M6198" s="395" t="s">
        <v>10170</v>
      </c>
      <c r="N6198" s="337"/>
      <c r="O6198" s="337"/>
      <c r="P6198" s="5" t="str">
        <f t="shared" si="144"/>
        <v/>
      </c>
      <c r="Q6198" s="337"/>
      <c r="R6198" s="337"/>
    </row>
    <row r="6199" spans="2:18" x14ac:dyDescent="0.25">
      <c r="B6199" s="337" t="s">
        <v>10304</v>
      </c>
      <c r="C6199" s="337" t="s">
        <v>10305</v>
      </c>
      <c r="D6199" s="337" t="s">
        <v>29</v>
      </c>
      <c r="E6199" s="389" t="s">
        <v>428</v>
      </c>
      <c r="F6199" s="389" t="s">
        <v>8217</v>
      </c>
      <c r="G6199" s="389" t="s">
        <v>35</v>
      </c>
      <c r="H6199" s="389" t="s">
        <v>36</v>
      </c>
      <c r="I6199" s="337"/>
      <c r="J6199" s="337"/>
      <c r="K6199" s="337"/>
      <c r="L6199" s="337"/>
      <c r="M6199" s="395" t="s">
        <v>10170</v>
      </c>
      <c r="N6199" s="337"/>
      <c r="O6199" s="337"/>
      <c r="P6199" s="5" t="str">
        <f t="shared" si="144"/>
        <v>Truncate table BTCM01;</v>
      </c>
      <c r="Q6199" s="337"/>
      <c r="R6199" s="337"/>
    </row>
    <row r="6200" spans="2:18" x14ac:dyDescent="0.25">
      <c r="B6200" s="337" t="s">
        <v>10306</v>
      </c>
      <c r="C6200" s="337" t="s">
        <v>10307</v>
      </c>
      <c r="D6200" s="337" t="s">
        <v>29</v>
      </c>
      <c r="E6200" s="389" t="s">
        <v>428</v>
      </c>
      <c r="F6200" s="389" t="s">
        <v>8217</v>
      </c>
      <c r="G6200" s="389" t="s">
        <v>35</v>
      </c>
      <c r="H6200" s="389" t="s">
        <v>36</v>
      </c>
      <c r="I6200" s="337"/>
      <c r="J6200" s="337"/>
      <c r="K6200" s="337"/>
      <c r="L6200" s="337"/>
      <c r="M6200" s="395" t="s">
        <v>10170</v>
      </c>
      <c r="N6200" s="337"/>
      <c r="O6200" s="337"/>
      <c r="P6200" s="5" t="str">
        <f t="shared" si="144"/>
        <v>Truncate table BTCM02;</v>
      </c>
      <c r="Q6200" s="337"/>
      <c r="R6200" s="337"/>
    </row>
    <row r="6201" spans="2:18" x14ac:dyDescent="0.25">
      <c r="B6201" s="337" t="s">
        <v>10308</v>
      </c>
      <c r="C6201" s="337" t="s">
        <v>10309</v>
      </c>
      <c r="D6201" s="337" t="s">
        <v>29</v>
      </c>
      <c r="E6201" s="389" t="s">
        <v>428</v>
      </c>
      <c r="F6201" s="389" t="s">
        <v>8217</v>
      </c>
      <c r="G6201" s="389" t="s">
        <v>35</v>
      </c>
      <c r="H6201" s="389" t="s">
        <v>36</v>
      </c>
      <c r="I6201" s="337"/>
      <c r="J6201" s="337"/>
      <c r="K6201" s="337"/>
      <c r="L6201" s="337"/>
      <c r="M6201" s="395" t="s">
        <v>10170</v>
      </c>
      <c r="N6201" s="337"/>
      <c r="O6201" s="337"/>
      <c r="P6201" s="5" t="str">
        <f t="shared" si="144"/>
        <v>Truncate table BTCM03;</v>
      </c>
      <c r="Q6201" s="337"/>
      <c r="R6201" s="337"/>
    </row>
    <row r="6202" spans="2:18" x14ac:dyDescent="0.25">
      <c r="B6202" s="337" t="s">
        <v>10310</v>
      </c>
      <c r="C6202" s="337" t="s">
        <v>10311</v>
      </c>
      <c r="D6202" s="337" t="s">
        <v>29</v>
      </c>
      <c r="E6202" s="389" t="s">
        <v>428</v>
      </c>
      <c r="F6202" s="389" t="s">
        <v>8217</v>
      </c>
      <c r="G6202" s="389" t="s">
        <v>35</v>
      </c>
      <c r="H6202" s="389" t="s">
        <v>36</v>
      </c>
      <c r="I6202" s="337"/>
      <c r="J6202" s="337"/>
      <c r="K6202" s="337"/>
      <c r="L6202" s="337"/>
      <c r="M6202" s="395" t="s">
        <v>10170</v>
      </c>
      <c r="N6202" s="337"/>
      <c r="O6202" s="337"/>
      <c r="P6202" s="5" t="str">
        <f t="shared" si="144"/>
        <v>Truncate table BTCM05;</v>
      </c>
      <c r="Q6202" s="337"/>
      <c r="R6202" s="337"/>
    </row>
    <row r="6203" spans="2:18" x14ac:dyDescent="0.25">
      <c r="B6203" s="337" t="s">
        <v>10312</v>
      </c>
      <c r="C6203" s="337" t="s">
        <v>10313</v>
      </c>
      <c r="D6203" s="337" t="s">
        <v>29</v>
      </c>
      <c r="E6203" s="389" t="s">
        <v>428</v>
      </c>
      <c r="F6203" s="389" t="s">
        <v>8217</v>
      </c>
      <c r="G6203" s="389" t="s">
        <v>35</v>
      </c>
      <c r="H6203" s="389" t="s">
        <v>36</v>
      </c>
      <c r="I6203" s="337"/>
      <c r="J6203" s="337"/>
      <c r="K6203" s="337"/>
      <c r="L6203" s="337"/>
      <c r="M6203" s="395" t="s">
        <v>10170</v>
      </c>
      <c r="N6203" s="337"/>
      <c r="O6203" s="337"/>
      <c r="P6203" s="5" t="str">
        <f t="shared" si="144"/>
        <v>Truncate table BTCM06;</v>
      </c>
      <c r="Q6203" s="337"/>
      <c r="R6203" s="337"/>
    </row>
    <row r="6204" spans="2:18" x14ac:dyDescent="0.25">
      <c r="B6204" s="337" t="s">
        <v>10314</v>
      </c>
      <c r="C6204" s="337" t="s">
        <v>10315</v>
      </c>
      <c r="D6204" s="337" t="s">
        <v>29</v>
      </c>
      <c r="E6204" s="389" t="s">
        <v>428</v>
      </c>
      <c r="F6204" s="389" t="s">
        <v>8217</v>
      </c>
      <c r="G6204" s="389" t="s">
        <v>35</v>
      </c>
      <c r="H6204" s="389" t="s">
        <v>36</v>
      </c>
      <c r="I6204" s="337"/>
      <c r="J6204" s="337"/>
      <c r="K6204" s="337"/>
      <c r="L6204" s="337"/>
      <c r="M6204" s="395" t="s">
        <v>10170</v>
      </c>
      <c r="N6204" s="337"/>
      <c r="O6204" s="337"/>
      <c r="P6204" s="5" t="str">
        <f t="shared" si="144"/>
        <v>Truncate table BTCM10;</v>
      </c>
      <c r="Q6204" s="337"/>
      <c r="R6204" s="337"/>
    </row>
    <row r="6205" spans="2:18" x14ac:dyDescent="0.25">
      <c r="B6205" s="337" t="s">
        <v>10316</v>
      </c>
      <c r="C6205" s="337" t="s">
        <v>10317</v>
      </c>
      <c r="D6205" s="337" t="s">
        <v>29</v>
      </c>
      <c r="E6205" s="389" t="s">
        <v>428</v>
      </c>
      <c r="F6205" s="389" t="s">
        <v>8217</v>
      </c>
      <c r="G6205" s="389" t="s">
        <v>35</v>
      </c>
      <c r="H6205" s="389" t="s">
        <v>36</v>
      </c>
      <c r="I6205" s="337"/>
      <c r="J6205" s="337"/>
      <c r="K6205" s="337"/>
      <c r="L6205" s="337"/>
      <c r="M6205" s="395" t="s">
        <v>10170</v>
      </c>
      <c r="N6205" s="337"/>
      <c r="O6205" s="337"/>
      <c r="P6205" s="5" t="str">
        <f t="shared" si="144"/>
        <v>Truncate table BTCM11;</v>
      </c>
      <c r="Q6205" s="337"/>
      <c r="R6205" s="337"/>
    </row>
    <row r="6206" spans="2:18" x14ac:dyDescent="0.25">
      <c r="B6206" s="337" t="s">
        <v>10318</v>
      </c>
      <c r="C6206" s="337" t="s">
        <v>10319</v>
      </c>
      <c r="D6206" s="337" t="s">
        <v>29</v>
      </c>
      <c r="E6206" s="389" t="s">
        <v>428</v>
      </c>
      <c r="F6206" s="389" t="s">
        <v>8217</v>
      </c>
      <c r="G6206" s="389" t="s">
        <v>35</v>
      </c>
      <c r="H6206" s="389" t="s">
        <v>36</v>
      </c>
      <c r="I6206" s="337"/>
      <c r="J6206" s="337"/>
      <c r="K6206" s="337"/>
      <c r="L6206" s="337"/>
      <c r="M6206" s="395" t="s">
        <v>10170</v>
      </c>
      <c r="N6206" s="337"/>
      <c r="O6206" s="337"/>
      <c r="P6206" s="5" t="str">
        <f t="shared" si="144"/>
        <v>Truncate table BTCNL01;</v>
      </c>
      <c r="Q6206" s="337"/>
      <c r="R6206" s="337"/>
    </row>
    <row r="6207" spans="2:18" x14ac:dyDescent="0.25">
      <c r="B6207" s="337" t="s">
        <v>10320</v>
      </c>
      <c r="C6207" s="337" t="s">
        <v>10321</v>
      </c>
      <c r="D6207" s="337" t="s">
        <v>10206</v>
      </c>
      <c r="E6207" s="389" t="s">
        <v>428</v>
      </c>
      <c r="F6207" s="389" t="s">
        <v>8217</v>
      </c>
      <c r="G6207" s="389" t="s">
        <v>35</v>
      </c>
      <c r="H6207" s="389" t="s">
        <v>36</v>
      </c>
      <c r="I6207" s="337"/>
      <c r="J6207" s="337"/>
      <c r="K6207" s="337"/>
      <c r="L6207" s="337"/>
      <c r="M6207" s="395" t="s">
        <v>10170</v>
      </c>
      <c r="N6207" s="337"/>
      <c r="O6207" s="337"/>
      <c r="P6207" s="5" t="str">
        <f t="shared" si="144"/>
        <v/>
      </c>
      <c r="Q6207" s="337"/>
      <c r="R6207" s="337"/>
    </row>
    <row r="6208" spans="2:18" x14ac:dyDescent="0.25">
      <c r="B6208" s="337" t="s">
        <v>10322</v>
      </c>
      <c r="C6208" s="337" t="s">
        <v>10323</v>
      </c>
      <c r="D6208" s="337" t="s">
        <v>29</v>
      </c>
      <c r="E6208" s="389" t="s">
        <v>428</v>
      </c>
      <c r="F6208" s="389" t="s">
        <v>8217</v>
      </c>
      <c r="G6208" s="389" t="s">
        <v>35</v>
      </c>
      <c r="H6208" s="389" t="s">
        <v>36</v>
      </c>
      <c r="I6208" s="337"/>
      <c r="J6208" s="337"/>
      <c r="K6208" s="337"/>
      <c r="L6208" s="337"/>
      <c r="M6208" s="395" t="s">
        <v>10170</v>
      </c>
      <c r="N6208" s="337"/>
      <c r="O6208" s="337"/>
      <c r="P6208" s="5" t="str">
        <f t="shared" si="144"/>
        <v>Truncate table BTI015;</v>
      </c>
      <c r="Q6208" s="337"/>
      <c r="R6208" s="337"/>
    </row>
    <row r="6209" spans="2:18" x14ac:dyDescent="0.25">
      <c r="B6209" s="337" t="s">
        <v>10324</v>
      </c>
      <c r="C6209" s="337" t="s">
        <v>10325</v>
      </c>
      <c r="D6209" s="337" t="s">
        <v>29</v>
      </c>
      <c r="E6209" s="389" t="s">
        <v>428</v>
      </c>
      <c r="F6209" s="389" t="s">
        <v>8217</v>
      </c>
      <c r="G6209" s="389" t="s">
        <v>35</v>
      </c>
      <c r="H6209" s="389" t="s">
        <v>36</v>
      </c>
      <c r="I6209" s="337"/>
      <c r="J6209" s="337"/>
      <c r="K6209" s="337"/>
      <c r="L6209" s="337"/>
      <c r="M6209" s="395" t="s">
        <v>10170</v>
      </c>
      <c r="N6209" s="337"/>
      <c r="O6209" s="337"/>
      <c r="P6209" s="5" t="str">
        <f t="shared" si="144"/>
        <v>Truncate table BTI016;</v>
      </c>
      <c r="Q6209" s="337"/>
      <c r="R6209" s="337"/>
    </row>
    <row r="6210" spans="2:18" x14ac:dyDescent="0.25">
      <c r="B6210" s="337" t="s">
        <v>10326</v>
      </c>
      <c r="C6210" s="337" t="s">
        <v>10327</v>
      </c>
      <c r="D6210" s="337" t="s">
        <v>10206</v>
      </c>
      <c r="E6210" s="389" t="s">
        <v>428</v>
      </c>
      <c r="F6210" s="389" t="s">
        <v>8217</v>
      </c>
      <c r="G6210" s="389" t="s">
        <v>35</v>
      </c>
      <c r="H6210" s="389" t="s">
        <v>36</v>
      </c>
      <c r="I6210" s="337"/>
      <c r="J6210" s="337"/>
      <c r="K6210" s="337"/>
      <c r="L6210" s="337"/>
      <c r="M6210" s="395" t="s">
        <v>10170</v>
      </c>
      <c r="N6210" s="337"/>
      <c r="O6210" s="337"/>
      <c r="P6210" s="5" t="str">
        <f t="shared" si="144"/>
        <v/>
      </c>
      <c r="Q6210" s="337"/>
      <c r="R6210" s="337"/>
    </row>
    <row r="6211" spans="2:18" x14ac:dyDescent="0.25">
      <c r="B6211" s="337" t="s">
        <v>10328</v>
      </c>
      <c r="C6211" s="337" t="s">
        <v>10329</v>
      </c>
      <c r="D6211" s="337" t="s">
        <v>10206</v>
      </c>
      <c r="E6211" s="389" t="s">
        <v>428</v>
      </c>
      <c r="F6211" s="389" t="s">
        <v>8217</v>
      </c>
      <c r="G6211" s="389" t="s">
        <v>35</v>
      </c>
      <c r="H6211" s="389" t="s">
        <v>36</v>
      </c>
      <c r="I6211" s="337"/>
      <c r="J6211" s="337"/>
      <c r="K6211" s="337"/>
      <c r="L6211" s="337"/>
      <c r="M6211" s="395" t="s">
        <v>10170</v>
      </c>
      <c r="N6211" s="337"/>
      <c r="O6211" s="337"/>
      <c r="P6211" s="5" t="str">
        <f t="shared" si="144"/>
        <v/>
      </c>
      <c r="Q6211" s="337"/>
      <c r="R6211" s="337"/>
    </row>
    <row r="6212" spans="2:18" x14ac:dyDescent="0.25">
      <c r="B6212" s="337" t="s">
        <v>10330</v>
      </c>
      <c r="C6212" s="337" t="s">
        <v>10331</v>
      </c>
      <c r="D6212" s="337" t="s">
        <v>10206</v>
      </c>
      <c r="E6212" s="389" t="s">
        <v>428</v>
      </c>
      <c r="F6212" s="389" t="s">
        <v>8217</v>
      </c>
      <c r="G6212" s="389" t="s">
        <v>35</v>
      </c>
      <c r="H6212" s="389" t="s">
        <v>36</v>
      </c>
      <c r="I6212" s="337"/>
      <c r="J6212" s="337"/>
      <c r="K6212" s="337"/>
      <c r="L6212" s="337"/>
      <c r="M6212" s="395" t="s">
        <v>10170</v>
      </c>
      <c r="N6212" s="337"/>
      <c r="O6212" s="337"/>
      <c r="P6212" s="5" t="str">
        <f t="shared" si="144"/>
        <v/>
      </c>
      <c r="Q6212" s="337"/>
      <c r="R6212" s="337"/>
    </row>
    <row r="6213" spans="2:18" x14ac:dyDescent="0.25">
      <c r="B6213" s="337" t="s">
        <v>10332</v>
      </c>
      <c r="C6213" s="337" t="s">
        <v>10333</v>
      </c>
      <c r="D6213" s="337" t="s">
        <v>10206</v>
      </c>
      <c r="E6213" s="389" t="s">
        <v>428</v>
      </c>
      <c r="F6213" s="389" t="s">
        <v>8217</v>
      </c>
      <c r="G6213" s="389" t="s">
        <v>35</v>
      </c>
      <c r="H6213" s="389" t="s">
        <v>36</v>
      </c>
      <c r="I6213" s="337"/>
      <c r="J6213" s="337"/>
      <c r="K6213" s="337"/>
      <c r="L6213" s="337"/>
      <c r="M6213" s="395" t="s">
        <v>10170</v>
      </c>
      <c r="N6213" s="337"/>
      <c r="O6213" s="337"/>
      <c r="P6213" s="5" t="str">
        <f t="shared" si="144"/>
        <v/>
      </c>
      <c r="Q6213" s="337"/>
      <c r="R6213" s="337"/>
    </row>
    <row r="6214" spans="2:18" x14ac:dyDescent="0.25">
      <c r="B6214" s="337" t="s">
        <v>10334</v>
      </c>
      <c r="C6214" s="337" t="s">
        <v>10335</v>
      </c>
      <c r="D6214" s="337" t="s">
        <v>29</v>
      </c>
      <c r="E6214" s="389" t="s">
        <v>428</v>
      </c>
      <c r="F6214" s="389" t="s">
        <v>8217</v>
      </c>
      <c r="G6214" s="389" t="s">
        <v>35</v>
      </c>
      <c r="H6214" s="389" t="s">
        <v>36</v>
      </c>
      <c r="I6214" s="337"/>
      <c r="J6214" s="337"/>
      <c r="K6214" s="337"/>
      <c r="L6214" s="337"/>
      <c r="M6214" s="395" t="s">
        <v>10170</v>
      </c>
      <c r="N6214" s="337"/>
      <c r="O6214" s="337"/>
      <c r="P6214" s="5" t="str">
        <f t="shared" si="144"/>
        <v>Truncate table BTI030;</v>
      </c>
      <c r="Q6214" s="337"/>
      <c r="R6214" s="337"/>
    </row>
    <row r="6215" spans="2:18" x14ac:dyDescent="0.25">
      <c r="B6215" s="337" t="s">
        <v>10336</v>
      </c>
      <c r="C6215" s="337" t="s">
        <v>10337</v>
      </c>
      <c r="D6215" s="337" t="s">
        <v>29</v>
      </c>
      <c r="E6215" s="389" t="s">
        <v>428</v>
      </c>
      <c r="F6215" s="389" t="s">
        <v>8217</v>
      </c>
      <c r="G6215" s="389" t="s">
        <v>35</v>
      </c>
      <c r="H6215" s="389" t="s">
        <v>36</v>
      </c>
      <c r="I6215" s="337"/>
      <c r="J6215" s="337"/>
      <c r="K6215" s="337"/>
      <c r="L6215" s="337"/>
      <c r="M6215" s="395" t="s">
        <v>10170</v>
      </c>
      <c r="N6215" s="337"/>
      <c r="O6215" s="337"/>
      <c r="P6215" s="5" t="str">
        <f t="shared" si="144"/>
        <v>Truncate table BTI031;</v>
      </c>
      <c r="Q6215" s="337"/>
      <c r="R6215" s="337"/>
    </row>
    <row r="6216" spans="2:18" x14ac:dyDescent="0.25">
      <c r="B6216" s="337" t="s">
        <v>10338</v>
      </c>
      <c r="C6216" s="337" t="s">
        <v>10339</v>
      </c>
      <c r="D6216" s="337" t="s">
        <v>29</v>
      </c>
      <c r="E6216" s="389" t="s">
        <v>428</v>
      </c>
      <c r="F6216" s="389" t="s">
        <v>8217</v>
      </c>
      <c r="G6216" s="389" t="s">
        <v>35</v>
      </c>
      <c r="H6216" s="389" t="s">
        <v>36</v>
      </c>
      <c r="I6216" s="337"/>
      <c r="J6216" s="337"/>
      <c r="K6216" s="337"/>
      <c r="L6216" s="337"/>
      <c r="M6216" s="395" t="s">
        <v>10170</v>
      </c>
      <c r="N6216" s="337"/>
      <c r="O6216" s="337"/>
      <c r="P6216" s="5" t="str">
        <f t="shared" si="144"/>
        <v>Truncate table BTI050;</v>
      </c>
      <c r="Q6216" s="337"/>
      <c r="R6216" s="337"/>
    </row>
    <row r="6217" spans="2:18" x14ac:dyDescent="0.25">
      <c r="B6217" s="337" t="s">
        <v>10340</v>
      </c>
      <c r="C6217" s="337" t="s">
        <v>10341</v>
      </c>
      <c r="D6217" s="337" t="s">
        <v>29</v>
      </c>
      <c r="E6217" s="389" t="s">
        <v>428</v>
      </c>
      <c r="F6217" s="389" t="s">
        <v>8217</v>
      </c>
      <c r="G6217" s="389" t="s">
        <v>35</v>
      </c>
      <c r="H6217" s="389" t="s">
        <v>36</v>
      </c>
      <c r="I6217" s="337"/>
      <c r="J6217" s="337"/>
      <c r="K6217" s="337"/>
      <c r="L6217" s="337"/>
      <c r="M6217" s="395" t="s">
        <v>10170</v>
      </c>
      <c r="N6217" s="337"/>
      <c r="O6217" s="337"/>
      <c r="P6217" s="5" t="str">
        <f t="shared" si="144"/>
        <v>Truncate table BTI051;</v>
      </c>
      <c r="Q6217" s="337"/>
      <c r="R6217" s="337"/>
    </row>
    <row r="6218" spans="2:18" x14ac:dyDescent="0.25">
      <c r="B6218" s="337" t="s">
        <v>10342</v>
      </c>
      <c r="C6218" s="337" t="s">
        <v>10343</v>
      </c>
      <c r="D6218" s="337" t="s">
        <v>29</v>
      </c>
      <c r="E6218" s="389" t="s">
        <v>428</v>
      </c>
      <c r="F6218" s="389" t="s">
        <v>8217</v>
      </c>
      <c r="G6218" s="389" t="s">
        <v>35</v>
      </c>
      <c r="H6218" s="389" t="s">
        <v>36</v>
      </c>
      <c r="I6218" s="337"/>
      <c r="J6218" s="337"/>
      <c r="K6218" s="337"/>
      <c r="L6218" s="337"/>
      <c r="M6218" s="395" t="s">
        <v>10170</v>
      </c>
      <c r="N6218" s="337"/>
      <c r="O6218" s="337"/>
      <c r="P6218" s="5" t="str">
        <f t="shared" si="144"/>
        <v>Truncate table BTI052;</v>
      </c>
      <c r="Q6218" s="337"/>
      <c r="R6218" s="337"/>
    </row>
    <row r="6219" spans="2:18" x14ac:dyDescent="0.25">
      <c r="B6219" s="337" t="s">
        <v>10344</v>
      </c>
      <c r="C6219" s="337" t="s">
        <v>10345</v>
      </c>
      <c r="D6219" s="337" t="s">
        <v>29</v>
      </c>
      <c r="E6219" s="389" t="s">
        <v>428</v>
      </c>
      <c r="F6219" s="389" t="s">
        <v>8217</v>
      </c>
      <c r="G6219" s="389" t="s">
        <v>35</v>
      </c>
      <c r="H6219" s="389" t="s">
        <v>36</v>
      </c>
      <c r="I6219" s="337"/>
      <c r="J6219" s="337"/>
      <c r="K6219" s="337"/>
      <c r="L6219" s="337"/>
      <c r="M6219" s="395" t="s">
        <v>10170</v>
      </c>
      <c r="N6219" s="337"/>
      <c r="O6219" s="337"/>
      <c r="P6219" s="5" t="str">
        <f t="shared" si="144"/>
        <v>Truncate table BTI111;</v>
      </c>
      <c r="Q6219" s="337"/>
      <c r="R6219" s="337"/>
    </row>
    <row r="6220" spans="2:18" x14ac:dyDescent="0.25">
      <c r="B6220" s="337" t="s">
        <v>10346</v>
      </c>
      <c r="C6220" s="337" t="s">
        <v>10347</v>
      </c>
      <c r="D6220" s="337" t="s">
        <v>29</v>
      </c>
      <c r="E6220" s="389" t="s">
        <v>428</v>
      </c>
      <c r="F6220" s="389" t="s">
        <v>8217</v>
      </c>
      <c r="G6220" s="389" t="s">
        <v>35</v>
      </c>
      <c r="H6220" s="389" t="s">
        <v>36</v>
      </c>
      <c r="I6220" s="337"/>
      <c r="J6220" s="337"/>
      <c r="K6220" s="337"/>
      <c r="L6220" s="337"/>
      <c r="M6220" s="395" t="s">
        <v>10170</v>
      </c>
      <c r="N6220" s="337"/>
      <c r="O6220" s="337"/>
      <c r="P6220" s="5" t="str">
        <f t="shared" si="144"/>
        <v>Truncate table BTSDLH1;</v>
      </c>
      <c r="Q6220" s="337"/>
      <c r="R6220" s="337"/>
    </row>
    <row r="6221" spans="2:18" x14ac:dyDescent="0.25">
      <c r="B6221" s="337" t="s">
        <v>10348</v>
      </c>
      <c r="C6221" s="337" t="s">
        <v>10349</v>
      </c>
      <c r="D6221" s="337" t="s">
        <v>29</v>
      </c>
      <c r="E6221" s="389" t="s">
        <v>428</v>
      </c>
      <c r="F6221" s="389" t="s">
        <v>8217</v>
      </c>
      <c r="G6221" s="389" t="s">
        <v>35</v>
      </c>
      <c r="H6221" s="389" t="s">
        <v>36</v>
      </c>
      <c r="I6221" s="337"/>
      <c r="J6221" s="337"/>
      <c r="K6221" s="337"/>
      <c r="L6221" s="337"/>
      <c r="M6221" s="395" t="s">
        <v>10170</v>
      </c>
      <c r="N6221" s="337"/>
      <c r="O6221" s="337"/>
      <c r="P6221" s="5" t="str">
        <f t="shared" ref="P6221:P6280" si="146">IF(D6221="Datos","Truncate table "&amp; B6221&amp; ";","")</f>
        <v>Truncate table BTSDLI1;</v>
      </c>
      <c r="Q6221" s="337"/>
      <c r="R6221" s="337"/>
    </row>
    <row r="6222" spans="2:18" x14ac:dyDescent="0.25">
      <c r="B6222" s="337" t="s">
        <v>10350</v>
      </c>
      <c r="C6222" s="337" t="s">
        <v>10351</v>
      </c>
      <c r="D6222" s="337" t="s">
        <v>29</v>
      </c>
      <c r="E6222" s="389" t="s">
        <v>428</v>
      </c>
      <c r="F6222" s="389" t="s">
        <v>8217</v>
      </c>
      <c r="G6222" s="389" t="s">
        <v>35</v>
      </c>
      <c r="H6222" s="389" t="s">
        <v>36</v>
      </c>
      <c r="I6222" s="337"/>
      <c r="J6222" s="337"/>
      <c r="K6222" s="337"/>
      <c r="L6222" s="337"/>
      <c r="M6222" s="395" t="s">
        <v>10170</v>
      </c>
      <c r="N6222" s="337"/>
      <c r="O6222" s="337"/>
      <c r="P6222" s="5" t="str">
        <f t="shared" si="146"/>
        <v>Truncate table BTSDLI2;</v>
      </c>
      <c r="Q6222" s="337"/>
      <c r="R6222" s="337"/>
    </row>
    <row r="6223" spans="2:18" x14ac:dyDescent="0.25">
      <c r="B6223" s="337" t="s">
        <v>10352</v>
      </c>
      <c r="C6223" s="337" t="s">
        <v>10353</v>
      </c>
      <c r="D6223" s="337" t="s">
        <v>10206</v>
      </c>
      <c r="E6223" s="389" t="s">
        <v>428</v>
      </c>
      <c r="F6223" s="389" t="s">
        <v>8217</v>
      </c>
      <c r="G6223" s="389" t="s">
        <v>35</v>
      </c>
      <c r="H6223" s="389" t="s">
        <v>36</v>
      </c>
      <c r="I6223" s="337"/>
      <c r="J6223" s="337"/>
      <c r="K6223" s="337"/>
      <c r="L6223" s="337"/>
      <c r="M6223" s="395" t="s">
        <v>10170</v>
      </c>
      <c r="N6223" s="337"/>
      <c r="O6223" s="337"/>
      <c r="P6223" s="5" t="str">
        <f t="shared" si="146"/>
        <v/>
      </c>
      <c r="Q6223" s="337"/>
      <c r="R6223" s="337"/>
    </row>
    <row r="6224" spans="2:18" x14ac:dyDescent="0.25">
      <c r="B6224" s="337" t="s">
        <v>10354</v>
      </c>
      <c r="C6224" s="337" t="s">
        <v>10355</v>
      </c>
      <c r="D6224" s="337" t="s">
        <v>10206</v>
      </c>
      <c r="E6224" s="389" t="s">
        <v>428</v>
      </c>
      <c r="F6224" s="389" t="s">
        <v>8217</v>
      </c>
      <c r="G6224" s="389" t="s">
        <v>35</v>
      </c>
      <c r="H6224" s="389" t="s">
        <v>36</v>
      </c>
      <c r="I6224" s="337"/>
      <c r="J6224" s="337"/>
      <c r="K6224" s="337"/>
      <c r="L6224" s="337"/>
      <c r="M6224" s="395" t="s">
        <v>10170</v>
      </c>
      <c r="N6224" s="337"/>
      <c r="O6224" s="337"/>
      <c r="P6224" s="5" t="str">
        <f t="shared" si="146"/>
        <v/>
      </c>
      <c r="Q6224" s="337"/>
      <c r="R6224" s="337"/>
    </row>
    <row r="6225" spans="2:18" x14ac:dyDescent="0.25">
      <c r="B6225" s="337" t="s">
        <v>10356</v>
      </c>
      <c r="C6225" s="337" t="s">
        <v>10357</v>
      </c>
      <c r="D6225" s="337" t="s">
        <v>10206</v>
      </c>
      <c r="E6225" s="389" t="s">
        <v>428</v>
      </c>
      <c r="F6225" s="389" t="s">
        <v>8217</v>
      </c>
      <c r="G6225" s="389" t="s">
        <v>35</v>
      </c>
      <c r="H6225" s="389" t="s">
        <v>36</v>
      </c>
      <c r="I6225" s="337"/>
      <c r="J6225" s="337"/>
      <c r="K6225" s="337"/>
      <c r="L6225" s="337"/>
      <c r="M6225" s="395" t="s">
        <v>10170</v>
      </c>
      <c r="N6225" s="337"/>
      <c r="O6225" s="337"/>
      <c r="P6225" s="5" t="str">
        <f t="shared" si="146"/>
        <v/>
      </c>
      <c r="Q6225" s="337"/>
      <c r="R6225" s="337"/>
    </row>
    <row r="6226" spans="2:18" x14ac:dyDescent="0.25">
      <c r="B6226" s="337" t="s">
        <v>10358</v>
      </c>
      <c r="C6226" s="337" t="s">
        <v>10359</v>
      </c>
      <c r="D6226" s="337" t="s">
        <v>29</v>
      </c>
      <c r="E6226" s="389" t="s">
        <v>428</v>
      </c>
      <c r="F6226" s="389" t="s">
        <v>8217</v>
      </c>
      <c r="G6226" s="389" t="s">
        <v>35</v>
      </c>
      <c r="H6226" s="389" t="s">
        <v>36</v>
      </c>
      <c r="I6226" s="337"/>
      <c r="J6226" s="337"/>
      <c r="K6226" s="337"/>
      <c r="L6226" s="337"/>
      <c r="M6226" s="395" t="s">
        <v>10170</v>
      </c>
      <c r="N6226" s="337"/>
      <c r="O6226" s="337"/>
      <c r="P6226" s="5" t="str">
        <f t="shared" si="146"/>
        <v>Truncate table BTSDLS5;</v>
      </c>
      <c r="Q6226" s="337"/>
      <c r="R6226" s="337"/>
    </row>
    <row r="6227" spans="2:18" x14ac:dyDescent="0.25">
      <c r="B6227" s="337" t="s">
        <v>10360</v>
      </c>
      <c r="C6227" s="337" t="s">
        <v>10361</v>
      </c>
      <c r="D6227" s="337" t="s">
        <v>10206</v>
      </c>
      <c r="E6227" s="389" t="s">
        <v>428</v>
      </c>
      <c r="F6227" s="389" t="s">
        <v>8217</v>
      </c>
      <c r="G6227" s="389" t="s">
        <v>35</v>
      </c>
      <c r="H6227" s="389" t="s">
        <v>36</v>
      </c>
      <c r="I6227" s="337"/>
      <c r="J6227" s="337"/>
      <c r="K6227" s="337"/>
      <c r="L6227" s="337"/>
      <c r="M6227" s="395" t="s">
        <v>10170</v>
      </c>
      <c r="N6227" s="337"/>
      <c r="O6227" s="337"/>
      <c r="P6227" s="5" t="str">
        <f t="shared" si="146"/>
        <v/>
      </c>
      <c r="Q6227" s="337"/>
      <c r="R6227" s="337"/>
    </row>
    <row r="6228" spans="2:18" x14ac:dyDescent="0.25">
      <c r="B6228" s="337" t="s">
        <v>10362</v>
      </c>
      <c r="C6228" s="337" t="s">
        <v>10363</v>
      </c>
      <c r="D6228" s="337" t="s">
        <v>29</v>
      </c>
      <c r="E6228" s="389" t="s">
        <v>428</v>
      </c>
      <c r="F6228" s="389" t="s">
        <v>8217</v>
      </c>
      <c r="G6228" s="389" t="s">
        <v>35</v>
      </c>
      <c r="H6228" s="389" t="s">
        <v>36</v>
      </c>
      <c r="I6228" s="337"/>
      <c r="J6228" s="337"/>
      <c r="K6228" s="337"/>
      <c r="L6228" s="337"/>
      <c r="M6228" s="395" t="s">
        <v>10170</v>
      </c>
      <c r="N6228" s="337"/>
      <c r="O6228" s="337"/>
      <c r="P6228" s="5" t="str">
        <f t="shared" si="146"/>
        <v>Truncate table BTSDLS9;</v>
      </c>
      <c r="Q6228" s="337"/>
      <c r="R6228" s="337"/>
    </row>
    <row r="6229" spans="2:18" x14ac:dyDescent="0.25">
      <c r="B6229" s="337" t="s">
        <v>10364</v>
      </c>
      <c r="C6229" s="337" t="s">
        <v>10365</v>
      </c>
      <c r="D6229" s="337" t="s">
        <v>29</v>
      </c>
      <c r="E6229" s="389" t="s">
        <v>428</v>
      </c>
      <c r="F6229" s="389" t="s">
        <v>8217</v>
      </c>
      <c r="G6229" s="389" t="s">
        <v>35</v>
      </c>
      <c r="H6229" s="389" t="s">
        <v>36</v>
      </c>
      <c r="I6229" s="337"/>
      <c r="J6229" s="337"/>
      <c r="K6229" s="337"/>
      <c r="L6229" s="337"/>
      <c r="M6229" s="395" t="s">
        <v>10170</v>
      </c>
      <c r="N6229" s="337"/>
      <c r="O6229" s="337"/>
      <c r="P6229" s="5" t="str">
        <f t="shared" si="146"/>
        <v>Truncate table BTSIC00;</v>
      </c>
      <c r="Q6229" s="337"/>
      <c r="R6229" s="337"/>
    </row>
    <row r="6230" spans="2:18" x14ac:dyDescent="0.25">
      <c r="B6230" s="337" t="s">
        <v>10366</v>
      </c>
      <c r="C6230" s="337" t="s">
        <v>10367</v>
      </c>
      <c r="D6230" s="337" t="s">
        <v>29</v>
      </c>
      <c r="E6230" s="389" t="s">
        <v>428</v>
      </c>
      <c r="F6230" s="389" t="s">
        <v>8217</v>
      </c>
      <c r="G6230" s="389" t="s">
        <v>35</v>
      </c>
      <c r="H6230" s="389" t="s">
        <v>36</v>
      </c>
      <c r="I6230" s="337"/>
      <c r="J6230" s="337"/>
      <c r="K6230" s="337"/>
      <c r="L6230" s="337"/>
      <c r="M6230" s="395" t="s">
        <v>10170</v>
      </c>
      <c r="N6230" s="337"/>
      <c r="O6230" s="337"/>
      <c r="P6230" s="5" t="str">
        <f t="shared" si="146"/>
        <v>Truncate table BTSID00;</v>
      </c>
      <c r="Q6230" s="337"/>
      <c r="R6230" s="337"/>
    </row>
    <row r="6231" spans="2:18" x14ac:dyDescent="0.25">
      <c r="B6231" s="337" t="s">
        <v>10368</v>
      </c>
      <c r="C6231" s="337" t="s">
        <v>10369</v>
      </c>
      <c r="D6231" s="337" t="s">
        <v>29</v>
      </c>
      <c r="E6231" s="389" t="s">
        <v>428</v>
      </c>
      <c r="F6231" s="389" t="s">
        <v>8217</v>
      </c>
      <c r="G6231" s="389" t="s">
        <v>35</v>
      </c>
      <c r="H6231" s="389" t="s">
        <v>36</v>
      </c>
      <c r="I6231" s="337"/>
      <c r="J6231" s="337"/>
      <c r="K6231" s="337"/>
      <c r="L6231" s="337"/>
      <c r="M6231" s="395" t="s">
        <v>10170</v>
      </c>
      <c r="N6231" s="337"/>
      <c r="O6231" s="337"/>
      <c r="P6231" s="5" t="str">
        <f t="shared" si="146"/>
        <v>Truncate table BTSIE00;</v>
      </c>
      <c r="Q6231" s="337"/>
      <c r="R6231" s="337"/>
    </row>
    <row r="6232" spans="2:18" x14ac:dyDescent="0.25">
      <c r="B6232" s="337" t="s">
        <v>10370</v>
      </c>
      <c r="C6232" s="337" t="s">
        <v>10371</v>
      </c>
      <c r="D6232" s="337" t="s">
        <v>29</v>
      </c>
      <c r="E6232" s="389" t="s">
        <v>428</v>
      </c>
      <c r="F6232" s="389" t="s">
        <v>8217</v>
      </c>
      <c r="G6232" s="389" t="s">
        <v>35</v>
      </c>
      <c r="H6232" s="389" t="s">
        <v>36</v>
      </c>
      <c r="I6232" s="337"/>
      <c r="J6232" s="337"/>
      <c r="K6232" s="337"/>
      <c r="L6232" s="337"/>
      <c r="M6232" s="395" t="s">
        <v>10170</v>
      </c>
      <c r="N6232" s="337"/>
      <c r="O6232" s="337"/>
      <c r="P6232" s="5" t="str">
        <f t="shared" si="146"/>
        <v>Truncate table BTSIF00;</v>
      </c>
      <c r="Q6232" s="337"/>
      <c r="R6232" s="337"/>
    </row>
    <row r="6233" spans="2:18" x14ac:dyDescent="0.25">
      <c r="B6233" s="337" t="s">
        <v>10372</v>
      </c>
      <c r="C6233" s="337" t="s">
        <v>10373</v>
      </c>
      <c r="D6233" s="337" t="s">
        <v>29</v>
      </c>
      <c r="E6233" s="389" t="s">
        <v>428</v>
      </c>
      <c r="F6233" s="389" t="s">
        <v>8217</v>
      </c>
      <c r="G6233" s="389" t="s">
        <v>35</v>
      </c>
      <c r="H6233" s="389" t="s">
        <v>36</v>
      </c>
      <c r="I6233" s="337"/>
      <c r="J6233" s="337"/>
      <c r="K6233" s="337"/>
      <c r="L6233" s="337"/>
      <c r="M6233" s="395" t="s">
        <v>10170</v>
      </c>
      <c r="N6233" s="337"/>
      <c r="O6233" s="337"/>
      <c r="P6233" s="5" t="str">
        <f t="shared" si="146"/>
        <v>Truncate table BTSIM00;</v>
      </c>
      <c r="Q6233" s="337"/>
      <c r="R6233" s="337"/>
    </row>
    <row r="6234" spans="2:18" x14ac:dyDescent="0.25">
      <c r="B6234" s="337" t="s">
        <v>10374</v>
      </c>
      <c r="C6234" s="337" t="s">
        <v>10375</v>
      </c>
      <c r="D6234" s="337" t="s">
        <v>29</v>
      </c>
      <c r="E6234" s="389" t="s">
        <v>428</v>
      </c>
      <c r="F6234" s="389" t="s">
        <v>8217</v>
      </c>
      <c r="G6234" s="389" t="s">
        <v>35</v>
      </c>
      <c r="H6234" s="389" t="s">
        <v>36</v>
      </c>
      <c r="I6234" s="337"/>
      <c r="J6234" s="337"/>
      <c r="K6234" s="337"/>
      <c r="L6234" s="337"/>
      <c r="M6234" s="395" t="s">
        <v>10170</v>
      </c>
      <c r="N6234" s="337"/>
      <c r="O6234" s="337"/>
      <c r="P6234" s="5" t="str">
        <f t="shared" si="146"/>
        <v>Truncate table BTSIM01;</v>
      </c>
      <c r="Q6234" s="337"/>
      <c r="R6234" s="337"/>
    </row>
    <row r="6235" spans="2:18" x14ac:dyDescent="0.25">
      <c r="B6235" s="337" t="s">
        <v>10376</v>
      </c>
      <c r="C6235" s="337" t="s">
        <v>10377</v>
      </c>
      <c r="D6235" s="337" t="s">
        <v>29</v>
      </c>
      <c r="E6235" s="389" t="s">
        <v>428</v>
      </c>
      <c r="F6235" s="389" t="s">
        <v>8217</v>
      </c>
      <c r="G6235" s="389" t="s">
        <v>35</v>
      </c>
      <c r="H6235" s="389" t="s">
        <v>36</v>
      </c>
      <c r="I6235" s="337"/>
      <c r="J6235" s="337"/>
      <c r="K6235" s="337"/>
      <c r="L6235" s="337"/>
      <c r="M6235" s="395" t="s">
        <v>10170</v>
      </c>
      <c r="N6235" s="337"/>
      <c r="O6235" s="337"/>
      <c r="P6235" s="5" t="str">
        <f t="shared" si="146"/>
        <v>Truncate table BTSIO00;</v>
      </c>
      <c r="Q6235" s="337"/>
      <c r="R6235" s="337"/>
    </row>
    <row r="6236" spans="2:18" x14ac:dyDescent="0.25">
      <c r="B6236" s="337" t="s">
        <v>10378</v>
      </c>
      <c r="C6236" s="337" t="s">
        <v>10379</v>
      </c>
      <c r="D6236" s="337" t="s">
        <v>29</v>
      </c>
      <c r="E6236" s="389" t="s">
        <v>428</v>
      </c>
      <c r="F6236" s="389" t="s">
        <v>8217</v>
      </c>
      <c r="G6236" s="389" t="s">
        <v>35</v>
      </c>
      <c r="H6236" s="389" t="s">
        <v>36</v>
      </c>
      <c r="I6236" s="337"/>
      <c r="J6236" s="337"/>
      <c r="K6236" s="337"/>
      <c r="L6236" s="337"/>
      <c r="M6236" s="395" t="s">
        <v>10170</v>
      </c>
      <c r="N6236" s="337"/>
      <c r="O6236" s="337"/>
      <c r="P6236" s="5" t="str">
        <f t="shared" si="146"/>
        <v>Truncate table BTSIP00;</v>
      </c>
      <c r="Q6236" s="337"/>
      <c r="R6236" s="337"/>
    </row>
    <row r="6237" spans="2:18" x14ac:dyDescent="0.25">
      <c r="B6237" s="337" t="s">
        <v>10380</v>
      </c>
      <c r="C6237" s="337" t="s">
        <v>10381</v>
      </c>
      <c r="D6237" s="337" t="s">
        <v>29</v>
      </c>
      <c r="E6237" s="389" t="s">
        <v>428</v>
      </c>
      <c r="F6237" s="389" t="s">
        <v>8217</v>
      </c>
      <c r="G6237" s="389" t="s">
        <v>35</v>
      </c>
      <c r="H6237" s="389" t="s">
        <v>36</v>
      </c>
      <c r="I6237" s="337"/>
      <c r="J6237" s="337"/>
      <c r="K6237" s="337"/>
      <c r="L6237" s="337"/>
      <c r="M6237" s="395" t="s">
        <v>10170</v>
      </c>
      <c r="N6237" s="337"/>
      <c r="O6237" s="337"/>
      <c r="P6237" s="5" t="str">
        <f t="shared" si="146"/>
        <v>Truncate table BTSIT00;</v>
      </c>
      <c r="Q6237" s="337"/>
      <c r="R6237" s="337"/>
    </row>
    <row r="6238" spans="2:18" x14ac:dyDescent="0.25">
      <c r="B6238" s="337" t="s">
        <v>10382</v>
      </c>
      <c r="C6238" s="337" t="s">
        <v>10383</v>
      </c>
      <c r="D6238" s="337" t="s">
        <v>29</v>
      </c>
      <c r="E6238" s="337" t="s">
        <v>54</v>
      </c>
      <c r="F6238" s="5" t="s">
        <v>557</v>
      </c>
      <c r="G6238" s="337" t="s">
        <v>35</v>
      </c>
      <c r="H6238" s="389" t="s">
        <v>36</v>
      </c>
      <c r="I6238" s="337"/>
      <c r="J6238" s="337"/>
      <c r="K6238" s="337"/>
      <c r="L6238" s="337"/>
      <c r="M6238" s="397"/>
      <c r="N6238" s="337"/>
      <c r="O6238" s="337"/>
      <c r="P6238" s="5" t="str">
        <f t="shared" si="146"/>
        <v>Truncate table CAP004;</v>
      </c>
      <c r="Q6238" s="337"/>
      <c r="R6238" s="337"/>
    </row>
    <row r="6239" spans="2:18" x14ac:dyDescent="0.25">
      <c r="B6239" s="337" t="s">
        <v>10384</v>
      </c>
      <c r="C6239" s="337" t="s">
        <v>10385</v>
      </c>
      <c r="D6239" s="337" t="s">
        <v>29</v>
      </c>
      <c r="E6239" s="337" t="s">
        <v>54</v>
      </c>
      <c r="F6239" s="5" t="s">
        <v>557</v>
      </c>
      <c r="G6239" s="337" t="s">
        <v>35</v>
      </c>
      <c r="H6239" s="389" t="s">
        <v>36</v>
      </c>
      <c r="I6239" s="337"/>
      <c r="J6239" s="337"/>
      <c r="K6239" s="337"/>
      <c r="L6239" s="337"/>
      <c r="M6239" s="397"/>
      <c r="N6239" s="337"/>
      <c r="O6239" s="337"/>
      <c r="P6239" s="5" t="str">
        <f t="shared" si="146"/>
        <v>Truncate table CAP007;</v>
      </c>
      <c r="Q6239" s="337"/>
      <c r="R6239" s="337"/>
    </row>
    <row r="6240" spans="2:18" x14ac:dyDescent="0.25">
      <c r="B6240" s="337" t="s">
        <v>10386</v>
      </c>
      <c r="C6240" s="337" t="s">
        <v>10387</v>
      </c>
      <c r="D6240" s="337" t="s">
        <v>29</v>
      </c>
      <c r="E6240" s="337" t="s">
        <v>54</v>
      </c>
      <c r="F6240" s="5" t="s">
        <v>557</v>
      </c>
      <c r="G6240" s="337" t="s">
        <v>35</v>
      </c>
      <c r="H6240" s="389" t="s">
        <v>36</v>
      </c>
      <c r="I6240" s="337"/>
      <c r="J6240" s="337"/>
      <c r="K6240" s="337"/>
      <c r="L6240" s="337"/>
      <c r="M6240" s="397"/>
      <c r="N6240" s="337"/>
      <c r="O6240" s="337"/>
      <c r="P6240" s="5" t="str">
        <f t="shared" si="146"/>
        <v>Truncate table CAPD07;</v>
      </c>
      <c r="Q6240" s="337"/>
      <c r="R6240" s="337"/>
    </row>
    <row r="6241" spans="2:18" x14ac:dyDescent="0.25">
      <c r="B6241" s="337" t="s">
        <v>10388</v>
      </c>
      <c r="C6241" s="337" t="s">
        <v>10389</v>
      </c>
      <c r="D6241" s="337" t="s">
        <v>29</v>
      </c>
      <c r="E6241" s="337" t="s">
        <v>54</v>
      </c>
      <c r="F6241" s="5" t="s">
        <v>557</v>
      </c>
      <c r="G6241" s="337" t="s">
        <v>35</v>
      </c>
      <c r="H6241" s="389" t="s">
        <v>36</v>
      </c>
      <c r="I6241" s="337"/>
      <c r="J6241" s="337"/>
      <c r="K6241" s="337"/>
      <c r="L6241" s="337"/>
      <c r="M6241" s="397"/>
      <c r="N6241" s="337"/>
      <c r="O6241" s="337"/>
      <c r="P6241" s="5" t="str">
        <f t="shared" si="146"/>
        <v>Truncate table CAPD08;</v>
      </c>
      <c r="Q6241" s="337"/>
      <c r="R6241" s="337"/>
    </row>
    <row r="6242" spans="2:18" x14ac:dyDescent="0.25">
      <c r="B6242" s="337" t="s">
        <v>10390</v>
      </c>
      <c r="C6242" s="337" t="s">
        <v>10391</v>
      </c>
      <c r="D6242" s="337" t="s">
        <v>29</v>
      </c>
      <c r="E6242" s="337" t="s">
        <v>54</v>
      </c>
      <c r="F6242" s="5" t="s">
        <v>557</v>
      </c>
      <c r="G6242" s="337" t="s">
        <v>35</v>
      </c>
      <c r="H6242" s="389" t="s">
        <v>36</v>
      </c>
      <c r="I6242" s="337"/>
      <c r="J6242" s="337"/>
      <c r="K6242" s="337"/>
      <c r="L6242" s="337"/>
      <c r="M6242" s="397"/>
      <c r="N6242" s="337"/>
      <c r="O6242" s="337"/>
      <c r="P6242" s="5" t="str">
        <f t="shared" si="146"/>
        <v>Truncate table CAPD09;</v>
      </c>
      <c r="Q6242" s="337"/>
      <c r="R6242" s="337"/>
    </row>
    <row r="6243" spans="2:18" x14ac:dyDescent="0.25">
      <c r="B6243" s="337" t="s">
        <v>10392</v>
      </c>
      <c r="C6243" s="337" t="s">
        <v>10393</v>
      </c>
      <c r="D6243" s="337" t="s">
        <v>29</v>
      </c>
      <c r="E6243" s="337" t="s">
        <v>54</v>
      </c>
      <c r="F6243" s="5" t="s">
        <v>557</v>
      </c>
      <c r="G6243" s="337" t="s">
        <v>35</v>
      </c>
      <c r="H6243" s="389" t="s">
        <v>36</v>
      </c>
      <c r="I6243" s="337"/>
      <c r="J6243" s="337"/>
      <c r="K6243" s="337"/>
      <c r="L6243" s="337"/>
      <c r="M6243" s="397"/>
      <c r="N6243" s="337"/>
      <c r="O6243" s="337"/>
      <c r="P6243" s="5" t="str">
        <f t="shared" si="146"/>
        <v>Truncate table CAPR07;</v>
      </c>
      <c r="Q6243" s="337"/>
      <c r="R6243" s="337"/>
    </row>
    <row r="6244" spans="2:18" x14ac:dyDescent="0.25">
      <c r="B6244" s="337" t="s">
        <v>10394</v>
      </c>
      <c r="C6244" s="337" t="s">
        <v>10395</v>
      </c>
      <c r="D6244" s="337" t="s">
        <v>29</v>
      </c>
      <c r="E6244" s="337" t="s">
        <v>151</v>
      </c>
      <c r="F6244" s="337" t="s">
        <v>8229</v>
      </c>
      <c r="G6244" s="337" t="s">
        <v>35</v>
      </c>
      <c r="H6244" s="389" t="s">
        <v>36</v>
      </c>
      <c r="I6244" s="337"/>
      <c r="J6244" s="337"/>
      <c r="K6244" s="337"/>
      <c r="L6244" s="337"/>
      <c r="M6244" s="397"/>
      <c r="N6244" s="337"/>
      <c r="O6244" s="337"/>
      <c r="P6244" s="5" t="str">
        <f t="shared" si="146"/>
        <v>Truncate table CLE011;</v>
      </c>
      <c r="Q6244" s="337"/>
      <c r="R6244" s="337"/>
    </row>
    <row r="6245" spans="2:18" x14ac:dyDescent="0.25">
      <c r="B6245" s="337" t="s">
        <v>10396</v>
      </c>
      <c r="C6245" s="337" t="s">
        <v>10397</v>
      </c>
      <c r="D6245" s="337" t="s">
        <v>29</v>
      </c>
      <c r="E6245" s="337" t="s">
        <v>151</v>
      </c>
      <c r="F6245" s="337" t="s">
        <v>8229</v>
      </c>
      <c r="G6245" s="337" t="s">
        <v>35</v>
      </c>
      <c r="H6245" s="389" t="s">
        <v>36</v>
      </c>
      <c r="I6245" s="337"/>
      <c r="J6245" s="337"/>
      <c r="K6245" s="337"/>
      <c r="L6245" s="337"/>
      <c r="M6245" s="397"/>
      <c r="N6245" s="337"/>
      <c r="O6245" s="337"/>
      <c r="P6245" s="5" t="str">
        <f t="shared" si="146"/>
        <v>Truncate table CLE160;</v>
      </c>
      <c r="Q6245" s="337"/>
      <c r="R6245" s="337"/>
    </row>
    <row r="6246" spans="2:18" x14ac:dyDescent="0.25">
      <c r="B6246" s="337" t="s">
        <v>10398</v>
      </c>
      <c r="C6246" s="337" t="s">
        <v>10399</v>
      </c>
      <c r="D6246" s="337" t="s">
        <v>29</v>
      </c>
      <c r="E6246" s="337" t="s">
        <v>1096</v>
      </c>
      <c r="F6246" s="337" t="s">
        <v>184</v>
      </c>
      <c r="G6246" s="337" t="s">
        <v>35</v>
      </c>
      <c r="H6246" s="389" t="s">
        <v>36</v>
      </c>
      <c r="I6246" s="337"/>
      <c r="J6246" s="337"/>
      <c r="K6246" s="337"/>
      <c r="L6246" s="337"/>
      <c r="M6246" s="397"/>
      <c r="N6246" s="337"/>
      <c r="O6246" s="337"/>
      <c r="P6246" s="5" t="str">
        <f t="shared" si="146"/>
        <v>Truncate table CNV750;</v>
      </c>
      <c r="Q6246" s="337"/>
      <c r="R6246" s="337"/>
    </row>
    <row r="6247" spans="2:18" x14ac:dyDescent="0.25">
      <c r="B6247" s="337" t="s">
        <v>10400</v>
      </c>
      <c r="C6247" s="337" t="s">
        <v>10401</v>
      </c>
      <c r="D6247" s="337" t="s">
        <v>10206</v>
      </c>
      <c r="E6247" s="337" t="s">
        <v>1096</v>
      </c>
      <c r="F6247" s="337" t="s">
        <v>184</v>
      </c>
      <c r="G6247" s="337" t="s">
        <v>35</v>
      </c>
      <c r="H6247" s="389" t="s">
        <v>36</v>
      </c>
      <c r="I6247" s="337"/>
      <c r="J6247" s="337"/>
      <c r="K6247" s="337"/>
      <c r="L6247" s="337"/>
      <c r="M6247" s="397"/>
      <c r="N6247" s="337"/>
      <c r="O6247" s="337"/>
      <c r="P6247" s="5" t="str">
        <f t="shared" si="146"/>
        <v/>
      </c>
      <c r="Q6247" s="337"/>
      <c r="R6247" s="337"/>
    </row>
    <row r="6248" spans="2:18" x14ac:dyDescent="0.25">
      <c r="B6248" s="337" t="s">
        <v>10402</v>
      </c>
      <c r="C6248" s="337" t="s">
        <v>8152</v>
      </c>
      <c r="D6248" s="337" t="s">
        <v>10206</v>
      </c>
      <c r="E6248" s="337" t="s">
        <v>1096</v>
      </c>
      <c r="F6248" s="337" t="s">
        <v>184</v>
      </c>
      <c r="G6248" s="337" t="s">
        <v>35</v>
      </c>
      <c r="H6248" s="389" t="s">
        <v>36</v>
      </c>
      <c r="I6248" s="337"/>
      <c r="J6248" s="337"/>
      <c r="K6248" s="337"/>
      <c r="L6248" s="337"/>
      <c r="M6248" s="397"/>
      <c r="N6248" s="337"/>
      <c r="O6248" s="337"/>
      <c r="P6248" s="5" t="str">
        <f t="shared" si="146"/>
        <v/>
      </c>
      <c r="Q6248" s="337"/>
      <c r="R6248" s="337"/>
    </row>
    <row r="6249" spans="2:18" x14ac:dyDescent="0.25">
      <c r="B6249" s="337" t="s">
        <v>10403</v>
      </c>
      <c r="C6249" s="337" t="s">
        <v>10404</v>
      </c>
      <c r="D6249" s="337" t="s">
        <v>29</v>
      </c>
      <c r="E6249" s="337"/>
      <c r="F6249" s="337"/>
      <c r="G6249" s="337" t="s">
        <v>35</v>
      </c>
      <c r="H6249" s="337" t="s">
        <v>36</v>
      </c>
      <c r="I6249" s="337"/>
      <c r="J6249" s="337"/>
      <c r="K6249" s="337"/>
      <c r="L6249" s="337"/>
      <c r="M6249" s="397"/>
      <c r="N6249" s="337"/>
      <c r="O6249" s="337"/>
      <c r="P6249" s="5" t="str">
        <f t="shared" si="146"/>
        <v>Truncate table CONGRP;</v>
      </c>
      <c r="Q6249" s="337"/>
      <c r="R6249" s="337"/>
    </row>
    <row r="6250" spans="2:18" x14ac:dyDescent="0.25">
      <c r="B6250" s="337" t="s">
        <v>10405</v>
      </c>
      <c r="C6250" s="337" t="s">
        <v>6051</v>
      </c>
      <c r="D6250" s="337" t="s">
        <v>29</v>
      </c>
      <c r="E6250" s="337"/>
      <c r="F6250" s="337"/>
      <c r="G6250" s="337" t="s">
        <v>35</v>
      </c>
      <c r="H6250" s="337" t="s">
        <v>36</v>
      </c>
      <c r="I6250" s="337"/>
      <c r="J6250" s="337"/>
      <c r="K6250" s="337"/>
      <c r="L6250" s="337"/>
      <c r="M6250" s="397"/>
      <c r="N6250" s="337"/>
      <c r="O6250" s="337"/>
      <c r="P6250" s="5" t="str">
        <f t="shared" si="146"/>
        <v>Truncate table CONNAM;</v>
      </c>
      <c r="Q6250" s="337"/>
      <c r="R6250" s="337"/>
    </row>
    <row r="6251" spans="2:18" x14ac:dyDescent="0.25">
      <c r="B6251" s="337" t="s">
        <v>10406</v>
      </c>
      <c r="C6251" s="337" t="s">
        <v>10407</v>
      </c>
      <c r="D6251" s="337" t="s">
        <v>29</v>
      </c>
      <c r="E6251" s="337"/>
      <c r="F6251" s="337"/>
      <c r="G6251" s="337" t="s">
        <v>35</v>
      </c>
      <c r="H6251" s="337" t="s">
        <v>36</v>
      </c>
      <c r="I6251" s="337"/>
      <c r="J6251" s="337"/>
      <c r="K6251" s="337"/>
      <c r="L6251" s="337"/>
      <c r="M6251" s="397"/>
      <c r="N6251" s="337"/>
      <c r="O6251" s="337"/>
      <c r="P6251" s="5" t="str">
        <f t="shared" si="146"/>
        <v>Truncate table CONTBL;</v>
      </c>
      <c r="Q6251" s="337"/>
      <c r="R6251" s="337"/>
    </row>
    <row r="6252" spans="2:18" x14ac:dyDescent="0.25">
      <c r="B6252" s="337" t="s">
        <v>10408</v>
      </c>
      <c r="C6252" s="337" t="s">
        <v>10409</v>
      </c>
      <c r="D6252" s="337" t="s">
        <v>29</v>
      </c>
      <c r="E6252" s="337"/>
      <c r="F6252" s="337" t="s">
        <v>10436</v>
      </c>
      <c r="G6252" s="337" t="s">
        <v>35</v>
      </c>
      <c r="H6252" s="337" t="s">
        <v>12</v>
      </c>
      <c r="I6252" s="337"/>
      <c r="J6252" s="337"/>
      <c r="K6252" s="337"/>
      <c r="L6252" s="337"/>
      <c r="M6252" s="395" t="s">
        <v>8149</v>
      </c>
      <c r="N6252" s="337"/>
      <c r="O6252" s="337"/>
      <c r="P6252" s="5" t="str">
        <f t="shared" si="146"/>
        <v>Truncate table CSMA01;</v>
      </c>
      <c r="Q6252" s="337" t="s">
        <v>8129</v>
      </c>
      <c r="R6252" s="337"/>
    </row>
    <row r="6253" spans="2:18" x14ac:dyDescent="0.25">
      <c r="B6253" s="337" t="s">
        <v>10410</v>
      </c>
      <c r="C6253" s="337" t="s">
        <v>10411</v>
      </c>
      <c r="D6253" s="337" t="s">
        <v>29</v>
      </c>
      <c r="E6253" s="337"/>
      <c r="F6253" s="337" t="s">
        <v>10436</v>
      </c>
      <c r="G6253" s="337" t="s">
        <v>35</v>
      </c>
      <c r="H6253" s="337" t="s">
        <v>12</v>
      </c>
      <c r="I6253" s="337"/>
      <c r="J6253" s="337"/>
      <c r="K6253" s="337"/>
      <c r="L6253" s="337"/>
      <c r="M6253" s="395" t="s">
        <v>8149</v>
      </c>
      <c r="N6253" s="337"/>
      <c r="O6253" s="337"/>
      <c r="P6253" s="5" t="str">
        <f t="shared" si="146"/>
        <v>Truncate table CSMI20;</v>
      </c>
      <c r="Q6253" s="337" t="s">
        <v>8129</v>
      </c>
      <c r="R6253" s="337"/>
    </row>
    <row r="6254" spans="2:18" x14ac:dyDescent="0.25">
      <c r="B6254" s="337" t="s">
        <v>10412</v>
      </c>
      <c r="C6254" s="337" t="s">
        <v>10413</v>
      </c>
      <c r="D6254" s="337" t="s">
        <v>29</v>
      </c>
      <c r="E6254" s="337"/>
      <c r="F6254" s="337" t="s">
        <v>10436</v>
      </c>
      <c r="G6254" s="337" t="s">
        <v>35</v>
      </c>
      <c r="H6254" s="337" t="s">
        <v>12</v>
      </c>
      <c r="I6254" s="337"/>
      <c r="J6254" s="337"/>
      <c r="K6254" s="337"/>
      <c r="L6254" s="337"/>
      <c r="M6254" s="395" t="s">
        <v>8149</v>
      </c>
      <c r="N6254" s="337"/>
      <c r="O6254" s="337"/>
      <c r="P6254" s="5" t="str">
        <f t="shared" si="146"/>
        <v>Truncate table CSML111;</v>
      </c>
      <c r="Q6254" s="337" t="s">
        <v>8129</v>
      </c>
      <c r="R6254" s="337"/>
    </row>
    <row r="6255" spans="2:18" x14ac:dyDescent="0.25">
      <c r="B6255" s="337" t="s">
        <v>10414</v>
      </c>
      <c r="C6255" s="337" t="s">
        <v>9905</v>
      </c>
      <c r="D6255" s="337" t="s">
        <v>29</v>
      </c>
      <c r="E6255" s="337"/>
      <c r="F6255" s="337" t="s">
        <v>10436</v>
      </c>
      <c r="G6255" s="337" t="s">
        <v>35</v>
      </c>
      <c r="H6255" s="337" t="s">
        <v>12</v>
      </c>
      <c r="I6255" s="337"/>
      <c r="J6255" s="337"/>
      <c r="K6255" s="337"/>
      <c r="L6255" s="337"/>
      <c r="M6255" s="395" t="s">
        <v>8149</v>
      </c>
      <c r="N6255" s="337"/>
      <c r="O6255" s="337"/>
      <c r="P6255" s="5" t="str">
        <f t="shared" si="146"/>
        <v>Truncate table CSMS03;</v>
      </c>
      <c r="Q6255" s="337" t="s">
        <v>8129</v>
      </c>
      <c r="R6255" s="337"/>
    </row>
    <row r="6256" spans="2:18" x14ac:dyDescent="0.25">
      <c r="B6256" s="337" t="s">
        <v>10415</v>
      </c>
      <c r="C6256" s="337" t="s">
        <v>9906</v>
      </c>
      <c r="D6256" s="337" t="s">
        <v>29</v>
      </c>
      <c r="E6256" s="337"/>
      <c r="F6256" s="337" t="s">
        <v>10436</v>
      </c>
      <c r="G6256" s="337" t="s">
        <v>35</v>
      </c>
      <c r="H6256" s="337" t="s">
        <v>12</v>
      </c>
      <c r="I6256" s="337"/>
      <c r="J6256" s="337"/>
      <c r="K6256" s="337"/>
      <c r="L6256" s="337"/>
      <c r="M6256" s="395" t="s">
        <v>8149</v>
      </c>
      <c r="N6256" s="337"/>
      <c r="O6256" s="337"/>
      <c r="P6256" s="5" t="str">
        <f t="shared" si="146"/>
        <v>Truncate table CSMS05;</v>
      </c>
      <c r="Q6256" s="337" t="s">
        <v>8129</v>
      </c>
      <c r="R6256" s="337"/>
    </row>
    <row r="6257" spans="2:18" x14ac:dyDescent="0.25">
      <c r="B6257" s="337" t="s">
        <v>10416</v>
      </c>
      <c r="C6257" s="337" t="s">
        <v>10417</v>
      </c>
      <c r="D6257" s="337" t="s">
        <v>29</v>
      </c>
      <c r="E6257" s="337"/>
      <c r="F6257" s="337" t="s">
        <v>10436</v>
      </c>
      <c r="G6257" s="337" t="s">
        <v>35</v>
      </c>
      <c r="H6257" s="337" t="s">
        <v>12</v>
      </c>
      <c r="I6257" s="337"/>
      <c r="J6257" s="337"/>
      <c r="K6257" s="337"/>
      <c r="L6257" s="337"/>
      <c r="M6257" s="395" t="s">
        <v>8149</v>
      </c>
      <c r="N6257" s="337"/>
      <c r="O6257" s="337"/>
      <c r="P6257" s="5" t="str">
        <f t="shared" si="146"/>
        <v>Truncate table CSMT01;</v>
      </c>
      <c r="Q6257" s="337" t="s">
        <v>8129</v>
      </c>
      <c r="R6257" s="337"/>
    </row>
    <row r="6258" spans="2:18" x14ac:dyDescent="0.25">
      <c r="B6258" s="337" t="s">
        <v>10418</v>
      </c>
      <c r="C6258" s="337" t="s">
        <v>10419</v>
      </c>
      <c r="D6258" s="337" t="s">
        <v>29</v>
      </c>
      <c r="E6258" s="337"/>
      <c r="F6258" s="337" t="s">
        <v>10436</v>
      </c>
      <c r="G6258" s="337" t="s">
        <v>35</v>
      </c>
      <c r="H6258" s="337" t="s">
        <v>12</v>
      </c>
      <c r="I6258" s="337"/>
      <c r="J6258" s="337"/>
      <c r="K6258" s="337"/>
      <c r="L6258" s="337"/>
      <c r="M6258" s="395" t="s">
        <v>8149</v>
      </c>
      <c r="N6258" s="337"/>
      <c r="O6258" s="337"/>
      <c r="P6258" s="5" t="str">
        <f t="shared" si="146"/>
        <v>Truncate table CSMT015;</v>
      </c>
      <c r="Q6258" s="337" t="s">
        <v>8129</v>
      </c>
      <c r="R6258" s="337"/>
    </row>
    <row r="6259" spans="2:18" x14ac:dyDescent="0.25">
      <c r="B6259" s="337" t="s">
        <v>10420</v>
      </c>
      <c r="C6259" s="337" t="s">
        <v>10421</v>
      </c>
      <c r="D6259" s="337" t="s">
        <v>29</v>
      </c>
      <c r="E6259" s="337"/>
      <c r="F6259" s="337" t="s">
        <v>10436</v>
      </c>
      <c r="G6259" s="337" t="s">
        <v>35</v>
      </c>
      <c r="H6259" s="337" t="s">
        <v>12</v>
      </c>
      <c r="I6259" s="337"/>
      <c r="J6259" s="337"/>
      <c r="K6259" s="337"/>
      <c r="L6259" s="337"/>
      <c r="M6259" s="395" t="s">
        <v>8149</v>
      </c>
      <c r="N6259" s="337"/>
      <c r="O6259" s="337"/>
      <c r="P6259" s="5" t="str">
        <f t="shared" si="146"/>
        <v>Truncate table CSMT016;</v>
      </c>
      <c r="Q6259" s="337" t="s">
        <v>8129</v>
      </c>
      <c r="R6259" s="337"/>
    </row>
    <row r="6260" spans="2:18" x14ac:dyDescent="0.25">
      <c r="B6260" s="337" t="s">
        <v>10422</v>
      </c>
      <c r="C6260" s="337" t="s">
        <v>10423</v>
      </c>
      <c r="D6260" s="337" t="s">
        <v>29</v>
      </c>
      <c r="E6260" s="337"/>
      <c r="F6260" s="337" t="s">
        <v>10436</v>
      </c>
      <c r="G6260" s="337" t="s">
        <v>35</v>
      </c>
      <c r="H6260" s="337" t="s">
        <v>12</v>
      </c>
      <c r="I6260" s="337"/>
      <c r="J6260" s="337"/>
      <c r="K6260" s="337"/>
      <c r="L6260" s="337"/>
      <c r="M6260" s="395" t="s">
        <v>8149</v>
      </c>
      <c r="N6260" s="337"/>
      <c r="O6260" s="337"/>
      <c r="P6260" s="5" t="str">
        <f t="shared" si="146"/>
        <v>Truncate table CSMT017;</v>
      </c>
      <c r="Q6260" s="337" t="s">
        <v>8129</v>
      </c>
      <c r="R6260" s="337"/>
    </row>
    <row r="6261" spans="2:18" x14ac:dyDescent="0.25">
      <c r="B6261" s="337" t="s">
        <v>10424</v>
      </c>
      <c r="C6261" s="337" t="s">
        <v>10425</v>
      </c>
      <c r="D6261" s="337" t="s">
        <v>29</v>
      </c>
      <c r="E6261" s="337"/>
      <c r="F6261" s="337" t="s">
        <v>10436</v>
      </c>
      <c r="G6261" s="337" t="s">
        <v>35</v>
      </c>
      <c r="H6261" s="337" t="s">
        <v>12</v>
      </c>
      <c r="I6261" s="337"/>
      <c r="J6261" s="337"/>
      <c r="K6261" s="337"/>
      <c r="L6261" s="337"/>
      <c r="M6261" s="395" t="s">
        <v>8149</v>
      </c>
      <c r="N6261" s="337"/>
      <c r="O6261" s="337"/>
      <c r="P6261" s="5" t="str">
        <f t="shared" si="146"/>
        <v>Truncate table CSMT020;</v>
      </c>
      <c r="Q6261" s="337" t="s">
        <v>8129</v>
      </c>
      <c r="R6261" s="337"/>
    </row>
    <row r="6262" spans="2:18" x14ac:dyDescent="0.25">
      <c r="B6262" s="337" t="s">
        <v>10426</v>
      </c>
      <c r="C6262" s="337" t="s">
        <v>10427</v>
      </c>
      <c r="D6262" s="337" t="s">
        <v>29</v>
      </c>
      <c r="E6262" s="337"/>
      <c r="F6262" s="337" t="s">
        <v>10436</v>
      </c>
      <c r="G6262" s="337" t="s">
        <v>35</v>
      </c>
      <c r="H6262" s="337" t="s">
        <v>12</v>
      </c>
      <c r="I6262" s="337"/>
      <c r="J6262" s="337"/>
      <c r="K6262" s="337"/>
      <c r="L6262" s="337"/>
      <c r="M6262" s="395" t="s">
        <v>8149</v>
      </c>
      <c r="N6262" s="337"/>
      <c r="O6262" s="337"/>
      <c r="P6262" s="5" t="str">
        <f t="shared" si="146"/>
        <v>Truncate table CSMT021;</v>
      </c>
      <c r="Q6262" s="337" t="s">
        <v>8129</v>
      </c>
      <c r="R6262" s="337"/>
    </row>
    <row r="6263" spans="2:18" x14ac:dyDescent="0.25">
      <c r="B6263" s="337" t="s">
        <v>10428</v>
      </c>
      <c r="C6263" s="337" t="s">
        <v>10429</v>
      </c>
      <c r="D6263" s="337" t="s">
        <v>29</v>
      </c>
      <c r="E6263" s="337"/>
      <c r="F6263" s="337" t="s">
        <v>10436</v>
      </c>
      <c r="G6263" s="337" t="s">
        <v>35</v>
      </c>
      <c r="H6263" s="337" t="s">
        <v>12</v>
      </c>
      <c r="I6263" s="337"/>
      <c r="J6263" s="337"/>
      <c r="K6263" s="337"/>
      <c r="L6263" s="337"/>
      <c r="M6263" s="395" t="s">
        <v>8149</v>
      </c>
      <c r="N6263" s="337"/>
      <c r="O6263" s="337"/>
      <c r="P6263" s="5" t="str">
        <f t="shared" si="146"/>
        <v>Truncate table CSMT080;</v>
      </c>
      <c r="Q6263" s="337" t="s">
        <v>8129</v>
      </c>
      <c r="R6263" s="337"/>
    </row>
    <row r="6264" spans="2:18" x14ac:dyDescent="0.25">
      <c r="B6264" s="337" t="s">
        <v>10430</v>
      </c>
      <c r="C6264" s="337" t="s">
        <v>10431</v>
      </c>
      <c r="D6264" s="337" t="s">
        <v>29</v>
      </c>
      <c r="E6264" s="337"/>
      <c r="F6264" s="337" t="s">
        <v>10436</v>
      </c>
      <c r="G6264" s="337" t="s">
        <v>35</v>
      </c>
      <c r="H6264" s="337" t="s">
        <v>12</v>
      </c>
      <c r="I6264" s="337"/>
      <c r="J6264" s="337"/>
      <c r="K6264" s="337"/>
      <c r="L6264" s="337"/>
      <c r="M6264" s="395" t="s">
        <v>8149</v>
      </c>
      <c r="N6264" s="337"/>
      <c r="O6264" s="337"/>
      <c r="P6264" s="5" t="str">
        <f t="shared" si="146"/>
        <v>Truncate table CSMW001;</v>
      </c>
      <c r="Q6264" s="337" t="s">
        <v>8129</v>
      </c>
      <c r="R6264" s="337"/>
    </row>
    <row r="6265" spans="2:18" x14ac:dyDescent="0.25">
      <c r="B6265" s="337" t="s">
        <v>10432</v>
      </c>
      <c r="C6265" s="337" t="s">
        <v>10433</v>
      </c>
      <c r="D6265" s="337" t="s">
        <v>29</v>
      </c>
      <c r="E6265" s="337"/>
      <c r="F6265" s="337" t="s">
        <v>10436</v>
      </c>
      <c r="G6265" s="337" t="s">
        <v>35</v>
      </c>
      <c r="H6265" s="337" t="s">
        <v>12</v>
      </c>
      <c r="I6265" s="337"/>
      <c r="J6265" s="337"/>
      <c r="K6265" s="337"/>
      <c r="L6265" s="337"/>
      <c r="M6265" s="395" t="s">
        <v>8149</v>
      </c>
      <c r="N6265" s="337"/>
      <c r="O6265" s="337"/>
      <c r="P6265" s="5" t="str">
        <f t="shared" si="146"/>
        <v>Truncate table CSMW002;</v>
      </c>
      <c r="Q6265" s="337" t="s">
        <v>8129</v>
      </c>
      <c r="R6265" s="337"/>
    </row>
    <row r="6266" spans="2:18" x14ac:dyDescent="0.25">
      <c r="B6266" s="337" t="s">
        <v>10434</v>
      </c>
      <c r="C6266" s="337" t="s">
        <v>10435</v>
      </c>
      <c r="D6266" s="337" t="s">
        <v>29</v>
      </c>
      <c r="E6266" s="337"/>
      <c r="F6266" s="337" t="s">
        <v>10436</v>
      </c>
      <c r="G6266" s="337" t="s">
        <v>35</v>
      </c>
      <c r="H6266" s="337" t="s">
        <v>12</v>
      </c>
      <c r="I6266" s="337"/>
      <c r="J6266" s="337"/>
      <c r="K6266" s="337"/>
      <c r="L6266" s="337"/>
      <c r="M6266" s="395" t="s">
        <v>8149</v>
      </c>
      <c r="N6266" s="337"/>
      <c r="O6266" s="337"/>
      <c r="P6266" s="5" t="str">
        <f t="shared" si="146"/>
        <v>Truncate table CSMW003;</v>
      </c>
      <c r="Q6266" s="337" t="s">
        <v>8129</v>
      </c>
      <c r="R6266" s="337"/>
    </row>
    <row r="6267" spans="2:18" x14ac:dyDescent="0.25">
      <c r="B6267" s="337" t="s">
        <v>10437</v>
      </c>
      <c r="C6267" s="337" t="s">
        <v>10438</v>
      </c>
      <c r="D6267" s="337" t="s">
        <v>29</v>
      </c>
      <c r="E6267" s="337" t="s">
        <v>1096</v>
      </c>
      <c r="F6267" s="337" t="s">
        <v>184</v>
      </c>
      <c r="G6267" s="337" t="s">
        <v>35</v>
      </c>
      <c r="H6267" s="337" t="s">
        <v>36</v>
      </c>
      <c r="I6267" s="337"/>
      <c r="J6267" s="337"/>
      <c r="K6267" s="337"/>
      <c r="L6267" s="337"/>
      <c r="M6267" s="397"/>
      <c r="N6267" s="337"/>
      <c r="O6267" s="337"/>
      <c r="P6267" s="5" t="str">
        <f t="shared" si="146"/>
        <v>Truncate table DECH094;</v>
      </c>
      <c r="Q6267" s="337"/>
      <c r="R6267" s="337"/>
    </row>
    <row r="6268" spans="2:18" x14ac:dyDescent="0.25">
      <c r="B6268" s="337" t="s">
        <v>10439</v>
      </c>
      <c r="C6268" s="337" t="s">
        <v>10440</v>
      </c>
      <c r="D6268" s="337" t="s">
        <v>29</v>
      </c>
      <c r="E6268" s="337" t="s">
        <v>54</v>
      </c>
      <c r="F6268" s="337" t="s">
        <v>8197</v>
      </c>
      <c r="G6268" s="337" t="s">
        <v>35</v>
      </c>
      <c r="H6268" s="337" t="s">
        <v>36</v>
      </c>
      <c r="I6268" s="337"/>
      <c r="J6268" s="337"/>
      <c r="K6268" s="337"/>
      <c r="L6268" s="337"/>
      <c r="M6268" s="395" t="s">
        <v>10170</v>
      </c>
      <c r="N6268" s="337"/>
      <c r="O6268" s="167" t="s">
        <v>10170</v>
      </c>
      <c r="P6268" s="5" t="str">
        <f t="shared" si="146"/>
        <v>Truncate table DP0010;</v>
      </c>
      <c r="Q6268" s="337"/>
      <c r="R6268" s="337"/>
    </row>
    <row r="6269" spans="2:18" x14ac:dyDescent="0.25">
      <c r="B6269" s="337" t="s">
        <v>10441</v>
      </c>
      <c r="C6269" s="337" t="s">
        <v>10442</v>
      </c>
      <c r="D6269" s="337" t="s">
        <v>8152</v>
      </c>
      <c r="E6269" s="337" t="s">
        <v>54</v>
      </c>
      <c r="F6269" s="337" t="s">
        <v>8197</v>
      </c>
      <c r="G6269" s="337" t="s">
        <v>35</v>
      </c>
      <c r="H6269" s="337" t="s">
        <v>36</v>
      </c>
      <c r="I6269" s="337"/>
      <c r="J6269" s="337"/>
      <c r="K6269" s="337"/>
      <c r="L6269" s="337"/>
      <c r="M6269" s="395" t="s">
        <v>10170</v>
      </c>
      <c r="N6269" s="337"/>
      <c r="O6269" s="167" t="s">
        <v>10170</v>
      </c>
      <c r="P6269" s="5" t="str">
        <f t="shared" si="146"/>
        <v/>
      </c>
      <c r="Q6269" s="337"/>
      <c r="R6269" s="337"/>
    </row>
    <row r="6270" spans="2:18" ht="26.25" customHeight="1" x14ac:dyDescent="0.25">
      <c r="B6270" s="338" t="s">
        <v>10443</v>
      </c>
      <c r="C6270" s="398" t="s">
        <v>10444</v>
      </c>
      <c r="D6270" s="338" t="s">
        <v>8152</v>
      </c>
      <c r="E6270" s="338" t="s">
        <v>54</v>
      </c>
      <c r="F6270" s="338" t="s">
        <v>8197</v>
      </c>
      <c r="G6270" s="338" t="s">
        <v>35</v>
      </c>
      <c r="H6270" s="338" t="s">
        <v>36</v>
      </c>
      <c r="I6270" s="338"/>
      <c r="J6270" s="338"/>
      <c r="K6270" s="338"/>
      <c r="L6270" s="337"/>
      <c r="M6270" s="399" t="s">
        <v>10170</v>
      </c>
      <c r="N6270" s="338"/>
      <c r="O6270" s="133" t="s">
        <v>10170</v>
      </c>
      <c r="P6270" s="5" t="str">
        <f t="shared" si="146"/>
        <v/>
      </c>
      <c r="Q6270" s="338"/>
      <c r="R6270" s="338"/>
    </row>
    <row r="6271" spans="2:18" x14ac:dyDescent="0.25">
      <c r="B6271" s="337" t="s">
        <v>10445</v>
      </c>
      <c r="C6271" s="337" t="s">
        <v>10446</v>
      </c>
      <c r="D6271" s="337" t="s">
        <v>8152</v>
      </c>
      <c r="E6271" s="337" t="s">
        <v>54</v>
      </c>
      <c r="F6271" s="337" t="s">
        <v>8200</v>
      </c>
      <c r="G6271" s="337" t="s">
        <v>35</v>
      </c>
      <c r="H6271" s="337" t="s">
        <v>36</v>
      </c>
      <c r="I6271" s="337"/>
      <c r="J6271" s="337"/>
      <c r="K6271" s="337"/>
      <c r="L6271" s="337"/>
      <c r="M6271" s="395" t="s">
        <v>10170</v>
      </c>
      <c r="N6271" s="337"/>
      <c r="O6271" s="167" t="s">
        <v>10170</v>
      </c>
      <c r="P6271" s="5" t="str">
        <f t="shared" si="146"/>
        <v/>
      </c>
      <c r="Q6271" s="337"/>
      <c r="R6271" s="337"/>
    </row>
    <row r="6272" spans="2:18" x14ac:dyDescent="0.25">
      <c r="B6272" s="337" t="s">
        <v>10447</v>
      </c>
      <c r="C6272" s="337" t="s">
        <v>10448</v>
      </c>
      <c r="D6272" s="337" t="s">
        <v>8152</v>
      </c>
      <c r="E6272" s="337" t="s">
        <v>54</v>
      </c>
      <c r="F6272" s="337" t="s">
        <v>8200</v>
      </c>
      <c r="G6272" s="337" t="s">
        <v>35</v>
      </c>
      <c r="H6272" s="337" t="s">
        <v>36</v>
      </c>
      <c r="I6272" s="337"/>
      <c r="J6272" s="337"/>
      <c r="K6272" s="337"/>
      <c r="L6272" s="337"/>
      <c r="M6272" s="395" t="s">
        <v>10170</v>
      </c>
      <c r="N6272" s="337"/>
      <c r="O6272" s="167" t="s">
        <v>10170</v>
      </c>
      <c r="P6272" s="5" t="str">
        <f t="shared" si="146"/>
        <v/>
      </c>
      <c r="Q6272" s="337"/>
      <c r="R6272" s="337"/>
    </row>
    <row r="6273" spans="2:18" x14ac:dyDescent="0.25">
      <c r="B6273" s="337" t="s">
        <v>10449</v>
      </c>
      <c r="C6273" s="337" t="s">
        <v>10450</v>
      </c>
      <c r="D6273" s="337" t="s">
        <v>8152</v>
      </c>
      <c r="E6273" s="337" t="s">
        <v>54</v>
      </c>
      <c r="F6273" s="337" t="s">
        <v>8200</v>
      </c>
      <c r="G6273" s="337" t="s">
        <v>35</v>
      </c>
      <c r="H6273" s="337" t="s">
        <v>36</v>
      </c>
      <c r="I6273" s="337"/>
      <c r="J6273" s="337"/>
      <c r="K6273" s="337"/>
      <c r="L6273" s="337"/>
      <c r="M6273" s="395" t="s">
        <v>10170</v>
      </c>
      <c r="N6273" s="337"/>
      <c r="O6273" s="167" t="s">
        <v>10170</v>
      </c>
      <c r="P6273" s="5" t="str">
        <f t="shared" si="146"/>
        <v/>
      </c>
      <c r="Q6273" s="337"/>
      <c r="R6273" s="337"/>
    </row>
    <row r="6274" spans="2:18" x14ac:dyDescent="0.25">
      <c r="B6274" s="337" t="s">
        <v>10451</v>
      </c>
      <c r="C6274" s="337" t="s">
        <v>10452</v>
      </c>
      <c r="D6274" s="337" t="s">
        <v>8152</v>
      </c>
      <c r="E6274" s="337" t="s">
        <v>54</v>
      </c>
      <c r="F6274" s="337" t="s">
        <v>8200</v>
      </c>
      <c r="G6274" s="337" t="s">
        <v>35</v>
      </c>
      <c r="H6274" s="337" t="s">
        <v>36</v>
      </c>
      <c r="I6274" s="337"/>
      <c r="J6274" s="337"/>
      <c r="K6274" s="337"/>
      <c r="L6274" s="337"/>
      <c r="M6274" s="395" t="s">
        <v>10170</v>
      </c>
      <c r="N6274" s="337"/>
      <c r="O6274" s="167" t="s">
        <v>10170</v>
      </c>
      <c r="P6274" s="5" t="str">
        <f t="shared" si="146"/>
        <v/>
      </c>
      <c r="Q6274" s="337"/>
      <c r="R6274" s="337"/>
    </row>
    <row r="6275" spans="2:18" x14ac:dyDescent="0.25">
      <c r="B6275" s="337" t="s">
        <v>10453</v>
      </c>
      <c r="C6275" s="337" t="s">
        <v>10454</v>
      </c>
      <c r="D6275" s="337" t="s">
        <v>8152</v>
      </c>
      <c r="E6275" s="337" t="s">
        <v>1096</v>
      </c>
      <c r="F6275" s="337" t="s">
        <v>184</v>
      </c>
      <c r="G6275" s="337" t="s">
        <v>35</v>
      </c>
      <c r="H6275" s="337" t="s">
        <v>36</v>
      </c>
      <c r="I6275" s="337"/>
      <c r="J6275" s="337"/>
      <c r="K6275" s="337" t="s">
        <v>11161</v>
      </c>
      <c r="L6275" s="337"/>
      <c r="M6275" s="395" t="s">
        <v>10170</v>
      </c>
      <c r="N6275" s="337"/>
      <c r="O6275" s="167" t="s">
        <v>10170</v>
      </c>
      <c r="P6275" s="5" t="str">
        <f t="shared" si="146"/>
        <v/>
      </c>
      <c r="Q6275" s="337"/>
      <c r="R6275" s="337"/>
    </row>
    <row r="6276" spans="2:18" x14ac:dyDescent="0.25">
      <c r="B6276" s="337" t="s">
        <v>10455</v>
      </c>
      <c r="C6276" s="337" t="s">
        <v>10456</v>
      </c>
      <c r="D6276" s="337" t="s">
        <v>8152</v>
      </c>
      <c r="E6276" s="337" t="s">
        <v>1096</v>
      </c>
      <c r="F6276" s="337" t="s">
        <v>184</v>
      </c>
      <c r="G6276" s="337" t="s">
        <v>35</v>
      </c>
      <c r="H6276" s="337" t="s">
        <v>36</v>
      </c>
      <c r="I6276" s="337"/>
      <c r="J6276" s="337"/>
      <c r="K6276" s="337"/>
      <c r="L6276" s="337"/>
      <c r="M6276" s="395" t="s">
        <v>10170</v>
      </c>
      <c r="N6276" s="337"/>
      <c r="O6276" s="167" t="s">
        <v>10170</v>
      </c>
      <c r="P6276" s="5" t="str">
        <f t="shared" si="146"/>
        <v/>
      </c>
      <c r="Q6276" s="337"/>
      <c r="R6276" s="337"/>
    </row>
    <row r="6277" spans="2:18" x14ac:dyDescent="0.25">
      <c r="B6277" s="337" t="s">
        <v>10457</v>
      </c>
      <c r="C6277" s="337" t="s">
        <v>10458</v>
      </c>
      <c r="D6277" s="337" t="s">
        <v>29</v>
      </c>
      <c r="E6277" s="337" t="s">
        <v>1096</v>
      </c>
      <c r="F6277" s="337" t="s">
        <v>184</v>
      </c>
      <c r="G6277" s="390" t="s">
        <v>35</v>
      </c>
      <c r="H6277" s="337" t="s">
        <v>36</v>
      </c>
      <c r="I6277" s="71"/>
      <c r="J6277" s="71"/>
      <c r="K6277" s="337"/>
      <c r="L6277" s="337"/>
      <c r="M6277" s="395" t="s">
        <v>10170</v>
      </c>
      <c r="N6277" s="337"/>
      <c r="O6277" s="167" t="s">
        <v>38</v>
      </c>
      <c r="P6277" s="5" t="str">
        <f t="shared" ref="P6277" si="147">IF(D6277="Datos","Truncate table "&amp; B6277&amp; ";","")</f>
        <v>Truncate table FAMC1;</v>
      </c>
      <c r="Q6277" s="337"/>
      <c r="R6277" s="337"/>
    </row>
    <row r="6278" spans="2:18" x14ac:dyDescent="0.25">
      <c r="B6278" s="337" t="s">
        <v>10459</v>
      </c>
      <c r="C6278" s="337" t="s">
        <v>10460</v>
      </c>
      <c r="D6278" s="337" t="s">
        <v>29</v>
      </c>
      <c r="E6278" s="337" t="s">
        <v>1096</v>
      </c>
      <c r="F6278" s="337" t="s">
        <v>184</v>
      </c>
      <c r="G6278" s="337" t="s">
        <v>35</v>
      </c>
      <c r="H6278" s="337" t="s">
        <v>36</v>
      </c>
      <c r="I6278" s="71"/>
      <c r="J6278" s="71"/>
      <c r="K6278" s="337" t="s">
        <v>11161</v>
      </c>
      <c r="L6278" s="337"/>
      <c r="M6278" s="395" t="s">
        <v>10170</v>
      </c>
      <c r="N6278" s="337"/>
      <c r="O6278" s="167" t="s">
        <v>38</v>
      </c>
      <c r="P6278" s="5" t="str">
        <f t="shared" si="146"/>
        <v>Truncate table FANCS;</v>
      </c>
      <c r="Q6278" s="337"/>
      <c r="R6278" s="337"/>
    </row>
    <row r="6279" spans="2:18" x14ac:dyDescent="0.25">
      <c r="B6279" s="337" t="s">
        <v>10461</v>
      </c>
      <c r="C6279" s="337" t="s">
        <v>10462</v>
      </c>
      <c r="D6279" s="337" t="s">
        <v>29</v>
      </c>
      <c r="E6279" s="390" t="s">
        <v>1096</v>
      </c>
      <c r="F6279" s="337" t="s">
        <v>184</v>
      </c>
      <c r="G6279" s="389" t="s">
        <v>35</v>
      </c>
      <c r="H6279" s="337" t="s">
        <v>36</v>
      </c>
      <c r="I6279" s="71"/>
      <c r="J6279" s="71"/>
      <c r="K6279" s="337" t="s">
        <v>11161</v>
      </c>
      <c r="L6279" s="337"/>
      <c r="M6279" s="395" t="s">
        <v>10170</v>
      </c>
      <c r="N6279" s="337"/>
      <c r="O6279" s="167" t="s">
        <v>38</v>
      </c>
      <c r="P6279" s="5" t="str">
        <f t="shared" si="146"/>
        <v>Truncate table FAW0059;</v>
      </c>
      <c r="Q6279" s="337"/>
      <c r="R6279" s="337"/>
    </row>
    <row r="6280" spans="2:18" x14ac:dyDescent="0.25">
      <c r="B6280" s="338" t="s">
        <v>10463</v>
      </c>
      <c r="C6280" s="338" t="s">
        <v>10464</v>
      </c>
      <c r="D6280" s="338" t="s">
        <v>29</v>
      </c>
      <c r="E6280" s="5" t="s">
        <v>34</v>
      </c>
      <c r="F6280" s="5" t="s">
        <v>33</v>
      </c>
      <c r="G6280" s="338" t="s">
        <v>35</v>
      </c>
      <c r="H6280" s="338" t="s">
        <v>36</v>
      </c>
      <c r="I6280" s="338"/>
      <c r="J6280" s="338"/>
      <c r="K6280" s="338"/>
      <c r="L6280" s="338"/>
      <c r="M6280" s="399" t="s">
        <v>10170</v>
      </c>
      <c r="N6280" s="338"/>
      <c r="O6280" s="133" t="s">
        <v>38</v>
      </c>
      <c r="P6280" s="5" t="str">
        <f t="shared" si="146"/>
        <v>Truncate table FBC057;</v>
      </c>
      <c r="Q6280" s="338"/>
      <c r="R6280" s="338"/>
    </row>
    <row r="6281" spans="2:18" x14ac:dyDescent="0.25">
      <c r="B6281" s="338" t="s">
        <v>10465</v>
      </c>
      <c r="C6281" s="338" t="s">
        <v>10466</v>
      </c>
      <c r="D6281" s="338" t="s">
        <v>29</v>
      </c>
      <c r="E6281" s="5" t="s">
        <v>34</v>
      </c>
      <c r="F6281" s="5" t="s">
        <v>33</v>
      </c>
      <c r="G6281" s="338" t="s">
        <v>35</v>
      </c>
      <c r="H6281" s="338" t="s">
        <v>36</v>
      </c>
      <c r="I6281" s="338"/>
      <c r="J6281" s="338"/>
      <c r="K6281" s="338"/>
      <c r="L6281" s="338"/>
      <c r="M6281" s="399" t="s">
        <v>10170</v>
      </c>
      <c r="N6281" s="338"/>
      <c r="O6281" s="133" t="s">
        <v>38</v>
      </c>
      <c r="P6281" s="5" t="str">
        <f t="shared" ref="P6281:P6345" si="148">IF(D6281="Datos","Truncate table "&amp; B6281&amp; ";","")</f>
        <v>Truncate table FBC077;</v>
      </c>
      <c r="Q6281" s="338"/>
      <c r="R6281" s="338"/>
    </row>
    <row r="6282" spans="2:18" x14ac:dyDescent="0.25">
      <c r="B6282" s="338" t="s">
        <v>10467</v>
      </c>
      <c r="C6282" s="338" t="s">
        <v>10468</v>
      </c>
      <c r="D6282" s="338" t="s">
        <v>8152</v>
      </c>
      <c r="E6282" s="5" t="s">
        <v>34</v>
      </c>
      <c r="F6282" s="5" t="s">
        <v>33</v>
      </c>
      <c r="G6282" s="338" t="s">
        <v>35</v>
      </c>
      <c r="H6282" s="338" t="s">
        <v>36</v>
      </c>
      <c r="I6282" s="338"/>
      <c r="J6282" s="338"/>
      <c r="K6282" s="338"/>
      <c r="L6282" s="338"/>
      <c r="M6282" s="399" t="s">
        <v>10170</v>
      </c>
      <c r="N6282" s="338"/>
      <c r="O6282" s="133" t="s">
        <v>38</v>
      </c>
      <c r="P6282" s="5" t="str">
        <f t="shared" si="148"/>
        <v/>
      </c>
      <c r="Q6282" s="338"/>
      <c r="R6282" s="338"/>
    </row>
    <row r="6283" spans="2:18" x14ac:dyDescent="0.25">
      <c r="B6283" s="338" t="s">
        <v>10469</v>
      </c>
      <c r="C6283" s="338" t="s">
        <v>10470</v>
      </c>
      <c r="D6283" s="338" t="s">
        <v>8152</v>
      </c>
      <c r="E6283" s="5" t="s">
        <v>34</v>
      </c>
      <c r="F6283" s="5" t="s">
        <v>33</v>
      </c>
      <c r="G6283" s="338" t="s">
        <v>35</v>
      </c>
      <c r="H6283" s="338" t="s">
        <v>36</v>
      </c>
      <c r="I6283" s="338"/>
      <c r="J6283" s="338"/>
      <c r="K6283" s="338"/>
      <c r="L6283" s="338"/>
      <c r="M6283" s="399" t="s">
        <v>10170</v>
      </c>
      <c r="N6283" s="338"/>
      <c r="O6283" s="133" t="s">
        <v>38</v>
      </c>
      <c r="P6283" s="5" t="str">
        <f t="shared" si="148"/>
        <v/>
      </c>
      <c r="Q6283" s="338"/>
      <c r="R6283" s="338"/>
    </row>
    <row r="6284" spans="2:18" x14ac:dyDescent="0.25">
      <c r="B6284" s="338" t="s">
        <v>10471</v>
      </c>
      <c r="C6284" s="338" t="s">
        <v>10472</v>
      </c>
      <c r="D6284" s="338" t="s">
        <v>29</v>
      </c>
      <c r="E6284" s="5" t="s">
        <v>34</v>
      </c>
      <c r="F6284" s="5" t="s">
        <v>33</v>
      </c>
      <c r="G6284" s="338" t="s">
        <v>35</v>
      </c>
      <c r="H6284" s="338" t="s">
        <v>36</v>
      </c>
      <c r="I6284" s="338"/>
      <c r="J6284" s="338"/>
      <c r="K6284" s="338"/>
      <c r="L6284" s="338"/>
      <c r="M6284" s="399" t="s">
        <v>10170</v>
      </c>
      <c r="N6284" s="338"/>
      <c r="O6284" s="133" t="s">
        <v>38</v>
      </c>
      <c r="P6284" s="5" t="str">
        <f t="shared" si="148"/>
        <v>Truncate table FBC193;</v>
      </c>
      <c r="Q6284" s="338"/>
      <c r="R6284" s="338"/>
    </row>
    <row r="6285" spans="2:18" x14ac:dyDescent="0.25">
      <c r="B6285" s="338" t="s">
        <v>10473</v>
      </c>
      <c r="C6285" s="338" t="s">
        <v>10474</v>
      </c>
      <c r="D6285" s="338" t="s">
        <v>29</v>
      </c>
      <c r="E6285" s="5" t="s">
        <v>34</v>
      </c>
      <c r="F6285" s="5" t="s">
        <v>33</v>
      </c>
      <c r="G6285" s="338" t="s">
        <v>35</v>
      </c>
      <c r="H6285" s="338" t="s">
        <v>36</v>
      </c>
      <c r="I6285" s="338"/>
      <c r="J6285" s="338"/>
      <c r="K6285" s="338"/>
      <c r="L6285" s="338"/>
      <c r="M6285" s="399" t="s">
        <v>10170</v>
      </c>
      <c r="N6285" s="338"/>
      <c r="O6285" s="133" t="s">
        <v>38</v>
      </c>
      <c r="P6285" s="5" t="str">
        <f t="shared" si="148"/>
        <v>Truncate table FBC195;</v>
      </c>
      <c r="Q6285" s="338"/>
      <c r="R6285" s="338"/>
    </row>
    <row r="6286" spans="2:18" x14ac:dyDescent="0.25">
      <c r="B6286" s="338" t="s">
        <v>10475</v>
      </c>
      <c r="C6286" s="338" t="s">
        <v>10476</v>
      </c>
      <c r="D6286" s="338" t="s">
        <v>29</v>
      </c>
      <c r="E6286" s="5" t="s">
        <v>34</v>
      </c>
      <c r="F6286" s="5" t="s">
        <v>33</v>
      </c>
      <c r="G6286" s="338" t="s">
        <v>35</v>
      </c>
      <c r="H6286" s="338" t="s">
        <v>36</v>
      </c>
      <c r="I6286" s="338"/>
      <c r="J6286" s="338"/>
      <c r="K6286" s="338"/>
      <c r="L6286" s="338"/>
      <c r="M6286" s="399" t="s">
        <v>10170</v>
      </c>
      <c r="N6286" s="338"/>
      <c r="O6286" s="133" t="s">
        <v>38</v>
      </c>
      <c r="P6286" s="5" t="str">
        <f t="shared" si="148"/>
        <v>Truncate table FBC196;</v>
      </c>
      <c r="Q6286" s="338"/>
      <c r="R6286" s="338"/>
    </row>
    <row r="6287" spans="2:18" x14ac:dyDescent="0.25">
      <c r="B6287" s="338" t="s">
        <v>10477</v>
      </c>
      <c r="C6287" s="338" t="s">
        <v>10478</v>
      </c>
      <c r="D6287" s="338" t="s">
        <v>29</v>
      </c>
      <c r="E6287" s="5" t="s">
        <v>34</v>
      </c>
      <c r="F6287" s="5" t="s">
        <v>33</v>
      </c>
      <c r="G6287" s="338" t="s">
        <v>35</v>
      </c>
      <c r="H6287" s="338" t="s">
        <v>36</v>
      </c>
      <c r="I6287" s="338"/>
      <c r="J6287" s="338"/>
      <c r="K6287" s="338"/>
      <c r="L6287" s="338"/>
      <c r="M6287" s="399" t="s">
        <v>10170</v>
      </c>
      <c r="N6287" s="338"/>
      <c r="O6287" s="133" t="s">
        <v>38</v>
      </c>
      <c r="P6287" s="5" t="str">
        <f t="shared" si="148"/>
        <v>Truncate table FBC197;</v>
      </c>
      <c r="Q6287" s="338"/>
      <c r="R6287" s="338"/>
    </row>
    <row r="6288" spans="2:18" x14ac:dyDescent="0.25">
      <c r="B6288" s="338" t="s">
        <v>10479</v>
      </c>
      <c r="C6288" s="338" t="s">
        <v>10480</v>
      </c>
      <c r="D6288" s="338" t="s">
        <v>29</v>
      </c>
      <c r="E6288" s="5" t="s">
        <v>34</v>
      </c>
      <c r="F6288" s="5" t="s">
        <v>33</v>
      </c>
      <c r="G6288" s="338" t="s">
        <v>35</v>
      </c>
      <c r="H6288" s="338" t="s">
        <v>36</v>
      </c>
      <c r="I6288" s="338"/>
      <c r="J6288" s="338"/>
      <c r="K6288" s="338"/>
      <c r="L6288" s="338"/>
      <c r="M6288" s="399" t="s">
        <v>10170</v>
      </c>
      <c r="N6288" s="338"/>
      <c r="O6288" s="133" t="s">
        <v>38</v>
      </c>
      <c r="P6288" s="5" t="str">
        <f t="shared" si="148"/>
        <v>Truncate table FBC217;</v>
      </c>
      <c r="Q6288" s="338"/>
      <c r="R6288" s="338"/>
    </row>
    <row r="6289" spans="2:18" x14ac:dyDescent="0.25">
      <c r="B6289" s="338" t="s">
        <v>10481</v>
      </c>
      <c r="C6289" s="338" t="s">
        <v>10482</v>
      </c>
      <c r="D6289" s="338" t="s">
        <v>29</v>
      </c>
      <c r="E6289" s="5" t="s">
        <v>34</v>
      </c>
      <c r="F6289" s="5" t="s">
        <v>33</v>
      </c>
      <c r="G6289" s="338" t="s">
        <v>35</v>
      </c>
      <c r="H6289" s="338" t="s">
        <v>36</v>
      </c>
      <c r="I6289" s="338"/>
      <c r="J6289" s="338"/>
      <c r="K6289" s="338"/>
      <c r="L6289" s="338"/>
      <c r="M6289" s="399" t="s">
        <v>10170</v>
      </c>
      <c r="N6289" s="338"/>
      <c r="O6289" s="133" t="s">
        <v>38</v>
      </c>
      <c r="P6289" s="5" t="str">
        <f t="shared" si="148"/>
        <v>Truncate table FBC230;</v>
      </c>
      <c r="Q6289" s="338"/>
      <c r="R6289" s="338"/>
    </row>
    <row r="6290" spans="2:18" x14ac:dyDescent="0.25">
      <c r="B6290" s="338" t="s">
        <v>10483</v>
      </c>
      <c r="C6290" s="338" t="s">
        <v>10484</v>
      </c>
      <c r="D6290" s="338" t="s">
        <v>29</v>
      </c>
      <c r="E6290" s="5" t="s">
        <v>34</v>
      </c>
      <c r="F6290" s="5" t="s">
        <v>33</v>
      </c>
      <c r="G6290" s="338" t="s">
        <v>35</v>
      </c>
      <c r="H6290" s="338" t="s">
        <v>36</v>
      </c>
      <c r="I6290" s="338"/>
      <c r="J6290" s="338"/>
      <c r="K6290" s="338"/>
      <c r="L6290" s="338"/>
      <c r="M6290" s="399" t="s">
        <v>10170</v>
      </c>
      <c r="N6290" s="338"/>
      <c r="O6290" s="133" t="s">
        <v>38</v>
      </c>
      <c r="P6290" s="5" t="str">
        <f t="shared" si="148"/>
        <v>Truncate table FBC2A1;</v>
      </c>
      <c r="Q6290" s="338"/>
      <c r="R6290" s="338"/>
    </row>
    <row r="6291" spans="2:18" x14ac:dyDescent="0.25">
      <c r="B6291" s="338" t="s">
        <v>10485</v>
      </c>
      <c r="C6291" s="338" t="s">
        <v>10485</v>
      </c>
      <c r="D6291" s="338" t="s">
        <v>29</v>
      </c>
      <c r="E6291" s="5" t="s">
        <v>34</v>
      </c>
      <c r="F6291" s="5" t="s">
        <v>33</v>
      </c>
      <c r="G6291" s="338" t="s">
        <v>35</v>
      </c>
      <c r="H6291" s="338" t="s">
        <v>36</v>
      </c>
      <c r="I6291" s="338"/>
      <c r="J6291" s="338"/>
      <c r="K6291" s="338"/>
      <c r="L6291" s="338"/>
      <c r="M6291" s="399" t="s">
        <v>10170</v>
      </c>
      <c r="N6291" s="338"/>
      <c r="O6291" s="133" t="s">
        <v>38</v>
      </c>
      <c r="P6291" s="5" t="str">
        <f t="shared" si="148"/>
        <v>Truncate table FBC400;</v>
      </c>
      <c r="Q6291" s="338"/>
      <c r="R6291" s="338"/>
    </row>
    <row r="6292" spans="2:18" x14ac:dyDescent="0.25">
      <c r="B6292" s="338" t="s">
        <v>10486</v>
      </c>
      <c r="C6292" s="338" t="s">
        <v>10487</v>
      </c>
      <c r="D6292" s="338" t="s">
        <v>29</v>
      </c>
      <c r="E6292" s="5" t="s">
        <v>34</v>
      </c>
      <c r="F6292" s="5" t="s">
        <v>33</v>
      </c>
      <c r="G6292" s="338" t="s">
        <v>35</v>
      </c>
      <c r="H6292" s="338" t="s">
        <v>36</v>
      </c>
      <c r="I6292" s="338"/>
      <c r="J6292" s="338"/>
      <c r="K6292" s="338"/>
      <c r="L6292" s="338"/>
      <c r="M6292" s="399" t="s">
        <v>10170</v>
      </c>
      <c r="N6292" s="338"/>
      <c r="O6292" s="133" t="s">
        <v>38</v>
      </c>
      <c r="P6292" s="5" t="str">
        <f t="shared" si="148"/>
        <v>Truncate table FBC440;</v>
      </c>
      <c r="Q6292" s="338"/>
      <c r="R6292" s="338"/>
    </row>
    <row r="6293" spans="2:18" x14ac:dyDescent="0.25">
      <c r="B6293" s="338" t="s">
        <v>10488</v>
      </c>
      <c r="C6293" s="338" t="s">
        <v>10489</v>
      </c>
      <c r="D6293" s="338" t="s">
        <v>29</v>
      </c>
      <c r="E6293" s="5" t="s">
        <v>34</v>
      </c>
      <c r="F6293" s="5" t="s">
        <v>33</v>
      </c>
      <c r="G6293" s="338" t="s">
        <v>35</v>
      </c>
      <c r="H6293" s="338" t="s">
        <v>36</v>
      </c>
      <c r="I6293" s="338"/>
      <c r="J6293" s="338"/>
      <c r="K6293" s="338"/>
      <c r="L6293" s="338"/>
      <c r="M6293" s="399" t="s">
        <v>10170</v>
      </c>
      <c r="N6293" s="338"/>
      <c r="O6293" s="133" t="s">
        <v>38</v>
      </c>
      <c r="P6293" s="5" t="str">
        <f t="shared" si="148"/>
        <v>Truncate table FBC444;</v>
      </c>
      <c r="Q6293" s="338"/>
      <c r="R6293" s="338"/>
    </row>
    <row r="6294" spans="2:18" x14ac:dyDescent="0.25">
      <c r="B6294" s="338" t="s">
        <v>10490</v>
      </c>
      <c r="C6294" s="338" t="s">
        <v>10491</v>
      </c>
      <c r="D6294" s="338" t="s">
        <v>29</v>
      </c>
      <c r="E6294" s="5" t="s">
        <v>34</v>
      </c>
      <c r="F6294" s="5" t="s">
        <v>33</v>
      </c>
      <c r="G6294" s="338" t="s">
        <v>35</v>
      </c>
      <c r="H6294" s="338" t="s">
        <v>36</v>
      </c>
      <c r="I6294" s="338"/>
      <c r="J6294" s="338"/>
      <c r="K6294" s="338"/>
      <c r="L6294" s="338"/>
      <c r="M6294" s="399" t="s">
        <v>10170</v>
      </c>
      <c r="N6294" s="338"/>
      <c r="O6294" s="133" t="s">
        <v>38</v>
      </c>
      <c r="P6294" s="5" t="str">
        <f t="shared" si="148"/>
        <v>Truncate table FBC464;</v>
      </c>
      <c r="Q6294" s="338"/>
      <c r="R6294" s="338"/>
    </row>
    <row r="6295" spans="2:18" x14ac:dyDescent="0.25">
      <c r="B6295" s="338" t="s">
        <v>10492</v>
      </c>
      <c r="C6295" s="338" t="s">
        <v>10493</v>
      </c>
      <c r="D6295" s="338" t="s">
        <v>29</v>
      </c>
      <c r="E6295" s="5" t="s">
        <v>34</v>
      </c>
      <c r="F6295" s="5" t="s">
        <v>33</v>
      </c>
      <c r="G6295" s="338" t="s">
        <v>35</v>
      </c>
      <c r="H6295" s="338" t="s">
        <v>36</v>
      </c>
      <c r="I6295" s="338"/>
      <c r="J6295" s="338"/>
      <c r="K6295" s="338"/>
      <c r="L6295" s="338"/>
      <c r="M6295" s="399" t="s">
        <v>10170</v>
      </c>
      <c r="N6295" s="338"/>
      <c r="O6295" s="133" t="s">
        <v>38</v>
      </c>
      <c r="P6295" s="5" t="str">
        <f t="shared" si="148"/>
        <v>Truncate table FBC465;</v>
      </c>
      <c r="Q6295" s="338"/>
      <c r="R6295" s="338"/>
    </row>
    <row r="6296" spans="2:18" x14ac:dyDescent="0.25">
      <c r="B6296" s="338" t="s">
        <v>10494</v>
      </c>
      <c r="C6296" s="338" t="s">
        <v>10495</v>
      </c>
      <c r="D6296" s="338" t="s">
        <v>29</v>
      </c>
      <c r="E6296" s="5" t="s">
        <v>34</v>
      </c>
      <c r="F6296" s="5" t="s">
        <v>33</v>
      </c>
      <c r="G6296" s="338" t="s">
        <v>35</v>
      </c>
      <c r="H6296" s="338" t="s">
        <v>36</v>
      </c>
      <c r="I6296" s="338"/>
      <c r="J6296" s="338"/>
      <c r="K6296" s="338"/>
      <c r="L6296" s="338"/>
      <c r="M6296" s="399" t="s">
        <v>10170</v>
      </c>
      <c r="N6296" s="338"/>
      <c r="O6296" s="133" t="s">
        <v>38</v>
      </c>
      <c r="P6296" s="5" t="str">
        <f t="shared" si="148"/>
        <v>Truncate table FBC513;</v>
      </c>
      <c r="Q6296" s="338"/>
      <c r="R6296" s="338"/>
    </row>
    <row r="6297" spans="2:18" x14ac:dyDescent="0.25">
      <c r="B6297" s="338" t="s">
        <v>10496</v>
      </c>
      <c r="C6297" s="338" t="s">
        <v>10497</v>
      </c>
      <c r="D6297" s="338" t="s">
        <v>29</v>
      </c>
      <c r="E6297" s="5" t="s">
        <v>34</v>
      </c>
      <c r="F6297" s="5" t="s">
        <v>33</v>
      </c>
      <c r="G6297" s="338" t="s">
        <v>35</v>
      </c>
      <c r="H6297" s="338" t="s">
        <v>36</v>
      </c>
      <c r="I6297" s="338"/>
      <c r="J6297" s="338"/>
      <c r="K6297" s="338"/>
      <c r="L6297" s="338"/>
      <c r="M6297" s="399" t="s">
        <v>10170</v>
      </c>
      <c r="N6297" s="338"/>
      <c r="O6297" s="133" t="s">
        <v>38</v>
      </c>
      <c r="P6297" s="5" t="str">
        <f t="shared" si="148"/>
        <v>Truncate table FBC518;</v>
      </c>
      <c r="Q6297" s="338"/>
      <c r="R6297" s="338"/>
    </row>
    <row r="6298" spans="2:18" x14ac:dyDescent="0.25">
      <c r="B6298" s="338" t="s">
        <v>10498</v>
      </c>
      <c r="C6298" s="338" t="s">
        <v>10499</v>
      </c>
      <c r="D6298" s="338" t="s">
        <v>29</v>
      </c>
      <c r="E6298" s="5" t="s">
        <v>34</v>
      </c>
      <c r="F6298" s="5" t="s">
        <v>33</v>
      </c>
      <c r="G6298" s="338" t="s">
        <v>35</v>
      </c>
      <c r="H6298" s="338" t="s">
        <v>36</v>
      </c>
      <c r="I6298" s="338"/>
      <c r="J6298" s="338"/>
      <c r="K6298" s="338"/>
      <c r="L6298" s="338"/>
      <c r="M6298" s="399" t="s">
        <v>10170</v>
      </c>
      <c r="N6298" s="338"/>
      <c r="O6298" s="133" t="s">
        <v>38</v>
      </c>
      <c r="P6298" s="5" t="str">
        <f t="shared" si="148"/>
        <v>Truncate table FBC529;</v>
      </c>
      <c r="Q6298" s="338"/>
      <c r="R6298" s="338"/>
    </row>
    <row r="6299" spans="2:18" x14ac:dyDescent="0.25">
      <c r="B6299" s="338" t="s">
        <v>10500</v>
      </c>
      <c r="C6299" s="338" t="s">
        <v>10501</v>
      </c>
      <c r="D6299" s="338" t="s">
        <v>29</v>
      </c>
      <c r="E6299" s="5" t="s">
        <v>34</v>
      </c>
      <c r="F6299" s="5" t="s">
        <v>33</v>
      </c>
      <c r="G6299" s="338" t="s">
        <v>35</v>
      </c>
      <c r="H6299" s="338" t="s">
        <v>36</v>
      </c>
      <c r="I6299" s="338"/>
      <c r="J6299" s="338"/>
      <c r="K6299" s="338"/>
      <c r="L6299" s="338"/>
      <c r="M6299" s="399" t="s">
        <v>10170</v>
      </c>
      <c r="N6299" s="338"/>
      <c r="O6299" s="133" t="s">
        <v>38</v>
      </c>
      <c r="P6299" s="5" t="str">
        <f t="shared" si="148"/>
        <v>Truncate table FBC552;</v>
      </c>
      <c r="Q6299" s="338"/>
      <c r="R6299" s="338"/>
    </row>
    <row r="6300" spans="2:18" x14ac:dyDescent="0.25">
      <c r="B6300" s="338" t="s">
        <v>10502</v>
      </c>
      <c r="C6300" s="338" t="s">
        <v>10503</v>
      </c>
      <c r="D6300" s="338" t="s">
        <v>29</v>
      </c>
      <c r="E6300" s="5" t="s">
        <v>34</v>
      </c>
      <c r="F6300" s="5" t="s">
        <v>33</v>
      </c>
      <c r="G6300" s="338" t="s">
        <v>35</v>
      </c>
      <c r="H6300" s="338" t="s">
        <v>36</v>
      </c>
      <c r="I6300" s="338"/>
      <c r="J6300" s="338"/>
      <c r="K6300" s="338"/>
      <c r="L6300" s="338"/>
      <c r="M6300" s="399" t="s">
        <v>10170</v>
      </c>
      <c r="N6300" s="338"/>
      <c r="O6300" s="133" t="s">
        <v>38</v>
      </c>
      <c r="P6300" s="5" t="str">
        <f t="shared" si="148"/>
        <v>Truncate table FBC570;</v>
      </c>
      <c r="Q6300" s="338"/>
      <c r="R6300" s="338"/>
    </row>
    <row r="6301" spans="2:18" x14ac:dyDescent="0.25">
      <c r="B6301" s="338" t="s">
        <v>10504</v>
      </c>
      <c r="C6301" s="338" t="s">
        <v>10505</v>
      </c>
      <c r="D6301" s="338" t="s">
        <v>29</v>
      </c>
      <c r="E6301" s="5" t="s">
        <v>34</v>
      </c>
      <c r="F6301" s="5" t="s">
        <v>33</v>
      </c>
      <c r="G6301" s="338" t="s">
        <v>35</v>
      </c>
      <c r="H6301" s="338" t="s">
        <v>36</v>
      </c>
      <c r="I6301" s="338"/>
      <c r="J6301" s="338"/>
      <c r="K6301" s="338"/>
      <c r="L6301" s="338"/>
      <c r="M6301" s="399" t="s">
        <v>10170</v>
      </c>
      <c r="N6301" s="338"/>
      <c r="O6301" s="133" t="s">
        <v>38</v>
      </c>
      <c r="P6301" s="5" t="str">
        <f t="shared" si="148"/>
        <v>Truncate table FBC621;</v>
      </c>
      <c r="Q6301" s="338"/>
      <c r="R6301" s="338"/>
    </row>
    <row r="6302" spans="2:18" x14ac:dyDescent="0.25">
      <c r="B6302" s="338" t="s">
        <v>10506</v>
      </c>
      <c r="C6302" s="338" t="s">
        <v>10507</v>
      </c>
      <c r="D6302" s="338" t="s">
        <v>29</v>
      </c>
      <c r="E6302" s="5" t="s">
        <v>34</v>
      </c>
      <c r="F6302" s="5" t="s">
        <v>33</v>
      </c>
      <c r="G6302" s="338" t="s">
        <v>35</v>
      </c>
      <c r="H6302" s="338" t="s">
        <v>36</v>
      </c>
      <c r="I6302" s="338"/>
      <c r="J6302" s="338"/>
      <c r="K6302" s="338"/>
      <c r="L6302" s="338"/>
      <c r="M6302" s="399" t="s">
        <v>10170</v>
      </c>
      <c r="N6302" s="338"/>
      <c r="O6302" s="133" t="s">
        <v>38</v>
      </c>
      <c r="P6302" s="5" t="str">
        <f t="shared" si="148"/>
        <v>Truncate table FBC640;</v>
      </c>
      <c r="Q6302" s="338"/>
      <c r="R6302" s="338"/>
    </row>
    <row r="6303" spans="2:18" x14ac:dyDescent="0.25">
      <c r="B6303" s="338" t="s">
        <v>10508</v>
      </c>
      <c r="C6303" s="338" t="s">
        <v>10509</v>
      </c>
      <c r="D6303" s="338" t="s">
        <v>29</v>
      </c>
      <c r="E6303" s="5" t="s">
        <v>34</v>
      </c>
      <c r="F6303" s="5" t="s">
        <v>33</v>
      </c>
      <c r="G6303" s="338" t="s">
        <v>35</v>
      </c>
      <c r="H6303" s="338" t="s">
        <v>36</v>
      </c>
      <c r="I6303" s="338"/>
      <c r="J6303" s="338"/>
      <c r="K6303" s="338"/>
      <c r="L6303" s="338"/>
      <c r="M6303" s="399" t="s">
        <v>10170</v>
      </c>
      <c r="N6303" s="338"/>
      <c r="O6303" s="133" t="s">
        <v>38</v>
      </c>
      <c r="P6303" s="5" t="str">
        <f t="shared" si="148"/>
        <v>Truncate table FBC641;</v>
      </c>
      <c r="Q6303" s="338"/>
      <c r="R6303" s="338"/>
    </row>
    <row r="6304" spans="2:18" x14ac:dyDescent="0.25">
      <c r="B6304" s="338" t="s">
        <v>10510</v>
      </c>
      <c r="C6304" s="338" t="s">
        <v>10511</v>
      </c>
      <c r="D6304" s="338" t="s">
        <v>29</v>
      </c>
      <c r="E6304" s="5" t="s">
        <v>34</v>
      </c>
      <c r="F6304" s="5" t="s">
        <v>33</v>
      </c>
      <c r="G6304" s="338" t="s">
        <v>35</v>
      </c>
      <c r="H6304" s="338" t="s">
        <v>36</v>
      </c>
      <c r="I6304" s="338"/>
      <c r="J6304" s="338"/>
      <c r="K6304" s="338"/>
      <c r="L6304" s="338"/>
      <c r="M6304" s="399" t="s">
        <v>10170</v>
      </c>
      <c r="N6304" s="338"/>
      <c r="O6304" s="133" t="s">
        <v>38</v>
      </c>
      <c r="P6304" s="5" t="str">
        <f t="shared" si="148"/>
        <v>Truncate table FBC751;</v>
      </c>
      <c r="Q6304" s="338"/>
      <c r="R6304" s="338"/>
    </row>
    <row r="6305" spans="2:18" x14ac:dyDescent="0.25">
      <c r="B6305" s="338" t="s">
        <v>10512</v>
      </c>
      <c r="C6305" s="338" t="s">
        <v>10513</v>
      </c>
      <c r="D6305" s="338" t="s">
        <v>29</v>
      </c>
      <c r="E6305" s="5" t="s">
        <v>34</v>
      </c>
      <c r="F6305" s="5" t="s">
        <v>33</v>
      </c>
      <c r="G6305" s="338" t="s">
        <v>35</v>
      </c>
      <c r="H6305" s="338" t="s">
        <v>36</v>
      </c>
      <c r="I6305" s="338"/>
      <c r="J6305" s="338"/>
      <c r="K6305" s="338"/>
      <c r="L6305" s="338"/>
      <c r="M6305" s="399" t="s">
        <v>10170</v>
      </c>
      <c r="N6305" s="338"/>
      <c r="O6305" s="133" t="s">
        <v>38</v>
      </c>
      <c r="P6305" s="5" t="str">
        <f t="shared" si="148"/>
        <v>Truncate table FBC824;</v>
      </c>
      <c r="Q6305" s="338"/>
      <c r="R6305" s="338"/>
    </row>
    <row r="6306" spans="2:18" x14ac:dyDescent="0.25">
      <c r="B6306" s="338" t="s">
        <v>10514</v>
      </c>
      <c r="C6306" s="338" t="s">
        <v>9981</v>
      </c>
      <c r="D6306" s="338" t="s">
        <v>29</v>
      </c>
      <c r="E6306" s="5" t="s">
        <v>34</v>
      </c>
      <c r="F6306" s="5" t="s">
        <v>33</v>
      </c>
      <c r="G6306" s="338" t="s">
        <v>35</v>
      </c>
      <c r="H6306" s="338" t="s">
        <v>36</v>
      </c>
      <c r="I6306" s="338"/>
      <c r="J6306" s="338"/>
      <c r="K6306" s="338"/>
      <c r="L6306" s="338"/>
      <c r="M6306" s="399" t="s">
        <v>10170</v>
      </c>
      <c r="N6306" s="338"/>
      <c r="O6306" s="133" t="s">
        <v>38</v>
      </c>
      <c r="P6306" s="5" t="str">
        <f t="shared" si="148"/>
        <v>Truncate table FBC826;</v>
      </c>
      <c r="Q6306" s="338"/>
      <c r="R6306" s="338"/>
    </row>
    <row r="6307" spans="2:18" x14ac:dyDescent="0.25">
      <c r="B6307" s="338" t="s">
        <v>10515</v>
      </c>
      <c r="C6307" s="338" t="s">
        <v>9984</v>
      </c>
      <c r="D6307" s="338" t="s">
        <v>29</v>
      </c>
      <c r="E6307" s="5" t="s">
        <v>34</v>
      </c>
      <c r="F6307" s="5" t="s">
        <v>33</v>
      </c>
      <c r="G6307" s="338" t="s">
        <v>35</v>
      </c>
      <c r="H6307" s="338" t="s">
        <v>36</v>
      </c>
      <c r="I6307" s="338"/>
      <c r="J6307" s="338"/>
      <c r="K6307" s="338"/>
      <c r="L6307" s="338"/>
      <c r="M6307" s="399" t="s">
        <v>10170</v>
      </c>
      <c r="N6307" s="338"/>
      <c r="O6307" s="133" t="s">
        <v>38</v>
      </c>
      <c r="P6307" s="5" t="str">
        <f t="shared" si="148"/>
        <v>Truncate table FBC836;</v>
      </c>
      <c r="Q6307" s="338"/>
      <c r="R6307" s="338"/>
    </row>
    <row r="6308" spans="2:18" x14ac:dyDescent="0.25">
      <c r="B6308" s="338" t="s">
        <v>10516</v>
      </c>
      <c r="C6308" s="338" t="s">
        <v>9985</v>
      </c>
      <c r="D6308" s="338" t="s">
        <v>29</v>
      </c>
      <c r="E6308" s="5" t="s">
        <v>34</v>
      </c>
      <c r="F6308" s="5" t="s">
        <v>33</v>
      </c>
      <c r="G6308" s="338" t="s">
        <v>35</v>
      </c>
      <c r="H6308" s="338" t="s">
        <v>36</v>
      </c>
      <c r="I6308" s="338"/>
      <c r="J6308" s="338"/>
      <c r="K6308" s="338"/>
      <c r="L6308" s="338"/>
      <c r="M6308" s="399" t="s">
        <v>10170</v>
      </c>
      <c r="N6308" s="338"/>
      <c r="O6308" s="133" t="s">
        <v>38</v>
      </c>
      <c r="P6308" s="5" t="str">
        <f t="shared" si="148"/>
        <v>Truncate table FBC837;</v>
      </c>
      <c r="Q6308" s="338"/>
      <c r="R6308" s="338"/>
    </row>
    <row r="6309" spans="2:18" x14ac:dyDescent="0.25">
      <c r="B6309" s="338" t="s">
        <v>10517</v>
      </c>
      <c r="C6309" s="338" t="s">
        <v>10518</v>
      </c>
      <c r="D6309" s="338" t="s">
        <v>29</v>
      </c>
      <c r="E6309" s="5" t="s">
        <v>34</v>
      </c>
      <c r="F6309" s="5" t="s">
        <v>33</v>
      </c>
      <c r="G6309" s="338" t="s">
        <v>35</v>
      </c>
      <c r="H6309" s="338" t="s">
        <v>36</v>
      </c>
      <c r="I6309" s="338"/>
      <c r="J6309" s="338"/>
      <c r="K6309" s="338"/>
      <c r="L6309" s="338"/>
      <c r="M6309" s="399" t="s">
        <v>10170</v>
      </c>
      <c r="N6309" s="338"/>
      <c r="O6309" s="133" t="s">
        <v>38</v>
      </c>
      <c r="P6309" s="5" t="str">
        <f t="shared" si="148"/>
        <v>Truncate table FBC869;</v>
      </c>
      <c r="Q6309" s="338"/>
      <c r="R6309" s="338"/>
    </row>
    <row r="6310" spans="2:18" x14ac:dyDescent="0.25">
      <c r="B6310" s="338" t="s">
        <v>10519</v>
      </c>
      <c r="C6310" s="338" t="s">
        <v>10520</v>
      </c>
      <c r="D6310" s="338" t="s">
        <v>29</v>
      </c>
      <c r="E6310" s="5" t="s">
        <v>34</v>
      </c>
      <c r="F6310" s="5" t="s">
        <v>33</v>
      </c>
      <c r="G6310" s="338" t="s">
        <v>35</v>
      </c>
      <c r="H6310" s="338" t="s">
        <v>36</v>
      </c>
      <c r="I6310" s="338"/>
      <c r="J6310" s="338"/>
      <c r="K6310" s="338"/>
      <c r="L6310" s="338"/>
      <c r="M6310" s="399" t="s">
        <v>10170</v>
      </c>
      <c r="N6310" s="338"/>
      <c r="O6310" s="133" t="s">
        <v>38</v>
      </c>
      <c r="P6310" s="5" t="str">
        <f t="shared" si="148"/>
        <v>Truncate table FBC881;</v>
      </c>
      <c r="Q6310" s="338"/>
      <c r="R6310" s="338"/>
    </row>
    <row r="6311" spans="2:18" x14ac:dyDescent="0.25">
      <c r="B6311" s="338" t="s">
        <v>10521</v>
      </c>
      <c r="C6311" s="338" t="s">
        <v>10522</v>
      </c>
      <c r="D6311" s="338" t="s">
        <v>29</v>
      </c>
      <c r="E6311" s="5" t="s">
        <v>34</v>
      </c>
      <c r="F6311" s="5" t="s">
        <v>33</v>
      </c>
      <c r="G6311" s="338" t="s">
        <v>35</v>
      </c>
      <c r="H6311" s="338" t="s">
        <v>36</v>
      </c>
      <c r="I6311" s="338"/>
      <c r="J6311" s="338"/>
      <c r="K6311" s="338"/>
      <c r="L6311" s="338"/>
      <c r="M6311" s="399" t="s">
        <v>10170</v>
      </c>
      <c r="N6311" s="338"/>
      <c r="O6311" s="133" t="s">
        <v>38</v>
      </c>
      <c r="P6311" s="5" t="str">
        <f t="shared" si="148"/>
        <v>Truncate table FBC882;</v>
      </c>
      <c r="Q6311" s="338"/>
      <c r="R6311" s="338"/>
    </row>
    <row r="6312" spans="2:18" x14ac:dyDescent="0.25">
      <c r="B6312" s="338" t="s">
        <v>10523</v>
      </c>
      <c r="C6312" s="338" t="s">
        <v>10524</v>
      </c>
      <c r="D6312" s="338" t="s">
        <v>29</v>
      </c>
      <c r="E6312" s="5" t="s">
        <v>34</v>
      </c>
      <c r="F6312" s="5" t="s">
        <v>33</v>
      </c>
      <c r="G6312" s="338" t="s">
        <v>35</v>
      </c>
      <c r="H6312" s="338" t="s">
        <v>36</v>
      </c>
      <c r="I6312" s="338"/>
      <c r="J6312" s="338"/>
      <c r="K6312" s="338"/>
      <c r="L6312" s="338"/>
      <c r="M6312" s="399" t="s">
        <v>10170</v>
      </c>
      <c r="N6312" s="338"/>
      <c r="O6312" s="133" t="s">
        <v>38</v>
      </c>
      <c r="P6312" s="5" t="str">
        <f t="shared" si="148"/>
        <v>Truncate table FBC883;</v>
      </c>
      <c r="Q6312" s="338"/>
      <c r="R6312" s="338"/>
    </row>
    <row r="6313" spans="2:18" x14ac:dyDescent="0.25">
      <c r="B6313" s="338" t="s">
        <v>10525</v>
      </c>
      <c r="C6313" s="338" t="s">
        <v>10526</v>
      </c>
      <c r="D6313" s="338" t="s">
        <v>29</v>
      </c>
      <c r="E6313" s="5" t="s">
        <v>34</v>
      </c>
      <c r="F6313" s="5" t="s">
        <v>33</v>
      </c>
      <c r="G6313" s="338" t="s">
        <v>35</v>
      </c>
      <c r="H6313" s="338" t="s">
        <v>36</v>
      </c>
      <c r="I6313" s="338"/>
      <c r="J6313" s="338"/>
      <c r="K6313" s="338"/>
      <c r="L6313" s="338"/>
      <c r="M6313" s="399" t="s">
        <v>10170</v>
      </c>
      <c r="N6313" s="338"/>
      <c r="O6313" s="133" t="s">
        <v>38</v>
      </c>
      <c r="P6313" s="5" t="str">
        <f t="shared" si="148"/>
        <v>Truncate table FBC915;</v>
      </c>
      <c r="Q6313" s="338"/>
      <c r="R6313" s="338"/>
    </row>
    <row r="6314" spans="2:18" x14ac:dyDescent="0.25">
      <c r="B6314" s="338" t="s">
        <v>10527</v>
      </c>
      <c r="C6314" s="338" t="s">
        <v>10528</v>
      </c>
      <c r="D6314" s="338" t="s">
        <v>29</v>
      </c>
      <c r="E6314" s="5" t="s">
        <v>34</v>
      </c>
      <c r="F6314" s="5" t="s">
        <v>33</v>
      </c>
      <c r="G6314" s="338" t="s">
        <v>35</v>
      </c>
      <c r="H6314" s="338" t="s">
        <v>36</v>
      </c>
      <c r="I6314" s="338"/>
      <c r="J6314" s="338"/>
      <c r="K6314" s="338"/>
      <c r="L6314" s="338"/>
      <c r="M6314" s="399" t="s">
        <v>10170</v>
      </c>
      <c r="N6314" s="338"/>
      <c r="O6314" s="133" t="s">
        <v>38</v>
      </c>
      <c r="P6314" s="5" t="str">
        <f t="shared" si="148"/>
        <v>Truncate table FBC918;</v>
      </c>
      <c r="Q6314" s="338"/>
      <c r="R6314" s="338"/>
    </row>
    <row r="6315" spans="2:18" x14ac:dyDescent="0.25">
      <c r="B6315" s="338" t="s">
        <v>10529</v>
      </c>
      <c r="C6315" s="338" t="s">
        <v>10530</v>
      </c>
      <c r="D6315" s="338" t="s">
        <v>29</v>
      </c>
      <c r="E6315" s="5" t="s">
        <v>34</v>
      </c>
      <c r="F6315" s="5" t="s">
        <v>33</v>
      </c>
      <c r="G6315" s="338" t="s">
        <v>35</v>
      </c>
      <c r="H6315" s="338" t="s">
        <v>36</v>
      </c>
      <c r="I6315" s="338"/>
      <c r="J6315" s="338"/>
      <c r="K6315" s="338"/>
      <c r="L6315" s="338"/>
      <c r="M6315" s="399" t="s">
        <v>10170</v>
      </c>
      <c r="N6315" s="338"/>
      <c r="O6315" s="133" t="s">
        <v>38</v>
      </c>
      <c r="P6315" s="5" t="str">
        <f t="shared" si="148"/>
        <v>Truncate table FBC920;</v>
      </c>
      <c r="Q6315" s="338"/>
      <c r="R6315" s="338"/>
    </row>
    <row r="6316" spans="2:18" x14ac:dyDescent="0.25">
      <c r="B6316" s="338" t="s">
        <v>10531</v>
      </c>
      <c r="C6316" s="338" t="s">
        <v>10532</v>
      </c>
      <c r="D6316" s="338" t="s">
        <v>29</v>
      </c>
      <c r="E6316" s="5" t="s">
        <v>34</v>
      </c>
      <c r="F6316" s="5" t="s">
        <v>33</v>
      </c>
      <c r="G6316" s="338" t="s">
        <v>35</v>
      </c>
      <c r="H6316" s="338" t="s">
        <v>36</v>
      </c>
      <c r="I6316" s="338"/>
      <c r="J6316" s="338"/>
      <c r="K6316" s="338"/>
      <c r="L6316" s="338"/>
      <c r="M6316" s="399" t="s">
        <v>10170</v>
      </c>
      <c r="N6316" s="338"/>
      <c r="O6316" s="133" t="s">
        <v>38</v>
      </c>
      <c r="P6316" s="5" t="str">
        <f t="shared" si="148"/>
        <v>Truncate table FBC921;</v>
      </c>
      <c r="Q6316" s="338"/>
      <c r="R6316" s="338"/>
    </row>
    <row r="6317" spans="2:18" x14ac:dyDescent="0.25">
      <c r="B6317" s="338" t="s">
        <v>10533</v>
      </c>
      <c r="C6317" s="338" t="s">
        <v>10534</v>
      </c>
      <c r="D6317" s="338" t="s">
        <v>29</v>
      </c>
      <c r="E6317" s="5" t="s">
        <v>34</v>
      </c>
      <c r="F6317" s="5" t="s">
        <v>33</v>
      </c>
      <c r="G6317" s="338" t="s">
        <v>35</v>
      </c>
      <c r="H6317" s="338" t="s">
        <v>36</v>
      </c>
      <c r="I6317" s="338"/>
      <c r="J6317" s="338"/>
      <c r="K6317" s="338"/>
      <c r="L6317" s="338"/>
      <c r="M6317" s="399" t="s">
        <v>10170</v>
      </c>
      <c r="N6317" s="338"/>
      <c r="O6317" s="133" t="s">
        <v>38</v>
      </c>
      <c r="P6317" s="5" t="str">
        <f t="shared" si="148"/>
        <v>Truncate table FBC922;</v>
      </c>
      <c r="Q6317" s="338"/>
      <c r="R6317" s="338"/>
    </row>
    <row r="6318" spans="2:18" x14ac:dyDescent="0.25">
      <c r="B6318" s="338" t="s">
        <v>10535</v>
      </c>
      <c r="C6318" s="338" t="s">
        <v>10536</v>
      </c>
      <c r="D6318" s="338" t="s">
        <v>29</v>
      </c>
      <c r="E6318" s="5" t="s">
        <v>34</v>
      </c>
      <c r="F6318" s="5" t="s">
        <v>33</v>
      </c>
      <c r="G6318" s="338" t="s">
        <v>35</v>
      </c>
      <c r="H6318" s="338" t="s">
        <v>36</v>
      </c>
      <c r="I6318" s="338"/>
      <c r="J6318" s="338"/>
      <c r="K6318" s="338"/>
      <c r="L6318" s="338"/>
      <c r="M6318" s="399" t="s">
        <v>10170</v>
      </c>
      <c r="N6318" s="338"/>
      <c r="O6318" s="133" t="s">
        <v>38</v>
      </c>
      <c r="P6318" s="5" t="str">
        <f t="shared" si="148"/>
        <v>Truncate table FBC923;</v>
      </c>
      <c r="Q6318" s="338"/>
      <c r="R6318" s="338"/>
    </row>
    <row r="6319" spans="2:18" x14ac:dyDescent="0.25">
      <c r="B6319" s="338" t="s">
        <v>10537</v>
      </c>
      <c r="C6319" s="338" t="s">
        <v>10538</v>
      </c>
      <c r="D6319" s="338" t="s">
        <v>29</v>
      </c>
      <c r="E6319" s="5" t="s">
        <v>34</v>
      </c>
      <c r="F6319" s="5" t="s">
        <v>33</v>
      </c>
      <c r="G6319" s="338" t="s">
        <v>35</v>
      </c>
      <c r="H6319" s="338" t="s">
        <v>36</v>
      </c>
      <c r="I6319" s="338"/>
      <c r="J6319" s="338"/>
      <c r="K6319" s="338"/>
      <c r="L6319" s="338"/>
      <c r="M6319" s="399" t="s">
        <v>10170</v>
      </c>
      <c r="N6319" s="338"/>
      <c r="O6319" s="133" t="s">
        <v>38</v>
      </c>
      <c r="P6319" s="5" t="str">
        <f t="shared" si="148"/>
        <v>Truncate table FBC924;</v>
      </c>
      <c r="Q6319" s="338"/>
      <c r="R6319" s="338"/>
    </row>
    <row r="6320" spans="2:18" x14ac:dyDescent="0.25">
      <c r="B6320" s="338" t="s">
        <v>10539</v>
      </c>
      <c r="C6320" s="338" t="s">
        <v>10540</v>
      </c>
      <c r="D6320" s="338" t="s">
        <v>29</v>
      </c>
      <c r="E6320" s="5" t="s">
        <v>34</v>
      </c>
      <c r="F6320" s="5" t="s">
        <v>33</v>
      </c>
      <c r="G6320" s="338" t="s">
        <v>35</v>
      </c>
      <c r="H6320" s="338" t="s">
        <v>36</v>
      </c>
      <c r="I6320" s="338"/>
      <c r="J6320" s="338"/>
      <c r="K6320" s="338"/>
      <c r="L6320" s="338"/>
      <c r="M6320" s="399" t="s">
        <v>10170</v>
      </c>
      <c r="N6320" s="338"/>
      <c r="O6320" s="133" t="s">
        <v>38</v>
      </c>
      <c r="P6320" s="5" t="str">
        <f t="shared" si="148"/>
        <v>Truncate table FBC926;</v>
      </c>
      <c r="Q6320" s="338"/>
      <c r="R6320" s="338"/>
    </row>
    <row r="6321" spans="2:18" x14ac:dyDescent="0.25">
      <c r="B6321" s="338" t="s">
        <v>10541</v>
      </c>
      <c r="C6321" s="338" t="s">
        <v>10542</v>
      </c>
      <c r="D6321" s="338" t="s">
        <v>29</v>
      </c>
      <c r="E6321" s="5" t="s">
        <v>34</v>
      </c>
      <c r="F6321" s="5" t="s">
        <v>33</v>
      </c>
      <c r="G6321" s="338" t="s">
        <v>35</v>
      </c>
      <c r="H6321" s="338" t="s">
        <v>36</v>
      </c>
      <c r="I6321" s="338"/>
      <c r="J6321" s="338"/>
      <c r="K6321" s="338"/>
      <c r="L6321" s="338"/>
      <c r="M6321" s="399" t="s">
        <v>10170</v>
      </c>
      <c r="N6321" s="338"/>
      <c r="O6321" s="133" t="s">
        <v>38</v>
      </c>
      <c r="P6321" s="5" t="str">
        <f t="shared" si="148"/>
        <v>Truncate table FBC927;</v>
      </c>
      <c r="Q6321" s="338"/>
      <c r="R6321" s="338"/>
    </row>
    <row r="6322" spans="2:18" x14ac:dyDescent="0.25">
      <c r="B6322" s="338" t="s">
        <v>10543</v>
      </c>
      <c r="C6322" s="338" t="s">
        <v>10544</v>
      </c>
      <c r="D6322" s="338" t="s">
        <v>29</v>
      </c>
      <c r="E6322" s="5" t="s">
        <v>34</v>
      </c>
      <c r="F6322" s="5" t="s">
        <v>33</v>
      </c>
      <c r="G6322" s="338" t="s">
        <v>35</v>
      </c>
      <c r="H6322" s="338" t="s">
        <v>36</v>
      </c>
      <c r="I6322" s="338"/>
      <c r="J6322" s="338"/>
      <c r="K6322" s="338"/>
      <c r="L6322" s="338"/>
      <c r="M6322" s="399" t="s">
        <v>10170</v>
      </c>
      <c r="N6322" s="338"/>
      <c r="O6322" s="133" t="s">
        <v>38</v>
      </c>
      <c r="P6322" s="5" t="str">
        <f t="shared" si="148"/>
        <v>Truncate table FBC928;</v>
      </c>
      <c r="Q6322" s="338"/>
      <c r="R6322" s="338"/>
    </row>
    <row r="6323" spans="2:18" x14ac:dyDescent="0.25">
      <c r="B6323" s="338" t="s">
        <v>10545</v>
      </c>
      <c r="C6323" s="338" t="s">
        <v>10546</v>
      </c>
      <c r="D6323" s="338" t="s">
        <v>29</v>
      </c>
      <c r="E6323" s="5" t="s">
        <v>34</v>
      </c>
      <c r="F6323" s="5" t="s">
        <v>33</v>
      </c>
      <c r="G6323" s="338" t="s">
        <v>35</v>
      </c>
      <c r="H6323" s="338" t="s">
        <v>36</v>
      </c>
      <c r="I6323" s="338"/>
      <c r="J6323" s="338"/>
      <c r="K6323" s="338"/>
      <c r="L6323" s="338"/>
      <c r="M6323" s="399" t="s">
        <v>10170</v>
      </c>
      <c r="N6323" s="338"/>
      <c r="O6323" s="133" t="s">
        <v>38</v>
      </c>
      <c r="P6323" s="5" t="str">
        <f t="shared" si="148"/>
        <v>Truncate table FBC929;</v>
      </c>
      <c r="Q6323" s="338"/>
      <c r="R6323" s="338"/>
    </row>
    <row r="6324" spans="2:18" x14ac:dyDescent="0.25">
      <c r="B6324" s="338" t="s">
        <v>10547</v>
      </c>
      <c r="C6324" s="338" t="s">
        <v>10548</v>
      </c>
      <c r="D6324" s="338" t="s">
        <v>29</v>
      </c>
      <c r="E6324" s="5" t="s">
        <v>34</v>
      </c>
      <c r="F6324" s="5" t="s">
        <v>33</v>
      </c>
      <c r="G6324" s="338" t="s">
        <v>35</v>
      </c>
      <c r="H6324" s="338" t="s">
        <v>36</v>
      </c>
      <c r="I6324" s="338"/>
      <c r="J6324" s="338"/>
      <c r="K6324" s="338"/>
      <c r="L6324" s="338"/>
      <c r="M6324" s="399" t="s">
        <v>10170</v>
      </c>
      <c r="N6324" s="338"/>
      <c r="O6324" s="133" t="s">
        <v>38</v>
      </c>
      <c r="P6324" s="5" t="str">
        <f t="shared" si="148"/>
        <v>Truncate table FBC930;</v>
      </c>
      <c r="Q6324" s="338"/>
      <c r="R6324" s="338"/>
    </row>
    <row r="6325" spans="2:18" x14ac:dyDescent="0.25">
      <c r="B6325" s="338" t="s">
        <v>10549</v>
      </c>
      <c r="C6325" s="338" t="s">
        <v>10550</v>
      </c>
      <c r="D6325" s="338" t="s">
        <v>29</v>
      </c>
      <c r="E6325" s="5" t="s">
        <v>34</v>
      </c>
      <c r="F6325" s="5" t="s">
        <v>33</v>
      </c>
      <c r="G6325" s="338" t="s">
        <v>35</v>
      </c>
      <c r="H6325" s="338" t="s">
        <v>36</v>
      </c>
      <c r="I6325" s="338"/>
      <c r="J6325" s="338"/>
      <c r="K6325" s="338"/>
      <c r="L6325" s="338"/>
      <c r="M6325" s="399" t="s">
        <v>10170</v>
      </c>
      <c r="N6325" s="338"/>
      <c r="O6325" s="133" t="s">
        <v>38</v>
      </c>
      <c r="P6325" s="5" t="str">
        <f t="shared" si="148"/>
        <v>Truncate table FBC931;</v>
      </c>
      <c r="Q6325" s="338"/>
      <c r="R6325" s="338"/>
    </row>
    <row r="6326" spans="2:18" x14ac:dyDescent="0.25">
      <c r="B6326" s="338" t="s">
        <v>10551</v>
      </c>
      <c r="C6326" s="338" t="s">
        <v>10552</v>
      </c>
      <c r="D6326" s="338" t="s">
        <v>29</v>
      </c>
      <c r="E6326" s="5" t="s">
        <v>34</v>
      </c>
      <c r="F6326" s="5" t="s">
        <v>33</v>
      </c>
      <c r="G6326" s="338" t="s">
        <v>35</v>
      </c>
      <c r="H6326" s="338" t="s">
        <v>36</v>
      </c>
      <c r="I6326" s="338"/>
      <c r="J6326" s="338"/>
      <c r="K6326" s="338"/>
      <c r="L6326" s="338"/>
      <c r="M6326" s="399" t="s">
        <v>10170</v>
      </c>
      <c r="N6326" s="338"/>
      <c r="O6326" s="133" t="s">
        <v>38</v>
      </c>
      <c r="P6326" s="5" t="str">
        <f t="shared" si="148"/>
        <v>Truncate table FBC951;</v>
      </c>
      <c r="Q6326" s="338"/>
      <c r="R6326" s="338"/>
    </row>
    <row r="6327" spans="2:18" x14ac:dyDescent="0.25">
      <c r="B6327" s="338" t="s">
        <v>10553</v>
      </c>
      <c r="C6327" s="338" t="s">
        <v>10554</v>
      </c>
      <c r="D6327" s="338" t="s">
        <v>29</v>
      </c>
      <c r="E6327" s="5" t="s">
        <v>34</v>
      </c>
      <c r="F6327" s="5" t="s">
        <v>33</v>
      </c>
      <c r="G6327" s="338" t="s">
        <v>35</v>
      </c>
      <c r="H6327" s="338" t="s">
        <v>36</v>
      </c>
      <c r="I6327" s="338"/>
      <c r="J6327" s="338"/>
      <c r="K6327" s="338"/>
      <c r="L6327" s="338"/>
      <c r="M6327" s="399" t="s">
        <v>10170</v>
      </c>
      <c r="N6327" s="338"/>
      <c r="O6327" s="133" t="s">
        <v>38</v>
      </c>
      <c r="P6327" s="5" t="str">
        <f t="shared" si="148"/>
        <v>Truncate table FBC952;</v>
      </c>
      <c r="Q6327" s="338"/>
      <c r="R6327" s="338"/>
    </row>
    <row r="6328" spans="2:18" x14ac:dyDescent="0.25">
      <c r="B6328" s="338" t="s">
        <v>10555</v>
      </c>
      <c r="C6328" s="338" t="s">
        <v>10556</v>
      </c>
      <c r="D6328" s="338" t="s">
        <v>29</v>
      </c>
      <c r="E6328" s="5" t="s">
        <v>34</v>
      </c>
      <c r="F6328" s="5" t="s">
        <v>33</v>
      </c>
      <c r="G6328" s="338" t="s">
        <v>35</v>
      </c>
      <c r="H6328" s="338" t="s">
        <v>36</v>
      </c>
      <c r="I6328" s="338"/>
      <c r="J6328" s="338"/>
      <c r="K6328" s="338"/>
      <c r="L6328" s="338"/>
      <c r="M6328" s="399" t="s">
        <v>10170</v>
      </c>
      <c r="N6328" s="338"/>
      <c r="O6328" s="133" t="s">
        <v>38</v>
      </c>
      <c r="P6328" s="5" t="str">
        <f t="shared" si="148"/>
        <v>Truncate table FBC953;</v>
      </c>
      <c r="Q6328" s="338"/>
      <c r="R6328" s="338"/>
    </row>
    <row r="6329" spans="2:18" x14ac:dyDescent="0.25">
      <c r="B6329" s="338" t="s">
        <v>10557</v>
      </c>
      <c r="C6329" s="338" t="s">
        <v>10558</v>
      </c>
      <c r="D6329" s="338" t="s">
        <v>29</v>
      </c>
      <c r="E6329" s="5" t="s">
        <v>34</v>
      </c>
      <c r="F6329" s="5" t="s">
        <v>33</v>
      </c>
      <c r="G6329" s="338" t="s">
        <v>35</v>
      </c>
      <c r="H6329" s="338" t="s">
        <v>36</v>
      </c>
      <c r="I6329" s="338"/>
      <c r="J6329" s="338"/>
      <c r="K6329" s="338"/>
      <c r="L6329" s="338"/>
      <c r="M6329" s="399" t="s">
        <v>10170</v>
      </c>
      <c r="N6329" s="338"/>
      <c r="O6329" s="133" t="s">
        <v>38</v>
      </c>
      <c r="P6329" s="5" t="str">
        <f t="shared" si="148"/>
        <v>Truncate table FBC954;</v>
      </c>
      <c r="Q6329" s="338"/>
      <c r="R6329" s="338"/>
    </row>
    <row r="6330" spans="2:18" x14ac:dyDescent="0.25">
      <c r="B6330" s="338" t="s">
        <v>10559</v>
      </c>
      <c r="C6330" s="338" t="s">
        <v>10560</v>
      </c>
      <c r="D6330" s="338" t="s">
        <v>29</v>
      </c>
      <c r="E6330" s="5" t="s">
        <v>34</v>
      </c>
      <c r="F6330" s="5" t="s">
        <v>33</v>
      </c>
      <c r="G6330" s="338" t="s">
        <v>35</v>
      </c>
      <c r="H6330" s="338" t="s">
        <v>36</v>
      </c>
      <c r="I6330" s="338"/>
      <c r="J6330" s="338"/>
      <c r="K6330" s="338"/>
      <c r="L6330" s="338"/>
      <c r="M6330" s="399" t="s">
        <v>10170</v>
      </c>
      <c r="N6330" s="338"/>
      <c r="O6330" s="133" t="s">
        <v>38</v>
      </c>
      <c r="P6330" s="5" t="str">
        <f t="shared" si="148"/>
        <v>Truncate table FBC955;</v>
      </c>
      <c r="Q6330" s="338"/>
      <c r="R6330" s="338"/>
    </row>
    <row r="6331" spans="2:18" x14ac:dyDescent="0.25">
      <c r="B6331" s="338" t="s">
        <v>10561</v>
      </c>
      <c r="C6331" s="338" t="s">
        <v>10562</v>
      </c>
      <c r="D6331" s="338" t="s">
        <v>29</v>
      </c>
      <c r="E6331" s="5" t="s">
        <v>34</v>
      </c>
      <c r="F6331" s="5" t="s">
        <v>33</v>
      </c>
      <c r="G6331" s="338" t="s">
        <v>35</v>
      </c>
      <c r="H6331" s="338" t="s">
        <v>36</v>
      </c>
      <c r="I6331" s="338"/>
      <c r="J6331" s="338"/>
      <c r="K6331" s="338"/>
      <c r="L6331" s="338"/>
      <c r="M6331" s="399" t="s">
        <v>10170</v>
      </c>
      <c r="N6331" s="338"/>
      <c r="O6331" s="133" t="s">
        <v>38</v>
      </c>
      <c r="P6331" s="5" t="str">
        <f t="shared" si="148"/>
        <v>Truncate table FBC956;</v>
      </c>
      <c r="Q6331" s="338"/>
      <c r="R6331" s="338"/>
    </row>
    <row r="6332" spans="2:18" x14ac:dyDescent="0.25">
      <c r="B6332" s="338" t="s">
        <v>10563</v>
      </c>
      <c r="C6332" s="338" t="s">
        <v>10564</v>
      </c>
      <c r="D6332" s="338" t="s">
        <v>29</v>
      </c>
      <c r="E6332" s="5" t="s">
        <v>34</v>
      </c>
      <c r="F6332" s="5" t="s">
        <v>33</v>
      </c>
      <c r="G6332" s="338" t="s">
        <v>35</v>
      </c>
      <c r="H6332" s="338" t="s">
        <v>36</v>
      </c>
      <c r="I6332" s="338"/>
      <c r="J6332" s="338"/>
      <c r="K6332" s="338"/>
      <c r="L6332" s="338"/>
      <c r="M6332" s="399" t="s">
        <v>10170</v>
      </c>
      <c r="N6332" s="338"/>
      <c r="O6332" s="133" t="s">
        <v>38</v>
      </c>
      <c r="P6332" s="5" t="str">
        <f t="shared" si="148"/>
        <v>Truncate table FBC957;</v>
      </c>
      <c r="Q6332" s="338"/>
      <c r="R6332" s="338"/>
    </row>
    <row r="6333" spans="2:18" x14ac:dyDescent="0.25">
      <c r="B6333" s="338" t="s">
        <v>10565</v>
      </c>
      <c r="C6333" s="338" t="s">
        <v>10566</v>
      </c>
      <c r="D6333" s="338" t="s">
        <v>29</v>
      </c>
      <c r="E6333" s="5" t="s">
        <v>34</v>
      </c>
      <c r="F6333" s="5" t="s">
        <v>33</v>
      </c>
      <c r="G6333" s="338" t="s">
        <v>35</v>
      </c>
      <c r="H6333" s="338" t="s">
        <v>36</v>
      </c>
      <c r="I6333" s="338"/>
      <c r="J6333" s="338"/>
      <c r="K6333" s="338"/>
      <c r="L6333" s="338"/>
      <c r="M6333" s="399" t="s">
        <v>10170</v>
      </c>
      <c r="N6333" s="338"/>
      <c r="O6333" s="133" t="s">
        <v>38</v>
      </c>
      <c r="P6333" s="5" t="str">
        <f t="shared" si="148"/>
        <v>Truncate table FBCAFD;</v>
      </c>
      <c r="Q6333" s="338"/>
      <c r="R6333" s="338"/>
    </row>
    <row r="6334" spans="2:18" x14ac:dyDescent="0.25">
      <c r="B6334" s="338" t="s">
        <v>10567</v>
      </c>
      <c r="C6334" s="338" t="s">
        <v>10568</v>
      </c>
      <c r="D6334" s="338" t="s">
        <v>29</v>
      </c>
      <c r="E6334" s="5" t="s">
        <v>34</v>
      </c>
      <c r="F6334" s="5" t="s">
        <v>33</v>
      </c>
      <c r="G6334" s="338" t="s">
        <v>35</v>
      </c>
      <c r="H6334" s="338" t="s">
        <v>36</v>
      </c>
      <c r="I6334" s="338"/>
      <c r="J6334" s="338"/>
      <c r="K6334" s="338"/>
      <c r="L6334" s="338"/>
      <c r="M6334" s="399" t="s">
        <v>10170</v>
      </c>
      <c r="N6334" s="338"/>
      <c r="O6334" s="133" t="s">
        <v>38</v>
      </c>
      <c r="P6334" s="5" t="str">
        <f t="shared" si="148"/>
        <v>Truncate table FBCC01;</v>
      </c>
      <c r="Q6334" s="338"/>
      <c r="R6334" s="338"/>
    </row>
    <row r="6335" spans="2:18" x14ac:dyDescent="0.25">
      <c r="B6335" s="338" t="s">
        <v>10569</v>
      </c>
      <c r="C6335" s="338" t="s">
        <v>10570</v>
      </c>
      <c r="D6335" s="338" t="s">
        <v>29</v>
      </c>
      <c r="E6335" s="5" t="s">
        <v>34</v>
      </c>
      <c r="F6335" s="5" t="s">
        <v>33</v>
      </c>
      <c r="G6335" s="338" t="s">
        <v>35</v>
      </c>
      <c r="H6335" s="338" t="s">
        <v>36</v>
      </c>
      <c r="I6335" s="338"/>
      <c r="J6335" s="338"/>
      <c r="K6335" s="338"/>
      <c r="L6335" s="338"/>
      <c r="M6335" s="399" t="s">
        <v>10170</v>
      </c>
      <c r="N6335" s="338"/>
      <c r="O6335" s="133" t="s">
        <v>38</v>
      </c>
      <c r="P6335" s="5" t="str">
        <f t="shared" si="148"/>
        <v>Truncate table FBCCC1;</v>
      </c>
      <c r="Q6335" s="338"/>
      <c r="R6335" s="338"/>
    </row>
    <row r="6336" spans="2:18" x14ac:dyDescent="0.25">
      <c r="B6336" s="338" t="s">
        <v>10571</v>
      </c>
      <c r="C6336" s="338" t="s">
        <v>10572</v>
      </c>
      <c r="D6336" s="338" t="s">
        <v>29</v>
      </c>
      <c r="E6336" s="5" t="s">
        <v>34</v>
      </c>
      <c r="F6336" s="5" t="s">
        <v>33</v>
      </c>
      <c r="G6336" s="338" t="s">
        <v>35</v>
      </c>
      <c r="H6336" s="338" t="s">
        <v>36</v>
      </c>
      <c r="I6336" s="338"/>
      <c r="J6336" s="338"/>
      <c r="K6336" s="338"/>
      <c r="L6336" s="338"/>
      <c r="M6336" s="399" t="s">
        <v>10170</v>
      </c>
      <c r="N6336" s="338"/>
      <c r="O6336" s="133" t="s">
        <v>38</v>
      </c>
      <c r="P6336" s="5" t="str">
        <f t="shared" si="148"/>
        <v>Truncate table FBCCC2;</v>
      </c>
      <c r="Q6336" s="338"/>
      <c r="R6336" s="338"/>
    </row>
    <row r="6337" spans="2:18" x14ac:dyDescent="0.25">
      <c r="B6337" s="338" t="s">
        <v>10573</v>
      </c>
      <c r="C6337" s="338" t="s">
        <v>10574</v>
      </c>
      <c r="D6337" s="338" t="s">
        <v>29</v>
      </c>
      <c r="E6337" s="5" t="s">
        <v>34</v>
      </c>
      <c r="F6337" s="5" t="s">
        <v>33</v>
      </c>
      <c r="G6337" s="338" t="s">
        <v>35</v>
      </c>
      <c r="H6337" s="338" t="s">
        <v>36</v>
      </c>
      <c r="I6337" s="338"/>
      <c r="J6337" s="338"/>
      <c r="K6337" s="338"/>
      <c r="L6337" s="338"/>
      <c r="M6337" s="399" t="s">
        <v>10170</v>
      </c>
      <c r="N6337" s="338"/>
      <c r="O6337" s="133" t="s">
        <v>38</v>
      </c>
      <c r="P6337" s="5" t="str">
        <f t="shared" si="148"/>
        <v>Truncate table FBCCC3;</v>
      </c>
      <c r="Q6337" s="338"/>
      <c r="R6337" s="338"/>
    </row>
    <row r="6338" spans="2:18" x14ac:dyDescent="0.25">
      <c r="B6338" s="338" t="s">
        <v>10575</v>
      </c>
      <c r="C6338" s="338" t="s">
        <v>10576</v>
      </c>
      <c r="D6338" s="338" t="s">
        <v>29</v>
      </c>
      <c r="E6338" s="5" t="s">
        <v>34</v>
      </c>
      <c r="F6338" s="5" t="s">
        <v>33</v>
      </c>
      <c r="G6338" s="338" t="s">
        <v>35</v>
      </c>
      <c r="H6338" s="338" t="s">
        <v>36</v>
      </c>
      <c r="I6338" s="338"/>
      <c r="J6338" s="338"/>
      <c r="K6338" s="338"/>
      <c r="L6338" s="338"/>
      <c r="M6338" s="399" t="s">
        <v>10170</v>
      </c>
      <c r="N6338" s="338"/>
      <c r="O6338" s="133" t="s">
        <v>38</v>
      </c>
      <c r="P6338" s="5" t="str">
        <f t="shared" si="148"/>
        <v>Truncate table FBCCC4;</v>
      </c>
      <c r="Q6338" s="338"/>
      <c r="R6338" s="338"/>
    </row>
    <row r="6339" spans="2:18" x14ac:dyDescent="0.25">
      <c r="B6339" s="338" t="s">
        <v>10577</v>
      </c>
      <c r="C6339" s="338" t="s">
        <v>10578</v>
      </c>
      <c r="D6339" s="338" t="s">
        <v>29</v>
      </c>
      <c r="E6339" s="5" t="s">
        <v>34</v>
      </c>
      <c r="F6339" s="5" t="s">
        <v>33</v>
      </c>
      <c r="G6339" s="338" t="s">
        <v>35</v>
      </c>
      <c r="H6339" s="338" t="s">
        <v>36</v>
      </c>
      <c r="I6339" s="338"/>
      <c r="J6339" s="338"/>
      <c r="K6339" s="338"/>
      <c r="L6339" s="338"/>
      <c r="M6339" s="399" t="s">
        <v>10170</v>
      </c>
      <c r="N6339" s="338"/>
      <c r="O6339" s="133" t="s">
        <v>38</v>
      </c>
      <c r="P6339" s="5" t="str">
        <f t="shared" si="148"/>
        <v>Truncate table FBCDSOC;</v>
      </c>
      <c r="Q6339" s="338"/>
      <c r="R6339" s="338"/>
    </row>
    <row r="6340" spans="2:18" x14ac:dyDescent="0.25">
      <c r="B6340" s="338" t="s">
        <v>10579</v>
      </c>
      <c r="C6340" s="338" t="s">
        <v>10580</v>
      </c>
      <c r="D6340" s="338" t="s">
        <v>29</v>
      </c>
      <c r="E6340" s="5" t="s">
        <v>34</v>
      </c>
      <c r="F6340" s="5" t="s">
        <v>33</v>
      </c>
      <c r="G6340" s="338" t="s">
        <v>35</v>
      </c>
      <c r="H6340" s="338" t="s">
        <v>36</v>
      </c>
      <c r="I6340" s="338"/>
      <c r="J6340" s="338"/>
      <c r="K6340" s="338"/>
      <c r="L6340" s="338"/>
      <c r="M6340" s="399" t="s">
        <v>10170</v>
      </c>
      <c r="N6340" s="338"/>
      <c r="O6340" s="133" t="s">
        <v>38</v>
      </c>
      <c r="P6340" s="5" t="str">
        <f t="shared" si="148"/>
        <v>Truncate table FBCFATC;</v>
      </c>
      <c r="Q6340" s="338"/>
      <c r="R6340" s="338"/>
    </row>
    <row r="6341" spans="2:18" x14ac:dyDescent="0.25">
      <c r="B6341" s="338" t="s">
        <v>11575</v>
      </c>
      <c r="C6341" s="118" t="s">
        <v>11576</v>
      </c>
      <c r="D6341" s="118" t="s">
        <v>29</v>
      </c>
      <c r="E6341" s="5" t="s">
        <v>34</v>
      </c>
      <c r="F6341" s="5" t="s">
        <v>33</v>
      </c>
      <c r="G6341" s="338" t="s">
        <v>35</v>
      </c>
      <c r="H6341" s="338" t="s">
        <v>36</v>
      </c>
      <c r="I6341" s="338"/>
      <c r="J6341" s="338"/>
      <c r="K6341" t="s">
        <v>11577</v>
      </c>
      <c r="L6341" s="338"/>
      <c r="M6341" s="399" t="s">
        <v>10170</v>
      </c>
      <c r="N6341" s="338"/>
      <c r="O6341" s="133" t="s">
        <v>38</v>
      </c>
      <c r="P6341" s="5" t="str">
        <f t="shared" ref="P6341" si="149">IF(D6341="Datos","Truncate table "&amp; B6341&amp; ";","")</f>
        <v>Truncate table FBCFT4;</v>
      </c>
      <c r="Q6341" s="338"/>
      <c r="R6341" s="338"/>
    </row>
    <row r="6342" spans="2:18" x14ac:dyDescent="0.25">
      <c r="B6342" s="338" t="s">
        <v>10581</v>
      </c>
      <c r="C6342" s="338" t="s">
        <v>10582</v>
      </c>
      <c r="D6342" s="338" t="s">
        <v>29</v>
      </c>
      <c r="E6342" s="5" t="s">
        <v>34</v>
      </c>
      <c r="F6342" s="5" t="s">
        <v>33</v>
      </c>
      <c r="G6342" s="338" t="s">
        <v>35</v>
      </c>
      <c r="H6342" s="338" t="s">
        <v>36</v>
      </c>
      <c r="I6342" s="338"/>
      <c r="J6342" s="338"/>
      <c r="K6342" s="338"/>
      <c r="L6342" s="338"/>
      <c r="M6342" s="399" t="s">
        <v>10170</v>
      </c>
      <c r="N6342" s="338"/>
      <c r="O6342" s="133" t="s">
        <v>38</v>
      </c>
      <c r="P6342" s="5" t="str">
        <f t="shared" si="148"/>
        <v>Truncate table FBCI50;</v>
      </c>
      <c r="Q6342" s="338"/>
      <c r="R6342" s="338"/>
    </row>
    <row r="6343" spans="2:18" x14ac:dyDescent="0.25">
      <c r="B6343" s="338" t="s">
        <v>10583</v>
      </c>
      <c r="C6343" s="338" t="s">
        <v>10584</v>
      </c>
      <c r="D6343" s="338" t="s">
        <v>29</v>
      </c>
      <c r="E6343" s="5" t="s">
        <v>34</v>
      </c>
      <c r="F6343" s="5" t="s">
        <v>33</v>
      </c>
      <c r="G6343" s="338" t="s">
        <v>35</v>
      </c>
      <c r="H6343" s="338" t="s">
        <v>36</v>
      </c>
      <c r="I6343" s="338"/>
      <c r="J6343" s="338"/>
      <c r="K6343" s="338"/>
      <c r="L6343" s="338"/>
      <c r="M6343" s="399" t="s">
        <v>10170</v>
      </c>
      <c r="N6343" s="338"/>
      <c r="O6343" s="133" t="s">
        <v>38</v>
      </c>
      <c r="P6343" s="5" t="str">
        <f t="shared" si="148"/>
        <v>Truncate table FBCI51;</v>
      </c>
      <c r="Q6343" s="338"/>
      <c r="R6343" s="338"/>
    </row>
    <row r="6344" spans="2:18" x14ac:dyDescent="0.25">
      <c r="B6344" s="338" t="s">
        <v>10585</v>
      </c>
      <c r="C6344" s="338" t="s">
        <v>2829</v>
      </c>
      <c r="D6344" s="338" t="s">
        <v>29</v>
      </c>
      <c r="E6344" s="5" t="s">
        <v>34</v>
      </c>
      <c r="F6344" s="5" t="s">
        <v>33</v>
      </c>
      <c r="G6344" s="338" t="s">
        <v>35</v>
      </c>
      <c r="H6344" s="338" t="s">
        <v>36</v>
      </c>
      <c r="I6344" s="338"/>
      <c r="J6344" s="338"/>
      <c r="K6344" s="338"/>
      <c r="L6344" s="338"/>
      <c r="M6344" s="399" t="s">
        <v>10170</v>
      </c>
      <c r="N6344" s="338"/>
      <c r="O6344" s="133" t="s">
        <v>38</v>
      </c>
      <c r="P6344" s="5" t="str">
        <f t="shared" si="148"/>
        <v>Truncate table FBCI52;</v>
      </c>
      <c r="Q6344" s="338"/>
      <c r="R6344" s="338"/>
    </row>
    <row r="6345" spans="2:18" x14ac:dyDescent="0.25">
      <c r="B6345" s="338" t="s">
        <v>10586</v>
      </c>
      <c r="C6345" s="338" t="s">
        <v>10587</v>
      </c>
      <c r="D6345" s="338" t="s">
        <v>29</v>
      </c>
      <c r="E6345" s="5" t="s">
        <v>34</v>
      </c>
      <c r="F6345" s="5" t="s">
        <v>33</v>
      </c>
      <c r="G6345" s="338" t="s">
        <v>35</v>
      </c>
      <c r="H6345" s="338" t="s">
        <v>36</v>
      </c>
      <c r="I6345" s="338"/>
      <c r="J6345" s="338"/>
      <c r="K6345" s="338"/>
      <c r="L6345" s="338"/>
      <c r="M6345" s="399" t="s">
        <v>10170</v>
      </c>
      <c r="N6345" s="338"/>
      <c r="O6345" s="133" t="s">
        <v>38</v>
      </c>
      <c r="P6345" s="5" t="str">
        <f t="shared" si="148"/>
        <v>Truncate table FBCI53;</v>
      </c>
      <c r="Q6345" s="338"/>
      <c r="R6345" s="338"/>
    </row>
    <row r="6346" spans="2:18" x14ac:dyDescent="0.25">
      <c r="B6346" s="338" t="s">
        <v>10588</v>
      </c>
      <c r="C6346" s="338" t="s">
        <v>10582</v>
      </c>
      <c r="D6346" s="338" t="s">
        <v>29</v>
      </c>
      <c r="E6346" s="5" t="s">
        <v>34</v>
      </c>
      <c r="F6346" s="5" t="s">
        <v>33</v>
      </c>
      <c r="G6346" s="338" t="s">
        <v>35</v>
      </c>
      <c r="H6346" s="338" t="s">
        <v>36</v>
      </c>
      <c r="I6346" s="338"/>
      <c r="J6346" s="338"/>
      <c r="K6346" s="338"/>
      <c r="L6346" s="338"/>
      <c r="M6346" s="399" t="s">
        <v>10170</v>
      </c>
      <c r="N6346" s="338"/>
      <c r="O6346" s="133" t="s">
        <v>38</v>
      </c>
      <c r="P6346" s="5" t="str">
        <f t="shared" ref="P6346:P6412" si="150">IF(D6346="Datos","Truncate table "&amp; B6346&amp; ";","")</f>
        <v>Truncate table FBCI54;</v>
      </c>
      <c r="Q6346" s="338"/>
      <c r="R6346" s="338"/>
    </row>
    <row r="6347" spans="2:18" x14ac:dyDescent="0.25">
      <c r="B6347" s="338" t="s">
        <v>10589</v>
      </c>
      <c r="C6347" s="338" t="s">
        <v>10590</v>
      </c>
      <c r="D6347" s="338" t="s">
        <v>29</v>
      </c>
      <c r="E6347" s="5" t="s">
        <v>34</v>
      </c>
      <c r="F6347" s="5" t="s">
        <v>33</v>
      </c>
      <c r="G6347" s="338" t="s">
        <v>35</v>
      </c>
      <c r="H6347" s="338" t="s">
        <v>36</v>
      </c>
      <c r="I6347" s="338"/>
      <c r="J6347" s="338"/>
      <c r="K6347" s="338"/>
      <c r="L6347" s="338"/>
      <c r="M6347" s="399" t="s">
        <v>10170</v>
      </c>
      <c r="N6347" s="338"/>
      <c r="O6347" s="133" t="s">
        <v>38</v>
      </c>
      <c r="P6347" s="5" t="str">
        <f t="shared" si="150"/>
        <v>Truncate table FBCI55;</v>
      </c>
      <c r="Q6347" s="338"/>
      <c r="R6347" s="338"/>
    </row>
    <row r="6348" spans="2:18" x14ac:dyDescent="0.25">
      <c r="B6348" s="338" t="s">
        <v>10591</v>
      </c>
      <c r="C6348" s="338" t="s">
        <v>10592</v>
      </c>
      <c r="D6348" s="338" t="s">
        <v>29</v>
      </c>
      <c r="E6348" s="5" t="s">
        <v>34</v>
      </c>
      <c r="F6348" s="5" t="s">
        <v>33</v>
      </c>
      <c r="G6348" s="338" t="s">
        <v>35</v>
      </c>
      <c r="H6348" s="338" t="s">
        <v>36</v>
      </c>
      <c r="I6348" s="338"/>
      <c r="J6348" s="338"/>
      <c r="K6348" s="338"/>
      <c r="L6348" s="338"/>
      <c r="M6348" s="399" t="s">
        <v>10170</v>
      </c>
      <c r="N6348" s="338"/>
      <c r="O6348" s="133" t="s">
        <v>38</v>
      </c>
      <c r="P6348" s="5" t="str">
        <f t="shared" si="150"/>
        <v>Truncate table FBCI56;</v>
      </c>
      <c r="Q6348" s="338"/>
      <c r="R6348" s="338"/>
    </row>
    <row r="6349" spans="2:18" x14ac:dyDescent="0.25">
      <c r="B6349" s="338" t="s">
        <v>10593</v>
      </c>
      <c r="C6349" s="338" t="s">
        <v>10594</v>
      </c>
      <c r="D6349" s="338" t="s">
        <v>10206</v>
      </c>
      <c r="E6349" s="5" t="s">
        <v>34</v>
      </c>
      <c r="F6349" s="5" t="s">
        <v>33</v>
      </c>
      <c r="G6349" s="338" t="s">
        <v>35</v>
      </c>
      <c r="H6349" s="338" t="s">
        <v>36</v>
      </c>
      <c r="I6349" s="338"/>
      <c r="J6349" s="338"/>
      <c r="K6349" s="338"/>
      <c r="L6349" s="338"/>
      <c r="M6349" s="399" t="s">
        <v>10170</v>
      </c>
      <c r="N6349" s="338"/>
      <c r="O6349" s="133" t="s">
        <v>38</v>
      </c>
      <c r="P6349" s="5" t="str">
        <f t="shared" si="150"/>
        <v/>
      </c>
      <c r="Q6349" s="338"/>
      <c r="R6349" s="338"/>
    </row>
    <row r="6350" spans="2:18" x14ac:dyDescent="0.25">
      <c r="B6350" s="338" t="s">
        <v>10595</v>
      </c>
      <c r="C6350" s="338" t="s">
        <v>10596</v>
      </c>
      <c r="D6350" s="338" t="s">
        <v>29</v>
      </c>
      <c r="E6350" s="5" t="s">
        <v>34</v>
      </c>
      <c r="F6350" s="5" t="s">
        <v>33</v>
      </c>
      <c r="G6350" s="338" t="s">
        <v>35</v>
      </c>
      <c r="H6350" s="338" t="s">
        <v>36</v>
      </c>
      <c r="I6350" s="338"/>
      <c r="J6350" s="338"/>
      <c r="K6350" s="338"/>
      <c r="L6350" s="338"/>
      <c r="M6350" s="399" t="s">
        <v>10170</v>
      </c>
      <c r="N6350" s="338"/>
      <c r="O6350" s="133" t="s">
        <v>38</v>
      </c>
      <c r="P6350" s="5" t="str">
        <f t="shared" si="150"/>
        <v>Truncate table FBCOC7;</v>
      </c>
      <c r="Q6350" s="338"/>
      <c r="R6350" s="338"/>
    </row>
    <row r="6351" spans="2:18" x14ac:dyDescent="0.25">
      <c r="B6351" s="338" t="s">
        <v>10597</v>
      </c>
      <c r="C6351" s="338" t="s">
        <v>10598</v>
      </c>
      <c r="D6351" s="338" t="s">
        <v>29</v>
      </c>
      <c r="E6351" s="5" t="s">
        <v>34</v>
      </c>
      <c r="F6351" s="5" t="s">
        <v>33</v>
      </c>
      <c r="G6351" s="338" t="s">
        <v>35</v>
      </c>
      <c r="H6351" s="338" t="s">
        <v>36</v>
      </c>
      <c r="I6351" s="338"/>
      <c r="J6351" s="338"/>
      <c r="K6351" s="338"/>
      <c r="L6351" s="338"/>
      <c r="M6351" s="399" t="s">
        <v>10170</v>
      </c>
      <c r="N6351" s="338"/>
      <c r="O6351" s="133" t="s">
        <v>38</v>
      </c>
      <c r="P6351" s="5" t="str">
        <f t="shared" si="150"/>
        <v>Truncate table FBCP51;</v>
      </c>
      <c r="Q6351" s="338"/>
      <c r="R6351" s="338"/>
    </row>
    <row r="6352" spans="2:18" x14ac:dyDescent="0.25">
      <c r="B6352" s="338" t="s">
        <v>10599</v>
      </c>
      <c r="C6352" s="338" t="s">
        <v>10600</v>
      </c>
      <c r="D6352" s="338" t="s">
        <v>29</v>
      </c>
      <c r="E6352" s="5" t="s">
        <v>34</v>
      </c>
      <c r="F6352" s="5" t="s">
        <v>33</v>
      </c>
      <c r="G6352" s="338" t="s">
        <v>35</v>
      </c>
      <c r="H6352" s="338" t="s">
        <v>36</v>
      </c>
      <c r="I6352" s="338"/>
      <c r="J6352" s="338"/>
      <c r="K6352" s="338"/>
      <c r="L6352" s="338"/>
      <c r="M6352" s="399" t="s">
        <v>10170</v>
      </c>
      <c r="N6352" s="338"/>
      <c r="O6352" s="133" t="s">
        <v>38</v>
      </c>
      <c r="P6352" s="5" t="str">
        <f t="shared" si="150"/>
        <v>Truncate table FBCPE01;</v>
      </c>
      <c r="Q6352" s="338"/>
      <c r="R6352" s="338"/>
    </row>
    <row r="6353" spans="2:18" x14ac:dyDescent="0.25">
      <c r="B6353" s="338" t="s">
        <v>10601</v>
      </c>
      <c r="C6353" s="338" t="s">
        <v>10602</v>
      </c>
      <c r="D6353" s="338" t="s">
        <v>29</v>
      </c>
      <c r="E6353" s="5" t="s">
        <v>34</v>
      </c>
      <c r="F6353" s="5" t="s">
        <v>33</v>
      </c>
      <c r="G6353" s="338" t="s">
        <v>35</v>
      </c>
      <c r="H6353" s="338" t="s">
        <v>36</v>
      </c>
      <c r="I6353" s="338"/>
      <c r="J6353" s="338"/>
      <c r="K6353" s="338"/>
      <c r="L6353" s="338"/>
      <c r="M6353" s="399" t="s">
        <v>10170</v>
      </c>
      <c r="N6353" s="338"/>
      <c r="O6353" s="133" t="s">
        <v>38</v>
      </c>
      <c r="P6353" s="5" t="str">
        <f t="shared" si="150"/>
        <v>Truncate table FBCPE1;</v>
      </c>
      <c r="Q6353" s="338"/>
      <c r="R6353" s="338"/>
    </row>
    <row r="6354" spans="2:18" x14ac:dyDescent="0.25">
      <c r="B6354" s="338" t="s">
        <v>10603</v>
      </c>
      <c r="C6354" s="338" t="s">
        <v>10604</v>
      </c>
      <c r="D6354" s="338" t="s">
        <v>29</v>
      </c>
      <c r="E6354" s="5" t="s">
        <v>34</v>
      </c>
      <c r="F6354" s="5" t="s">
        <v>33</v>
      </c>
      <c r="G6354" s="338" t="s">
        <v>35</v>
      </c>
      <c r="H6354" s="338" t="s">
        <v>36</v>
      </c>
      <c r="I6354" s="338"/>
      <c r="J6354" s="338"/>
      <c r="K6354" s="338"/>
      <c r="L6354" s="338"/>
      <c r="M6354" s="399" t="s">
        <v>10170</v>
      </c>
      <c r="N6354" s="338"/>
      <c r="O6354" s="133" t="s">
        <v>38</v>
      </c>
      <c r="P6354" s="5" t="str">
        <f t="shared" si="150"/>
        <v>Truncate table FBCPE2;</v>
      </c>
      <c r="Q6354" s="338"/>
      <c r="R6354" s="338"/>
    </row>
    <row r="6355" spans="2:18" x14ac:dyDescent="0.25">
      <c r="B6355" s="338" t="s">
        <v>10605</v>
      </c>
      <c r="C6355" s="338" t="s">
        <v>10606</v>
      </c>
      <c r="D6355" s="338" t="s">
        <v>10206</v>
      </c>
      <c r="E6355" s="5" t="s">
        <v>34</v>
      </c>
      <c r="F6355" s="5" t="s">
        <v>33</v>
      </c>
      <c r="G6355" s="338" t="s">
        <v>35</v>
      </c>
      <c r="H6355" s="338" t="s">
        <v>36</v>
      </c>
      <c r="I6355" s="338"/>
      <c r="J6355" s="338"/>
      <c r="K6355" s="338"/>
      <c r="L6355" s="338"/>
      <c r="M6355" s="399" t="s">
        <v>10170</v>
      </c>
      <c r="N6355" s="338"/>
      <c r="O6355" s="133" t="s">
        <v>38</v>
      </c>
      <c r="P6355" s="5" t="str">
        <f t="shared" si="150"/>
        <v/>
      </c>
      <c r="Q6355" s="338"/>
      <c r="R6355" s="338"/>
    </row>
    <row r="6356" spans="2:18" x14ac:dyDescent="0.25">
      <c r="B6356" s="338" t="s">
        <v>10607</v>
      </c>
      <c r="C6356" s="338" t="s">
        <v>10592</v>
      </c>
      <c r="D6356" s="338" t="s">
        <v>29</v>
      </c>
      <c r="E6356" s="5" t="s">
        <v>34</v>
      </c>
      <c r="F6356" s="5" t="s">
        <v>33</v>
      </c>
      <c r="G6356" s="338" t="s">
        <v>35</v>
      </c>
      <c r="H6356" s="338" t="s">
        <v>36</v>
      </c>
      <c r="I6356" s="338"/>
      <c r="J6356" s="338"/>
      <c r="K6356" s="338"/>
      <c r="L6356" s="338"/>
      <c r="M6356" s="399" t="s">
        <v>10170</v>
      </c>
      <c r="N6356" s="338"/>
      <c r="O6356" s="133" t="s">
        <v>38</v>
      </c>
      <c r="P6356" s="5" t="str">
        <f t="shared" si="150"/>
        <v>Truncate table FBCPE4;</v>
      </c>
      <c r="Q6356" s="338"/>
      <c r="R6356" s="338"/>
    </row>
    <row r="6357" spans="2:18" x14ac:dyDescent="0.25">
      <c r="B6357" s="338" t="s">
        <v>10608</v>
      </c>
      <c r="C6357" s="338" t="s">
        <v>10609</v>
      </c>
      <c r="D6357" s="338" t="s">
        <v>29</v>
      </c>
      <c r="E6357" s="5" t="s">
        <v>34</v>
      </c>
      <c r="F6357" s="5" t="s">
        <v>33</v>
      </c>
      <c r="G6357" s="338" t="s">
        <v>35</v>
      </c>
      <c r="H6357" s="338" t="s">
        <v>36</v>
      </c>
      <c r="I6357" s="338"/>
      <c r="J6357" s="338"/>
      <c r="K6357" s="338"/>
      <c r="L6357" s="338"/>
      <c r="M6357" s="399" t="s">
        <v>10170</v>
      </c>
      <c r="N6357" s="338"/>
      <c r="O6357" s="133" t="s">
        <v>38</v>
      </c>
      <c r="P6357" s="5" t="str">
        <f t="shared" si="150"/>
        <v>Truncate table FBCPE5;</v>
      </c>
      <c r="Q6357" s="338"/>
      <c r="R6357" s="338"/>
    </row>
    <row r="6358" spans="2:18" x14ac:dyDescent="0.25">
      <c r="B6358" s="338" t="s">
        <v>10610</v>
      </c>
      <c r="C6358" s="338" t="s">
        <v>10611</v>
      </c>
      <c r="D6358" s="338" t="s">
        <v>29</v>
      </c>
      <c r="E6358" s="5" t="s">
        <v>34</v>
      </c>
      <c r="F6358" s="5" t="s">
        <v>33</v>
      </c>
      <c r="G6358" s="338" t="s">
        <v>35</v>
      </c>
      <c r="H6358" s="338" t="s">
        <v>36</v>
      </c>
      <c r="I6358" s="338"/>
      <c r="J6358" s="338"/>
      <c r="K6358" s="338"/>
      <c r="L6358" s="338"/>
      <c r="M6358" s="399" t="s">
        <v>10170</v>
      </c>
      <c r="N6358" s="338"/>
      <c r="O6358" s="133" t="s">
        <v>38</v>
      </c>
      <c r="P6358" s="5" t="str">
        <f t="shared" si="150"/>
        <v>Truncate table FBCPE6;</v>
      </c>
      <c r="Q6358" s="338"/>
      <c r="R6358" s="338"/>
    </row>
    <row r="6359" spans="2:18" x14ac:dyDescent="0.25">
      <c r="B6359" s="338" t="s">
        <v>10612</v>
      </c>
      <c r="C6359" s="338" t="s">
        <v>10613</v>
      </c>
      <c r="D6359" s="338" t="s">
        <v>10206</v>
      </c>
      <c r="E6359" s="5" t="s">
        <v>34</v>
      </c>
      <c r="F6359" s="5" t="s">
        <v>33</v>
      </c>
      <c r="G6359" s="338" t="s">
        <v>35</v>
      </c>
      <c r="H6359" s="338" t="s">
        <v>36</v>
      </c>
      <c r="I6359" s="338"/>
      <c r="J6359" s="338"/>
      <c r="K6359" s="338"/>
      <c r="L6359" s="338"/>
      <c r="M6359" s="399" t="s">
        <v>10170</v>
      </c>
      <c r="N6359" s="338"/>
      <c r="O6359" s="133" t="s">
        <v>38</v>
      </c>
      <c r="P6359" s="5" t="str">
        <f t="shared" si="150"/>
        <v/>
      </c>
      <c r="Q6359" s="338"/>
      <c r="R6359" s="338"/>
    </row>
    <row r="6360" spans="2:18" x14ac:dyDescent="0.25">
      <c r="B6360" s="338" t="s">
        <v>10614</v>
      </c>
      <c r="C6360" s="338" t="s">
        <v>10615</v>
      </c>
      <c r="D6360" s="338" t="s">
        <v>29</v>
      </c>
      <c r="E6360" s="5" t="s">
        <v>34</v>
      </c>
      <c r="F6360" s="5" t="s">
        <v>33</v>
      </c>
      <c r="G6360" s="338" t="s">
        <v>35</v>
      </c>
      <c r="H6360" s="338" t="s">
        <v>36</v>
      </c>
      <c r="I6360" s="338"/>
      <c r="J6360" s="338"/>
      <c r="K6360" s="338"/>
      <c r="L6360" s="338"/>
      <c r="M6360" s="399" t="s">
        <v>10170</v>
      </c>
      <c r="N6360" s="338"/>
      <c r="O6360" s="133" t="s">
        <v>38</v>
      </c>
      <c r="P6360" s="5" t="str">
        <f t="shared" si="150"/>
        <v>Truncate table FBCPME;</v>
      </c>
      <c r="Q6360" s="338"/>
      <c r="R6360" s="338"/>
    </row>
    <row r="6361" spans="2:18" x14ac:dyDescent="0.25">
      <c r="B6361" s="338" t="s">
        <v>10616</v>
      </c>
      <c r="C6361" s="338" t="s">
        <v>10617</v>
      </c>
      <c r="D6361" s="338" t="s">
        <v>29</v>
      </c>
      <c r="E6361" s="5" t="s">
        <v>34</v>
      </c>
      <c r="F6361" s="5" t="s">
        <v>33</v>
      </c>
      <c r="G6361" s="338" t="s">
        <v>35</v>
      </c>
      <c r="H6361" s="338" t="s">
        <v>36</v>
      </c>
      <c r="I6361" s="338"/>
      <c r="J6361" s="338"/>
      <c r="K6361" s="338"/>
      <c r="L6361" s="338"/>
      <c r="M6361" s="399" t="s">
        <v>10170</v>
      </c>
      <c r="N6361" s="338"/>
      <c r="O6361" s="133" t="s">
        <v>38</v>
      </c>
      <c r="P6361" s="5" t="str">
        <f t="shared" si="150"/>
        <v>Truncate table FBCPOP;</v>
      </c>
      <c r="Q6361" s="338"/>
      <c r="R6361" s="338"/>
    </row>
    <row r="6362" spans="2:18" x14ac:dyDescent="0.25">
      <c r="B6362" s="338" t="s">
        <v>10618</v>
      </c>
      <c r="C6362" s="338" t="s">
        <v>10619</v>
      </c>
      <c r="D6362" s="338" t="s">
        <v>10206</v>
      </c>
      <c r="E6362" s="5" t="s">
        <v>34</v>
      </c>
      <c r="F6362" s="5" t="s">
        <v>33</v>
      </c>
      <c r="G6362" s="338" t="s">
        <v>35</v>
      </c>
      <c r="H6362" s="338" t="s">
        <v>36</v>
      </c>
      <c r="I6362" s="338"/>
      <c r="J6362" s="338"/>
      <c r="K6362" s="338"/>
      <c r="L6362" s="338"/>
      <c r="M6362" s="399" t="s">
        <v>10170</v>
      </c>
      <c r="N6362" s="338"/>
      <c r="O6362" s="133" t="s">
        <v>38</v>
      </c>
      <c r="P6362" s="5" t="str">
        <f t="shared" si="150"/>
        <v/>
      </c>
      <c r="Q6362" s="338"/>
      <c r="R6362" s="338"/>
    </row>
    <row r="6363" spans="2:18" x14ac:dyDescent="0.25">
      <c r="B6363" s="338" t="s">
        <v>10620</v>
      </c>
      <c r="C6363" s="338" t="s">
        <v>10621</v>
      </c>
      <c r="D6363" s="338" t="s">
        <v>29</v>
      </c>
      <c r="E6363" s="5" t="s">
        <v>34</v>
      </c>
      <c r="F6363" s="5" t="s">
        <v>33</v>
      </c>
      <c r="G6363" s="338" t="s">
        <v>35</v>
      </c>
      <c r="H6363" s="338" t="s">
        <v>36</v>
      </c>
      <c r="I6363" s="338"/>
      <c r="J6363" s="338"/>
      <c r="K6363" s="338"/>
      <c r="L6363" s="338"/>
      <c r="M6363" s="399" t="s">
        <v>10170</v>
      </c>
      <c r="N6363" s="338"/>
      <c r="O6363" s="133" t="s">
        <v>38</v>
      </c>
      <c r="P6363" s="5" t="str">
        <f t="shared" si="150"/>
        <v>Truncate table FBCRS1;</v>
      </c>
      <c r="Q6363" s="338"/>
      <c r="R6363" s="338"/>
    </row>
    <row r="6364" spans="2:18" x14ac:dyDescent="0.25">
      <c r="B6364" s="338" t="s">
        <v>10622</v>
      </c>
      <c r="C6364" s="338" t="s">
        <v>10623</v>
      </c>
      <c r="D6364" s="338" t="s">
        <v>29</v>
      </c>
      <c r="E6364" s="5" t="s">
        <v>34</v>
      </c>
      <c r="F6364" s="5" t="s">
        <v>33</v>
      </c>
      <c r="G6364" s="338" t="s">
        <v>35</v>
      </c>
      <c r="H6364" s="338" t="s">
        <v>36</v>
      </c>
      <c r="I6364" s="338"/>
      <c r="J6364" s="338"/>
      <c r="K6364" s="338"/>
      <c r="L6364" s="338"/>
      <c r="M6364" s="399" t="s">
        <v>10170</v>
      </c>
      <c r="N6364" s="338"/>
      <c r="O6364" s="133" t="s">
        <v>38</v>
      </c>
      <c r="P6364" s="5" t="str">
        <f t="shared" si="150"/>
        <v>Truncate table FBCRS2;</v>
      </c>
      <c r="Q6364" s="338"/>
      <c r="R6364" s="338"/>
    </row>
    <row r="6365" spans="2:18" x14ac:dyDescent="0.25">
      <c r="B6365" s="338" t="s">
        <v>10624</v>
      </c>
      <c r="C6365" s="338" t="s">
        <v>10625</v>
      </c>
      <c r="D6365" s="338" t="s">
        <v>29</v>
      </c>
      <c r="E6365" s="5" t="s">
        <v>34</v>
      </c>
      <c r="F6365" s="5" t="s">
        <v>33</v>
      </c>
      <c r="G6365" s="338" t="s">
        <v>35</v>
      </c>
      <c r="H6365" s="338" t="s">
        <v>36</v>
      </c>
      <c r="I6365" s="338"/>
      <c r="J6365" s="338"/>
      <c r="K6365" s="338"/>
      <c r="L6365" s="338"/>
      <c r="M6365" s="399" t="s">
        <v>10170</v>
      </c>
      <c r="N6365" s="338"/>
      <c r="O6365" s="133" t="s">
        <v>38</v>
      </c>
      <c r="P6365" s="5" t="str">
        <f t="shared" si="150"/>
        <v>Truncate table FBCTAS;</v>
      </c>
      <c r="Q6365" s="338"/>
      <c r="R6365" s="338"/>
    </row>
    <row r="6366" spans="2:18" x14ac:dyDescent="0.25">
      <c r="B6366" s="389" t="s">
        <v>10626</v>
      </c>
      <c r="C6366" s="389" t="s">
        <v>10627</v>
      </c>
      <c r="D6366" s="389" t="s">
        <v>29</v>
      </c>
      <c r="E6366" s="10" t="s">
        <v>34</v>
      </c>
      <c r="F6366" s="10" t="s">
        <v>33</v>
      </c>
      <c r="G6366" s="400" t="s">
        <v>35</v>
      </c>
      <c r="H6366" s="391" t="s">
        <v>36</v>
      </c>
      <c r="I6366" s="71"/>
      <c r="J6366" s="71"/>
      <c r="K6366" s="391"/>
      <c r="L6366" s="391"/>
      <c r="M6366" s="401" t="s">
        <v>10170</v>
      </c>
      <c r="N6366" s="391"/>
      <c r="O6366" s="402" t="s">
        <v>38</v>
      </c>
      <c r="P6366" s="10" t="str">
        <f t="shared" ref="P6366" si="151">IF(D6366="Datos","Truncate table "&amp; B6366&amp; ";","")</f>
        <v>Truncate table FBCTXT;</v>
      </c>
      <c r="Q6366" s="391"/>
      <c r="R6366" s="391"/>
    </row>
    <row r="6367" spans="2:18" x14ac:dyDescent="0.25">
      <c r="B6367" s="337" t="s">
        <v>10628</v>
      </c>
      <c r="C6367" s="337" t="s">
        <v>10629</v>
      </c>
      <c r="D6367" s="337" t="s">
        <v>10206</v>
      </c>
      <c r="E6367" s="337" t="s">
        <v>54</v>
      </c>
      <c r="F6367" s="337" t="s">
        <v>8189</v>
      </c>
      <c r="G6367" s="337" t="s">
        <v>35</v>
      </c>
      <c r="H6367" s="337" t="s">
        <v>36</v>
      </c>
      <c r="I6367" s="337"/>
      <c r="J6367" s="337"/>
      <c r="K6367" s="337"/>
      <c r="L6367" s="337"/>
      <c r="M6367" s="399" t="s">
        <v>10170</v>
      </c>
      <c r="N6367" s="337"/>
      <c r="O6367" s="133" t="s">
        <v>38</v>
      </c>
      <c r="P6367" s="5" t="str">
        <f t="shared" si="150"/>
        <v/>
      </c>
      <c r="Q6367" s="337"/>
      <c r="R6367" s="337"/>
    </row>
    <row r="6368" spans="2:18" x14ac:dyDescent="0.25">
      <c r="B6368" s="337" t="s">
        <v>10630</v>
      </c>
      <c r="C6368" s="337" t="s">
        <v>10631</v>
      </c>
      <c r="D6368" s="337" t="s">
        <v>29</v>
      </c>
      <c r="E6368" s="337" t="s">
        <v>8231</v>
      </c>
      <c r="F6368" s="337" t="s">
        <v>8368</v>
      </c>
      <c r="G6368" s="337" t="s">
        <v>35</v>
      </c>
      <c r="H6368" s="337" t="s">
        <v>36</v>
      </c>
      <c r="I6368" s="337"/>
      <c r="J6368" s="337"/>
      <c r="K6368" s="337"/>
      <c r="L6368" s="337"/>
      <c r="M6368" s="395" t="s">
        <v>10170</v>
      </c>
      <c r="N6368" s="337"/>
      <c r="O6368" s="133" t="s">
        <v>10170</v>
      </c>
      <c r="P6368" s="5" t="str">
        <f t="shared" si="150"/>
        <v>Truncate table FCR250;</v>
      </c>
      <c r="Q6368" s="337"/>
      <c r="R6368" s="337"/>
    </row>
    <row r="6369" spans="2:18" x14ac:dyDescent="0.25">
      <c r="B6369" s="337" t="s">
        <v>10632</v>
      </c>
      <c r="C6369" s="337" t="s">
        <v>9689</v>
      </c>
      <c r="D6369" s="337" t="s">
        <v>29</v>
      </c>
      <c r="E6369" s="337" t="s">
        <v>8231</v>
      </c>
      <c r="F6369" s="337" t="s">
        <v>8368</v>
      </c>
      <c r="G6369" s="337" t="s">
        <v>35</v>
      </c>
      <c r="H6369" s="337" t="s">
        <v>36</v>
      </c>
      <c r="I6369" s="337"/>
      <c r="J6369" s="337"/>
      <c r="K6369" s="337"/>
      <c r="L6369" s="337"/>
      <c r="M6369" s="395" t="s">
        <v>10170</v>
      </c>
      <c r="N6369" s="337"/>
      <c r="O6369" s="133" t="s">
        <v>10170</v>
      </c>
      <c r="P6369" s="5" t="str">
        <f t="shared" si="150"/>
        <v>Truncate table FCR400;</v>
      </c>
      <c r="Q6369" s="337"/>
      <c r="R6369" s="337"/>
    </row>
    <row r="6370" spans="2:18" x14ac:dyDescent="0.25">
      <c r="B6370" s="337" t="s">
        <v>10633</v>
      </c>
      <c r="C6370" s="337" t="s">
        <v>10634</v>
      </c>
      <c r="D6370" s="337" t="s">
        <v>29</v>
      </c>
      <c r="E6370" s="337" t="s">
        <v>1096</v>
      </c>
      <c r="F6370" s="337" t="s">
        <v>184</v>
      </c>
      <c r="G6370" s="390" t="s">
        <v>35</v>
      </c>
      <c r="H6370" s="337" t="s">
        <v>36</v>
      </c>
      <c r="I6370" s="337"/>
      <c r="J6370" s="337"/>
      <c r="L6370" s="337"/>
      <c r="M6370" s="395" t="s">
        <v>10170</v>
      </c>
      <c r="N6370" s="337"/>
      <c r="O6370" s="133" t="s">
        <v>10170</v>
      </c>
      <c r="P6370" s="51" t="str">
        <f t="shared" si="150"/>
        <v>Truncate table FHR022;</v>
      </c>
      <c r="Q6370" s="337"/>
      <c r="R6370" s="337"/>
    </row>
    <row r="6371" spans="2:18" x14ac:dyDescent="0.25">
      <c r="B6371" s="337" t="s">
        <v>10635</v>
      </c>
      <c r="C6371" s="337" t="s">
        <v>10636</v>
      </c>
      <c r="D6371" s="337" t="s">
        <v>29</v>
      </c>
      <c r="E6371" s="337" t="s">
        <v>8231</v>
      </c>
      <c r="F6371" s="337" t="s">
        <v>8368</v>
      </c>
      <c r="G6371" s="389" t="s">
        <v>35</v>
      </c>
      <c r="H6371" s="337" t="s">
        <v>36</v>
      </c>
      <c r="I6371" s="337"/>
      <c r="J6371" s="337"/>
      <c r="K6371" s="337"/>
      <c r="L6371" s="337"/>
      <c r="M6371" s="395" t="s">
        <v>10170</v>
      </c>
      <c r="N6371" s="337"/>
      <c r="O6371" s="133" t="s">
        <v>10170</v>
      </c>
      <c r="P6371" s="10" t="str">
        <f t="shared" si="150"/>
        <v>Truncate table FIF101;</v>
      </c>
      <c r="Q6371" s="337"/>
      <c r="R6371" s="337"/>
    </row>
    <row r="6372" spans="2:18" x14ac:dyDescent="0.25">
      <c r="B6372" s="337" t="s">
        <v>10637</v>
      </c>
      <c r="C6372" s="337" t="s">
        <v>10638</v>
      </c>
      <c r="D6372" s="337" t="s">
        <v>29</v>
      </c>
      <c r="E6372" s="337" t="s">
        <v>8231</v>
      </c>
      <c r="F6372" s="337" t="s">
        <v>8368</v>
      </c>
      <c r="G6372" s="337" t="s">
        <v>35</v>
      </c>
      <c r="H6372" s="337" t="s">
        <v>36</v>
      </c>
      <c r="I6372" s="337"/>
      <c r="J6372" s="337"/>
      <c r="K6372" s="337"/>
      <c r="L6372" s="337"/>
      <c r="M6372" s="395" t="s">
        <v>10170</v>
      </c>
      <c r="N6372" s="337"/>
      <c r="O6372" s="133" t="s">
        <v>10170</v>
      </c>
      <c r="P6372" s="5" t="str">
        <f t="shared" si="150"/>
        <v>Truncate table FOCADJ;</v>
      </c>
      <c r="Q6372" s="337"/>
      <c r="R6372" s="337"/>
    </row>
    <row r="6373" spans="2:18" x14ac:dyDescent="0.25">
      <c r="B6373" s="337" t="s">
        <v>10639</v>
      </c>
      <c r="C6373" s="337" t="s">
        <v>10640</v>
      </c>
      <c r="D6373" s="337" t="s">
        <v>29</v>
      </c>
      <c r="E6373" s="337" t="s">
        <v>8231</v>
      </c>
      <c r="F6373" s="337" t="s">
        <v>8368</v>
      </c>
      <c r="G6373" s="337" t="s">
        <v>35</v>
      </c>
      <c r="H6373" s="337" t="s">
        <v>36</v>
      </c>
      <c r="I6373" s="337"/>
      <c r="J6373" s="337"/>
      <c r="K6373" s="337"/>
      <c r="L6373" s="337"/>
      <c r="M6373" s="395" t="s">
        <v>10170</v>
      </c>
      <c r="N6373" s="337"/>
      <c r="O6373" s="133" t="s">
        <v>10170</v>
      </c>
      <c r="P6373" s="5" t="str">
        <f t="shared" si="150"/>
        <v>Truncate table FOCAE6;</v>
      </c>
      <c r="Q6373" s="337"/>
      <c r="R6373" s="337"/>
    </row>
    <row r="6374" spans="2:18" x14ac:dyDescent="0.25">
      <c r="B6374" s="337" t="s">
        <v>10641</v>
      </c>
      <c r="C6374" s="337" t="s">
        <v>10642</v>
      </c>
      <c r="D6374" s="337" t="s">
        <v>29</v>
      </c>
      <c r="E6374" s="337" t="s">
        <v>8231</v>
      </c>
      <c r="F6374" s="337" t="s">
        <v>8368</v>
      </c>
      <c r="G6374" s="337" t="s">
        <v>35</v>
      </c>
      <c r="H6374" s="337" t="s">
        <v>36</v>
      </c>
      <c r="I6374" s="337"/>
      <c r="J6374" s="337"/>
      <c r="K6374" s="337"/>
      <c r="L6374" s="337"/>
      <c r="M6374" s="395" t="s">
        <v>10170</v>
      </c>
      <c r="N6374" s="337"/>
      <c r="O6374" s="133" t="s">
        <v>10170</v>
      </c>
      <c r="P6374" s="5" t="str">
        <f t="shared" si="150"/>
        <v>Truncate table FOCAI2;</v>
      </c>
      <c r="Q6374" s="337"/>
      <c r="R6374" s="337"/>
    </row>
    <row r="6375" spans="2:18" x14ac:dyDescent="0.25">
      <c r="B6375" s="337" t="s">
        <v>10643</v>
      </c>
      <c r="C6375" s="337" t="s">
        <v>10644</v>
      </c>
      <c r="D6375" s="337" t="s">
        <v>29</v>
      </c>
      <c r="E6375" s="337" t="s">
        <v>8231</v>
      </c>
      <c r="F6375" s="337" t="s">
        <v>8368</v>
      </c>
      <c r="G6375" s="337" t="s">
        <v>35</v>
      </c>
      <c r="H6375" s="337" t="s">
        <v>36</v>
      </c>
      <c r="I6375" s="337"/>
      <c r="J6375" s="337"/>
      <c r="K6375" s="337" t="s">
        <v>6509</v>
      </c>
      <c r="L6375" s="337" t="s">
        <v>6509</v>
      </c>
      <c r="M6375" s="395" t="s">
        <v>10170</v>
      </c>
      <c r="N6375" s="337"/>
      <c r="O6375" s="133" t="s">
        <v>10170</v>
      </c>
      <c r="P6375" s="5" t="str">
        <f t="shared" si="150"/>
        <v>Truncate table FOCAI3;</v>
      </c>
      <c r="Q6375" s="337"/>
      <c r="R6375" s="337"/>
    </row>
    <row r="6376" spans="2:18" x14ac:dyDescent="0.25">
      <c r="B6376" s="337" t="s">
        <v>10645</v>
      </c>
      <c r="C6376" s="337" t="s">
        <v>10646</v>
      </c>
      <c r="D6376" s="337" t="s">
        <v>29</v>
      </c>
      <c r="E6376" s="337" t="s">
        <v>8231</v>
      </c>
      <c r="F6376" s="337" t="s">
        <v>8368</v>
      </c>
      <c r="G6376" s="337" t="s">
        <v>35</v>
      </c>
      <c r="H6376" s="337" t="s">
        <v>36</v>
      </c>
      <c r="I6376" s="337"/>
      <c r="J6376" s="337"/>
      <c r="K6376" s="337"/>
      <c r="L6376" s="337"/>
      <c r="M6376" s="395" t="s">
        <v>10170</v>
      </c>
      <c r="N6376" s="337"/>
      <c r="O6376" s="133" t="s">
        <v>10170</v>
      </c>
      <c r="P6376" s="5" t="str">
        <f t="shared" si="150"/>
        <v>Truncate table FOCAI5;</v>
      </c>
      <c r="Q6376" s="337"/>
      <c r="R6376" s="337"/>
    </row>
    <row r="6377" spans="2:18" x14ac:dyDescent="0.25">
      <c r="B6377" s="337" t="s">
        <v>10647</v>
      </c>
      <c r="C6377" s="337" t="s">
        <v>10648</v>
      </c>
      <c r="D6377" s="337" t="s">
        <v>29</v>
      </c>
      <c r="E6377" s="337" t="s">
        <v>8231</v>
      </c>
      <c r="F6377" s="337" t="s">
        <v>8368</v>
      </c>
      <c r="G6377" s="337" t="s">
        <v>35</v>
      </c>
      <c r="H6377" s="337" t="s">
        <v>36</v>
      </c>
      <c r="I6377" s="337"/>
      <c r="J6377" s="337"/>
      <c r="K6377" s="337"/>
      <c r="L6377" s="337"/>
      <c r="M6377" s="395" t="s">
        <v>10170</v>
      </c>
      <c r="N6377" s="337"/>
      <c r="O6377" s="133" t="s">
        <v>10170</v>
      </c>
      <c r="P6377" s="5" t="str">
        <f t="shared" si="150"/>
        <v>Truncate table FOCAI6;</v>
      </c>
      <c r="Q6377" s="337"/>
      <c r="R6377" s="337"/>
    </row>
    <row r="6378" spans="2:18" x14ac:dyDescent="0.25">
      <c r="B6378" s="337" t="s">
        <v>10649</v>
      </c>
      <c r="C6378" s="337" t="s">
        <v>10650</v>
      </c>
      <c r="D6378" s="337" t="s">
        <v>10206</v>
      </c>
      <c r="E6378" s="337" t="s">
        <v>8231</v>
      </c>
      <c r="F6378" s="337" t="s">
        <v>8368</v>
      </c>
      <c r="G6378" s="337" t="s">
        <v>35</v>
      </c>
      <c r="H6378" s="337" t="s">
        <v>36</v>
      </c>
      <c r="I6378" s="337"/>
      <c r="J6378" s="337"/>
      <c r="K6378" s="337"/>
      <c r="L6378" s="337"/>
      <c r="M6378" s="395" t="s">
        <v>10170</v>
      </c>
      <c r="N6378" s="337"/>
      <c r="O6378" s="133" t="s">
        <v>10170</v>
      </c>
      <c r="P6378" s="5" t="str">
        <f t="shared" si="150"/>
        <v/>
      </c>
      <c r="Q6378" s="337"/>
      <c r="R6378" s="337"/>
    </row>
    <row r="6379" spans="2:18" x14ac:dyDescent="0.25">
      <c r="B6379" s="337" t="s">
        <v>10651</v>
      </c>
      <c r="C6379" s="337" t="s">
        <v>10652</v>
      </c>
      <c r="D6379" s="337" t="s">
        <v>29</v>
      </c>
      <c r="E6379" s="337" t="s">
        <v>8231</v>
      </c>
      <c r="F6379" s="337" t="s">
        <v>8368</v>
      </c>
      <c r="G6379" s="337" t="s">
        <v>35</v>
      </c>
      <c r="H6379" s="337" t="s">
        <v>36</v>
      </c>
      <c r="I6379" s="337"/>
      <c r="J6379" s="337"/>
      <c r="K6379" s="337"/>
      <c r="L6379" s="337"/>
      <c r="M6379" s="395" t="s">
        <v>10170</v>
      </c>
      <c r="N6379" s="337"/>
      <c r="O6379" s="133" t="s">
        <v>10170</v>
      </c>
      <c r="P6379" s="5" t="str">
        <f t="shared" si="150"/>
        <v>Truncate table FOCAME;</v>
      </c>
      <c r="Q6379" s="337"/>
      <c r="R6379" s="337"/>
    </row>
    <row r="6380" spans="2:18" x14ac:dyDescent="0.25">
      <c r="B6380" s="337" t="s">
        <v>10653</v>
      </c>
      <c r="C6380" s="337" t="s">
        <v>10654</v>
      </c>
      <c r="D6380" s="337" t="s">
        <v>29</v>
      </c>
      <c r="E6380" s="337" t="s">
        <v>54</v>
      </c>
      <c r="F6380" s="337" t="s">
        <v>163</v>
      </c>
      <c r="G6380" s="337" t="s">
        <v>35</v>
      </c>
      <c r="H6380" s="337" t="s">
        <v>36</v>
      </c>
      <c r="I6380" s="337"/>
      <c r="J6380" s="337"/>
      <c r="K6380" s="337"/>
      <c r="L6380" s="337"/>
      <c r="M6380" s="395" t="s">
        <v>10170</v>
      </c>
      <c r="N6380" s="337"/>
      <c r="O6380" s="167" t="s">
        <v>38</v>
      </c>
      <c r="P6380" s="5" t="str">
        <f t="shared" si="150"/>
        <v>Truncate table FOCDE01;</v>
      </c>
      <c r="Q6380" s="337"/>
      <c r="R6380" s="337"/>
    </row>
    <row r="6381" spans="2:18" x14ac:dyDescent="0.25">
      <c r="B6381" s="337" t="s">
        <v>10655</v>
      </c>
      <c r="C6381" s="337" t="s">
        <v>10656</v>
      </c>
      <c r="D6381" s="337" t="s">
        <v>29</v>
      </c>
      <c r="E6381" s="337" t="s">
        <v>54</v>
      </c>
      <c r="F6381" s="337" t="s">
        <v>163</v>
      </c>
      <c r="G6381" s="337" t="s">
        <v>35</v>
      </c>
      <c r="H6381" s="337" t="s">
        <v>36</v>
      </c>
      <c r="I6381" s="337"/>
      <c r="J6381" s="337"/>
      <c r="K6381" s="337"/>
      <c r="L6381" s="337"/>
      <c r="M6381" s="395" t="s">
        <v>10170</v>
      </c>
      <c r="N6381" s="337"/>
      <c r="O6381" s="167" t="s">
        <v>38</v>
      </c>
      <c r="P6381" s="5" t="str">
        <f t="shared" si="150"/>
        <v>Truncate table FOCDE02;</v>
      </c>
      <c r="Q6381" s="337"/>
      <c r="R6381" s="337"/>
    </row>
    <row r="6382" spans="2:18" x14ac:dyDescent="0.25">
      <c r="B6382" s="337" t="s">
        <v>10657</v>
      </c>
      <c r="C6382" s="337" t="s">
        <v>10658</v>
      </c>
      <c r="D6382" s="337" t="s">
        <v>29</v>
      </c>
      <c r="E6382" s="337" t="s">
        <v>54</v>
      </c>
      <c r="F6382" s="337" t="s">
        <v>163</v>
      </c>
      <c r="G6382" s="337" t="s">
        <v>35</v>
      </c>
      <c r="H6382" s="337" t="s">
        <v>36</v>
      </c>
      <c r="I6382" s="337"/>
      <c r="J6382" s="337"/>
      <c r="K6382" s="337"/>
      <c r="L6382" s="337"/>
      <c r="M6382" s="395" t="s">
        <v>10170</v>
      </c>
      <c r="N6382" s="337"/>
      <c r="O6382" s="167" t="s">
        <v>38</v>
      </c>
      <c r="P6382" s="5" t="str">
        <f t="shared" si="150"/>
        <v>Truncate table FOCDE03;</v>
      </c>
      <c r="Q6382" s="337"/>
      <c r="R6382" s="337"/>
    </row>
    <row r="6383" spans="2:18" x14ac:dyDescent="0.25">
      <c r="B6383" s="337" t="s">
        <v>10659</v>
      </c>
      <c r="C6383" s="337" t="s">
        <v>10660</v>
      </c>
      <c r="D6383" s="337" t="s">
        <v>29</v>
      </c>
      <c r="E6383" s="337" t="s">
        <v>8231</v>
      </c>
      <c r="F6383" s="337" t="s">
        <v>8368</v>
      </c>
      <c r="G6383" s="400" t="s">
        <v>35</v>
      </c>
      <c r="H6383" s="337" t="s">
        <v>36</v>
      </c>
      <c r="I6383" s="71"/>
      <c r="J6383" s="71"/>
      <c r="K6383" s="337"/>
      <c r="L6383" s="337"/>
      <c r="M6383" s="395" t="s">
        <v>10170</v>
      </c>
      <c r="N6383" s="337"/>
      <c r="O6383" s="167" t="s">
        <v>38</v>
      </c>
      <c r="P6383" s="403" t="str">
        <f t="shared" si="150"/>
        <v>Truncate table FOCPY1;</v>
      </c>
      <c r="Q6383" s="337"/>
      <c r="R6383" s="337"/>
    </row>
    <row r="6384" spans="2:18" x14ac:dyDescent="0.25">
      <c r="B6384" s="337" t="s">
        <v>10661</v>
      </c>
      <c r="C6384" s="337" t="s">
        <v>10660</v>
      </c>
      <c r="D6384" s="337" t="s">
        <v>29</v>
      </c>
      <c r="E6384" s="337" t="s">
        <v>1096</v>
      </c>
      <c r="F6384" s="337" t="s">
        <v>184</v>
      </c>
      <c r="G6384" s="337" t="s">
        <v>35</v>
      </c>
      <c r="H6384" s="337" t="s">
        <v>36</v>
      </c>
      <c r="I6384" s="337"/>
      <c r="J6384" s="337"/>
      <c r="K6384" s="337"/>
      <c r="L6384" s="337"/>
      <c r="M6384" s="395" t="s">
        <v>10170</v>
      </c>
      <c r="N6384" s="337"/>
      <c r="O6384" s="167" t="s">
        <v>38</v>
      </c>
      <c r="P6384" s="5" t="str">
        <f t="shared" si="150"/>
        <v>Truncate table FPP009;</v>
      </c>
      <c r="Q6384" s="337"/>
      <c r="R6384" s="337"/>
    </row>
    <row r="6385" spans="2:18" x14ac:dyDescent="0.25">
      <c r="B6385" s="337" t="s">
        <v>10662</v>
      </c>
      <c r="C6385" s="337" t="s">
        <v>10663</v>
      </c>
      <c r="D6385" s="337" t="s">
        <v>10206</v>
      </c>
      <c r="E6385" s="337" t="s">
        <v>1096</v>
      </c>
      <c r="F6385" s="337" t="s">
        <v>184</v>
      </c>
      <c r="G6385" s="337" t="s">
        <v>35</v>
      </c>
      <c r="H6385" s="337" t="s">
        <v>36</v>
      </c>
      <c r="I6385" s="337"/>
      <c r="J6385" s="337"/>
      <c r="K6385" s="337"/>
      <c r="L6385" s="337"/>
      <c r="M6385" s="395" t="s">
        <v>10170</v>
      </c>
      <c r="N6385" s="337"/>
      <c r="O6385" s="167" t="s">
        <v>38</v>
      </c>
      <c r="P6385" s="5" t="str">
        <f t="shared" si="150"/>
        <v/>
      </c>
      <c r="Q6385" s="337"/>
      <c r="R6385" s="337"/>
    </row>
    <row r="6386" spans="2:18" x14ac:dyDescent="0.25">
      <c r="B6386" s="337" t="s">
        <v>10664</v>
      </c>
      <c r="C6386" s="337" t="s">
        <v>10665</v>
      </c>
      <c r="D6386" s="337" t="s">
        <v>10206</v>
      </c>
      <c r="E6386" s="337" t="s">
        <v>1096</v>
      </c>
      <c r="F6386" s="337" t="s">
        <v>184</v>
      </c>
      <c r="G6386" s="337" t="s">
        <v>35</v>
      </c>
      <c r="H6386" s="337" t="s">
        <v>36</v>
      </c>
      <c r="I6386" s="337"/>
      <c r="J6386" s="337"/>
      <c r="K6386" s="337"/>
      <c r="L6386" s="337"/>
      <c r="M6386" s="395" t="s">
        <v>10170</v>
      </c>
      <c r="N6386" s="337"/>
      <c r="O6386" s="167" t="s">
        <v>38</v>
      </c>
      <c r="P6386" s="5" t="str">
        <f t="shared" si="150"/>
        <v/>
      </c>
      <c r="Q6386" s="337"/>
      <c r="R6386" s="337"/>
    </row>
    <row r="6387" spans="2:18" x14ac:dyDescent="0.25">
      <c r="B6387" s="337" t="s">
        <v>10666</v>
      </c>
      <c r="C6387" s="337" t="s">
        <v>10667</v>
      </c>
      <c r="D6387" s="337" t="s">
        <v>29</v>
      </c>
      <c r="E6387" s="337" t="s">
        <v>1096</v>
      </c>
      <c r="F6387" s="337" t="s">
        <v>184</v>
      </c>
      <c r="G6387" s="337" t="s">
        <v>35</v>
      </c>
      <c r="H6387" s="337" t="s">
        <v>36</v>
      </c>
      <c r="I6387" s="337"/>
      <c r="J6387" s="337"/>
      <c r="K6387" s="337"/>
      <c r="L6387" s="337"/>
      <c r="M6387" s="395" t="s">
        <v>10170</v>
      </c>
      <c r="N6387" s="337"/>
      <c r="O6387" s="167" t="s">
        <v>38</v>
      </c>
      <c r="P6387" s="5" t="str">
        <f t="shared" si="150"/>
        <v>Truncate table FPP113;</v>
      </c>
      <c r="Q6387" s="337"/>
      <c r="R6387" s="337"/>
    </row>
    <row r="6388" spans="2:18" x14ac:dyDescent="0.25">
      <c r="B6388" s="337" t="s">
        <v>10668</v>
      </c>
      <c r="C6388" s="337" t="s">
        <v>10669</v>
      </c>
      <c r="D6388" s="337" t="s">
        <v>10206</v>
      </c>
      <c r="E6388" s="337" t="s">
        <v>1096</v>
      </c>
      <c r="F6388" s="337" t="s">
        <v>184</v>
      </c>
      <c r="G6388" s="337" t="s">
        <v>35</v>
      </c>
      <c r="H6388" s="337" t="s">
        <v>36</v>
      </c>
      <c r="I6388" s="337"/>
      <c r="J6388" s="337"/>
      <c r="K6388" s="337"/>
      <c r="L6388" s="337"/>
      <c r="M6388" s="395" t="s">
        <v>10170</v>
      </c>
      <c r="N6388" s="337"/>
      <c r="O6388" s="167" t="s">
        <v>38</v>
      </c>
      <c r="P6388" s="5" t="str">
        <f t="shared" si="150"/>
        <v/>
      </c>
      <c r="Q6388" s="337"/>
      <c r="R6388" s="337"/>
    </row>
    <row r="6389" spans="2:18" x14ac:dyDescent="0.25">
      <c r="B6389" s="337" t="s">
        <v>10670</v>
      </c>
      <c r="C6389" s="337" t="s">
        <v>10671</v>
      </c>
      <c r="D6389" s="337" t="s">
        <v>29</v>
      </c>
      <c r="E6389" s="337" t="s">
        <v>1096</v>
      </c>
      <c r="F6389" s="337" t="s">
        <v>184</v>
      </c>
      <c r="G6389" s="337" t="s">
        <v>35</v>
      </c>
      <c r="H6389" s="337" t="s">
        <v>36</v>
      </c>
      <c r="I6389" s="337"/>
      <c r="J6389" s="337"/>
      <c r="K6389" s="337"/>
      <c r="L6389" s="337"/>
      <c r="M6389" s="395" t="s">
        <v>10170</v>
      </c>
      <c r="N6389" s="337"/>
      <c r="O6389" s="167" t="s">
        <v>38</v>
      </c>
      <c r="P6389" s="5" t="str">
        <f t="shared" si="150"/>
        <v>Truncate table FPP117;</v>
      </c>
      <c r="Q6389" s="337"/>
      <c r="R6389" s="337"/>
    </row>
    <row r="6390" spans="2:18" x14ac:dyDescent="0.25">
      <c r="B6390" s="337" t="s">
        <v>10672</v>
      </c>
      <c r="C6390" s="337" t="s">
        <v>10673</v>
      </c>
      <c r="D6390" s="337" t="s">
        <v>29</v>
      </c>
      <c r="E6390" s="337" t="s">
        <v>1096</v>
      </c>
      <c r="F6390" s="337" t="s">
        <v>184</v>
      </c>
      <c r="G6390" s="337" t="s">
        <v>35</v>
      </c>
      <c r="H6390" s="337" t="s">
        <v>36</v>
      </c>
      <c r="I6390" s="337"/>
      <c r="J6390" s="337"/>
      <c r="K6390" s="337"/>
      <c r="L6390" s="337"/>
      <c r="M6390" s="395" t="s">
        <v>10170</v>
      </c>
      <c r="N6390" s="337"/>
      <c r="O6390" s="167" t="s">
        <v>38</v>
      </c>
      <c r="P6390" s="5" t="str">
        <f t="shared" si="150"/>
        <v>Truncate table FPP118;</v>
      </c>
      <c r="Q6390" s="337"/>
      <c r="R6390" s="337"/>
    </row>
    <row r="6391" spans="2:18" x14ac:dyDescent="0.25">
      <c r="B6391" s="337" t="s">
        <v>10674</v>
      </c>
      <c r="C6391" s="337" t="s">
        <v>10675</v>
      </c>
      <c r="D6391" s="337" t="s">
        <v>29</v>
      </c>
      <c r="E6391" s="337" t="s">
        <v>1096</v>
      </c>
      <c r="F6391" s="337" t="s">
        <v>184</v>
      </c>
      <c r="G6391" s="337" t="s">
        <v>35</v>
      </c>
      <c r="H6391" s="337" t="s">
        <v>36</v>
      </c>
      <c r="I6391" s="337"/>
      <c r="J6391" s="337"/>
      <c r="K6391" s="337"/>
      <c r="L6391" s="337"/>
      <c r="M6391" s="395" t="s">
        <v>10170</v>
      </c>
      <c r="N6391" s="337"/>
      <c r="O6391" s="167" t="s">
        <v>38</v>
      </c>
      <c r="P6391" s="5" t="str">
        <f t="shared" si="150"/>
        <v>Truncate table FPP119;</v>
      </c>
      <c r="Q6391" s="337"/>
      <c r="R6391" s="337"/>
    </row>
    <row r="6392" spans="2:18" x14ac:dyDescent="0.25">
      <c r="B6392" s="337" t="s">
        <v>10676</v>
      </c>
      <c r="C6392" s="337" t="s">
        <v>10677</v>
      </c>
      <c r="D6392" s="337" t="s">
        <v>29</v>
      </c>
      <c r="E6392" s="337" t="s">
        <v>1096</v>
      </c>
      <c r="F6392" s="337" t="s">
        <v>184</v>
      </c>
      <c r="G6392" s="337" t="s">
        <v>35</v>
      </c>
      <c r="H6392" s="337" t="s">
        <v>36</v>
      </c>
      <c r="I6392" s="337"/>
      <c r="J6392" s="337"/>
      <c r="K6392" s="337"/>
      <c r="L6392" s="337"/>
      <c r="M6392" s="395" t="s">
        <v>10170</v>
      </c>
      <c r="N6392" s="337"/>
      <c r="O6392" s="167" t="s">
        <v>38</v>
      </c>
      <c r="P6392" s="5" t="str">
        <f t="shared" si="150"/>
        <v>Truncate table FPP120;</v>
      </c>
      <c r="Q6392" s="337"/>
      <c r="R6392" s="337"/>
    </row>
    <row r="6393" spans="2:18" x14ac:dyDescent="0.25">
      <c r="B6393" s="337" t="s">
        <v>10678</v>
      </c>
      <c r="C6393" s="337" t="s">
        <v>10679</v>
      </c>
      <c r="D6393" s="337" t="s">
        <v>29</v>
      </c>
      <c r="E6393" s="337" t="s">
        <v>1096</v>
      </c>
      <c r="F6393" s="337" t="s">
        <v>184</v>
      </c>
      <c r="G6393" s="337" t="s">
        <v>35</v>
      </c>
      <c r="H6393" s="337" t="s">
        <v>36</v>
      </c>
      <c r="I6393" s="337"/>
      <c r="J6393" s="337"/>
      <c r="K6393" s="337"/>
      <c r="L6393" s="337"/>
      <c r="M6393" s="395" t="s">
        <v>10170</v>
      </c>
      <c r="N6393" s="337"/>
      <c r="O6393" s="167" t="s">
        <v>38</v>
      </c>
      <c r="P6393" s="5" t="str">
        <f t="shared" si="150"/>
        <v>Truncate table FPP125;</v>
      </c>
      <c r="Q6393" s="337"/>
      <c r="R6393" s="337"/>
    </row>
    <row r="6394" spans="2:18" x14ac:dyDescent="0.25">
      <c r="B6394" s="337" t="s">
        <v>10680</v>
      </c>
      <c r="C6394" s="337" t="s">
        <v>10681</v>
      </c>
      <c r="D6394" s="337" t="s">
        <v>29</v>
      </c>
      <c r="E6394" s="337" t="s">
        <v>1096</v>
      </c>
      <c r="F6394" s="337" t="s">
        <v>184</v>
      </c>
      <c r="G6394" s="337" t="s">
        <v>35</v>
      </c>
      <c r="H6394" s="337" t="s">
        <v>36</v>
      </c>
      <c r="I6394" s="337"/>
      <c r="J6394" s="337"/>
      <c r="K6394" s="337"/>
      <c r="L6394" s="337"/>
      <c r="M6394" s="395" t="s">
        <v>10170</v>
      </c>
      <c r="N6394" s="337"/>
      <c r="O6394" s="167" t="s">
        <v>38</v>
      </c>
      <c r="P6394" s="5" t="str">
        <f t="shared" si="150"/>
        <v>Truncate table FPP131;</v>
      </c>
      <c r="Q6394" s="337"/>
      <c r="R6394" s="337"/>
    </row>
    <row r="6395" spans="2:18" x14ac:dyDescent="0.25">
      <c r="B6395" s="337" t="s">
        <v>10682</v>
      </c>
      <c r="C6395" s="337" t="s">
        <v>10683</v>
      </c>
      <c r="D6395" s="337" t="s">
        <v>29</v>
      </c>
      <c r="E6395" s="337" t="s">
        <v>1096</v>
      </c>
      <c r="F6395" s="337" t="s">
        <v>184</v>
      </c>
      <c r="G6395" s="337" t="s">
        <v>35</v>
      </c>
      <c r="H6395" s="337" t="s">
        <v>36</v>
      </c>
      <c r="I6395" s="337"/>
      <c r="J6395" s="337"/>
      <c r="K6395" s="337"/>
      <c r="L6395" s="337"/>
      <c r="M6395" s="395" t="s">
        <v>10170</v>
      </c>
      <c r="N6395" s="337"/>
      <c r="O6395" s="167" t="s">
        <v>38</v>
      </c>
      <c r="P6395" s="5" t="str">
        <f t="shared" si="150"/>
        <v>Truncate table FPP132;</v>
      </c>
      <c r="Q6395" s="337"/>
      <c r="R6395" s="337"/>
    </row>
    <row r="6396" spans="2:18" x14ac:dyDescent="0.25">
      <c r="B6396" s="337" t="s">
        <v>10684</v>
      </c>
      <c r="C6396" s="337" t="s">
        <v>10685</v>
      </c>
      <c r="D6396" s="337" t="s">
        <v>29</v>
      </c>
      <c r="E6396" s="337" t="s">
        <v>1096</v>
      </c>
      <c r="F6396" s="337" t="s">
        <v>184</v>
      </c>
      <c r="G6396" s="337" t="s">
        <v>35</v>
      </c>
      <c r="H6396" s="337" t="s">
        <v>36</v>
      </c>
      <c r="I6396" s="337"/>
      <c r="J6396" s="337"/>
      <c r="K6396" s="337"/>
      <c r="L6396" s="337"/>
      <c r="M6396" s="395" t="s">
        <v>10170</v>
      </c>
      <c r="N6396" s="337"/>
      <c r="O6396" s="167" t="s">
        <v>38</v>
      </c>
      <c r="P6396" s="5" t="str">
        <f t="shared" si="150"/>
        <v>Truncate table FPP152;</v>
      </c>
      <c r="Q6396" s="337"/>
      <c r="R6396" s="337"/>
    </row>
    <row r="6397" spans="2:18" x14ac:dyDescent="0.25">
      <c r="B6397" s="337" t="s">
        <v>10686</v>
      </c>
      <c r="C6397" s="337" t="s">
        <v>10687</v>
      </c>
      <c r="D6397" s="337" t="s">
        <v>29</v>
      </c>
      <c r="E6397" s="337" t="s">
        <v>1096</v>
      </c>
      <c r="F6397" s="337" t="s">
        <v>184</v>
      </c>
      <c r="G6397" s="337" t="s">
        <v>35</v>
      </c>
      <c r="H6397" s="337" t="s">
        <v>36</v>
      </c>
      <c r="I6397" s="337"/>
      <c r="J6397" s="337"/>
      <c r="K6397" s="337"/>
      <c r="L6397" s="337"/>
      <c r="M6397" s="395" t="s">
        <v>10170</v>
      </c>
      <c r="N6397" s="337"/>
      <c r="O6397" s="167" t="s">
        <v>38</v>
      </c>
      <c r="P6397" s="5" t="str">
        <f t="shared" si="150"/>
        <v>Truncate table FPP153;</v>
      </c>
      <c r="Q6397" s="337"/>
      <c r="R6397" s="337"/>
    </row>
    <row r="6398" spans="2:18" x14ac:dyDescent="0.25">
      <c r="B6398" s="337" t="s">
        <v>10688</v>
      </c>
      <c r="C6398" s="337" t="s">
        <v>10689</v>
      </c>
      <c r="D6398" s="337" t="s">
        <v>29</v>
      </c>
      <c r="E6398" s="337" t="s">
        <v>1096</v>
      </c>
      <c r="F6398" s="337" t="s">
        <v>184</v>
      </c>
      <c r="G6398" s="337" t="s">
        <v>35</v>
      </c>
      <c r="H6398" s="337" t="s">
        <v>36</v>
      </c>
      <c r="I6398" s="337"/>
      <c r="J6398" s="337"/>
      <c r="K6398" s="337"/>
      <c r="L6398" s="337"/>
      <c r="M6398" s="395" t="s">
        <v>10170</v>
      </c>
      <c r="N6398" s="337"/>
      <c r="O6398" s="167" t="s">
        <v>38</v>
      </c>
      <c r="P6398" s="5" t="str">
        <f t="shared" si="150"/>
        <v>Truncate table FPP190;</v>
      </c>
      <c r="Q6398" s="337"/>
      <c r="R6398" s="337"/>
    </row>
    <row r="6399" spans="2:18" x14ac:dyDescent="0.25">
      <c r="B6399" s="337" t="s">
        <v>10690</v>
      </c>
      <c r="C6399" s="337" t="s">
        <v>10691</v>
      </c>
      <c r="D6399" s="337" t="s">
        <v>29</v>
      </c>
      <c r="E6399" s="337" t="s">
        <v>1096</v>
      </c>
      <c r="F6399" s="337" t="s">
        <v>184</v>
      </c>
      <c r="G6399" s="337" t="s">
        <v>35</v>
      </c>
      <c r="H6399" s="337" t="s">
        <v>36</v>
      </c>
      <c r="I6399" s="337"/>
      <c r="J6399" s="337"/>
      <c r="K6399" s="337"/>
      <c r="L6399" s="337"/>
      <c r="M6399" s="395" t="s">
        <v>10170</v>
      </c>
      <c r="N6399" s="337"/>
      <c r="O6399" s="167" t="s">
        <v>38</v>
      </c>
      <c r="P6399" s="5" t="str">
        <f t="shared" si="150"/>
        <v>Truncate table FPP194;</v>
      </c>
      <c r="Q6399" s="337"/>
      <c r="R6399" s="337"/>
    </row>
    <row r="6400" spans="2:18" x14ac:dyDescent="0.25">
      <c r="B6400" s="337" t="s">
        <v>10692</v>
      </c>
      <c r="C6400" s="337" t="s">
        <v>10693</v>
      </c>
      <c r="D6400" s="337" t="s">
        <v>29</v>
      </c>
      <c r="E6400" s="337" t="s">
        <v>1096</v>
      </c>
      <c r="F6400" s="337" t="s">
        <v>184</v>
      </c>
      <c r="G6400" s="337" t="s">
        <v>35</v>
      </c>
      <c r="H6400" s="337" t="s">
        <v>36</v>
      </c>
      <c r="I6400" s="337"/>
      <c r="J6400" s="337"/>
      <c r="K6400" s="337"/>
      <c r="L6400" s="337"/>
      <c r="M6400" s="395" t="s">
        <v>10170</v>
      </c>
      <c r="N6400" s="337"/>
      <c r="O6400" s="167" t="s">
        <v>38</v>
      </c>
      <c r="P6400" s="5" t="str">
        <f t="shared" si="150"/>
        <v>Truncate table FPP210;</v>
      </c>
      <c r="Q6400" s="337"/>
      <c r="R6400" s="337"/>
    </row>
    <row r="6401" spans="2:18" x14ac:dyDescent="0.25">
      <c r="B6401" s="337" t="s">
        <v>10694</v>
      </c>
      <c r="C6401" s="337" t="s">
        <v>10695</v>
      </c>
      <c r="D6401" s="337" t="s">
        <v>29</v>
      </c>
      <c r="E6401" s="337" t="s">
        <v>1096</v>
      </c>
      <c r="F6401" s="337" t="s">
        <v>184</v>
      </c>
      <c r="G6401" s="337" t="s">
        <v>35</v>
      </c>
      <c r="H6401" s="337" t="s">
        <v>36</v>
      </c>
      <c r="I6401" s="337"/>
      <c r="J6401" s="337"/>
      <c r="K6401" s="337"/>
      <c r="L6401" s="337"/>
      <c r="M6401" s="395" t="s">
        <v>10170</v>
      </c>
      <c r="N6401" s="337"/>
      <c r="O6401" s="167" t="s">
        <v>38</v>
      </c>
      <c r="P6401" s="5" t="str">
        <f t="shared" si="150"/>
        <v>Truncate table FPP212;</v>
      </c>
      <c r="Q6401" s="337"/>
      <c r="R6401" s="337"/>
    </row>
    <row r="6402" spans="2:18" x14ac:dyDescent="0.25">
      <c r="B6402" s="337" t="s">
        <v>10696</v>
      </c>
      <c r="C6402" s="337" t="s">
        <v>10697</v>
      </c>
      <c r="D6402" s="337" t="s">
        <v>29</v>
      </c>
      <c r="E6402" s="337" t="s">
        <v>1096</v>
      </c>
      <c r="F6402" s="337" t="s">
        <v>184</v>
      </c>
      <c r="G6402" s="337" t="s">
        <v>35</v>
      </c>
      <c r="H6402" s="337" t="s">
        <v>36</v>
      </c>
      <c r="I6402" s="337"/>
      <c r="J6402" s="337"/>
      <c r="K6402" s="337"/>
      <c r="L6402" s="337"/>
      <c r="M6402" s="395" t="s">
        <v>10170</v>
      </c>
      <c r="N6402" s="337"/>
      <c r="O6402" s="167" t="s">
        <v>38</v>
      </c>
      <c r="P6402" s="5" t="str">
        <f t="shared" si="150"/>
        <v>Truncate table FPP213;</v>
      </c>
      <c r="Q6402" s="337"/>
      <c r="R6402" s="337"/>
    </row>
    <row r="6403" spans="2:18" x14ac:dyDescent="0.25">
      <c r="B6403" s="337" t="s">
        <v>10698</v>
      </c>
      <c r="C6403" s="337" t="s">
        <v>10699</v>
      </c>
      <c r="D6403" s="337" t="s">
        <v>29</v>
      </c>
      <c r="E6403" s="337" t="s">
        <v>1096</v>
      </c>
      <c r="F6403" s="337" t="s">
        <v>184</v>
      </c>
      <c r="G6403" s="337" t="s">
        <v>35</v>
      </c>
      <c r="H6403" s="337" t="s">
        <v>36</v>
      </c>
      <c r="I6403" s="337"/>
      <c r="J6403" s="337"/>
      <c r="K6403" s="337"/>
      <c r="L6403" s="337"/>
      <c r="M6403" s="395" t="s">
        <v>10170</v>
      </c>
      <c r="N6403" s="337"/>
      <c r="O6403" s="167" t="s">
        <v>38</v>
      </c>
      <c r="P6403" s="5" t="str">
        <f t="shared" si="150"/>
        <v>Truncate table FPP214;</v>
      </c>
      <c r="Q6403" s="337"/>
      <c r="R6403" s="337"/>
    </row>
    <row r="6404" spans="2:18" x14ac:dyDescent="0.25">
      <c r="B6404" s="337" t="s">
        <v>10700</v>
      </c>
      <c r="C6404" s="337" t="s">
        <v>10701</v>
      </c>
      <c r="D6404" s="337" t="s">
        <v>29</v>
      </c>
      <c r="E6404" s="337" t="s">
        <v>1096</v>
      </c>
      <c r="F6404" s="337" t="s">
        <v>184</v>
      </c>
      <c r="G6404" s="337" t="s">
        <v>35</v>
      </c>
      <c r="H6404" s="337" t="s">
        <v>36</v>
      </c>
      <c r="I6404" s="337"/>
      <c r="J6404" s="337"/>
      <c r="K6404" s="337"/>
      <c r="L6404" s="337"/>
      <c r="M6404" s="395" t="s">
        <v>10170</v>
      </c>
      <c r="N6404" s="337"/>
      <c r="O6404" s="167" t="s">
        <v>38</v>
      </c>
      <c r="P6404" s="5" t="str">
        <f t="shared" si="150"/>
        <v>Truncate table FPP215;</v>
      </c>
      <c r="Q6404" s="337"/>
      <c r="R6404" s="337"/>
    </row>
    <row r="6405" spans="2:18" x14ac:dyDescent="0.25">
      <c r="B6405" s="337" t="s">
        <v>10702</v>
      </c>
      <c r="C6405" s="337" t="s">
        <v>10703</v>
      </c>
      <c r="D6405" s="337" t="s">
        <v>29</v>
      </c>
      <c r="E6405" s="337" t="s">
        <v>1096</v>
      </c>
      <c r="F6405" s="337" t="s">
        <v>184</v>
      </c>
      <c r="G6405" s="337" t="s">
        <v>35</v>
      </c>
      <c r="H6405" s="337" t="s">
        <v>36</v>
      </c>
      <c r="I6405" s="337"/>
      <c r="J6405" s="337"/>
      <c r="K6405" s="337"/>
      <c r="L6405" s="337"/>
      <c r="M6405" s="395" t="s">
        <v>10170</v>
      </c>
      <c r="N6405" s="337"/>
      <c r="O6405" s="167" t="s">
        <v>38</v>
      </c>
      <c r="P6405" s="5" t="str">
        <f t="shared" si="150"/>
        <v>Truncate table FPP216;</v>
      </c>
      <c r="Q6405" s="337"/>
      <c r="R6405" s="337"/>
    </row>
    <row r="6406" spans="2:18" x14ac:dyDescent="0.25">
      <c r="B6406" s="337" t="s">
        <v>10704</v>
      </c>
      <c r="C6406" s="337" t="s">
        <v>10705</v>
      </c>
      <c r="D6406" s="337" t="s">
        <v>29</v>
      </c>
      <c r="E6406" s="337" t="s">
        <v>1096</v>
      </c>
      <c r="F6406" s="337" t="s">
        <v>184</v>
      </c>
      <c r="G6406" s="337" t="s">
        <v>35</v>
      </c>
      <c r="H6406" s="337" t="s">
        <v>36</v>
      </c>
      <c r="I6406" s="337"/>
      <c r="J6406" s="337"/>
      <c r="K6406" s="337"/>
      <c r="L6406" s="337"/>
      <c r="M6406" s="395" t="s">
        <v>10170</v>
      </c>
      <c r="N6406" s="337"/>
      <c r="O6406" s="167" t="s">
        <v>38</v>
      </c>
      <c r="P6406" s="5" t="str">
        <f t="shared" si="150"/>
        <v>Truncate table FPP217;</v>
      </c>
      <c r="Q6406" s="337"/>
      <c r="R6406" s="337"/>
    </row>
    <row r="6407" spans="2:18" x14ac:dyDescent="0.25">
      <c r="B6407" s="337" t="s">
        <v>10706</v>
      </c>
      <c r="C6407" s="337" t="s">
        <v>10707</v>
      </c>
      <c r="D6407" s="337" t="s">
        <v>29</v>
      </c>
      <c r="E6407" s="337" t="s">
        <v>1096</v>
      </c>
      <c r="F6407" s="337" t="s">
        <v>184</v>
      </c>
      <c r="G6407" s="337" t="s">
        <v>35</v>
      </c>
      <c r="H6407" s="337" t="s">
        <v>36</v>
      </c>
      <c r="I6407" s="337"/>
      <c r="J6407" s="337"/>
      <c r="K6407" s="337"/>
      <c r="L6407" s="337"/>
      <c r="M6407" s="395" t="s">
        <v>10170</v>
      </c>
      <c r="N6407" s="337"/>
      <c r="O6407" s="167" t="s">
        <v>38</v>
      </c>
      <c r="P6407" s="5" t="str">
        <f t="shared" si="150"/>
        <v>Truncate table FPP245;</v>
      </c>
      <c r="Q6407" s="337"/>
      <c r="R6407" s="337"/>
    </row>
    <row r="6408" spans="2:18" x14ac:dyDescent="0.25">
      <c r="B6408" s="337" t="s">
        <v>10708</v>
      </c>
      <c r="C6408" s="337" t="s">
        <v>10709</v>
      </c>
      <c r="D6408" s="337" t="s">
        <v>29</v>
      </c>
      <c r="E6408" s="337" t="s">
        <v>1096</v>
      </c>
      <c r="F6408" s="337" t="s">
        <v>184</v>
      </c>
      <c r="G6408" s="337" t="s">
        <v>35</v>
      </c>
      <c r="H6408" s="337" t="s">
        <v>36</v>
      </c>
      <c r="I6408" s="337"/>
      <c r="J6408" s="337"/>
      <c r="K6408" s="337"/>
      <c r="L6408" s="337"/>
      <c r="M6408" s="395" t="s">
        <v>10170</v>
      </c>
      <c r="N6408" s="337"/>
      <c r="O6408" s="167" t="s">
        <v>38</v>
      </c>
      <c r="P6408" s="5" t="str">
        <f t="shared" si="150"/>
        <v>Truncate table FPP246;</v>
      </c>
      <c r="Q6408" s="337"/>
      <c r="R6408" s="337"/>
    </row>
    <row r="6409" spans="2:18" ht="17.25" customHeight="1" x14ac:dyDescent="0.25">
      <c r="B6409" s="118" t="s">
        <v>11518</v>
      </c>
      <c r="C6409" s="118" t="s">
        <v>11519</v>
      </c>
      <c r="D6409" s="118" t="s">
        <v>29</v>
      </c>
      <c r="E6409" s="337" t="s">
        <v>1096</v>
      </c>
      <c r="F6409" s="337" t="s">
        <v>184</v>
      </c>
      <c r="G6409" s="337" t="s">
        <v>35</v>
      </c>
      <c r="H6409" s="337" t="s">
        <v>36</v>
      </c>
      <c r="I6409" s="337"/>
      <c r="J6409" s="337"/>
      <c r="K6409" s="118" t="s">
        <v>5995</v>
      </c>
      <c r="L6409" s="337"/>
      <c r="M6409" s="395" t="s">
        <v>10170</v>
      </c>
      <c r="N6409" s="337"/>
      <c r="O6409" s="167" t="s">
        <v>38</v>
      </c>
      <c r="P6409" s="5" t="str">
        <f t="shared" ref="P6409" si="152">IF(D6409="Datos","Truncate table "&amp; B6409&amp; ";","")</f>
        <v>Truncate table FPp310;</v>
      </c>
      <c r="Q6409" s="337"/>
      <c r="R6409" s="337"/>
    </row>
    <row r="6410" spans="2:18" ht="17.25" customHeight="1" x14ac:dyDescent="0.25">
      <c r="B6410" s="118" t="s">
        <v>11527</v>
      </c>
      <c r="C6410" s="118" t="s">
        <v>11528</v>
      </c>
      <c r="D6410" s="118" t="s">
        <v>29</v>
      </c>
      <c r="E6410" s="337" t="s">
        <v>1096</v>
      </c>
      <c r="F6410" s="337" t="s">
        <v>184</v>
      </c>
      <c r="G6410" s="337" t="s">
        <v>35</v>
      </c>
      <c r="H6410" s="337" t="s">
        <v>36</v>
      </c>
      <c r="I6410" s="337"/>
      <c r="J6410" s="337"/>
      <c r="K6410" s="118" t="s">
        <v>5995</v>
      </c>
      <c r="L6410" s="337"/>
      <c r="M6410" s="395" t="s">
        <v>10170</v>
      </c>
      <c r="N6410" s="337"/>
      <c r="O6410" s="167" t="s">
        <v>38</v>
      </c>
      <c r="P6410" s="5" t="str">
        <f t="shared" ref="P6410" si="153">IF(D6410="Datos","Truncate table "&amp; B6410&amp; ";","")</f>
        <v>Truncate table FPP311;</v>
      </c>
      <c r="Q6410" s="337"/>
      <c r="R6410" s="337"/>
    </row>
    <row r="6411" spans="2:18" ht="17.25" customHeight="1" x14ac:dyDescent="0.25">
      <c r="B6411" s="118" t="s">
        <v>11582</v>
      </c>
      <c r="C6411" s="118" t="s">
        <v>11583</v>
      </c>
      <c r="D6411" s="118" t="s">
        <v>29</v>
      </c>
      <c r="E6411" s="337" t="s">
        <v>1096</v>
      </c>
      <c r="F6411" s="337" t="s">
        <v>184</v>
      </c>
      <c r="G6411" s="337" t="s">
        <v>35</v>
      </c>
      <c r="H6411" s="337" t="s">
        <v>36</v>
      </c>
      <c r="I6411" s="337"/>
      <c r="J6411" s="337"/>
      <c r="K6411" t="s">
        <v>11584</v>
      </c>
      <c r="L6411" s="337"/>
      <c r="M6411" s="395" t="s">
        <v>10170</v>
      </c>
      <c r="N6411" s="337"/>
      <c r="O6411" s="167" t="s">
        <v>38</v>
      </c>
      <c r="P6411" s="5" t="str">
        <f t="shared" ref="P6411" si="154">IF(D6411="Datos","Truncate table "&amp; B6411&amp; ";","")</f>
        <v>Truncate table FPP315;</v>
      </c>
      <c r="Q6411" s="337"/>
      <c r="R6411" s="337"/>
    </row>
    <row r="6412" spans="2:18" ht="15.75" customHeight="1" x14ac:dyDescent="0.25">
      <c r="B6412" s="337" t="s">
        <v>10710</v>
      </c>
      <c r="C6412" s="337" t="s">
        <v>10711</v>
      </c>
      <c r="D6412" s="337" t="s">
        <v>29</v>
      </c>
      <c r="E6412" s="337" t="s">
        <v>1096</v>
      </c>
      <c r="F6412" s="337" t="s">
        <v>184</v>
      </c>
      <c r="G6412" s="337" t="s">
        <v>35</v>
      </c>
      <c r="H6412" s="337" t="s">
        <v>36</v>
      </c>
      <c r="I6412" s="337"/>
      <c r="J6412" s="337"/>
      <c r="K6412" s="337"/>
      <c r="L6412" s="337"/>
      <c r="M6412" s="395" t="s">
        <v>10170</v>
      </c>
      <c r="N6412" s="337"/>
      <c r="O6412" s="167" t="s">
        <v>38</v>
      </c>
      <c r="P6412" s="5" t="str">
        <f t="shared" si="150"/>
        <v>Truncate table FPP515;</v>
      </c>
      <c r="Q6412" s="337"/>
      <c r="R6412" s="337"/>
    </row>
    <row r="6413" spans="2:18" x14ac:dyDescent="0.25">
      <c r="B6413" s="337" t="s">
        <v>10712</v>
      </c>
      <c r="C6413" s="337" t="s">
        <v>10713</v>
      </c>
      <c r="D6413" s="337" t="s">
        <v>29</v>
      </c>
      <c r="E6413" s="337" t="s">
        <v>1096</v>
      </c>
      <c r="F6413" s="337" t="s">
        <v>184</v>
      </c>
      <c r="G6413" s="337" t="s">
        <v>35</v>
      </c>
      <c r="H6413" s="337" t="s">
        <v>36</v>
      </c>
      <c r="I6413" s="337"/>
      <c r="J6413" s="337"/>
      <c r="K6413" s="337"/>
      <c r="L6413" s="337"/>
      <c r="M6413" s="395" t="s">
        <v>10170</v>
      </c>
      <c r="N6413" s="337"/>
      <c r="O6413" s="167" t="s">
        <v>38</v>
      </c>
      <c r="P6413" s="5" t="str">
        <f t="shared" ref="P6413:P6476" si="155">IF(D6413="Datos","Truncate table "&amp; B6413&amp; ";","")</f>
        <v>Truncate table FPP516;</v>
      </c>
      <c r="Q6413" s="337"/>
      <c r="R6413" s="337"/>
    </row>
    <row r="6414" spans="2:18" x14ac:dyDescent="0.25">
      <c r="B6414" s="337" t="s">
        <v>10714</v>
      </c>
      <c r="C6414" s="337" t="s">
        <v>10715</v>
      </c>
      <c r="D6414" s="337" t="s">
        <v>29</v>
      </c>
      <c r="E6414" s="337" t="s">
        <v>1096</v>
      </c>
      <c r="F6414" s="337" t="s">
        <v>184</v>
      </c>
      <c r="G6414" s="337" t="s">
        <v>35</v>
      </c>
      <c r="H6414" s="337" t="s">
        <v>36</v>
      </c>
      <c r="I6414" s="337"/>
      <c r="J6414" s="337"/>
      <c r="K6414" s="337"/>
      <c r="L6414" s="337"/>
      <c r="M6414" s="395" t="s">
        <v>10170</v>
      </c>
      <c r="N6414" s="337"/>
      <c r="O6414" s="167" t="s">
        <v>38</v>
      </c>
      <c r="P6414" s="5" t="str">
        <f t="shared" si="155"/>
        <v>Truncate table FPP517;</v>
      </c>
      <c r="Q6414" s="337"/>
      <c r="R6414" s="337"/>
    </row>
    <row r="6415" spans="2:18" x14ac:dyDescent="0.25">
      <c r="B6415" s="337" t="s">
        <v>10716</v>
      </c>
      <c r="C6415" s="337" t="s">
        <v>10717</v>
      </c>
      <c r="D6415" s="337" t="s">
        <v>29</v>
      </c>
      <c r="E6415" s="337" t="s">
        <v>1096</v>
      </c>
      <c r="F6415" s="337" t="s">
        <v>184</v>
      </c>
      <c r="G6415" s="337" t="s">
        <v>35</v>
      </c>
      <c r="H6415" s="337" t="s">
        <v>36</v>
      </c>
      <c r="I6415" s="337"/>
      <c r="J6415" s="337"/>
      <c r="K6415" s="337"/>
      <c r="L6415" s="337"/>
      <c r="M6415" s="395" t="s">
        <v>10170</v>
      </c>
      <c r="N6415" s="337"/>
      <c r="O6415" s="167" t="s">
        <v>38</v>
      </c>
      <c r="P6415" s="5" t="str">
        <f t="shared" si="155"/>
        <v>Truncate table FPP518;</v>
      </c>
      <c r="Q6415" s="337"/>
      <c r="R6415" s="337"/>
    </row>
    <row r="6416" spans="2:18" x14ac:dyDescent="0.25">
      <c r="B6416" s="337" t="s">
        <v>10718</v>
      </c>
      <c r="C6416" s="337" t="s">
        <v>10719</v>
      </c>
      <c r="D6416" s="337" t="s">
        <v>10206</v>
      </c>
      <c r="E6416" s="337" t="s">
        <v>1096</v>
      </c>
      <c r="F6416" s="337" t="s">
        <v>184</v>
      </c>
      <c r="G6416" s="337" t="s">
        <v>35</v>
      </c>
      <c r="H6416" s="337" t="s">
        <v>36</v>
      </c>
      <c r="I6416" s="337"/>
      <c r="J6416" s="337"/>
      <c r="K6416" s="337"/>
      <c r="L6416" s="337"/>
      <c r="M6416" s="395" t="s">
        <v>10170</v>
      </c>
      <c r="N6416" s="337"/>
      <c r="O6416" s="167" t="s">
        <v>38</v>
      </c>
      <c r="P6416" s="5" t="str">
        <f t="shared" si="155"/>
        <v/>
      </c>
      <c r="Q6416" s="337"/>
      <c r="R6416" s="337"/>
    </row>
    <row r="6417" spans="2:18" x14ac:dyDescent="0.25">
      <c r="B6417" s="337" t="s">
        <v>10190</v>
      </c>
      <c r="C6417" s="337" t="s">
        <v>10204</v>
      </c>
      <c r="D6417" s="337" t="s">
        <v>10206</v>
      </c>
      <c r="E6417" s="337" t="s">
        <v>1096</v>
      </c>
      <c r="F6417" s="337" t="s">
        <v>184</v>
      </c>
      <c r="G6417" s="337" t="s">
        <v>35</v>
      </c>
      <c r="H6417" s="337" t="s">
        <v>36</v>
      </c>
      <c r="I6417" s="337"/>
      <c r="J6417" s="337"/>
      <c r="K6417" s="337"/>
      <c r="L6417" s="337"/>
      <c r="M6417" s="395" t="s">
        <v>10170</v>
      </c>
      <c r="N6417" s="337"/>
      <c r="O6417" s="167" t="s">
        <v>38</v>
      </c>
      <c r="P6417" s="5" t="str">
        <f t="shared" si="155"/>
        <v/>
      </c>
      <c r="Q6417" s="337"/>
      <c r="R6417" s="337"/>
    </row>
    <row r="6418" spans="2:18" x14ac:dyDescent="0.25">
      <c r="B6418" s="337" t="s">
        <v>10720</v>
      </c>
      <c r="C6418" s="337" t="s">
        <v>10721</v>
      </c>
      <c r="D6418" s="337" t="s">
        <v>29</v>
      </c>
      <c r="E6418" s="337" t="s">
        <v>1096</v>
      </c>
      <c r="F6418" s="337" t="s">
        <v>184</v>
      </c>
      <c r="G6418" s="337" t="s">
        <v>35</v>
      </c>
      <c r="H6418" s="337" t="s">
        <v>36</v>
      </c>
      <c r="I6418" s="337"/>
      <c r="J6418" s="337"/>
      <c r="K6418" s="337"/>
      <c r="L6418" s="337"/>
      <c r="M6418" s="395" t="s">
        <v>10170</v>
      </c>
      <c r="N6418" s="337"/>
      <c r="O6418" s="167" t="s">
        <v>38</v>
      </c>
      <c r="P6418" s="5" t="str">
        <f t="shared" si="155"/>
        <v>Truncate table FPP541;</v>
      </c>
      <c r="Q6418" s="337"/>
      <c r="R6418" s="337"/>
    </row>
    <row r="6419" spans="2:18" x14ac:dyDescent="0.25">
      <c r="B6419" s="337" t="s">
        <v>10722</v>
      </c>
      <c r="C6419" s="337" t="s">
        <v>10723</v>
      </c>
      <c r="D6419" s="337" t="s">
        <v>29</v>
      </c>
      <c r="E6419" s="337" t="s">
        <v>1096</v>
      </c>
      <c r="F6419" s="337" t="s">
        <v>184</v>
      </c>
      <c r="G6419" s="337" t="s">
        <v>35</v>
      </c>
      <c r="H6419" s="337" t="s">
        <v>36</v>
      </c>
      <c r="I6419" s="337"/>
      <c r="J6419" s="337"/>
      <c r="K6419" s="337"/>
      <c r="L6419" s="337"/>
      <c r="M6419" s="395" t="s">
        <v>10170</v>
      </c>
      <c r="N6419" s="337"/>
      <c r="O6419" s="167" t="s">
        <v>38</v>
      </c>
      <c r="P6419" s="5" t="str">
        <f t="shared" si="155"/>
        <v>Truncate table FPP602;</v>
      </c>
      <c r="Q6419" s="337"/>
      <c r="R6419" s="337"/>
    </row>
    <row r="6420" spans="2:18" x14ac:dyDescent="0.25">
      <c r="B6420" s="337" t="s">
        <v>10724</v>
      </c>
      <c r="C6420" s="337" t="s">
        <v>10725</v>
      </c>
      <c r="D6420" s="337" t="s">
        <v>10206</v>
      </c>
      <c r="E6420" s="337" t="s">
        <v>1096</v>
      </c>
      <c r="F6420" s="337" t="s">
        <v>184</v>
      </c>
      <c r="G6420" s="337" t="s">
        <v>35</v>
      </c>
      <c r="H6420" s="337" t="s">
        <v>36</v>
      </c>
      <c r="I6420" s="337"/>
      <c r="J6420" s="337"/>
      <c r="K6420" s="337"/>
      <c r="L6420" s="337"/>
      <c r="M6420" s="395" t="s">
        <v>10170</v>
      </c>
      <c r="N6420" s="337"/>
      <c r="O6420" s="167" t="s">
        <v>38</v>
      </c>
      <c r="P6420" s="5" t="str">
        <f t="shared" si="155"/>
        <v/>
      </c>
      <c r="Q6420" s="337"/>
      <c r="R6420" s="337"/>
    </row>
    <row r="6421" spans="2:18" x14ac:dyDescent="0.25">
      <c r="B6421" s="337" t="s">
        <v>10726</v>
      </c>
      <c r="C6421" s="337" t="s">
        <v>10727</v>
      </c>
      <c r="D6421" s="337" t="s">
        <v>29</v>
      </c>
      <c r="E6421" s="337" t="s">
        <v>8232</v>
      </c>
      <c r="F6421" s="337" t="s">
        <v>8227</v>
      </c>
      <c r="G6421" s="337" t="s">
        <v>35</v>
      </c>
      <c r="H6421" s="337" t="s">
        <v>36</v>
      </c>
      <c r="I6421" s="337"/>
      <c r="J6421" s="337"/>
      <c r="K6421" s="337"/>
      <c r="L6421" s="337"/>
      <c r="M6421" s="395" t="s">
        <v>10170</v>
      </c>
      <c r="N6421" s="337"/>
      <c r="O6421" s="167" t="s">
        <v>38</v>
      </c>
      <c r="P6421" s="5" t="str">
        <f t="shared" si="155"/>
        <v>Truncate table FRH000;</v>
      </c>
      <c r="Q6421" s="337"/>
      <c r="R6421" s="337"/>
    </row>
    <row r="6422" spans="2:18" x14ac:dyDescent="0.25">
      <c r="B6422" s="337" t="s">
        <v>10728</v>
      </c>
      <c r="C6422" s="337" t="s">
        <v>10727</v>
      </c>
      <c r="D6422" s="337" t="s">
        <v>29</v>
      </c>
      <c r="E6422" s="337" t="s">
        <v>8232</v>
      </c>
      <c r="F6422" s="337" t="s">
        <v>8227</v>
      </c>
      <c r="G6422" s="337" t="s">
        <v>35</v>
      </c>
      <c r="H6422" s="337" t="s">
        <v>36</v>
      </c>
      <c r="I6422" s="337"/>
      <c r="J6422" s="337"/>
      <c r="K6422" s="337"/>
      <c r="L6422" s="337"/>
      <c r="M6422" s="395" t="s">
        <v>10170</v>
      </c>
      <c r="N6422" s="337"/>
      <c r="O6422" s="167" t="s">
        <v>38</v>
      </c>
      <c r="P6422" s="5" t="str">
        <f t="shared" si="155"/>
        <v>Truncate table FRH102;</v>
      </c>
      <c r="Q6422" s="337"/>
      <c r="R6422" s="337"/>
    </row>
    <row r="6423" spans="2:18" x14ac:dyDescent="0.25">
      <c r="B6423" s="337" t="s">
        <v>10729</v>
      </c>
      <c r="C6423" s="337" t="s">
        <v>10730</v>
      </c>
      <c r="D6423" s="337" t="s">
        <v>10206</v>
      </c>
      <c r="E6423" s="337" t="s">
        <v>8232</v>
      </c>
      <c r="F6423" s="337" t="s">
        <v>8227</v>
      </c>
      <c r="G6423" s="337" t="s">
        <v>35</v>
      </c>
      <c r="H6423" s="337" t="s">
        <v>36</v>
      </c>
      <c r="I6423" s="337"/>
      <c r="J6423" s="337"/>
      <c r="K6423" s="337"/>
      <c r="L6423" s="337"/>
      <c r="M6423" s="395" t="s">
        <v>10170</v>
      </c>
      <c r="N6423" s="337"/>
      <c r="O6423" s="167" t="s">
        <v>38</v>
      </c>
      <c r="P6423" s="5" t="str">
        <f t="shared" si="155"/>
        <v/>
      </c>
      <c r="Q6423" s="337"/>
      <c r="R6423" s="337"/>
    </row>
    <row r="6424" spans="2:18" x14ac:dyDescent="0.25">
      <c r="B6424" s="337" t="s">
        <v>10731</v>
      </c>
      <c r="C6424" s="337" t="s">
        <v>10732</v>
      </c>
      <c r="D6424" s="337" t="s">
        <v>29</v>
      </c>
      <c r="E6424" s="337" t="s">
        <v>8232</v>
      </c>
      <c r="F6424" s="337" t="s">
        <v>8227</v>
      </c>
      <c r="G6424" s="337" t="s">
        <v>35</v>
      </c>
      <c r="H6424" s="337" t="s">
        <v>36</v>
      </c>
      <c r="I6424" s="337"/>
      <c r="J6424" s="337"/>
      <c r="K6424" s="337"/>
      <c r="L6424" s="337"/>
      <c r="M6424" s="395" t="s">
        <v>10170</v>
      </c>
      <c r="N6424" s="337"/>
      <c r="O6424" s="167" t="s">
        <v>38</v>
      </c>
      <c r="P6424" s="5" t="str">
        <f t="shared" si="155"/>
        <v>Truncate table FRI201;</v>
      </c>
      <c r="Q6424" s="337"/>
      <c r="R6424" s="337"/>
    </row>
    <row r="6425" spans="2:18" x14ac:dyDescent="0.25">
      <c r="B6425" s="337" t="s">
        <v>10733</v>
      </c>
      <c r="C6425" s="337" t="s">
        <v>10734</v>
      </c>
      <c r="D6425" s="337" t="s">
        <v>29</v>
      </c>
      <c r="E6425" s="337" t="s">
        <v>8232</v>
      </c>
      <c r="F6425" s="337" t="s">
        <v>8227</v>
      </c>
      <c r="G6425" s="337" t="s">
        <v>35</v>
      </c>
      <c r="H6425" s="337" t="s">
        <v>36</v>
      </c>
      <c r="I6425" s="337"/>
      <c r="J6425" s="337"/>
      <c r="K6425" s="337"/>
      <c r="L6425" s="337"/>
      <c r="M6425" s="395" t="s">
        <v>10170</v>
      </c>
      <c r="N6425" s="337"/>
      <c r="O6425" s="167" t="s">
        <v>38</v>
      </c>
      <c r="P6425" s="5" t="str">
        <f t="shared" si="155"/>
        <v>Truncate table FRI202;</v>
      </c>
      <c r="Q6425" s="337"/>
      <c r="R6425" s="337"/>
    </row>
    <row r="6426" spans="2:18" x14ac:dyDescent="0.25">
      <c r="B6426" s="337" t="s">
        <v>10735</v>
      </c>
      <c r="C6426" s="337" t="s">
        <v>10736</v>
      </c>
      <c r="D6426" s="337" t="s">
        <v>29</v>
      </c>
      <c r="E6426" s="337" t="s">
        <v>8232</v>
      </c>
      <c r="F6426" s="337" t="s">
        <v>8227</v>
      </c>
      <c r="G6426" s="337" t="s">
        <v>35</v>
      </c>
      <c r="H6426" s="337" t="s">
        <v>36</v>
      </c>
      <c r="I6426" s="337"/>
      <c r="J6426" s="337"/>
      <c r="K6426" s="337"/>
      <c r="L6426" s="337"/>
      <c r="M6426" s="395" t="s">
        <v>10170</v>
      </c>
      <c r="N6426" s="337"/>
      <c r="O6426" s="167" t="s">
        <v>38</v>
      </c>
      <c r="P6426" s="5" t="str">
        <f t="shared" si="155"/>
        <v>Truncate table FRI203;</v>
      </c>
      <c r="Q6426" s="337"/>
      <c r="R6426" s="337"/>
    </row>
    <row r="6427" spans="2:18" x14ac:dyDescent="0.25">
      <c r="B6427" s="337" t="s">
        <v>10737</v>
      </c>
      <c r="C6427" s="337" t="s">
        <v>10738</v>
      </c>
      <c r="D6427" s="337" t="s">
        <v>29</v>
      </c>
      <c r="E6427" s="337" t="s">
        <v>8232</v>
      </c>
      <c r="F6427" s="337" t="s">
        <v>8227</v>
      </c>
      <c r="G6427" s="337" t="s">
        <v>35</v>
      </c>
      <c r="H6427" s="337" t="s">
        <v>36</v>
      </c>
      <c r="I6427" s="337"/>
      <c r="J6427" s="337"/>
      <c r="K6427" s="337"/>
      <c r="L6427" s="337"/>
      <c r="M6427" s="395" t="s">
        <v>10170</v>
      </c>
      <c r="N6427" s="337"/>
      <c r="O6427" s="167" t="s">
        <v>38</v>
      </c>
      <c r="P6427" s="5" t="str">
        <f t="shared" si="155"/>
        <v>Truncate table FRTSKLOG;</v>
      </c>
      <c r="Q6427" s="337"/>
      <c r="R6427" s="337"/>
    </row>
    <row r="6428" spans="2:18" x14ac:dyDescent="0.25">
      <c r="B6428" s="337" t="s">
        <v>10739</v>
      </c>
      <c r="C6428" s="337" t="s">
        <v>10740</v>
      </c>
      <c r="D6428" s="337" t="s">
        <v>29</v>
      </c>
      <c r="E6428" s="337" t="s">
        <v>54</v>
      </c>
      <c r="F6428" s="337" t="s">
        <v>235</v>
      </c>
      <c r="G6428" s="337" t="s">
        <v>35</v>
      </c>
      <c r="H6428" s="337" t="s">
        <v>36</v>
      </c>
      <c r="I6428" s="337"/>
      <c r="J6428" s="337"/>
      <c r="K6428" s="337"/>
      <c r="L6428" s="337"/>
      <c r="M6428" s="395" t="s">
        <v>10170</v>
      </c>
      <c r="N6428" s="337"/>
      <c r="O6428" s="167" t="s">
        <v>38</v>
      </c>
      <c r="P6428" s="5" t="str">
        <f t="shared" si="155"/>
        <v>Truncate table FSA015;</v>
      </c>
      <c r="Q6428" s="337"/>
      <c r="R6428" s="337"/>
    </row>
    <row r="6429" spans="2:18" x14ac:dyDescent="0.25">
      <c r="B6429" s="337" t="s">
        <v>10741</v>
      </c>
      <c r="C6429" s="337" t="s">
        <v>10742</v>
      </c>
      <c r="D6429" s="337" t="s">
        <v>29</v>
      </c>
      <c r="E6429" s="337" t="s">
        <v>54</v>
      </c>
      <c r="F6429" s="337" t="s">
        <v>235</v>
      </c>
      <c r="G6429" s="337" t="s">
        <v>35</v>
      </c>
      <c r="H6429" s="337" t="s">
        <v>12</v>
      </c>
      <c r="I6429" s="337"/>
      <c r="J6429" s="337"/>
      <c r="K6429" s="337"/>
      <c r="L6429" s="337"/>
      <c r="M6429" s="395" t="s">
        <v>8149</v>
      </c>
      <c r="N6429" s="337"/>
      <c r="O6429" s="167" t="s">
        <v>38</v>
      </c>
      <c r="P6429" s="5" t="str">
        <f t="shared" si="155"/>
        <v>Truncate table FSAR46;</v>
      </c>
      <c r="Q6429" s="337" t="s">
        <v>8129</v>
      </c>
      <c r="R6429" s="337"/>
    </row>
    <row r="6430" spans="2:18" x14ac:dyDescent="0.25">
      <c r="B6430" s="337" t="s">
        <v>10743</v>
      </c>
      <c r="C6430" s="337" t="s">
        <v>10744</v>
      </c>
      <c r="D6430" s="337" t="s">
        <v>29</v>
      </c>
      <c r="E6430" s="337" t="s">
        <v>54</v>
      </c>
      <c r="F6430" s="337" t="s">
        <v>8197</v>
      </c>
      <c r="G6430" s="390" t="s">
        <v>35</v>
      </c>
      <c r="H6430" s="337" t="s">
        <v>36</v>
      </c>
      <c r="I6430" s="71"/>
      <c r="J6430" s="71"/>
      <c r="K6430" s="337"/>
      <c r="L6430" s="337"/>
      <c r="M6430" s="395" t="s">
        <v>10170</v>
      </c>
      <c r="N6430" s="337"/>
      <c r="O6430" s="167" t="s">
        <v>38</v>
      </c>
      <c r="P6430" s="51" t="str">
        <f t="shared" si="155"/>
        <v>Truncate table FSD450E;</v>
      </c>
      <c r="Q6430" s="337"/>
      <c r="R6430" s="337"/>
    </row>
    <row r="6431" spans="2:18" x14ac:dyDescent="0.25">
      <c r="B6431" s="389" t="s">
        <v>10745</v>
      </c>
      <c r="C6431" s="389" t="s">
        <v>10746</v>
      </c>
      <c r="D6431" s="389" t="s">
        <v>29</v>
      </c>
      <c r="E6431" s="389" t="s">
        <v>151</v>
      </c>
      <c r="F6431" s="389" t="s">
        <v>150</v>
      </c>
      <c r="G6431" s="389" t="s">
        <v>35</v>
      </c>
      <c r="H6431" s="389" t="s">
        <v>36</v>
      </c>
      <c r="I6431" s="71"/>
      <c r="J6431" s="71"/>
      <c r="K6431" s="389"/>
      <c r="L6431" s="389"/>
      <c r="M6431" s="393" t="s">
        <v>10170</v>
      </c>
      <c r="N6431" s="389"/>
      <c r="O6431" s="404" t="s">
        <v>38</v>
      </c>
      <c r="P6431" s="403" t="str">
        <f t="shared" ref="P6431" si="156">IF(D6431="Datos","Truncate table "&amp; B6431&amp; ";","")</f>
        <v>Truncate table FSD530;</v>
      </c>
      <c r="Q6431" s="389"/>
      <c r="R6431" s="389"/>
    </row>
    <row r="6432" spans="2:18" x14ac:dyDescent="0.25">
      <c r="B6432" s="337" t="s">
        <v>10747</v>
      </c>
      <c r="C6432" s="337" t="s">
        <v>10748</v>
      </c>
      <c r="D6432" s="337" t="s">
        <v>29</v>
      </c>
      <c r="E6432" s="337" t="s">
        <v>151</v>
      </c>
      <c r="F6432" s="337" t="s">
        <v>8214</v>
      </c>
      <c r="G6432" s="337" t="s">
        <v>35</v>
      </c>
      <c r="H6432" s="337" t="s">
        <v>36</v>
      </c>
      <c r="I6432" s="337"/>
      <c r="J6432" s="337"/>
      <c r="K6432" s="337"/>
      <c r="L6432" s="337"/>
      <c r="M6432" s="393" t="s">
        <v>10170</v>
      </c>
      <c r="N6432" s="389"/>
      <c r="O6432" s="404" t="s">
        <v>38</v>
      </c>
      <c r="P6432" s="5" t="str">
        <f t="shared" si="155"/>
        <v>Truncate table FSD860;</v>
      </c>
      <c r="Q6432" s="337"/>
      <c r="R6432" s="337"/>
    </row>
    <row r="6433" spans="2:18" x14ac:dyDescent="0.25">
      <c r="B6433" s="337" t="s">
        <v>10749</v>
      </c>
      <c r="C6433" s="337" t="s">
        <v>10750</v>
      </c>
      <c r="D6433" s="337" t="s">
        <v>29</v>
      </c>
      <c r="E6433" s="337" t="s">
        <v>151</v>
      </c>
      <c r="F6433" s="337" t="s">
        <v>8214</v>
      </c>
      <c r="G6433" s="337" t="s">
        <v>35</v>
      </c>
      <c r="H6433" s="337" t="s">
        <v>36</v>
      </c>
      <c r="I6433" s="337"/>
      <c r="J6433" s="337"/>
      <c r="K6433" s="337"/>
      <c r="L6433" s="337"/>
      <c r="M6433" s="393" t="s">
        <v>10170</v>
      </c>
      <c r="N6433" s="389"/>
      <c r="O6433" s="404" t="s">
        <v>38</v>
      </c>
      <c r="P6433" s="5" t="str">
        <f t="shared" ref="P6433" si="157">IF(D6433="Datos","Truncate table "&amp; B6433&amp; ";","")</f>
        <v>Truncate table FSD861;</v>
      </c>
      <c r="Q6433" s="337"/>
      <c r="R6433" s="337"/>
    </row>
    <row r="6434" spans="2:18" x14ac:dyDescent="0.25">
      <c r="B6434" s="337" t="s">
        <v>10751</v>
      </c>
      <c r="C6434" s="337" t="s">
        <v>10752</v>
      </c>
      <c r="D6434" s="337" t="s">
        <v>10206</v>
      </c>
      <c r="E6434" s="337" t="s">
        <v>54</v>
      </c>
      <c r="F6434" s="337" t="s">
        <v>163</v>
      </c>
      <c r="G6434" s="337" t="s">
        <v>35</v>
      </c>
      <c r="H6434" s="337" t="s">
        <v>36</v>
      </c>
      <c r="I6434" s="71"/>
      <c r="J6434" s="71"/>
      <c r="K6434" s="337"/>
      <c r="L6434" s="337"/>
      <c r="M6434" s="393" t="s">
        <v>10170</v>
      </c>
      <c r="N6434" s="389"/>
      <c r="O6434" s="404" t="s">
        <v>38</v>
      </c>
      <c r="P6434" s="5" t="str">
        <f t="shared" ref="P6434:P6437" si="158">IF(D6434="Datos","Truncate table "&amp; B6434&amp; ";","")</f>
        <v/>
      </c>
      <c r="Q6434" s="337"/>
      <c r="R6434" s="337"/>
    </row>
    <row r="6435" spans="2:18" x14ac:dyDescent="0.25">
      <c r="B6435" s="337" t="s">
        <v>10753</v>
      </c>
      <c r="C6435" s="337" t="s">
        <v>10754</v>
      </c>
      <c r="D6435" s="337" t="s">
        <v>29</v>
      </c>
      <c r="E6435" s="337" t="s">
        <v>54</v>
      </c>
      <c r="F6435" s="337" t="s">
        <v>163</v>
      </c>
      <c r="G6435" s="337" t="s">
        <v>35</v>
      </c>
      <c r="H6435" s="337" t="s">
        <v>36</v>
      </c>
      <c r="I6435" s="71"/>
      <c r="J6435" s="71"/>
      <c r="K6435" s="337"/>
      <c r="L6435" s="337"/>
      <c r="M6435" s="393" t="s">
        <v>10170</v>
      </c>
      <c r="N6435" s="389"/>
      <c r="O6435" s="404" t="s">
        <v>38</v>
      </c>
      <c r="P6435" s="5" t="str">
        <f t="shared" si="158"/>
        <v>Truncate table FSE202;</v>
      </c>
      <c r="Q6435" s="337"/>
      <c r="R6435" s="337"/>
    </row>
    <row r="6436" spans="2:18" x14ac:dyDescent="0.25">
      <c r="B6436" s="337" t="s">
        <v>10755</v>
      </c>
      <c r="C6436" s="337" t="s">
        <v>10756</v>
      </c>
      <c r="D6436" s="337" t="s">
        <v>29</v>
      </c>
      <c r="E6436" s="337" t="s">
        <v>54</v>
      </c>
      <c r="F6436" s="337" t="s">
        <v>163</v>
      </c>
      <c r="G6436" s="337" t="s">
        <v>35</v>
      </c>
      <c r="H6436" s="337" t="s">
        <v>36</v>
      </c>
      <c r="I6436" s="71"/>
      <c r="J6436" s="71"/>
      <c r="K6436" s="337"/>
      <c r="L6436" s="337"/>
      <c r="M6436" s="393" t="s">
        <v>10170</v>
      </c>
      <c r="N6436" s="389"/>
      <c r="O6436" s="404" t="s">
        <v>38</v>
      </c>
      <c r="P6436" s="5" t="str">
        <f t="shared" si="158"/>
        <v>Truncate table FSE501;</v>
      </c>
      <c r="Q6436" s="337"/>
      <c r="R6436" s="337"/>
    </row>
    <row r="6437" spans="2:18" x14ac:dyDescent="0.25">
      <c r="B6437" s="337" t="s">
        <v>10757</v>
      </c>
      <c r="C6437" s="337" t="s">
        <v>10758</v>
      </c>
      <c r="D6437" s="337" t="s">
        <v>29</v>
      </c>
      <c r="E6437" s="337" t="s">
        <v>54</v>
      </c>
      <c r="F6437" s="337" t="s">
        <v>163</v>
      </c>
      <c r="G6437" s="337" t="s">
        <v>35</v>
      </c>
      <c r="H6437" s="337" t="s">
        <v>36</v>
      </c>
      <c r="I6437" s="71"/>
      <c r="J6437" s="71"/>
      <c r="K6437" s="337"/>
      <c r="L6437" s="337"/>
      <c r="M6437" s="395" t="s">
        <v>10170</v>
      </c>
      <c r="N6437" s="337"/>
      <c r="O6437" s="167" t="s">
        <v>38</v>
      </c>
      <c r="P6437" s="5" t="str">
        <f t="shared" si="158"/>
        <v>Truncate table FSE508;</v>
      </c>
      <c r="Q6437" s="337"/>
      <c r="R6437" s="337"/>
    </row>
    <row r="6438" spans="2:18" x14ac:dyDescent="0.25">
      <c r="B6438" s="337" t="s">
        <v>10759</v>
      </c>
      <c r="C6438" s="337" t="s">
        <v>10760</v>
      </c>
      <c r="D6438" s="337" t="s">
        <v>29</v>
      </c>
      <c r="E6438" s="337" t="s">
        <v>8230</v>
      </c>
      <c r="F6438" s="337" t="s">
        <v>8218</v>
      </c>
      <c r="G6438" s="337" t="s">
        <v>35</v>
      </c>
      <c r="H6438" s="337" t="s">
        <v>36</v>
      </c>
      <c r="I6438" s="71"/>
      <c r="J6438" s="71"/>
      <c r="K6438" s="337"/>
      <c r="L6438" s="337"/>
      <c r="M6438" s="395" t="s">
        <v>10170</v>
      </c>
      <c r="N6438" s="337"/>
      <c r="O6438" s="167" t="s">
        <v>38</v>
      </c>
      <c r="P6438" s="5" t="str">
        <f t="shared" ref="P6438:P6448" si="159">IF(D6438="Datos","Truncate table "&amp; B6438&amp; ";","")</f>
        <v>Truncate table FSFI40;</v>
      </c>
      <c r="Q6438" s="337"/>
      <c r="R6438" s="337"/>
    </row>
    <row r="6439" spans="2:18" x14ac:dyDescent="0.25">
      <c r="B6439" s="337" t="s">
        <v>10761</v>
      </c>
      <c r="C6439" s="337" t="s">
        <v>10762</v>
      </c>
      <c r="D6439" s="337" t="s">
        <v>10206</v>
      </c>
      <c r="E6439" s="337" t="s">
        <v>8230</v>
      </c>
      <c r="F6439" s="337" t="s">
        <v>8218</v>
      </c>
      <c r="G6439" s="337" t="s">
        <v>35</v>
      </c>
      <c r="H6439" s="337" t="s">
        <v>36</v>
      </c>
      <c r="I6439" s="71"/>
      <c r="J6439" s="71"/>
      <c r="K6439" s="337"/>
      <c r="L6439" s="337"/>
      <c r="M6439" s="395" t="s">
        <v>10170</v>
      </c>
      <c r="N6439" s="337"/>
      <c r="O6439" s="167" t="s">
        <v>38</v>
      </c>
      <c r="P6439" s="5" t="str">
        <f t="shared" si="159"/>
        <v/>
      </c>
      <c r="Q6439" s="337"/>
      <c r="R6439" s="337"/>
    </row>
    <row r="6440" spans="2:18" x14ac:dyDescent="0.25">
      <c r="B6440" s="337" t="s">
        <v>10763</v>
      </c>
      <c r="C6440" s="337" t="s">
        <v>5789</v>
      </c>
      <c r="D6440" s="337" t="s">
        <v>29</v>
      </c>
      <c r="E6440" s="337" t="s">
        <v>8230</v>
      </c>
      <c r="F6440" s="337" t="s">
        <v>8218</v>
      </c>
      <c r="G6440" s="337" t="s">
        <v>35</v>
      </c>
      <c r="H6440" s="337" t="s">
        <v>36</v>
      </c>
      <c r="I6440" s="71"/>
      <c r="J6440" s="71"/>
      <c r="K6440" s="337"/>
      <c r="L6440" s="337"/>
      <c r="M6440" s="395" t="s">
        <v>10170</v>
      </c>
      <c r="N6440" s="337"/>
      <c r="O6440" s="167" t="s">
        <v>38</v>
      </c>
      <c r="P6440" s="5" t="str">
        <f t="shared" si="159"/>
        <v>Truncate table FSFIBN;</v>
      </c>
      <c r="Q6440" s="337"/>
      <c r="R6440" s="337"/>
    </row>
    <row r="6441" spans="2:18" x14ac:dyDescent="0.25">
      <c r="B6441" s="337" t="s">
        <v>10764</v>
      </c>
      <c r="C6441" s="337" t="s">
        <v>10765</v>
      </c>
      <c r="D6441" s="337" t="s">
        <v>29</v>
      </c>
      <c r="E6441" s="337" t="s">
        <v>8230</v>
      </c>
      <c r="F6441" s="337" t="s">
        <v>8218</v>
      </c>
      <c r="G6441" s="337" t="s">
        <v>35</v>
      </c>
      <c r="H6441" s="337" t="s">
        <v>36</v>
      </c>
      <c r="I6441" s="71"/>
      <c r="J6441" s="71"/>
      <c r="K6441" s="337"/>
      <c r="L6441" s="337"/>
      <c r="M6441" s="395" t="s">
        <v>10170</v>
      </c>
      <c r="N6441" s="337"/>
      <c r="O6441" s="167" t="s">
        <v>38</v>
      </c>
      <c r="P6441" s="5" t="str">
        <f t="shared" si="159"/>
        <v>Truncate table FSFIBZ;</v>
      </c>
      <c r="Q6441" s="337"/>
      <c r="R6441" s="337"/>
    </row>
    <row r="6442" spans="2:18" x14ac:dyDescent="0.25">
      <c r="B6442" s="337" t="s">
        <v>10766</v>
      </c>
      <c r="C6442" s="337" t="s">
        <v>3134</v>
      </c>
      <c r="D6442" s="337" t="s">
        <v>10206</v>
      </c>
      <c r="E6442" s="337" t="s">
        <v>8230</v>
      </c>
      <c r="F6442" s="337" t="s">
        <v>8218</v>
      </c>
      <c r="G6442" s="337" t="s">
        <v>35</v>
      </c>
      <c r="H6442" s="337" t="s">
        <v>36</v>
      </c>
      <c r="I6442" s="71"/>
      <c r="J6442" s="71"/>
      <c r="K6442" s="337"/>
      <c r="L6442" s="337"/>
      <c r="M6442" s="395" t="s">
        <v>10170</v>
      </c>
      <c r="N6442" s="337"/>
      <c r="O6442" s="167" t="s">
        <v>38</v>
      </c>
      <c r="P6442" s="5" t="str">
        <f t="shared" si="159"/>
        <v/>
      </c>
      <c r="Q6442" s="337"/>
      <c r="R6442" s="337"/>
    </row>
    <row r="6443" spans="2:18" x14ac:dyDescent="0.25">
      <c r="B6443" s="337" t="s">
        <v>10767</v>
      </c>
      <c r="C6443" s="337" t="s">
        <v>10768</v>
      </c>
      <c r="D6443" s="337" t="s">
        <v>29</v>
      </c>
      <c r="E6443" s="337" t="s">
        <v>8230</v>
      </c>
      <c r="F6443" s="337" t="s">
        <v>8218</v>
      </c>
      <c r="G6443" s="337" t="s">
        <v>35</v>
      </c>
      <c r="H6443" s="337" t="s">
        <v>36</v>
      </c>
      <c r="I6443" s="71"/>
      <c r="J6443" s="71"/>
      <c r="K6443" s="337"/>
      <c r="L6443" s="337"/>
      <c r="M6443" s="395" t="s">
        <v>10170</v>
      </c>
      <c r="N6443" s="337"/>
      <c r="O6443" s="167" t="s">
        <v>38</v>
      </c>
      <c r="P6443" s="5" t="str">
        <f t="shared" si="159"/>
        <v>Truncate table FSFICH;</v>
      </c>
      <c r="Q6443" s="337"/>
      <c r="R6443" s="337"/>
    </row>
    <row r="6444" spans="2:18" x14ac:dyDescent="0.25">
      <c r="B6444" s="337" t="s">
        <v>10769</v>
      </c>
      <c r="C6444" s="337" t="s">
        <v>10770</v>
      </c>
      <c r="D6444" s="337" t="s">
        <v>29</v>
      </c>
      <c r="E6444" s="337" t="s">
        <v>8230</v>
      </c>
      <c r="F6444" s="337" t="s">
        <v>8218</v>
      </c>
      <c r="G6444" s="337" t="s">
        <v>35</v>
      </c>
      <c r="H6444" s="337" t="s">
        <v>36</v>
      </c>
      <c r="I6444" s="71"/>
      <c r="J6444" s="71"/>
      <c r="K6444" s="337"/>
      <c r="L6444" s="337"/>
      <c r="M6444" s="395" t="s">
        <v>10170</v>
      </c>
      <c r="N6444" s="337"/>
      <c r="O6444" s="167" t="s">
        <v>38</v>
      </c>
      <c r="P6444" s="5" t="str">
        <f t="shared" si="159"/>
        <v>Truncate table FSFK01;</v>
      </c>
      <c r="Q6444" s="337"/>
      <c r="R6444" s="337"/>
    </row>
    <row r="6445" spans="2:18" x14ac:dyDescent="0.25">
      <c r="B6445" s="337" t="s">
        <v>10771</v>
      </c>
      <c r="C6445" s="337" t="s">
        <v>10772</v>
      </c>
      <c r="D6445" s="337" t="s">
        <v>10206</v>
      </c>
      <c r="E6445" s="337" t="s">
        <v>8230</v>
      </c>
      <c r="F6445" s="337" t="s">
        <v>8218</v>
      </c>
      <c r="G6445" s="337" t="s">
        <v>35</v>
      </c>
      <c r="H6445" s="337" t="s">
        <v>36</v>
      </c>
      <c r="I6445" s="71"/>
      <c r="J6445" s="71"/>
      <c r="K6445" s="337"/>
      <c r="L6445" s="337"/>
      <c r="M6445" s="395" t="s">
        <v>10170</v>
      </c>
      <c r="N6445" s="337"/>
      <c r="O6445" s="167" t="s">
        <v>38</v>
      </c>
      <c r="P6445" s="5" t="str">
        <f t="shared" si="159"/>
        <v/>
      </c>
      <c r="Q6445" s="337"/>
      <c r="R6445" s="337"/>
    </row>
    <row r="6446" spans="2:18" x14ac:dyDescent="0.25">
      <c r="B6446" s="337" t="s">
        <v>10773</v>
      </c>
      <c r="C6446" s="337" t="s">
        <v>10774</v>
      </c>
      <c r="D6446" s="337" t="s">
        <v>29</v>
      </c>
      <c r="E6446" s="337" t="s">
        <v>8230</v>
      </c>
      <c r="F6446" s="337" t="s">
        <v>8218</v>
      </c>
      <c r="G6446" s="337" t="s">
        <v>35</v>
      </c>
      <c r="H6446" s="337" t="s">
        <v>36</v>
      </c>
      <c r="I6446" s="71"/>
      <c r="J6446" s="71"/>
      <c r="K6446" s="337"/>
      <c r="L6446" s="337"/>
      <c r="M6446" s="395" t="s">
        <v>10170</v>
      </c>
      <c r="N6446" s="337"/>
      <c r="O6446" s="167" t="s">
        <v>38</v>
      </c>
      <c r="P6446" s="5" t="str">
        <f t="shared" si="159"/>
        <v>Truncate table FSFK03;</v>
      </c>
      <c r="Q6446" s="337"/>
      <c r="R6446" s="337"/>
    </row>
    <row r="6447" spans="2:18" x14ac:dyDescent="0.25">
      <c r="B6447" s="337" t="s">
        <v>10775</v>
      </c>
      <c r="C6447" s="337" t="s">
        <v>10776</v>
      </c>
      <c r="D6447" s="337" t="s">
        <v>29</v>
      </c>
      <c r="E6447" s="337" t="s">
        <v>8230</v>
      </c>
      <c r="F6447" s="337" t="s">
        <v>8218</v>
      </c>
      <c r="G6447" s="337" t="s">
        <v>35</v>
      </c>
      <c r="H6447" s="337" t="s">
        <v>36</v>
      </c>
      <c r="I6447" s="71"/>
      <c r="J6447" s="71"/>
      <c r="K6447" s="337"/>
      <c r="L6447" s="337"/>
      <c r="M6447" s="395" t="s">
        <v>10170</v>
      </c>
      <c r="N6447" s="337"/>
      <c r="O6447" s="167" t="s">
        <v>38</v>
      </c>
      <c r="P6447" s="5" t="str">
        <f t="shared" si="159"/>
        <v>Truncate table FSFK04;</v>
      </c>
      <c r="Q6447" s="337"/>
      <c r="R6447" s="337"/>
    </row>
    <row r="6448" spans="2:18" x14ac:dyDescent="0.25">
      <c r="B6448" s="337" t="s">
        <v>10777</v>
      </c>
      <c r="C6448" s="337" t="s">
        <v>10778</v>
      </c>
      <c r="D6448" s="337" t="s">
        <v>29</v>
      </c>
      <c r="E6448" s="337" t="s">
        <v>8230</v>
      </c>
      <c r="F6448" s="337" t="s">
        <v>8218</v>
      </c>
      <c r="G6448" s="337" t="s">
        <v>35</v>
      </c>
      <c r="H6448" s="337" t="s">
        <v>36</v>
      </c>
      <c r="I6448" s="71"/>
      <c r="J6448" s="71"/>
      <c r="K6448" s="337"/>
      <c r="L6448" s="337"/>
      <c r="M6448" s="395" t="s">
        <v>10170</v>
      </c>
      <c r="N6448" s="337"/>
      <c r="O6448" s="167" t="s">
        <v>38</v>
      </c>
      <c r="P6448" s="5" t="str">
        <f t="shared" si="159"/>
        <v>Truncate table FSFTD3;</v>
      </c>
      <c r="Q6448" s="337"/>
      <c r="R6448" s="337"/>
    </row>
    <row r="6449" spans="2:18" x14ac:dyDescent="0.25">
      <c r="B6449" s="337" t="s">
        <v>10779</v>
      </c>
      <c r="C6449" s="337" t="s">
        <v>10780</v>
      </c>
      <c r="D6449" s="337" t="s">
        <v>29</v>
      </c>
      <c r="E6449" s="337" t="s">
        <v>54</v>
      </c>
      <c r="F6449" s="337" t="s">
        <v>163</v>
      </c>
      <c r="G6449" s="337" t="s">
        <v>35</v>
      </c>
      <c r="H6449" s="337" t="s">
        <v>36</v>
      </c>
      <c r="I6449" s="71"/>
      <c r="J6449" s="71"/>
      <c r="K6449" s="337"/>
      <c r="L6449" s="337"/>
      <c r="M6449" s="395" t="s">
        <v>10170</v>
      </c>
      <c r="N6449" s="337"/>
      <c r="O6449" s="167" t="s">
        <v>38</v>
      </c>
      <c r="P6449" s="5" t="str">
        <f t="shared" ref="P6449:P6451" si="160">IF(D6449="Datos","Truncate table "&amp; B6449&amp; ";","")</f>
        <v>Truncate table FSR058;</v>
      </c>
      <c r="Q6449" s="337"/>
      <c r="R6449" s="337"/>
    </row>
    <row r="6450" spans="2:18" x14ac:dyDescent="0.25">
      <c r="B6450" s="337" t="s">
        <v>10781</v>
      </c>
      <c r="C6450" s="337" t="s">
        <v>10782</v>
      </c>
      <c r="D6450" s="337" t="s">
        <v>29</v>
      </c>
      <c r="E6450" s="337" t="s">
        <v>54</v>
      </c>
      <c r="F6450" s="337" t="s">
        <v>163</v>
      </c>
      <c r="G6450" s="337" t="s">
        <v>35</v>
      </c>
      <c r="H6450" s="337" t="s">
        <v>36</v>
      </c>
      <c r="I6450" s="71"/>
      <c r="J6450" s="71"/>
      <c r="K6450" s="337"/>
      <c r="L6450" s="337"/>
      <c r="M6450" s="395" t="s">
        <v>10170</v>
      </c>
      <c r="N6450" s="337"/>
      <c r="O6450" s="167" t="s">
        <v>38</v>
      </c>
      <c r="P6450" s="5" t="str">
        <f t="shared" si="160"/>
        <v>Truncate table FST058;</v>
      </c>
      <c r="Q6450" s="337"/>
      <c r="R6450" s="337"/>
    </row>
    <row r="6451" spans="2:18" x14ac:dyDescent="0.25">
      <c r="B6451" s="337" t="s">
        <v>10783</v>
      </c>
      <c r="C6451" s="337" t="s">
        <v>10784</v>
      </c>
      <c r="D6451" s="337" t="s">
        <v>29</v>
      </c>
      <c r="E6451" s="337" t="s">
        <v>54</v>
      </c>
      <c r="F6451" s="337" t="s">
        <v>163</v>
      </c>
      <c r="G6451" s="337" t="s">
        <v>35</v>
      </c>
      <c r="H6451" s="337" t="s">
        <v>36</v>
      </c>
      <c r="I6451" s="71"/>
      <c r="J6451" s="71"/>
      <c r="K6451" s="337"/>
      <c r="L6451" s="337"/>
      <c r="M6451" s="395" t="s">
        <v>10170</v>
      </c>
      <c r="N6451" s="337"/>
      <c r="O6451" s="167" t="s">
        <v>38</v>
      </c>
      <c r="P6451" s="5" t="str">
        <f t="shared" si="160"/>
        <v>Truncate table FST502;</v>
      </c>
      <c r="Q6451" s="337"/>
      <c r="R6451" s="337"/>
    </row>
    <row r="6452" spans="2:18" x14ac:dyDescent="0.25">
      <c r="B6452" s="337" t="s">
        <v>10785</v>
      </c>
      <c r="C6452" s="337" t="s">
        <v>10786</v>
      </c>
      <c r="D6452" s="337" t="s">
        <v>29</v>
      </c>
      <c r="E6452" s="337" t="s">
        <v>54</v>
      </c>
      <c r="F6452" s="337" t="s">
        <v>235</v>
      </c>
      <c r="G6452" s="337" t="s">
        <v>35</v>
      </c>
      <c r="H6452" s="337" t="s">
        <v>36</v>
      </c>
      <c r="I6452" s="71"/>
      <c r="J6452" s="71"/>
      <c r="K6452" s="337"/>
      <c r="L6452" s="337"/>
      <c r="M6452" s="395" t="s">
        <v>10170</v>
      </c>
      <c r="N6452" s="337"/>
      <c r="O6452" s="167" t="s">
        <v>38</v>
      </c>
      <c r="P6452" s="5" t="str">
        <f t="shared" ref="P6452" si="161">IF(D6452="Datos","Truncate table "&amp; B6452&amp; ";","")</f>
        <v>Truncate table FSX011;</v>
      </c>
      <c r="Q6452" s="337"/>
      <c r="R6452" s="337"/>
    </row>
    <row r="6453" spans="2:18" x14ac:dyDescent="0.25">
      <c r="B6453" s="337" t="s">
        <v>10787</v>
      </c>
      <c r="C6453" s="337" t="s">
        <v>10788</v>
      </c>
      <c r="D6453" s="337" t="s">
        <v>10206</v>
      </c>
      <c r="E6453" s="337" t="s">
        <v>8231</v>
      </c>
      <c r="F6453" s="337" t="s">
        <v>8222</v>
      </c>
      <c r="G6453" s="389" t="s">
        <v>35</v>
      </c>
      <c r="H6453" s="337" t="s">
        <v>36</v>
      </c>
      <c r="I6453" s="71"/>
      <c r="J6453" s="71"/>
      <c r="K6453" s="337"/>
      <c r="L6453" s="337"/>
      <c r="M6453" s="395" t="s">
        <v>10170</v>
      </c>
      <c r="N6453" s="337"/>
      <c r="O6453" s="167" t="s">
        <v>38</v>
      </c>
      <c r="P6453" s="5" t="str">
        <f t="shared" ref="P6453" si="162">IF(D6453="Datos","Truncate table "&amp; B6453&amp; ";","")</f>
        <v/>
      </c>
      <c r="Q6453" s="337"/>
      <c r="R6453" s="337"/>
    </row>
    <row r="6454" spans="2:18" x14ac:dyDescent="0.25">
      <c r="B6454" s="337" t="s">
        <v>10789</v>
      </c>
      <c r="C6454" s="337" t="s">
        <v>10790</v>
      </c>
      <c r="D6454" s="337" t="s">
        <v>29</v>
      </c>
      <c r="E6454" s="337" t="s">
        <v>8231</v>
      </c>
      <c r="F6454" s="5" t="s">
        <v>1941</v>
      </c>
      <c r="G6454" s="337" t="s">
        <v>35</v>
      </c>
      <c r="H6454" s="337" t="s">
        <v>36</v>
      </c>
      <c r="I6454" s="337"/>
      <c r="J6454" s="337"/>
      <c r="K6454" s="337"/>
      <c r="L6454" s="337"/>
      <c r="M6454" s="395" t="s">
        <v>10170</v>
      </c>
      <c r="N6454" s="337"/>
      <c r="O6454" s="337" t="s">
        <v>38</v>
      </c>
      <c r="P6454" s="5" t="str">
        <f t="shared" si="155"/>
        <v>Truncate table FXD810;</v>
      </c>
      <c r="Q6454" s="337"/>
      <c r="R6454" s="337"/>
    </row>
    <row r="6455" spans="2:18" x14ac:dyDescent="0.25">
      <c r="B6455" s="337" t="s">
        <v>10791</v>
      </c>
      <c r="C6455" s="337" t="s">
        <v>10792</v>
      </c>
      <c r="D6455" s="337" t="s">
        <v>29</v>
      </c>
      <c r="E6455" s="337" t="s">
        <v>8231</v>
      </c>
      <c r="F6455" s="5" t="s">
        <v>1941</v>
      </c>
      <c r="G6455" s="337" t="s">
        <v>35</v>
      </c>
      <c r="H6455" s="337" t="s">
        <v>36</v>
      </c>
      <c r="I6455" s="337"/>
      <c r="J6455" s="337"/>
      <c r="K6455" s="337"/>
      <c r="L6455" s="337"/>
      <c r="M6455" s="395" t="s">
        <v>10170</v>
      </c>
      <c r="N6455" s="337"/>
      <c r="O6455" s="337" t="s">
        <v>38</v>
      </c>
      <c r="P6455" s="5" t="str">
        <f t="shared" si="155"/>
        <v>Truncate table FXE103;</v>
      </c>
      <c r="Q6455" s="337"/>
      <c r="R6455" s="337"/>
    </row>
    <row r="6456" spans="2:18" x14ac:dyDescent="0.25">
      <c r="B6456" s="337" t="s">
        <v>10793</v>
      </c>
      <c r="C6456" s="337" t="s">
        <v>10794</v>
      </c>
      <c r="D6456" s="337" t="s">
        <v>29</v>
      </c>
      <c r="E6456" s="337" t="s">
        <v>8231</v>
      </c>
      <c r="F6456" s="5" t="s">
        <v>1941</v>
      </c>
      <c r="G6456" s="337" t="s">
        <v>35</v>
      </c>
      <c r="H6456" s="337" t="s">
        <v>36</v>
      </c>
      <c r="I6456" s="337"/>
      <c r="J6456" s="337"/>
      <c r="K6456" s="337"/>
      <c r="L6456" s="337"/>
      <c r="M6456" s="395" t="s">
        <v>10170</v>
      </c>
      <c r="N6456" s="337"/>
      <c r="O6456" s="337" t="s">
        <v>38</v>
      </c>
      <c r="P6456" s="5" t="str">
        <f t="shared" si="155"/>
        <v>Truncate table FXESTC;</v>
      </c>
      <c r="Q6456" s="337"/>
      <c r="R6456" s="337"/>
    </row>
    <row r="6457" spans="2:18" x14ac:dyDescent="0.25">
      <c r="B6457" s="337" t="s">
        <v>10795</v>
      </c>
      <c r="C6457" s="337" t="s">
        <v>10796</v>
      </c>
      <c r="D6457" s="337" t="s">
        <v>29</v>
      </c>
      <c r="E6457" s="337" t="s">
        <v>8231</v>
      </c>
      <c r="F6457" s="5" t="s">
        <v>1941</v>
      </c>
      <c r="G6457" s="337" t="s">
        <v>35</v>
      </c>
      <c r="H6457" s="337" t="s">
        <v>36</v>
      </c>
      <c r="I6457" s="337"/>
      <c r="J6457" s="337"/>
      <c r="K6457" s="337"/>
      <c r="L6457" s="337"/>
      <c r="M6457" s="395" t="s">
        <v>10170</v>
      </c>
      <c r="N6457" s="337"/>
      <c r="O6457" s="337" t="s">
        <v>38</v>
      </c>
      <c r="P6457" s="5" t="str">
        <f t="shared" si="155"/>
        <v>Truncate table FXR805;</v>
      </c>
      <c r="Q6457" s="337"/>
      <c r="R6457" s="337"/>
    </row>
    <row r="6458" spans="2:18" x14ac:dyDescent="0.25">
      <c r="B6458" s="337" t="s">
        <v>10797</v>
      </c>
      <c r="C6458" s="337" t="s">
        <v>10798</v>
      </c>
      <c r="D6458" s="337" t="s">
        <v>29</v>
      </c>
      <c r="E6458" s="337" t="s">
        <v>8231</v>
      </c>
      <c r="F6458" s="5" t="s">
        <v>1941</v>
      </c>
      <c r="G6458" s="337" t="s">
        <v>35</v>
      </c>
      <c r="H6458" s="337" t="s">
        <v>12</v>
      </c>
      <c r="I6458" s="337"/>
      <c r="J6458" s="337"/>
      <c r="K6458" s="337"/>
      <c r="L6458" s="337"/>
      <c r="M6458" s="395" t="s">
        <v>8149</v>
      </c>
      <c r="N6458" s="337"/>
      <c r="O6458" s="337" t="s">
        <v>8149</v>
      </c>
      <c r="P6458" s="5" t="str">
        <f t="shared" si="155"/>
        <v>Truncate table FXSNP8;</v>
      </c>
      <c r="Q6458" s="337" t="s">
        <v>1442</v>
      </c>
      <c r="R6458" s="337"/>
    </row>
    <row r="6459" spans="2:18" x14ac:dyDescent="0.25">
      <c r="B6459" s="337" t="s">
        <v>10799</v>
      </c>
      <c r="C6459" s="337" t="s">
        <v>10800</v>
      </c>
      <c r="D6459" s="337" t="s">
        <v>29</v>
      </c>
      <c r="E6459" s="337" t="s">
        <v>8231</v>
      </c>
      <c r="F6459" s="5" t="s">
        <v>1941</v>
      </c>
      <c r="G6459" s="337" t="s">
        <v>35</v>
      </c>
      <c r="H6459" s="337" t="s">
        <v>12</v>
      </c>
      <c r="I6459" s="337"/>
      <c r="J6459" s="337"/>
      <c r="K6459" s="337"/>
      <c r="L6459" s="337"/>
      <c r="M6459" s="395" t="s">
        <v>8149</v>
      </c>
      <c r="N6459" s="337"/>
      <c r="O6459" s="337" t="s">
        <v>8149</v>
      </c>
      <c r="P6459" s="5" t="str">
        <f t="shared" si="155"/>
        <v>Truncate table FXSNPD;</v>
      </c>
      <c r="Q6459" s="337" t="s">
        <v>1442</v>
      </c>
      <c r="R6459" s="337"/>
    </row>
    <row r="6460" spans="2:18" x14ac:dyDescent="0.25">
      <c r="B6460" s="337" t="s">
        <v>10801</v>
      </c>
      <c r="C6460" s="337" t="s">
        <v>8670</v>
      </c>
      <c r="D6460" s="337" t="s">
        <v>29</v>
      </c>
      <c r="E6460" s="337" t="s">
        <v>8231</v>
      </c>
      <c r="F6460" s="5" t="s">
        <v>1941</v>
      </c>
      <c r="G6460" s="337" t="s">
        <v>35</v>
      </c>
      <c r="H6460" s="337" t="s">
        <v>12</v>
      </c>
      <c r="I6460" s="337"/>
      <c r="J6460" s="337"/>
      <c r="K6460" s="337"/>
      <c r="L6460" s="337"/>
      <c r="M6460" s="395" t="s">
        <v>8149</v>
      </c>
      <c r="N6460" s="337"/>
      <c r="O6460" s="337" t="s">
        <v>8149</v>
      </c>
      <c r="P6460" s="5" t="str">
        <f t="shared" si="155"/>
        <v>Truncate table FXSNPE;</v>
      </c>
      <c r="Q6460" s="337" t="s">
        <v>1442</v>
      </c>
      <c r="R6460" s="337"/>
    </row>
    <row r="6461" spans="2:18" x14ac:dyDescent="0.25">
      <c r="B6461" s="337" t="s">
        <v>10802</v>
      </c>
      <c r="C6461" s="337" t="s">
        <v>10803</v>
      </c>
      <c r="D6461" s="337" t="s">
        <v>29</v>
      </c>
      <c r="E6461" s="337" t="s">
        <v>8231</v>
      </c>
      <c r="F6461" s="5" t="s">
        <v>1941</v>
      </c>
      <c r="G6461" s="337" t="s">
        <v>35</v>
      </c>
      <c r="H6461" s="337" t="s">
        <v>12</v>
      </c>
      <c r="I6461" s="337"/>
      <c r="J6461" s="337"/>
      <c r="K6461" s="337"/>
      <c r="L6461" s="337"/>
      <c r="M6461" s="395" t="s">
        <v>8149</v>
      </c>
      <c r="N6461" s="337"/>
      <c r="O6461" s="337" t="s">
        <v>8149</v>
      </c>
      <c r="P6461" s="5" t="str">
        <f t="shared" si="155"/>
        <v>Truncate table FXSNPH;</v>
      </c>
      <c r="Q6461" s="337" t="s">
        <v>1442</v>
      </c>
      <c r="R6461" s="337"/>
    </row>
    <row r="6462" spans="2:18" x14ac:dyDescent="0.25">
      <c r="B6462" s="337" t="s">
        <v>10804</v>
      </c>
      <c r="C6462" s="337" t="s">
        <v>10805</v>
      </c>
      <c r="D6462" s="337" t="s">
        <v>29</v>
      </c>
      <c r="E6462" s="337" t="s">
        <v>8231</v>
      </c>
      <c r="F6462" s="5" t="s">
        <v>1941</v>
      </c>
      <c r="G6462" s="337" t="s">
        <v>35</v>
      </c>
      <c r="H6462" s="337" t="s">
        <v>12</v>
      </c>
      <c r="I6462" s="337"/>
      <c r="J6462" s="337"/>
      <c r="K6462" s="337"/>
      <c r="L6462" s="337"/>
      <c r="M6462" s="395" t="s">
        <v>8149</v>
      </c>
      <c r="N6462" s="337"/>
      <c r="O6462" s="337" t="s">
        <v>8149</v>
      </c>
      <c r="P6462" s="5" t="str">
        <f t="shared" si="155"/>
        <v>Truncate table FXSNPI;</v>
      </c>
      <c r="Q6462" s="337" t="s">
        <v>1442</v>
      </c>
      <c r="R6462" s="337"/>
    </row>
    <row r="6463" spans="2:18" x14ac:dyDescent="0.25">
      <c r="B6463" s="337" t="s">
        <v>10806</v>
      </c>
      <c r="C6463" s="337" t="s">
        <v>10807</v>
      </c>
      <c r="D6463" s="337" t="s">
        <v>29</v>
      </c>
      <c r="E6463" s="337" t="s">
        <v>8231</v>
      </c>
      <c r="F6463" s="5" t="s">
        <v>1941</v>
      </c>
      <c r="G6463" s="337" t="s">
        <v>35</v>
      </c>
      <c r="H6463" s="337" t="s">
        <v>12</v>
      </c>
      <c r="I6463" s="337"/>
      <c r="J6463" s="337"/>
      <c r="K6463" s="337"/>
      <c r="L6463" s="337"/>
      <c r="M6463" s="395" t="s">
        <v>8149</v>
      </c>
      <c r="N6463" s="337"/>
      <c r="O6463" s="337" t="s">
        <v>8149</v>
      </c>
      <c r="P6463" s="5" t="str">
        <f t="shared" si="155"/>
        <v>Truncate table FXSNPJ;</v>
      </c>
      <c r="Q6463" s="337" t="s">
        <v>1442</v>
      </c>
      <c r="R6463" s="337"/>
    </row>
    <row r="6464" spans="2:18" x14ac:dyDescent="0.25">
      <c r="B6464" s="337" t="s">
        <v>10808</v>
      </c>
      <c r="C6464" s="337" t="s">
        <v>10809</v>
      </c>
      <c r="D6464" s="337" t="s">
        <v>29</v>
      </c>
      <c r="E6464" s="337" t="s">
        <v>8231</v>
      </c>
      <c r="F6464" s="5" t="s">
        <v>1941</v>
      </c>
      <c r="G6464" s="337" t="s">
        <v>35</v>
      </c>
      <c r="H6464" s="337" t="s">
        <v>12</v>
      </c>
      <c r="I6464" s="337"/>
      <c r="J6464" s="337"/>
      <c r="K6464" s="337"/>
      <c r="L6464" s="337"/>
      <c r="M6464" s="395" t="s">
        <v>8149</v>
      </c>
      <c r="N6464" s="337"/>
      <c r="O6464" s="337" t="s">
        <v>8149</v>
      </c>
      <c r="P6464" s="5" t="str">
        <f t="shared" si="155"/>
        <v>Truncate table FXSNPK;</v>
      </c>
      <c r="Q6464" s="337" t="s">
        <v>1442</v>
      </c>
      <c r="R6464" s="337"/>
    </row>
    <row r="6465" spans="2:18" x14ac:dyDescent="0.25">
      <c r="B6465" s="337" t="s">
        <v>10810</v>
      </c>
      <c r="C6465" s="337" t="s">
        <v>10811</v>
      </c>
      <c r="D6465" s="337" t="s">
        <v>29</v>
      </c>
      <c r="E6465" s="337" t="s">
        <v>8231</v>
      </c>
      <c r="F6465" s="5" t="s">
        <v>1941</v>
      </c>
      <c r="G6465" s="337" t="s">
        <v>35</v>
      </c>
      <c r="H6465" s="337" t="s">
        <v>12</v>
      </c>
      <c r="I6465" s="337"/>
      <c r="J6465" s="337"/>
      <c r="K6465" s="337"/>
      <c r="L6465" s="337"/>
      <c r="M6465" s="395" t="s">
        <v>8149</v>
      </c>
      <c r="N6465" s="337"/>
      <c r="O6465" s="337" t="s">
        <v>8149</v>
      </c>
      <c r="P6465" s="5" t="str">
        <f t="shared" si="155"/>
        <v>Truncate table FXSNPL;</v>
      </c>
      <c r="Q6465" s="337" t="s">
        <v>1442</v>
      </c>
      <c r="R6465" s="337"/>
    </row>
    <row r="6466" spans="2:18" x14ac:dyDescent="0.25">
      <c r="B6466" s="337" t="s">
        <v>10812</v>
      </c>
      <c r="C6466" s="337" t="s">
        <v>10813</v>
      </c>
      <c r="D6466" s="337" t="s">
        <v>29</v>
      </c>
      <c r="E6466" s="337" t="s">
        <v>8231</v>
      </c>
      <c r="F6466" s="5" t="s">
        <v>1941</v>
      </c>
      <c r="G6466" s="337" t="s">
        <v>35</v>
      </c>
      <c r="H6466" s="337" t="s">
        <v>12</v>
      </c>
      <c r="I6466" s="337"/>
      <c r="J6466" s="337"/>
      <c r="K6466" s="337"/>
      <c r="L6466" s="337"/>
      <c r="M6466" s="395" t="s">
        <v>8149</v>
      </c>
      <c r="N6466" s="337"/>
      <c r="O6466" s="337" t="s">
        <v>8149</v>
      </c>
      <c r="P6466" s="5" t="str">
        <f t="shared" si="155"/>
        <v>Truncate table FXSNPM;</v>
      </c>
      <c r="Q6466" s="337" t="s">
        <v>1442</v>
      </c>
      <c r="R6466" s="337"/>
    </row>
    <row r="6467" spans="2:18" x14ac:dyDescent="0.25">
      <c r="B6467" s="337" t="s">
        <v>10814</v>
      </c>
      <c r="C6467" s="337" t="s">
        <v>10815</v>
      </c>
      <c r="D6467" s="337" t="s">
        <v>29</v>
      </c>
      <c r="E6467" s="337" t="s">
        <v>8231</v>
      </c>
      <c r="F6467" s="5" t="s">
        <v>1941</v>
      </c>
      <c r="G6467" s="337" t="s">
        <v>35</v>
      </c>
      <c r="H6467" s="337" t="s">
        <v>12</v>
      </c>
      <c r="I6467" s="337"/>
      <c r="J6467" s="337"/>
      <c r="K6467" s="337"/>
      <c r="L6467" s="337"/>
      <c r="M6467" s="395" t="s">
        <v>8149</v>
      </c>
      <c r="N6467" s="337"/>
      <c r="O6467" s="337" t="s">
        <v>8149</v>
      </c>
      <c r="P6467" s="5" t="str">
        <f t="shared" si="155"/>
        <v>Truncate table FXSNPN;</v>
      </c>
      <c r="Q6467" s="337" t="s">
        <v>1442</v>
      </c>
      <c r="R6467" s="337"/>
    </row>
    <row r="6468" spans="2:18" x14ac:dyDescent="0.25">
      <c r="B6468" s="337" t="s">
        <v>10816</v>
      </c>
      <c r="C6468" s="337" t="s">
        <v>10817</v>
      </c>
      <c r="D6468" s="337" t="s">
        <v>29</v>
      </c>
      <c r="E6468" s="337" t="s">
        <v>8231</v>
      </c>
      <c r="F6468" s="5" t="s">
        <v>1941</v>
      </c>
      <c r="G6468" s="337" t="s">
        <v>35</v>
      </c>
      <c r="H6468" s="337" t="s">
        <v>12</v>
      </c>
      <c r="I6468" s="337"/>
      <c r="J6468" s="337"/>
      <c r="K6468" s="337"/>
      <c r="L6468" s="337"/>
      <c r="M6468" s="395" t="s">
        <v>8149</v>
      </c>
      <c r="N6468" s="337"/>
      <c r="O6468" s="337" t="s">
        <v>8149</v>
      </c>
      <c r="P6468" s="5" t="str">
        <f t="shared" si="155"/>
        <v>Truncate table FXSNPO;</v>
      </c>
      <c r="Q6468" s="337" t="s">
        <v>1442</v>
      </c>
      <c r="R6468" s="337"/>
    </row>
    <row r="6469" spans="2:18" x14ac:dyDescent="0.25">
      <c r="B6469" s="337" t="s">
        <v>10818</v>
      </c>
      <c r="C6469" s="337" t="s">
        <v>10819</v>
      </c>
      <c r="D6469" s="337" t="s">
        <v>29</v>
      </c>
      <c r="E6469" s="337" t="s">
        <v>8231</v>
      </c>
      <c r="F6469" s="5" t="s">
        <v>1941</v>
      </c>
      <c r="G6469" s="337" t="s">
        <v>35</v>
      </c>
      <c r="H6469" s="337" t="s">
        <v>12</v>
      </c>
      <c r="I6469" s="337"/>
      <c r="J6469" s="337"/>
      <c r="K6469" s="337"/>
      <c r="L6469" s="337"/>
      <c r="M6469" s="395" t="s">
        <v>8149</v>
      </c>
      <c r="N6469" s="337"/>
      <c r="O6469" s="337" t="s">
        <v>8149</v>
      </c>
      <c r="P6469" s="5" t="str">
        <f t="shared" si="155"/>
        <v>Truncate table FXSNPP;</v>
      </c>
      <c r="Q6469" s="337" t="s">
        <v>1442</v>
      </c>
      <c r="R6469" s="337"/>
    </row>
    <row r="6470" spans="2:18" x14ac:dyDescent="0.25">
      <c r="B6470" s="337" t="s">
        <v>10820</v>
      </c>
      <c r="C6470" s="337" t="s">
        <v>10821</v>
      </c>
      <c r="D6470" s="337" t="s">
        <v>10206</v>
      </c>
      <c r="E6470" s="337" t="s">
        <v>8231</v>
      </c>
      <c r="F6470" s="5" t="s">
        <v>1941</v>
      </c>
      <c r="G6470" s="337" t="s">
        <v>35</v>
      </c>
      <c r="H6470" s="337" t="s">
        <v>12</v>
      </c>
      <c r="I6470" s="337"/>
      <c r="J6470" s="337"/>
      <c r="K6470" s="337"/>
      <c r="L6470" s="337"/>
      <c r="M6470" s="395" t="s">
        <v>8149</v>
      </c>
      <c r="N6470" s="337"/>
      <c r="O6470" s="337" t="s">
        <v>8149</v>
      </c>
      <c r="P6470" s="5" t="str">
        <f t="shared" si="155"/>
        <v/>
      </c>
      <c r="Q6470" s="337" t="s">
        <v>1442</v>
      </c>
      <c r="R6470" s="337"/>
    </row>
    <row r="6471" spans="2:18" x14ac:dyDescent="0.25">
      <c r="B6471" s="337" t="s">
        <v>10822</v>
      </c>
      <c r="C6471" s="337" t="s">
        <v>10823</v>
      </c>
      <c r="D6471" s="337" t="s">
        <v>10206</v>
      </c>
      <c r="E6471" s="337" t="s">
        <v>8231</v>
      </c>
      <c r="F6471" s="5" t="s">
        <v>1941</v>
      </c>
      <c r="G6471" s="337" t="s">
        <v>35</v>
      </c>
      <c r="H6471" s="337" t="s">
        <v>36</v>
      </c>
      <c r="I6471" s="337"/>
      <c r="J6471" s="337"/>
      <c r="K6471" s="337"/>
      <c r="L6471" s="337"/>
      <c r="M6471" s="395" t="s">
        <v>10170</v>
      </c>
      <c r="N6471" s="337"/>
      <c r="O6471" s="337" t="s">
        <v>10170</v>
      </c>
      <c r="P6471" s="5" t="str">
        <f t="shared" si="155"/>
        <v/>
      </c>
      <c r="Q6471" s="337"/>
      <c r="R6471" s="337"/>
    </row>
    <row r="6472" spans="2:18" x14ac:dyDescent="0.25">
      <c r="B6472" s="337" t="s">
        <v>10824</v>
      </c>
      <c r="C6472" s="337" t="s">
        <v>1941</v>
      </c>
      <c r="D6472" s="337" t="s">
        <v>29</v>
      </c>
      <c r="E6472" s="337" t="s">
        <v>8231</v>
      </c>
      <c r="F6472" s="5" t="s">
        <v>1941</v>
      </c>
      <c r="G6472" s="337" t="s">
        <v>35</v>
      </c>
      <c r="H6472" s="337" t="s">
        <v>36</v>
      </c>
      <c r="I6472" s="337"/>
      <c r="J6472" s="337"/>
      <c r="K6472" s="337"/>
      <c r="L6472" s="337"/>
      <c r="M6472" s="395" t="s">
        <v>10170</v>
      </c>
      <c r="N6472" s="337"/>
      <c r="O6472" s="337" t="s">
        <v>10170</v>
      </c>
      <c r="P6472" s="5" t="str">
        <f t="shared" si="155"/>
        <v>Truncate table FXT860;</v>
      </c>
      <c r="Q6472" s="337"/>
      <c r="R6472" s="337"/>
    </row>
    <row r="6473" spans="2:18" x14ac:dyDescent="0.25">
      <c r="B6473" s="337" t="s">
        <v>10825</v>
      </c>
      <c r="C6473" s="337" t="s">
        <v>10826</v>
      </c>
      <c r="D6473" s="337" t="s">
        <v>29</v>
      </c>
      <c r="E6473" s="337" t="s">
        <v>8231</v>
      </c>
      <c r="F6473" s="5" t="s">
        <v>1941</v>
      </c>
      <c r="G6473" s="337" t="s">
        <v>35</v>
      </c>
      <c r="H6473" s="337" t="s">
        <v>36</v>
      </c>
      <c r="I6473" s="337"/>
      <c r="J6473" s="337"/>
      <c r="K6473" s="337"/>
      <c r="L6473" s="337"/>
      <c r="M6473" s="395" t="s">
        <v>10170</v>
      </c>
      <c r="N6473" s="337"/>
      <c r="O6473" s="337" t="s">
        <v>10170</v>
      </c>
      <c r="P6473" s="5" t="str">
        <f t="shared" si="155"/>
        <v>Truncate table FXT922;</v>
      </c>
      <c r="Q6473" s="337"/>
      <c r="R6473" s="337"/>
    </row>
    <row r="6474" spans="2:18" x14ac:dyDescent="0.25">
      <c r="B6474" s="337" t="s">
        <v>10827</v>
      </c>
      <c r="C6474" s="337" t="s">
        <v>10828</v>
      </c>
      <c r="D6474" s="337" t="s">
        <v>29</v>
      </c>
      <c r="E6474" s="337" t="s">
        <v>8231</v>
      </c>
      <c r="F6474" s="5" t="s">
        <v>1941</v>
      </c>
      <c r="G6474" s="337" t="s">
        <v>35</v>
      </c>
      <c r="H6474" s="337" t="s">
        <v>36</v>
      </c>
      <c r="I6474" s="337"/>
      <c r="J6474" s="337"/>
      <c r="K6474" s="337"/>
      <c r="L6474" s="337"/>
      <c r="M6474" s="395" t="s">
        <v>10170</v>
      </c>
      <c r="N6474" s="337"/>
      <c r="O6474" s="337" t="s">
        <v>10170</v>
      </c>
      <c r="P6474" s="5" t="str">
        <f t="shared" si="155"/>
        <v>Truncate table FXTR01;</v>
      </c>
      <c r="Q6474" s="337"/>
      <c r="R6474" s="337"/>
    </row>
    <row r="6475" spans="2:18" x14ac:dyDescent="0.25">
      <c r="B6475" s="337" t="s">
        <v>10829</v>
      </c>
      <c r="C6475" s="337" t="s">
        <v>10830</v>
      </c>
      <c r="D6475" s="337" t="s">
        <v>29</v>
      </c>
      <c r="E6475" s="337" t="s">
        <v>8231</v>
      </c>
      <c r="F6475" s="5" t="s">
        <v>1941</v>
      </c>
      <c r="G6475" s="337" t="s">
        <v>35</v>
      </c>
      <c r="H6475" s="337" t="s">
        <v>36</v>
      </c>
      <c r="I6475" s="337"/>
      <c r="J6475" s="337"/>
      <c r="K6475" s="337"/>
      <c r="L6475" s="337"/>
      <c r="M6475" s="395" t="s">
        <v>10170</v>
      </c>
      <c r="N6475" s="337"/>
      <c r="O6475" s="337" t="s">
        <v>10170</v>
      </c>
      <c r="P6475" s="5" t="str">
        <f t="shared" si="155"/>
        <v>Truncate table FXTR02;</v>
      </c>
      <c r="Q6475" s="337"/>
      <c r="R6475" s="337"/>
    </row>
    <row r="6476" spans="2:18" x14ac:dyDescent="0.25">
      <c r="B6476" s="337" t="s">
        <v>10831</v>
      </c>
      <c r="C6476" s="337" t="s">
        <v>10832</v>
      </c>
      <c r="D6476" s="337" t="s">
        <v>29</v>
      </c>
      <c r="E6476" s="337" t="s">
        <v>8231</v>
      </c>
      <c r="F6476" s="5" t="s">
        <v>1941</v>
      </c>
      <c r="G6476" s="337" t="s">
        <v>35</v>
      </c>
      <c r="H6476" s="337" t="s">
        <v>36</v>
      </c>
      <c r="I6476" s="337"/>
      <c r="J6476" s="337"/>
      <c r="K6476" s="337"/>
      <c r="L6476" s="337"/>
      <c r="M6476" s="395" t="s">
        <v>10170</v>
      </c>
      <c r="N6476" s="337"/>
      <c r="O6476" s="337" t="s">
        <v>10170</v>
      </c>
      <c r="P6476" s="5" t="str">
        <f t="shared" si="155"/>
        <v>Truncate table FXTR03;</v>
      </c>
      <c r="Q6476" s="337"/>
      <c r="R6476" s="337"/>
    </row>
    <row r="6477" spans="2:18" x14ac:dyDescent="0.25">
      <c r="B6477" s="337" t="s">
        <v>10833</v>
      </c>
      <c r="C6477" s="337" t="s">
        <v>10834</v>
      </c>
      <c r="D6477" s="337" t="s">
        <v>29</v>
      </c>
      <c r="E6477" s="337" t="s">
        <v>8231</v>
      </c>
      <c r="F6477" s="5" t="s">
        <v>1941</v>
      </c>
      <c r="G6477" s="337" t="s">
        <v>35</v>
      </c>
      <c r="H6477" s="337" t="s">
        <v>36</v>
      </c>
      <c r="I6477" s="337"/>
      <c r="J6477" s="337"/>
      <c r="K6477" s="337"/>
      <c r="L6477" s="337"/>
      <c r="M6477" s="395" t="s">
        <v>10170</v>
      </c>
      <c r="N6477" s="337"/>
      <c r="O6477" s="337" t="s">
        <v>10170</v>
      </c>
      <c r="P6477" s="5" t="str">
        <f t="shared" ref="P6477:P6540" si="163">IF(D6477="Datos","Truncate table "&amp; B6477&amp; ";","")</f>
        <v>Truncate table FXTRS1;</v>
      </c>
      <c r="Q6477" s="337"/>
      <c r="R6477" s="337"/>
    </row>
    <row r="6478" spans="2:18" x14ac:dyDescent="0.25">
      <c r="B6478" s="337" t="s">
        <v>10835</v>
      </c>
      <c r="C6478" s="337" t="s">
        <v>10836</v>
      </c>
      <c r="D6478" s="337" t="s">
        <v>29</v>
      </c>
      <c r="E6478" s="337" t="s">
        <v>8231</v>
      </c>
      <c r="F6478" s="5" t="s">
        <v>1941</v>
      </c>
      <c r="G6478" s="337" t="s">
        <v>35</v>
      </c>
      <c r="H6478" s="337" t="s">
        <v>36</v>
      </c>
      <c r="I6478" s="337"/>
      <c r="J6478" s="337"/>
      <c r="K6478" s="337"/>
      <c r="L6478" s="337"/>
      <c r="M6478" s="395" t="s">
        <v>10170</v>
      </c>
      <c r="N6478" s="337"/>
      <c r="O6478" s="337" t="s">
        <v>10170</v>
      </c>
      <c r="P6478" s="5" t="str">
        <f t="shared" si="163"/>
        <v>Truncate table FXTRS2;</v>
      </c>
      <c r="Q6478" s="337"/>
      <c r="R6478" s="337"/>
    </row>
    <row r="6479" spans="2:18" x14ac:dyDescent="0.25">
      <c r="B6479" s="337" t="s">
        <v>10837</v>
      </c>
      <c r="C6479" s="337" t="s">
        <v>10838</v>
      </c>
      <c r="D6479" s="337" t="s">
        <v>29</v>
      </c>
      <c r="E6479" s="337" t="s">
        <v>1096</v>
      </c>
      <c r="F6479" s="337" t="s">
        <v>184</v>
      </c>
      <c r="G6479" s="390" t="s">
        <v>35</v>
      </c>
      <c r="H6479" s="337" t="s">
        <v>36</v>
      </c>
      <c r="I6479" s="337"/>
      <c r="J6479" s="337"/>
      <c r="K6479" s="337"/>
      <c r="L6479" s="337"/>
      <c r="M6479" s="395" t="s">
        <v>10170</v>
      </c>
      <c r="N6479" s="337"/>
      <c r="O6479" s="337" t="s">
        <v>10170</v>
      </c>
      <c r="P6479" s="5" t="str">
        <f t="shared" ref="P6479" si="164">IF(D6479="Datos","Truncate table "&amp; B6479&amp; ";","")</f>
        <v>Truncate table HAB004;</v>
      </c>
      <c r="Q6479" s="337"/>
      <c r="R6479" s="337"/>
    </row>
    <row r="6480" spans="2:18" x14ac:dyDescent="0.25">
      <c r="B6480" s="337" t="s">
        <v>10839</v>
      </c>
      <c r="C6480" s="337" t="s">
        <v>10840</v>
      </c>
      <c r="D6480" s="337" t="s">
        <v>10206</v>
      </c>
      <c r="E6480" s="337" t="s">
        <v>54</v>
      </c>
      <c r="F6480" s="337" t="s">
        <v>163</v>
      </c>
      <c r="G6480" s="337" t="s">
        <v>35</v>
      </c>
      <c r="H6480" s="337" t="s">
        <v>36</v>
      </c>
      <c r="I6480" s="337"/>
      <c r="J6480" s="337"/>
      <c r="K6480" s="337"/>
      <c r="L6480" s="337"/>
      <c r="M6480" s="395" t="s">
        <v>10170</v>
      </c>
      <c r="N6480" s="337"/>
      <c r="O6480" s="337" t="s">
        <v>10170</v>
      </c>
      <c r="P6480" s="5" t="str">
        <f t="shared" si="163"/>
        <v/>
      </c>
      <c r="Q6480" s="337"/>
      <c r="R6480" s="337"/>
    </row>
    <row r="6481" spans="2:18" x14ac:dyDescent="0.25">
      <c r="B6481" s="337" t="s">
        <v>10841</v>
      </c>
      <c r="C6481" s="337" t="s">
        <v>10842</v>
      </c>
      <c r="D6481" s="337" t="s">
        <v>10206</v>
      </c>
      <c r="E6481" s="337" t="s">
        <v>54</v>
      </c>
      <c r="F6481" s="337" t="s">
        <v>163</v>
      </c>
      <c r="G6481" s="337" t="s">
        <v>35</v>
      </c>
      <c r="H6481" s="337" t="s">
        <v>36</v>
      </c>
      <c r="I6481" s="337"/>
      <c r="J6481" s="337"/>
      <c r="K6481" s="337"/>
      <c r="L6481" s="337"/>
      <c r="M6481" s="395" t="s">
        <v>10170</v>
      </c>
      <c r="N6481" s="337"/>
      <c r="O6481" s="337" t="s">
        <v>10170</v>
      </c>
      <c r="P6481" s="5" t="str">
        <f t="shared" si="163"/>
        <v/>
      </c>
      <c r="Q6481" s="337"/>
      <c r="R6481" s="337"/>
    </row>
    <row r="6482" spans="2:18" x14ac:dyDescent="0.25">
      <c r="B6482" s="337" t="s">
        <v>10843</v>
      </c>
      <c r="C6482" s="337" t="s">
        <v>10844</v>
      </c>
      <c r="D6482" s="337" t="s">
        <v>10206</v>
      </c>
      <c r="E6482" s="337" t="s">
        <v>54</v>
      </c>
      <c r="F6482" s="337" t="s">
        <v>163</v>
      </c>
      <c r="G6482" s="389" t="s">
        <v>35</v>
      </c>
      <c r="H6482" s="337" t="s">
        <v>36</v>
      </c>
      <c r="I6482" s="337"/>
      <c r="J6482" s="337"/>
      <c r="K6482" s="337"/>
      <c r="L6482" s="337"/>
      <c r="M6482" s="395" t="s">
        <v>10170</v>
      </c>
      <c r="N6482" s="337"/>
      <c r="O6482" s="337" t="s">
        <v>10170</v>
      </c>
      <c r="P6482" s="10" t="str">
        <f t="shared" si="163"/>
        <v/>
      </c>
      <c r="Q6482" s="337"/>
      <c r="R6482" s="337"/>
    </row>
    <row r="6483" spans="2:18" x14ac:dyDescent="0.25">
      <c r="B6483" s="337" t="s">
        <v>10845</v>
      </c>
      <c r="C6483" s="337" t="s">
        <v>10846</v>
      </c>
      <c r="D6483" s="337" t="s">
        <v>29</v>
      </c>
      <c r="E6483" s="337"/>
      <c r="F6483" s="337" t="s">
        <v>10436</v>
      </c>
      <c r="G6483" s="337" t="s">
        <v>35</v>
      </c>
      <c r="H6483" s="337" t="s">
        <v>12</v>
      </c>
      <c r="I6483" s="337"/>
      <c r="J6483" s="337"/>
      <c r="K6483" s="337"/>
      <c r="L6483" s="337"/>
      <c r="M6483" s="395" t="s">
        <v>8149</v>
      </c>
      <c r="N6483" s="337"/>
      <c r="O6483" s="337" t="s">
        <v>38</v>
      </c>
      <c r="P6483" s="5" t="str">
        <f t="shared" si="163"/>
        <v>Truncate table MEPD01;</v>
      </c>
      <c r="Q6483" s="337" t="s">
        <v>8129</v>
      </c>
      <c r="R6483" s="337"/>
    </row>
    <row r="6484" spans="2:18" x14ac:dyDescent="0.25">
      <c r="B6484" s="337" t="s">
        <v>10847</v>
      </c>
      <c r="C6484" s="337" t="s">
        <v>10848</v>
      </c>
      <c r="D6484" s="337" t="s">
        <v>29</v>
      </c>
      <c r="E6484" s="337"/>
      <c r="F6484" s="337" t="s">
        <v>10436</v>
      </c>
      <c r="G6484" s="337" t="s">
        <v>35</v>
      </c>
      <c r="H6484" s="337" t="s">
        <v>12</v>
      </c>
      <c r="I6484" s="337"/>
      <c r="J6484" s="337"/>
      <c r="K6484" s="337"/>
      <c r="L6484" s="337"/>
      <c r="M6484" s="395" t="s">
        <v>8149</v>
      </c>
      <c r="N6484" s="337"/>
      <c r="O6484" s="337" t="s">
        <v>38</v>
      </c>
      <c r="P6484" s="5" t="str">
        <f t="shared" si="163"/>
        <v>Truncate table MEPD02;</v>
      </c>
      <c r="Q6484" s="337" t="s">
        <v>8129</v>
      </c>
      <c r="R6484" s="337"/>
    </row>
    <row r="6485" spans="2:18" x14ac:dyDescent="0.25">
      <c r="B6485" s="337" t="s">
        <v>10849</v>
      </c>
      <c r="C6485" s="337" t="s">
        <v>10850</v>
      </c>
      <c r="D6485" s="337" t="s">
        <v>29</v>
      </c>
      <c r="E6485" s="337"/>
      <c r="F6485" s="337" t="s">
        <v>10436</v>
      </c>
      <c r="G6485" s="337" t="s">
        <v>35</v>
      </c>
      <c r="H6485" s="337" t="s">
        <v>12</v>
      </c>
      <c r="I6485" s="337"/>
      <c r="J6485" s="337"/>
      <c r="K6485" s="337"/>
      <c r="L6485" s="337"/>
      <c r="M6485" s="395" t="s">
        <v>8149</v>
      </c>
      <c r="N6485" s="337"/>
      <c r="O6485" s="337" t="s">
        <v>38</v>
      </c>
      <c r="P6485" s="5" t="str">
        <f t="shared" si="163"/>
        <v>Truncate table MEPD03;</v>
      </c>
      <c r="Q6485" s="337" t="s">
        <v>8129</v>
      </c>
      <c r="R6485" s="337"/>
    </row>
    <row r="6486" spans="2:18" x14ac:dyDescent="0.25">
      <c r="B6486" s="337" t="s">
        <v>10851</v>
      </c>
      <c r="C6486" s="337" t="s">
        <v>10852</v>
      </c>
      <c r="D6486" s="337" t="s">
        <v>29</v>
      </c>
      <c r="E6486" s="337"/>
      <c r="F6486" s="337" t="s">
        <v>10436</v>
      </c>
      <c r="G6486" s="337" t="s">
        <v>35</v>
      </c>
      <c r="H6486" s="337" t="s">
        <v>12</v>
      </c>
      <c r="I6486" s="337"/>
      <c r="J6486" s="337"/>
      <c r="K6486" s="337"/>
      <c r="L6486" s="337"/>
      <c r="M6486" s="395" t="s">
        <v>8149</v>
      </c>
      <c r="N6486" s="337"/>
      <c r="O6486" s="337" t="s">
        <v>38</v>
      </c>
      <c r="P6486" s="5" t="str">
        <f t="shared" si="163"/>
        <v>Truncate table MEPH01;</v>
      </c>
      <c r="Q6486" s="337" t="s">
        <v>8129</v>
      </c>
      <c r="R6486" s="337"/>
    </row>
    <row r="6487" spans="2:18" x14ac:dyDescent="0.25">
      <c r="B6487" s="337" t="s">
        <v>10853</v>
      </c>
      <c r="C6487" s="337" t="s">
        <v>10854</v>
      </c>
      <c r="D6487" s="337" t="s">
        <v>29</v>
      </c>
      <c r="E6487" s="337"/>
      <c r="F6487" s="337" t="s">
        <v>10436</v>
      </c>
      <c r="G6487" s="337" t="s">
        <v>35</v>
      </c>
      <c r="H6487" s="337" t="s">
        <v>12</v>
      </c>
      <c r="I6487" s="337"/>
      <c r="J6487" s="337"/>
      <c r="K6487" s="337"/>
      <c r="L6487" s="337"/>
      <c r="M6487" s="395" t="s">
        <v>8149</v>
      </c>
      <c r="N6487" s="337"/>
      <c r="O6487" s="337" t="s">
        <v>38</v>
      </c>
      <c r="P6487" s="5" t="str">
        <f t="shared" si="163"/>
        <v>Truncate table MEPH02;</v>
      </c>
      <c r="Q6487" s="337" t="s">
        <v>8129</v>
      </c>
      <c r="R6487" s="337"/>
    </row>
    <row r="6488" spans="2:18" x14ac:dyDescent="0.25">
      <c r="B6488" s="337" t="s">
        <v>10855</v>
      </c>
      <c r="C6488" s="337" t="s">
        <v>10856</v>
      </c>
      <c r="D6488" s="337" t="s">
        <v>10206</v>
      </c>
      <c r="E6488" s="337"/>
      <c r="F6488" s="337" t="s">
        <v>10436</v>
      </c>
      <c r="G6488" s="337" t="s">
        <v>35</v>
      </c>
      <c r="H6488" s="337" t="s">
        <v>12</v>
      </c>
      <c r="I6488" s="337"/>
      <c r="J6488" s="337"/>
      <c r="K6488" s="337"/>
      <c r="L6488" s="337"/>
      <c r="M6488" s="395" t="s">
        <v>8149</v>
      </c>
      <c r="N6488" s="337"/>
      <c r="O6488" s="337" t="s">
        <v>38</v>
      </c>
      <c r="P6488" s="5" t="str">
        <f t="shared" si="163"/>
        <v/>
      </c>
      <c r="Q6488" s="337" t="s">
        <v>8129</v>
      </c>
      <c r="R6488" s="337"/>
    </row>
    <row r="6489" spans="2:18" x14ac:dyDescent="0.25">
      <c r="B6489" s="337" t="s">
        <v>10857</v>
      </c>
      <c r="C6489" s="337" t="s">
        <v>10858</v>
      </c>
      <c r="D6489" s="337" t="s">
        <v>29</v>
      </c>
      <c r="E6489" s="337"/>
      <c r="F6489" s="337" t="s">
        <v>10436</v>
      </c>
      <c r="G6489" s="337" t="s">
        <v>35</v>
      </c>
      <c r="H6489" s="337" t="s">
        <v>12</v>
      </c>
      <c r="I6489" s="337"/>
      <c r="J6489" s="337"/>
      <c r="K6489" s="337"/>
      <c r="L6489" s="337"/>
      <c r="M6489" s="395" t="s">
        <v>8149</v>
      </c>
      <c r="N6489" s="337"/>
      <c r="O6489" s="337" t="s">
        <v>38</v>
      </c>
      <c r="P6489" s="5" t="str">
        <f t="shared" si="163"/>
        <v>Truncate table MEPH04;</v>
      </c>
      <c r="Q6489" s="337" t="s">
        <v>8129</v>
      </c>
      <c r="R6489" s="337"/>
    </row>
    <row r="6490" spans="2:18" x14ac:dyDescent="0.25">
      <c r="B6490" s="337" t="s">
        <v>10859</v>
      </c>
      <c r="C6490" s="337" t="s">
        <v>10860</v>
      </c>
      <c r="D6490" s="337" t="s">
        <v>29</v>
      </c>
      <c r="E6490" s="337"/>
      <c r="F6490" s="337" t="s">
        <v>10436</v>
      </c>
      <c r="G6490" s="337" t="s">
        <v>35</v>
      </c>
      <c r="H6490" s="337" t="s">
        <v>12</v>
      </c>
      <c r="I6490" s="337"/>
      <c r="J6490" s="337"/>
      <c r="K6490" s="337"/>
      <c r="L6490" s="337"/>
      <c r="M6490" s="395" t="s">
        <v>8149</v>
      </c>
      <c r="N6490" s="337"/>
      <c r="O6490" s="337" t="s">
        <v>38</v>
      </c>
      <c r="P6490" s="5" t="str">
        <f t="shared" si="163"/>
        <v>Truncate table MEPH05;</v>
      </c>
      <c r="Q6490" s="337" t="s">
        <v>8129</v>
      </c>
      <c r="R6490" s="337"/>
    </row>
    <row r="6491" spans="2:18" x14ac:dyDescent="0.25">
      <c r="B6491" s="337" t="s">
        <v>10861</v>
      </c>
      <c r="C6491" s="337" t="s">
        <v>10862</v>
      </c>
      <c r="D6491" s="337" t="s">
        <v>29</v>
      </c>
      <c r="E6491" s="337"/>
      <c r="F6491" s="337" t="s">
        <v>10436</v>
      </c>
      <c r="G6491" s="337" t="s">
        <v>35</v>
      </c>
      <c r="H6491" s="337" t="s">
        <v>12</v>
      </c>
      <c r="I6491" s="337"/>
      <c r="J6491" s="337"/>
      <c r="K6491" s="337"/>
      <c r="L6491" s="337"/>
      <c r="M6491" s="395" t="s">
        <v>8149</v>
      </c>
      <c r="N6491" s="337"/>
      <c r="O6491" s="337" t="s">
        <v>38</v>
      </c>
      <c r="P6491" s="5" t="str">
        <f t="shared" si="163"/>
        <v>Truncate table MEPH08;</v>
      </c>
      <c r="Q6491" s="337" t="s">
        <v>8129</v>
      </c>
      <c r="R6491" s="337"/>
    </row>
    <row r="6492" spans="2:18" x14ac:dyDescent="0.25">
      <c r="B6492" s="337" t="s">
        <v>10863</v>
      </c>
      <c r="C6492" s="337" t="s">
        <v>10864</v>
      </c>
      <c r="D6492" s="337" t="s">
        <v>10206</v>
      </c>
      <c r="E6492" s="337"/>
      <c r="F6492" s="337" t="s">
        <v>10436</v>
      </c>
      <c r="G6492" s="337" t="s">
        <v>35</v>
      </c>
      <c r="H6492" s="337" t="s">
        <v>12</v>
      </c>
      <c r="I6492" s="337"/>
      <c r="J6492" s="337"/>
      <c r="K6492" s="337"/>
      <c r="L6492" s="337"/>
      <c r="M6492" s="395" t="s">
        <v>8149</v>
      </c>
      <c r="N6492" s="337"/>
      <c r="O6492" s="337" t="s">
        <v>38</v>
      </c>
      <c r="P6492" s="5" t="str">
        <f t="shared" si="163"/>
        <v/>
      </c>
      <c r="Q6492" s="337" t="s">
        <v>8129</v>
      </c>
      <c r="R6492" s="337"/>
    </row>
    <row r="6493" spans="2:18" x14ac:dyDescent="0.25">
      <c r="B6493" s="337" t="s">
        <v>10865</v>
      </c>
      <c r="C6493" s="337" t="s">
        <v>10866</v>
      </c>
      <c r="D6493" s="337" t="s">
        <v>10206</v>
      </c>
      <c r="E6493" s="337"/>
      <c r="F6493" s="337" t="s">
        <v>10436</v>
      </c>
      <c r="G6493" s="337" t="s">
        <v>35</v>
      </c>
      <c r="H6493" s="337" t="s">
        <v>12</v>
      </c>
      <c r="I6493" s="337"/>
      <c r="J6493" s="337"/>
      <c r="K6493" s="337"/>
      <c r="L6493" s="337"/>
      <c r="M6493" s="395" t="s">
        <v>8149</v>
      </c>
      <c r="N6493" s="337"/>
      <c r="O6493" s="337" t="s">
        <v>38</v>
      </c>
      <c r="P6493" s="5" t="str">
        <f t="shared" si="163"/>
        <v/>
      </c>
      <c r="Q6493" s="337" t="s">
        <v>8129</v>
      </c>
      <c r="R6493" s="337"/>
    </row>
    <row r="6494" spans="2:18" x14ac:dyDescent="0.25">
      <c r="B6494" s="337" t="s">
        <v>10867</v>
      </c>
      <c r="C6494" s="337"/>
      <c r="D6494" s="337"/>
      <c r="E6494" s="337"/>
      <c r="F6494" s="337" t="s">
        <v>10436</v>
      </c>
      <c r="G6494" s="337" t="s">
        <v>35</v>
      </c>
      <c r="H6494" s="337" t="s">
        <v>12</v>
      </c>
      <c r="I6494" s="337"/>
      <c r="J6494" s="337"/>
      <c r="K6494" s="337"/>
      <c r="L6494" s="337"/>
      <c r="M6494" s="395" t="s">
        <v>8149</v>
      </c>
      <c r="N6494" s="337"/>
      <c r="O6494" s="337" t="s">
        <v>38</v>
      </c>
      <c r="P6494" s="5" t="str">
        <f t="shared" si="163"/>
        <v/>
      </c>
      <c r="Q6494" s="337" t="s">
        <v>8129</v>
      </c>
      <c r="R6494" s="337"/>
    </row>
    <row r="6495" spans="2:18" x14ac:dyDescent="0.25">
      <c r="B6495" s="337" t="s">
        <v>10868</v>
      </c>
      <c r="C6495" s="337" t="s">
        <v>10869</v>
      </c>
      <c r="D6495" s="337" t="s">
        <v>29</v>
      </c>
      <c r="E6495" s="337"/>
      <c r="F6495" s="337" t="s">
        <v>10436</v>
      </c>
      <c r="G6495" s="337" t="s">
        <v>35</v>
      </c>
      <c r="H6495" s="337" t="s">
        <v>12</v>
      </c>
      <c r="I6495" s="337"/>
      <c r="J6495" s="337"/>
      <c r="K6495" s="337"/>
      <c r="L6495" s="337"/>
      <c r="M6495" s="395" t="s">
        <v>8149</v>
      </c>
      <c r="N6495" s="337"/>
      <c r="O6495" s="337" t="s">
        <v>38</v>
      </c>
      <c r="P6495" s="5" t="str">
        <f t="shared" si="163"/>
        <v>Truncate table MEPP03;</v>
      </c>
      <c r="Q6495" s="337" t="s">
        <v>8129</v>
      </c>
      <c r="R6495" s="337"/>
    </row>
    <row r="6496" spans="2:18" x14ac:dyDescent="0.25">
      <c r="B6496" s="337" t="s">
        <v>10870</v>
      </c>
      <c r="C6496" s="337" t="s">
        <v>10871</v>
      </c>
      <c r="D6496" s="337" t="s">
        <v>29</v>
      </c>
      <c r="E6496" s="337"/>
      <c r="F6496" s="337" t="s">
        <v>10436</v>
      </c>
      <c r="G6496" s="337" t="s">
        <v>35</v>
      </c>
      <c r="H6496" s="337" t="s">
        <v>12</v>
      </c>
      <c r="I6496" s="337"/>
      <c r="J6496" s="337"/>
      <c r="K6496" s="337"/>
      <c r="L6496" s="337"/>
      <c r="M6496" s="395" t="s">
        <v>8149</v>
      </c>
      <c r="N6496" s="337"/>
      <c r="O6496" s="337" t="s">
        <v>38</v>
      </c>
      <c r="P6496" s="5" t="str">
        <f t="shared" si="163"/>
        <v>Truncate table MEPP04;</v>
      </c>
      <c r="Q6496" s="337" t="s">
        <v>8129</v>
      </c>
      <c r="R6496" s="337"/>
    </row>
    <row r="6497" spans="2:18" x14ac:dyDescent="0.25">
      <c r="B6497" s="337" t="s">
        <v>10872</v>
      </c>
      <c r="C6497" s="337" t="s">
        <v>10873</v>
      </c>
      <c r="D6497" s="337" t="s">
        <v>29</v>
      </c>
      <c r="E6497" s="337"/>
      <c r="F6497" s="337" t="s">
        <v>10436</v>
      </c>
      <c r="G6497" s="337" t="s">
        <v>35</v>
      </c>
      <c r="H6497" s="337" t="s">
        <v>12</v>
      </c>
      <c r="I6497" s="337"/>
      <c r="J6497" s="337"/>
      <c r="K6497" s="337"/>
      <c r="L6497" s="337"/>
      <c r="M6497" s="395" t="s">
        <v>8149</v>
      </c>
      <c r="N6497" s="337"/>
      <c r="O6497" s="337" t="s">
        <v>38</v>
      </c>
      <c r="P6497" s="5" t="str">
        <f t="shared" si="163"/>
        <v>Truncate table MEPP05;</v>
      </c>
      <c r="Q6497" s="337" t="s">
        <v>8129</v>
      </c>
      <c r="R6497" s="337"/>
    </row>
    <row r="6498" spans="2:18" x14ac:dyDescent="0.25">
      <c r="B6498" s="337" t="s">
        <v>10874</v>
      </c>
      <c r="C6498" s="337"/>
      <c r="D6498" s="337"/>
      <c r="E6498" s="337"/>
      <c r="F6498" s="337" t="s">
        <v>10436</v>
      </c>
      <c r="G6498" s="337" t="s">
        <v>35</v>
      </c>
      <c r="H6498" s="337" t="s">
        <v>12</v>
      </c>
      <c r="I6498" s="337"/>
      <c r="J6498" s="337"/>
      <c r="K6498" s="337"/>
      <c r="L6498" s="337"/>
      <c r="M6498" s="395" t="s">
        <v>8149</v>
      </c>
      <c r="N6498" s="337"/>
      <c r="O6498" s="337" t="s">
        <v>38</v>
      </c>
      <c r="P6498" s="5" t="str">
        <f t="shared" si="163"/>
        <v/>
      </c>
      <c r="Q6498" s="337" t="s">
        <v>8129</v>
      </c>
      <c r="R6498" s="337"/>
    </row>
    <row r="6499" spans="2:18" x14ac:dyDescent="0.25">
      <c r="B6499" s="337" t="s">
        <v>10875</v>
      </c>
      <c r="C6499" s="337" t="s">
        <v>10876</v>
      </c>
      <c r="D6499" s="337" t="s">
        <v>29</v>
      </c>
      <c r="E6499" s="337"/>
      <c r="F6499" s="337" t="s">
        <v>10436</v>
      </c>
      <c r="G6499" s="337" t="s">
        <v>35</v>
      </c>
      <c r="H6499" s="337" t="s">
        <v>12</v>
      </c>
      <c r="I6499" s="337"/>
      <c r="J6499" s="337"/>
      <c r="K6499" s="337"/>
      <c r="L6499" s="337"/>
      <c r="M6499" s="395" t="s">
        <v>8149</v>
      </c>
      <c r="N6499" s="337"/>
      <c r="O6499" s="337" t="s">
        <v>38</v>
      </c>
      <c r="P6499" s="5" t="str">
        <f t="shared" si="163"/>
        <v>Truncate table MEPP07;</v>
      </c>
      <c r="Q6499" s="337" t="s">
        <v>8129</v>
      </c>
      <c r="R6499" s="337"/>
    </row>
    <row r="6500" spans="2:18" x14ac:dyDescent="0.25">
      <c r="B6500" s="337" t="s">
        <v>10877</v>
      </c>
      <c r="C6500" s="337" t="s">
        <v>10878</v>
      </c>
      <c r="D6500" s="337" t="s">
        <v>29</v>
      </c>
      <c r="E6500" s="337" t="s">
        <v>734</v>
      </c>
      <c r="F6500" s="337" t="s">
        <v>8248</v>
      </c>
      <c r="G6500" s="337" t="s">
        <v>35</v>
      </c>
      <c r="H6500" s="337" t="s">
        <v>36</v>
      </c>
      <c r="I6500" s="337"/>
      <c r="J6500" s="337"/>
      <c r="K6500" s="337" t="s">
        <v>11162</v>
      </c>
      <c r="L6500" s="337"/>
      <c r="M6500" s="395" t="s">
        <v>10170</v>
      </c>
      <c r="N6500" s="337"/>
      <c r="O6500" s="337" t="s">
        <v>38</v>
      </c>
      <c r="P6500" s="5" t="str">
        <f t="shared" si="163"/>
        <v>Truncate table MOND001;</v>
      </c>
      <c r="Q6500" s="337"/>
      <c r="R6500" s="337"/>
    </row>
    <row r="6501" spans="2:18" x14ac:dyDescent="0.25">
      <c r="B6501" s="337" t="s">
        <v>10879</v>
      </c>
      <c r="C6501" s="337" t="s">
        <v>10880</v>
      </c>
      <c r="D6501" s="337" t="s">
        <v>29</v>
      </c>
      <c r="E6501" s="337" t="s">
        <v>734</v>
      </c>
      <c r="F6501" s="337" t="s">
        <v>8248</v>
      </c>
      <c r="G6501" s="337" t="s">
        <v>35</v>
      </c>
      <c r="H6501" s="337" t="s">
        <v>36</v>
      </c>
      <c r="I6501" s="337"/>
      <c r="J6501" s="337"/>
      <c r="K6501" s="337" t="s">
        <v>8186</v>
      </c>
      <c r="L6501" s="337"/>
      <c r="M6501" s="395" t="s">
        <v>10170</v>
      </c>
      <c r="N6501" s="337"/>
      <c r="O6501" s="337" t="s">
        <v>38</v>
      </c>
      <c r="P6501" s="5" t="str">
        <f t="shared" si="163"/>
        <v>Truncate table MOND501;</v>
      </c>
      <c r="Q6501" s="337"/>
      <c r="R6501" s="337"/>
    </row>
    <row r="6502" spans="2:18" x14ac:dyDescent="0.25">
      <c r="B6502" s="337" t="s">
        <v>10881</v>
      </c>
      <c r="C6502" s="337" t="s">
        <v>10882</v>
      </c>
      <c r="D6502" s="337" t="s">
        <v>29</v>
      </c>
      <c r="E6502" s="337" t="s">
        <v>734</v>
      </c>
      <c r="F6502" s="337" t="s">
        <v>8248</v>
      </c>
      <c r="G6502" s="337" t="s">
        <v>35</v>
      </c>
      <c r="H6502" s="337" t="s">
        <v>36</v>
      </c>
      <c r="I6502" s="337"/>
      <c r="J6502" s="337"/>
      <c r="K6502" s="337" t="s">
        <v>5310</v>
      </c>
      <c r="L6502" s="337"/>
      <c r="M6502" s="395" t="s">
        <v>10170</v>
      </c>
      <c r="N6502" s="337"/>
      <c r="O6502" s="337" t="s">
        <v>38</v>
      </c>
      <c r="P6502" s="5" t="str">
        <f t="shared" si="163"/>
        <v>Truncate table MOND509;</v>
      </c>
      <c r="Q6502" s="337"/>
      <c r="R6502" s="337"/>
    </row>
    <row r="6503" spans="2:18" x14ac:dyDescent="0.25">
      <c r="B6503" s="337" t="s">
        <v>10883</v>
      </c>
      <c r="C6503" s="337" t="s">
        <v>10884</v>
      </c>
      <c r="D6503" s="337" t="s">
        <v>29</v>
      </c>
      <c r="E6503" s="337" t="s">
        <v>734</v>
      </c>
      <c r="F6503" s="337" t="s">
        <v>8248</v>
      </c>
      <c r="G6503" s="337" t="s">
        <v>35</v>
      </c>
      <c r="H6503" s="337" t="s">
        <v>36</v>
      </c>
      <c r="I6503" s="337"/>
      <c r="J6503" s="337"/>
      <c r="K6503" s="337" t="s">
        <v>8186</v>
      </c>
      <c r="L6503" s="337"/>
      <c r="M6503" s="395" t="s">
        <v>10170</v>
      </c>
      <c r="N6503" s="337"/>
      <c r="O6503" s="337" t="s">
        <v>38</v>
      </c>
      <c r="P6503" s="5" t="str">
        <f t="shared" si="163"/>
        <v>Truncate table MOND515;</v>
      </c>
      <c r="Q6503" s="337"/>
      <c r="R6503" s="337"/>
    </row>
    <row r="6504" spans="2:18" x14ac:dyDescent="0.25">
      <c r="B6504" s="337" t="s">
        <v>10885</v>
      </c>
      <c r="C6504" s="337" t="s">
        <v>10886</v>
      </c>
      <c r="D6504" s="337" t="s">
        <v>29</v>
      </c>
      <c r="E6504" s="337" t="s">
        <v>734</v>
      </c>
      <c r="F6504" s="337" t="s">
        <v>8248</v>
      </c>
      <c r="G6504" s="337" t="s">
        <v>35</v>
      </c>
      <c r="H6504" s="337" t="s">
        <v>36</v>
      </c>
      <c r="I6504" s="337"/>
      <c r="J6504" s="337"/>
      <c r="K6504" s="337" t="s">
        <v>8186</v>
      </c>
      <c r="L6504" s="337"/>
      <c r="M6504" s="395" t="s">
        <v>10170</v>
      </c>
      <c r="N6504" s="337"/>
      <c r="O6504" s="337" t="s">
        <v>38</v>
      </c>
      <c r="P6504" s="5" t="str">
        <f t="shared" si="163"/>
        <v>Truncate table MOND545;</v>
      </c>
      <c r="Q6504" s="337"/>
      <c r="R6504" s="337"/>
    </row>
    <row r="6505" spans="2:18" x14ac:dyDescent="0.25">
      <c r="B6505" s="337" t="s">
        <v>10887</v>
      </c>
      <c r="C6505" s="337" t="s">
        <v>10888</v>
      </c>
      <c r="D6505" s="337" t="s">
        <v>10206</v>
      </c>
      <c r="E6505" s="337" t="s">
        <v>734</v>
      </c>
      <c r="F6505" s="337" t="s">
        <v>8248</v>
      </c>
      <c r="G6505" s="337" t="s">
        <v>35</v>
      </c>
      <c r="H6505" s="337" t="s">
        <v>36</v>
      </c>
      <c r="I6505" s="337"/>
      <c r="J6505" s="337"/>
      <c r="K6505" s="337" t="s">
        <v>11162</v>
      </c>
      <c r="L6505" s="337"/>
      <c r="M6505" s="395" t="s">
        <v>10170</v>
      </c>
      <c r="N6505" s="337"/>
      <c r="O6505" s="337" t="s">
        <v>38</v>
      </c>
      <c r="P6505" s="5" t="str">
        <f t="shared" si="163"/>
        <v/>
      </c>
      <c r="Q6505" s="337"/>
      <c r="R6505" s="337"/>
    </row>
    <row r="6506" spans="2:18" x14ac:dyDescent="0.25">
      <c r="B6506" s="337" t="s">
        <v>10889</v>
      </c>
      <c r="C6506" s="337" t="s">
        <v>10890</v>
      </c>
      <c r="D6506" s="337" t="s">
        <v>29</v>
      </c>
      <c r="E6506" s="337" t="s">
        <v>734</v>
      </c>
      <c r="F6506" s="337" t="s">
        <v>8248</v>
      </c>
      <c r="G6506" s="337" t="s">
        <v>35</v>
      </c>
      <c r="H6506" s="337" t="s">
        <v>36</v>
      </c>
      <c r="I6506" s="337"/>
      <c r="J6506" s="337"/>
      <c r="K6506" s="337" t="s">
        <v>11162</v>
      </c>
      <c r="L6506" s="337"/>
      <c r="M6506" s="395" t="s">
        <v>10170</v>
      </c>
      <c r="N6506" s="337"/>
      <c r="O6506" s="337" t="s">
        <v>38</v>
      </c>
      <c r="P6506" s="5" t="str">
        <f t="shared" si="163"/>
        <v>Truncate table MONP002;</v>
      </c>
      <c r="Q6506" s="337"/>
      <c r="R6506" s="337"/>
    </row>
    <row r="6507" spans="2:18" x14ac:dyDescent="0.25">
      <c r="B6507" s="337" t="s">
        <v>10891</v>
      </c>
      <c r="C6507" s="337" t="s">
        <v>10892</v>
      </c>
      <c r="D6507" s="337" t="s">
        <v>29</v>
      </c>
      <c r="E6507" s="337" t="s">
        <v>734</v>
      </c>
      <c r="F6507" s="337" t="s">
        <v>8248</v>
      </c>
      <c r="G6507" s="337" t="s">
        <v>35</v>
      </c>
      <c r="H6507" s="337" t="s">
        <v>36</v>
      </c>
      <c r="I6507" s="337"/>
      <c r="J6507" s="337"/>
      <c r="K6507" s="337" t="s">
        <v>11162</v>
      </c>
      <c r="L6507" s="337"/>
      <c r="M6507" s="395" t="s">
        <v>10170</v>
      </c>
      <c r="N6507" s="337"/>
      <c r="O6507" s="337" t="s">
        <v>38</v>
      </c>
      <c r="P6507" s="5" t="str">
        <f t="shared" si="163"/>
        <v>Truncate table MONP003;</v>
      </c>
      <c r="Q6507" s="337"/>
      <c r="R6507" s="337"/>
    </row>
    <row r="6508" spans="2:18" x14ac:dyDescent="0.25">
      <c r="B6508" s="337" t="s">
        <v>10893</v>
      </c>
      <c r="C6508" s="337" t="s">
        <v>10894</v>
      </c>
      <c r="D6508" s="337" t="s">
        <v>29</v>
      </c>
      <c r="E6508" s="337" t="s">
        <v>734</v>
      </c>
      <c r="F6508" s="337" t="s">
        <v>8248</v>
      </c>
      <c r="G6508" s="337" t="s">
        <v>35</v>
      </c>
      <c r="H6508" s="337" t="s">
        <v>36</v>
      </c>
      <c r="I6508" s="337"/>
      <c r="J6508" s="337"/>
      <c r="K6508" s="337" t="s">
        <v>11162</v>
      </c>
      <c r="L6508" s="337"/>
      <c r="M6508" s="395" t="s">
        <v>10170</v>
      </c>
      <c r="N6508" s="337"/>
      <c r="O6508" s="337" t="s">
        <v>38</v>
      </c>
      <c r="P6508" s="5" t="str">
        <f t="shared" si="163"/>
        <v>Truncate table MONP004;</v>
      </c>
      <c r="Q6508" s="337"/>
      <c r="R6508" s="337"/>
    </row>
    <row r="6509" spans="2:18" x14ac:dyDescent="0.25">
      <c r="B6509" s="337" t="s">
        <v>10895</v>
      </c>
      <c r="C6509" s="337" t="s">
        <v>10896</v>
      </c>
      <c r="D6509" s="337" t="s">
        <v>29</v>
      </c>
      <c r="E6509" s="337" t="s">
        <v>734</v>
      </c>
      <c r="F6509" s="337" t="s">
        <v>8248</v>
      </c>
      <c r="G6509" s="337" t="s">
        <v>35</v>
      </c>
      <c r="H6509" s="337" t="s">
        <v>36</v>
      </c>
      <c r="I6509" s="337"/>
      <c r="J6509" s="337"/>
      <c r="K6509" s="337" t="s">
        <v>11162</v>
      </c>
      <c r="L6509" s="337"/>
      <c r="M6509" s="395" t="s">
        <v>10170</v>
      </c>
      <c r="N6509" s="337"/>
      <c r="O6509" s="337" t="s">
        <v>38</v>
      </c>
      <c r="P6509" s="5" t="str">
        <f t="shared" si="163"/>
        <v>Truncate table MONP005;</v>
      </c>
      <c r="Q6509" s="337"/>
      <c r="R6509" s="337"/>
    </row>
    <row r="6510" spans="2:18" x14ac:dyDescent="0.25">
      <c r="B6510" s="337" t="s">
        <v>10897</v>
      </c>
      <c r="C6510" s="337" t="s">
        <v>10898</v>
      </c>
      <c r="D6510" s="337" t="s">
        <v>29</v>
      </c>
      <c r="E6510" s="337" t="s">
        <v>734</v>
      </c>
      <c r="F6510" s="337" t="s">
        <v>8248</v>
      </c>
      <c r="G6510" s="337" t="s">
        <v>35</v>
      </c>
      <c r="H6510" s="337" t="s">
        <v>36</v>
      </c>
      <c r="I6510" s="337"/>
      <c r="J6510" s="337"/>
      <c r="K6510" s="337" t="s">
        <v>11162</v>
      </c>
      <c r="L6510" s="337"/>
      <c r="M6510" s="395" t="s">
        <v>10170</v>
      </c>
      <c r="N6510" s="337"/>
      <c r="O6510" s="337" t="s">
        <v>38</v>
      </c>
      <c r="P6510" s="5" t="str">
        <f t="shared" si="163"/>
        <v>Truncate table MONP006;</v>
      </c>
      <c r="Q6510" s="337"/>
      <c r="R6510" s="337"/>
    </row>
    <row r="6511" spans="2:18" x14ac:dyDescent="0.25">
      <c r="B6511" s="337" t="s">
        <v>10899</v>
      </c>
      <c r="C6511" s="337" t="s">
        <v>10900</v>
      </c>
      <c r="D6511" s="337" t="s">
        <v>29</v>
      </c>
      <c r="E6511" s="337" t="s">
        <v>734</v>
      </c>
      <c r="F6511" s="337" t="s">
        <v>8248</v>
      </c>
      <c r="G6511" s="337" t="s">
        <v>35</v>
      </c>
      <c r="H6511" s="337" t="s">
        <v>36</v>
      </c>
      <c r="I6511" s="337"/>
      <c r="J6511" s="337"/>
      <c r="K6511" s="337" t="s">
        <v>11162</v>
      </c>
      <c r="L6511" s="337"/>
      <c r="M6511" s="395" t="s">
        <v>10170</v>
      </c>
      <c r="N6511" s="337"/>
      <c r="O6511" s="337" t="s">
        <v>38</v>
      </c>
      <c r="P6511" s="5" t="str">
        <f t="shared" si="163"/>
        <v>Truncate table MONP007;</v>
      </c>
      <c r="Q6511" s="337"/>
      <c r="R6511" s="337"/>
    </row>
    <row r="6512" spans="2:18" x14ac:dyDescent="0.25">
      <c r="B6512" s="337" t="s">
        <v>10901</v>
      </c>
      <c r="C6512" s="337" t="s">
        <v>10902</v>
      </c>
      <c r="D6512" s="337" t="s">
        <v>29</v>
      </c>
      <c r="E6512" s="337" t="s">
        <v>734</v>
      </c>
      <c r="F6512" s="337" t="s">
        <v>8248</v>
      </c>
      <c r="G6512" s="337" t="s">
        <v>35</v>
      </c>
      <c r="H6512" s="337" t="s">
        <v>36</v>
      </c>
      <c r="I6512" s="337"/>
      <c r="J6512" s="337"/>
      <c r="K6512" s="337" t="s">
        <v>11163</v>
      </c>
      <c r="L6512" s="337"/>
      <c r="M6512" s="395" t="s">
        <v>10170</v>
      </c>
      <c r="N6512" s="337"/>
      <c r="O6512" s="337" t="s">
        <v>38</v>
      </c>
      <c r="P6512" s="5" t="str">
        <f t="shared" si="163"/>
        <v>Truncate table MONS505;</v>
      </c>
      <c r="Q6512" s="337"/>
      <c r="R6512" s="337"/>
    </row>
    <row r="6513" spans="2:18" x14ac:dyDescent="0.25">
      <c r="B6513" s="337" t="s">
        <v>10903</v>
      </c>
      <c r="C6513" s="337" t="s">
        <v>10904</v>
      </c>
      <c r="D6513" s="337" t="s">
        <v>29</v>
      </c>
      <c r="E6513" s="337" t="s">
        <v>734</v>
      </c>
      <c r="F6513" s="337" t="s">
        <v>8248</v>
      </c>
      <c r="G6513" s="337" t="s">
        <v>35</v>
      </c>
      <c r="H6513" s="337" t="s">
        <v>36</v>
      </c>
      <c r="I6513" s="337"/>
      <c r="J6513" s="337"/>
      <c r="K6513" s="337" t="s">
        <v>11163</v>
      </c>
      <c r="L6513" s="337"/>
      <c r="M6513" s="395" t="s">
        <v>10170</v>
      </c>
      <c r="N6513" s="337"/>
      <c r="O6513" s="337" t="s">
        <v>38</v>
      </c>
      <c r="P6513" s="5" t="str">
        <f t="shared" si="163"/>
        <v>Truncate table MONS525;</v>
      </c>
      <c r="Q6513" s="337"/>
      <c r="R6513" s="337"/>
    </row>
    <row r="6514" spans="2:18" x14ac:dyDescent="0.25">
      <c r="B6514" s="337" t="s">
        <v>10905</v>
      </c>
      <c r="C6514" s="337" t="s">
        <v>10906</v>
      </c>
      <c r="D6514" s="337" t="s">
        <v>10206</v>
      </c>
      <c r="E6514" s="337"/>
      <c r="F6514" s="337" t="s">
        <v>10436</v>
      </c>
      <c r="G6514" s="337" t="s">
        <v>35</v>
      </c>
      <c r="H6514" s="337" t="s">
        <v>12</v>
      </c>
      <c r="I6514" s="337"/>
      <c r="J6514" s="337"/>
      <c r="K6514" s="337"/>
      <c r="L6514" s="337"/>
      <c r="M6514" s="395" t="s">
        <v>11158</v>
      </c>
      <c r="N6514" s="337"/>
      <c r="O6514" s="337" t="s">
        <v>38</v>
      </c>
      <c r="P6514" s="5" t="str">
        <f t="shared" si="163"/>
        <v/>
      </c>
      <c r="Q6514" s="337" t="s">
        <v>8129</v>
      </c>
      <c r="R6514" s="337"/>
    </row>
    <row r="6515" spans="2:18" x14ac:dyDescent="0.25">
      <c r="B6515" s="337" t="s">
        <v>10907</v>
      </c>
      <c r="C6515" s="337" t="s">
        <v>10908</v>
      </c>
      <c r="D6515" s="337" t="s">
        <v>29</v>
      </c>
      <c r="E6515" s="337"/>
      <c r="F6515" s="337" t="s">
        <v>10436</v>
      </c>
      <c r="G6515" s="337" t="s">
        <v>35</v>
      </c>
      <c r="H6515" s="337" t="s">
        <v>12</v>
      </c>
      <c r="I6515" s="337"/>
      <c r="J6515" s="337"/>
      <c r="K6515" s="337"/>
      <c r="L6515" s="337"/>
      <c r="M6515" s="395" t="s">
        <v>11158</v>
      </c>
      <c r="N6515" s="337"/>
      <c r="O6515" s="337" t="s">
        <v>38</v>
      </c>
      <c r="P6515" s="5" t="str">
        <f t="shared" si="163"/>
        <v>Truncate table MPE107;</v>
      </c>
      <c r="Q6515" s="337" t="s">
        <v>8129</v>
      </c>
      <c r="R6515" s="337"/>
    </row>
    <row r="6516" spans="2:18" x14ac:dyDescent="0.25">
      <c r="B6516" s="337" t="s">
        <v>10909</v>
      </c>
      <c r="C6516" s="337" t="s">
        <v>10910</v>
      </c>
      <c r="D6516" s="337" t="s">
        <v>10206</v>
      </c>
      <c r="E6516" s="337" t="s">
        <v>151</v>
      </c>
      <c r="F6516" s="337" t="s">
        <v>924</v>
      </c>
      <c r="G6516" s="390" t="s">
        <v>35</v>
      </c>
      <c r="H6516" s="337" t="s">
        <v>36</v>
      </c>
      <c r="I6516" s="71"/>
      <c r="J6516" s="71"/>
      <c r="K6516" s="337"/>
      <c r="L6516" s="337"/>
      <c r="M6516" s="395" t="s">
        <v>10170</v>
      </c>
      <c r="N6516" s="337"/>
      <c r="O6516" s="337" t="s">
        <v>38</v>
      </c>
      <c r="P6516" s="51" t="str">
        <f t="shared" si="163"/>
        <v/>
      </c>
      <c r="Q6516" s="337"/>
      <c r="R6516" s="337"/>
    </row>
    <row r="6517" spans="2:18" x14ac:dyDescent="0.25">
      <c r="B6517" s="337" t="s">
        <v>10911</v>
      </c>
      <c r="C6517" s="337" t="s">
        <v>10912</v>
      </c>
      <c r="D6517" s="337" t="s">
        <v>10206</v>
      </c>
      <c r="E6517" s="337" t="s">
        <v>54</v>
      </c>
      <c r="F6517" s="337" t="s">
        <v>8192</v>
      </c>
      <c r="G6517" s="337" t="s">
        <v>35</v>
      </c>
      <c r="H6517" s="337" t="s">
        <v>36</v>
      </c>
      <c r="I6517" s="71"/>
      <c r="J6517" s="71"/>
      <c r="K6517" s="337"/>
      <c r="L6517" s="337"/>
      <c r="M6517" s="395" t="s">
        <v>10170</v>
      </c>
      <c r="N6517" s="337"/>
      <c r="O6517" s="337" t="s">
        <v>38</v>
      </c>
      <c r="P6517" s="51" t="str">
        <f t="shared" ref="P6517" si="165">IF(D6517="Datos","Truncate table "&amp; B6517&amp; ";","")</f>
        <v/>
      </c>
      <c r="Q6517" s="337"/>
      <c r="R6517" s="337"/>
    </row>
    <row r="6518" spans="2:18" x14ac:dyDescent="0.25">
      <c r="B6518" s="337" t="s">
        <v>10913</v>
      </c>
      <c r="C6518" s="337" t="s">
        <v>174</v>
      </c>
      <c r="D6518" s="337" t="s">
        <v>29</v>
      </c>
      <c r="E6518" s="337" t="s">
        <v>54</v>
      </c>
      <c r="F6518" s="337" t="s">
        <v>8192</v>
      </c>
      <c r="G6518" s="337" t="s">
        <v>35</v>
      </c>
      <c r="H6518" s="337" t="s">
        <v>36</v>
      </c>
      <c r="I6518" s="71"/>
      <c r="J6518" s="71"/>
      <c r="K6518" s="337"/>
      <c r="L6518" s="337"/>
      <c r="M6518" s="395" t="s">
        <v>10170</v>
      </c>
      <c r="N6518" s="337"/>
      <c r="O6518" s="337" t="s">
        <v>38</v>
      </c>
      <c r="P6518" s="51" t="str">
        <f t="shared" ref="P6518:P6520" si="166">IF(D6518="Datos","Truncate table "&amp; B6518&amp; ";","")</f>
        <v>Truncate table PEGGRP;</v>
      </c>
      <c r="Q6518" s="337"/>
      <c r="R6518" s="337"/>
    </row>
    <row r="6519" spans="2:18" x14ac:dyDescent="0.25">
      <c r="B6519" s="337" t="s">
        <v>10914</v>
      </c>
      <c r="C6519" s="337" t="s">
        <v>10685</v>
      </c>
      <c r="D6519" s="337" t="s">
        <v>29</v>
      </c>
      <c r="E6519" s="337" t="s">
        <v>54</v>
      </c>
      <c r="F6519" s="337" t="s">
        <v>8192</v>
      </c>
      <c r="G6519" s="337" t="s">
        <v>35</v>
      </c>
      <c r="H6519" s="337" t="s">
        <v>36</v>
      </c>
      <c r="I6519" s="71"/>
      <c r="J6519" s="71"/>
      <c r="K6519" s="337"/>
      <c r="L6519" s="337"/>
      <c r="M6519" s="395" t="s">
        <v>10170</v>
      </c>
      <c r="N6519" s="337"/>
      <c r="O6519" s="337" t="s">
        <v>38</v>
      </c>
      <c r="P6519" s="51" t="str">
        <f t="shared" si="166"/>
        <v>Truncate table PEGPRJ;</v>
      </c>
      <c r="Q6519" s="337"/>
      <c r="R6519" s="337"/>
    </row>
    <row r="6520" spans="2:18" x14ac:dyDescent="0.25">
      <c r="B6520" s="337" t="s">
        <v>10915</v>
      </c>
      <c r="C6520" s="337" t="s">
        <v>10916</v>
      </c>
      <c r="D6520" s="337" t="s">
        <v>10206</v>
      </c>
      <c r="E6520" s="337" t="s">
        <v>54</v>
      </c>
      <c r="F6520" s="337" t="s">
        <v>8192</v>
      </c>
      <c r="G6520" s="337" t="s">
        <v>35</v>
      </c>
      <c r="H6520" s="337" t="s">
        <v>36</v>
      </c>
      <c r="I6520" s="71"/>
      <c r="J6520" s="71"/>
      <c r="K6520" s="337"/>
      <c r="L6520" s="337"/>
      <c r="M6520" s="395" t="s">
        <v>10170</v>
      </c>
      <c r="N6520" s="337"/>
      <c r="O6520" s="337" t="s">
        <v>38</v>
      </c>
      <c r="P6520" s="51" t="str">
        <f t="shared" si="166"/>
        <v/>
      </c>
      <c r="Q6520" s="337"/>
      <c r="R6520" s="337"/>
    </row>
    <row r="6521" spans="2:18" x14ac:dyDescent="0.25">
      <c r="B6521" s="337" t="s">
        <v>10917</v>
      </c>
      <c r="C6521" s="337" t="s">
        <v>10918</v>
      </c>
      <c r="D6521" s="337" t="s">
        <v>29</v>
      </c>
      <c r="E6521" s="337" t="s">
        <v>1096</v>
      </c>
      <c r="F6521" s="337" t="s">
        <v>8207</v>
      </c>
      <c r="G6521" s="389" t="s">
        <v>35</v>
      </c>
      <c r="H6521" s="337" t="s">
        <v>36</v>
      </c>
      <c r="I6521" s="71"/>
      <c r="J6521" s="71"/>
      <c r="K6521" s="337"/>
      <c r="L6521" s="337"/>
      <c r="M6521" s="395" t="s">
        <v>10170</v>
      </c>
      <c r="N6521" s="337"/>
      <c r="O6521" s="337" t="s">
        <v>38</v>
      </c>
      <c r="P6521" s="10" t="str">
        <f t="shared" si="163"/>
        <v>Truncate table PPG030;</v>
      </c>
      <c r="Q6521" s="337"/>
      <c r="R6521" s="337"/>
    </row>
    <row r="6522" spans="2:18" x14ac:dyDescent="0.25">
      <c r="B6522" s="337" t="s">
        <v>10919</v>
      </c>
      <c r="C6522" s="337" t="s">
        <v>10920</v>
      </c>
      <c r="D6522" s="337" t="s">
        <v>10206</v>
      </c>
      <c r="E6522" s="337" t="s">
        <v>151</v>
      </c>
      <c r="F6522" s="337" t="s">
        <v>8229</v>
      </c>
      <c r="G6522" s="337" t="s">
        <v>35</v>
      </c>
      <c r="H6522" s="337" t="s">
        <v>36</v>
      </c>
      <c r="I6522" s="337"/>
      <c r="J6522" s="337"/>
      <c r="K6522" s="337"/>
      <c r="L6522" s="337"/>
      <c r="M6522" s="397" t="s">
        <v>10170</v>
      </c>
      <c r="N6522" s="337"/>
      <c r="O6522" s="337" t="s">
        <v>10170</v>
      </c>
      <c r="P6522" s="5" t="str">
        <f t="shared" si="163"/>
        <v/>
      </c>
      <c r="Q6522" s="337"/>
      <c r="R6522" s="337"/>
    </row>
    <row r="6523" spans="2:18" x14ac:dyDescent="0.25">
      <c r="B6523" s="337" t="s">
        <v>10921</v>
      </c>
      <c r="C6523" s="337" t="s">
        <v>10922</v>
      </c>
      <c r="D6523" s="71" t="s">
        <v>29</v>
      </c>
      <c r="E6523" s="5" t="s">
        <v>151</v>
      </c>
      <c r="F6523" s="5" t="s">
        <v>8213</v>
      </c>
      <c r="G6523" s="390" t="s">
        <v>35</v>
      </c>
      <c r="H6523" s="337" t="s">
        <v>36</v>
      </c>
      <c r="I6523" s="337"/>
      <c r="J6523" s="337"/>
      <c r="K6523" s="337"/>
      <c r="L6523" s="337"/>
      <c r="M6523" s="397" t="s">
        <v>10170</v>
      </c>
      <c r="N6523" s="337"/>
      <c r="O6523" s="337" t="s">
        <v>10170</v>
      </c>
      <c r="P6523" s="5" t="str">
        <f t="shared" ref="P6523:P6524" si="167">IF(D6523="Datos","Truncate table "&amp; B6523&amp; ";","")</f>
        <v>Truncate table PRD785;</v>
      </c>
      <c r="Q6523" s="337"/>
      <c r="R6523" s="337"/>
    </row>
    <row r="6524" spans="2:18" x14ac:dyDescent="0.25">
      <c r="B6524" s="337" t="s">
        <v>10923</v>
      </c>
      <c r="C6524" s="337" t="s">
        <v>10924</v>
      </c>
      <c r="D6524" s="337" t="s">
        <v>29</v>
      </c>
      <c r="E6524" s="337" t="s">
        <v>8232</v>
      </c>
      <c r="F6524" s="337" t="s">
        <v>8227</v>
      </c>
      <c r="G6524" s="389" t="s">
        <v>35</v>
      </c>
      <c r="H6524" s="337" t="s">
        <v>12</v>
      </c>
      <c r="I6524" s="337"/>
      <c r="J6524" s="337"/>
      <c r="K6524" s="337" t="s">
        <v>10209</v>
      </c>
      <c r="L6524" s="337"/>
      <c r="M6524" s="397" t="s">
        <v>11158</v>
      </c>
      <c r="N6524" s="337"/>
      <c r="O6524" s="337" t="s">
        <v>8149</v>
      </c>
      <c r="P6524" s="5" t="str">
        <f t="shared" si="167"/>
        <v>Truncate table RCCOD;</v>
      </c>
      <c r="Q6524" s="337" t="s">
        <v>8144</v>
      </c>
      <c r="R6524" s="337"/>
    </row>
    <row r="6525" spans="2:18" x14ac:dyDescent="0.25">
      <c r="B6525" s="337" t="s">
        <v>10925</v>
      </c>
      <c r="C6525" s="337" t="s">
        <v>11164</v>
      </c>
      <c r="D6525" s="337" t="s">
        <v>29</v>
      </c>
      <c r="E6525" s="337" t="s">
        <v>8232</v>
      </c>
      <c r="F6525" s="337" t="s">
        <v>8227</v>
      </c>
      <c r="G6525" s="337" t="s">
        <v>35</v>
      </c>
      <c r="H6525" s="337" t="s">
        <v>12</v>
      </c>
      <c r="I6525" s="337"/>
      <c r="J6525" s="337"/>
      <c r="K6525" s="337" t="s">
        <v>10209</v>
      </c>
      <c r="L6525" s="337"/>
      <c r="M6525" s="397" t="s">
        <v>11158</v>
      </c>
      <c r="N6525" s="337"/>
      <c r="O6525" s="337" t="s">
        <v>8149</v>
      </c>
      <c r="P6525" s="5" t="str">
        <f t="shared" si="163"/>
        <v>Truncate table RCCONF;</v>
      </c>
      <c r="Q6525" s="337" t="s">
        <v>8144</v>
      </c>
      <c r="R6525" s="337"/>
    </row>
    <row r="6526" spans="2:18" x14ac:dyDescent="0.25">
      <c r="B6526" s="337" t="s">
        <v>10926</v>
      </c>
      <c r="C6526" s="337" t="s">
        <v>10927</v>
      </c>
      <c r="D6526" s="337" t="s">
        <v>29</v>
      </c>
      <c r="E6526" s="337" t="s">
        <v>8232</v>
      </c>
      <c r="F6526" s="337" t="s">
        <v>8227</v>
      </c>
      <c r="G6526" s="337" t="s">
        <v>35</v>
      </c>
      <c r="H6526" s="337" t="s">
        <v>12</v>
      </c>
      <c r="I6526" s="337"/>
      <c r="J6526" s="337"/>
      <c r="K6526" s="337" t="s">
        <v>10209</v>
      </c>
      <c r="L6526" s="337"/>
      <c r="M6526" s="397" t="s">
        <v>11158</v>
      </c>
      <c r="N6526" s="337"/>
      <c r="O6526" s="337" t="s">
        <v>8149</v>
      </c>
      <c r="P6526" s="5" t="str">
        <f t="shared" si="163"/>
        <v>Truncate table RCDIDE;</v>
      </c>
      <c r="Q6526" s="337" t="s">
        <v>8144</v>
      </c>
      <c r="R6526" s="337"/>
    </row>
    <row r="6527" spans="2:18" x14ac:dyDescent="0.25">
      <c r="B6527" s="337" t="s">
        <v>10928</v>
      </c>
      <c r="C6527" s="337" t="s">
        <v>10929</v>
      </c>
      <c r="D6527" s="337" t="s">
        <v>29</v>
      </c>
      <c r="E6527" s="337" t="s">
        <v>8232</v>
      </c>
      <c r="F6527" s="337" t="s">
        <v>8227</v>
      </c>
      <c r="G6527" s="337" t="s">
        <v>35</v>
      </c>
      <c r="H6527" s="337" t="s">
        <v>12</v>
      </c>
      <c r="I6527" s="337"/>
      <c r="J6527" s="337"/>
      <c r="K6527" s="337" t="s">
        <v>10209</v>
      </c>
      <c r="L6527" s="337"/>
      <c r="M6527" s="397" t="s">
        <v>11158</v>
      </c>
      <c r="N6527" s="337"/>
      <c r="O6527" s="337" t="s">
        <v>8149</v>
      </c>
      <c r="P6527" s="5" t="str">
        <f t="shared" si="163"/>
        <v>Truncate table RCDSDO;</v>
      </c>
      <c r="Q6527" s="337" t="s">
        <v>8144</v>
      </c>
      <c r="R6527" s="337"/>
    </row>
    <row r="6528" spans="2:18" x14ac:dyDescent="0.25">
      <c r="B6528" s="337" t="s">
        <v>10930</v>
      </c>
      <c r="C6528" s="337" t="s">
        <v>10931</v>
      </c>
      <c r="D6528" s="337" t="s">
        <v>29</v>
      </c>
      <c r="E6528" s="337" t="s">
        <v>54</v>
      </c>
      <c r="F6528" s="337" t="s">
        <v>8193</v>
      </c>
      <c r="G6528" s="337" t="s">
        <v>35</v>
      </c>
      <c r="H6528" s="337" t="s">
        <v>36</v>
      </c>
      <c r="I6528" s="337"/>
      <c r="J6528" s="337"/>
      <c r="K6528" s="337"/>
      <c r="L6528" s="337"/>
      <c r="M6528" s="397" t="s">
        <v>10170</v>
      </c>
      <c r="N6528" s="337"/>
      <c r="O6528" s="337" t="s">
        <v>10170</v>
      </c>
      <c r="P6528" s="5" t="str">
        <f t="shared" si="163"/>
        <v>Truncate table RIB015;</v>
      </c>
      <c r="Q6528" s="337"/>
      <c r="R6528" s="337"/>
    </row>
    <row r="6529" spans="2:18" x14ac:dyDescent="0.25">
      <c r="B6529" s="337" t="s">
        <v>10932</v>
      </c>
      <c r="C6529" s="337" t="s">
        <v>10933</v>
      </c>
      <c r="D6529" s="337" t="s">
        <v>29</v>
      </c>
      <c r="E6529" s="337" t="s">
        <v>54</v>
      </c>
      <c r="F6529" s="337" t="s">
        <v>8193</v>
      </c>
      <c r="G6529" s="337" t="s">
        <v>35</v>
      </c>
      <c r="H6529" s="337" t="s">
        <v>12</v>
      </c>
      <c r="I6529" s="337"/>
      <c r="J6529" s="337"/>
      <c r="K6529" s="337"/>
      <c r="L6529" s="337"/>
      <c r="M6529" s="397" t="s">
        <v>8149</v>
      </c>
      <c r="N6529" s="337"/>
      <c r="O6529" s="337" t="s">
        <v>387</v>
      </c>
      <c r="P6529" s="5" t="str">
        <f t="shared" si="163"/>
        <v>Truncate table RICO01;</v>
      </c>
      <c r="Q6529" s="337" t="s">
        <v>8134</v>
      </c>
      <c r="R6529" s="337"/>
    </row>
    <row r="6530" spans="2:18" x14ac:dyDescent="0.25">
      <c r="B6530" s="337" t="s">
        <v>10934</v>
      </c>
      <c r="C6530" s="337" t="s">
        <v>10935</v>
      </c>
      <c r="D6530" s="337" t="s">
        <v>29</v>
      </c>
      <c r="E6530" s="337" t="s">
        <v>54</v>
      </c>
      <c r="F6530" s="337" t="s">
        <v>8193</v>
      </c>
      <c r="G6530" s="337" t="s">
        <v>35</v>
      </c>
      <c r="H6530" s="337" t="s">
        <v>12</v>
      </c>
      <c r="I6530" s="337"/>
      <c r="J6530" s="337"/>
      <c r="K6530" s="337"/>
      <c r="L6530" s="337"/>
      <c r="M6530" s="397" t="s">
        <v>8149</v>
      </c>
      <c r="N6530" s="337"/>
      <c r="O6530" s="337" t="s">
        <v>387</v>
      </c>
      <c r="P6530" s="5" t="str">
        <f t="shared" si="163"/>
        <v>Truncate table RICO09;</v>
      </c>
      <c r="Q6530" s="337" t="s">
        <v>8134</v>
      </c>
      <c r="R6530" s="337"/>
    </row>
    <row r="6531" spans="2:18" x14ac:dyDescent="0.25">
      <c r="B6531" s="337" t="s">
        <v>10936</v>
      </c>
      <c r="C6531" s="337" t="s">
        <v>10937</v>
      </c>
      <c r="D6531" s="337" t="s">
        <v>29</v>
      </c>
      <c r="E6531" s="337" t="s">
        <v>54</v>
      </c>
      <c r="F6531" s="337" t="s">
        <v>8193</v>
      </c>
      <c r="G6531" s="337" t="s">
        <v>35</v>
      </c>
      <c r="H6531" s="337" t="s">
        <v>36</v>
      </c>
      <c r="I6531" s="337"/>
      <c r="J6531" s="337"/>
      <c r="K6531" s="337" t="s">
        <v>11165</v>
      </c>
      <c r="L6531" s="337"/>
      <c r="M6531" s="397" t="s">
        <v>10170</v>
      </c>
      <c r="N6531" s="337"/>
      <c r="O6531" s="337" t="s">
        <v>38</v>
      </c>
      <c r="P6531" s="5" t="str">
        <f t="shared" si="163"/>
        <v>Truncate table RINI010;</v>
      </c>
      <c r="Q6531" s="337"/>
      <c r="R6531" s="337"/>
    </row>
    <row r="6532" spans="2:18" x14ac:dyDescent="0.25">
      <c r="B6532" s="337" t="s">
        <v>10938</v>
      </c>
      <c r="C6532" s="337" t="s">
        <v>10939</v>
      </c>
      <c r="D6532" s="337" t="s">
        <v>29</v>
      </c>
      <c r="E6532" s="337" t="s">
        <v>54</v>
      </c>
      <c r="F6532" s="337" t="s">
        <v>8193</v>
      </c>
      <c r="G6532" s="337" t="s">
        <v>35</v>
      </c>
      <c r="H6532" s="337" t="s">
        <v>36</v>
      </c>
      <c r="I6532" s="337"/>
      <c r="J6532" s="337"/>
      <c r="K6532" s="337" t="s">
        <v>11165</v>
      </c>
      <c r="L6532" s="337"/>
      <c r="M6532" s="397" t="s">
        <v>10170</v>
      </c>
      <c r="N6532" s="337"/>
      <c r="O6532" s="337" t="s">
        <v>38</v>
      </c>
      <c r="P6532" s="5" t="str">
        <f t="shared" si="163"/>
        <v>Truncate table RINI011;</v>
      </c>
      <c r="Q6532" s="337"/>
      <c r="R6532" s="337"/>
    </row>
    <row r="6533" spans="2:18" x14ac:dyDescent="0.25">
      <c r="B6533" s="337" t="s">
        <v>10940</v>
      </c>
      <c r="C6533" s="337" t="s">
        <v>10941</v>
      </c>
      <c r="D6533" s="337" t="s">
        <v>29</v>
      </c>
      <c r="E6533" s="337" t="s">
        <v>54</v>
      </c>
      <c r="F6533" s="337" t="s">
        <v>8193</v>
      </c>
      <c r="G6533" s="337" t="s">
        <v>35</v>
      </c>
      <c r="H6533" s="337" t="s">
        <v>36</v>
      </c>
      <c r="I6533" s="337"/>
      <c r="J6533" s="337"/>
      <c r="K6533" s="337" t="s">
        <v>11165</v>
      </c>
      <c r="L6533" s="337"/>
      <c r="M6533" s="397" t="s">
        <v>10170</v>
      </c>
      <c r="N6533" s="337"/>
      <c r="O6533" s="337" t="s">
        <v>38</v>
      </c>
      <c r="P6533" s="5" t="str">
        <f t="shared" si="163"/>
        <v>Truncate table RINI012;</v>
      </c>
      <c r="Q6533" s="337"/>
      <c r="R6533" s="337"/>
    </row>
    <row r="6534" spans="2:18" x14ac:dyDescent="0.25">
      <c r="B6534" s="337" t="s">
        <v>10942</v>
      </c>
      <c r="C6534" s="337" t="s">
        <v>10943</v>
      </c>
      <c r="D6534" s="337" t="s">
        <v>29</v>
      </c>
      <c r="E6534" s="337" t="s">
        <v>54</v>
      </c>
      <c r="F6534" s="337" t="s">
        <v>8193</v>
      </c>
      <c r="G6534" s="337" t="s">
        <v>35</v>
      </c>
      <c r="H6534" s="337" t="s">
        <v>36</v>
      </c>
      <c r="I6534" s="337"/>
      <c r="J6534" s="337"/>
      <c r="K6534" s="337" t="s">
        <v>9593</v>
      </c>
      <c r="L6534" s="337"/>
      <c r="M6534" s="397" t="s">
        <v>10170</v>
      </c>
      <c r="N6534" s="337"/>
      <c r="O6534" s="337" t="s">
        <v>38</v>
      </c>
      <c r="P6534" s="5" t="str">
        <f t="shared" si="163"/>
        <v>Truncate table RINI589;</v>
      </c>
      <c r="Q6534" s="337"/>
      <c r="R6534" s="337"/>
    </row>
    <row r="6535" spans="2:18" x14ac:dyDescent="0.25">
      <c r="B6535" s="337" t="s">
        <v>10944</v>
      </c>
      <c r="C6535" s="337" t="s">
        <v>10945</v>
      </c>
      <c r="D6535" s="337" t="s">
        <v>29</v>
      </c>
      <c r="E6535" s="337" t="s">
        <v>54</v>
      </c>
      <c r="F6535" s="337" t="s">
        <v>8193</v>
      </c>
      <c r="G6535" s="337" t="s">
        <v>35</v>
      </c>
      <c r="H6535" s="337" t="s">
        <v>36</v>
      </c>
      <c r="I6535" s="337"/>
      <c r="J6535" s="337"/>
      <c r="K6535" s="337" t="s">
        <v>11166</v>
      </c>
      <c r="L6535" s="337"/>
      <c r="M6535" s="397" t="s">
        <v>10170</v>
      </c>
      <c r="N6535" s="337"/>
      <c r="O6535" s="337" t="s">
        <v>38</v>
      </c>
      <c r="P6535" s="5" t="str">
        <f t="shared" si="163"/>
        <v>Truncate table RINI590;</v>
      </c>
      <c r="Q6535" s="337"/>
      <c r="R6535" s="337"/>
    </row>
    <row r="6536" spans="2:18" x14ac:dyDescent="0.25">
      <c r="B6536" s="337" t="s">
        <v>10946</v>
      </c>
      <c r="C6536" s="337" t="s">
        <v>10947</v>
      </c>
      <c r="D6536" s="337" t="s">
        <v>10206</v>
      </c>
      <c r="E6536" s="337" t="s">
        <v>54</v>
      </c>
      <c r="F6536" s="337" t="s">
        <v>8193</v>
      </c>
      <c r="G6536" s="337" t="s">
        <v>35</v>
      </c>
      <c r="H6536" s="337" t="s">
        <v>36</v>
      </c>
      <c r="I6536" s="337"/>
      <c r="J6536" s="337"/>
      <c r="K6536" s="337" t="s">
        <v>11166</v>
      </c>
      <c r="L6536" s="337"/>
      <c r="M6536" s="397" t="s">
        <v>10170</v>
      </c>
      <c r="N6536" s="337"/>
      <c r="O6536" s="337" t="s">
        <v>38</v>
      </c>
      <c r="P6536" s="5" t="str">
        <f t="shared" si="163"/>
        <v/>
      </c>
      <c r="Q6536" s="337"/>
      <c r="R6536" s="337"/>
    </row>
    <row r="6537" spans="2:18" x14ac:dyDescent="0.25">
      <c r="B6537" s="337" t="s">
        <v>10948</v>
      </c>
      <c r="C6537" s="337" t="s">
        <v>10949</v>
      </c>
      <c r="D6537" s="337" t="s">
        <v>29</v>
      </c>
      <c r="E6537" s="337" t="s">
        <v>54</v>
      </c>
      <c r="F6537" s="337" t="s">
        <v>8193</v>
      </c>
      <c r="G6537" s="337" t="s">
        <v>35</v>
      </c>
      <c r="H6537" s="337" t="s">
        <v>36</v>
      </c>
      <c r="I6537" s="337"/>
      <c r="J6537" s="337"/>
      <c r="K6537" s="337" t="s">
        <v>9593</v>
      </c>
      <c r="L6537" s="337"/>
      <c r="M6537" s="397" t="s">
        <v>10170</v>
      </c>
      <c r="N6537" s="337"/>
      <c r="O6537" s="337" t="s">
        <v>38</v>
      </c>
      <c r="P6537" s="5" t="str">
        <f t="shared" si="163"/>
        <v>Truncate table RINI601;</v>
      </c>
      <c r="Q6537" s="337"/>
      <c r="R6537" s="337"/>
    </row>
    <row r="6538" spans="2:18" x14ac:dyDescent="0.25">
      <c r="B6538" s="337" t="s">
        <v>10950</v>
      </c>
      <c r="C6538" s="337" t="s">
        <v>10951</v>
      </c>
      <c r="D6538" s="337" t="s">
        <v>29</v>
      </c>
      <c r="E6538" s="337" t="s">
        <v>8232</v>
      </c>
      <c r="F6538" s="337" t="s">
        <v>8227</v>
      </c>
      <c r="G6538" s="390" t="s">
        <v>35</v>
      </c>
      <c r="H6538" s="337" t="s">
        <v>36</v>
      </c>
      <c r="I6538" s="71"/>
      <c r="J6538" s="71"/>
      <c r="K6538" s="337" t="s">
        <v>10153</v>
      </c>
      <c r="L6538" s="337"/>
      <c r="M6538" s="397" t="s">
        <v>10170</v>
      </c>
      <c r="N6538" s="337"/>
      <c r="O6538" s="337" t="s">
        <v>38</v>
      </c>
      <c r="P6538" s="5" t="str">
        <f t="shared" si="163"/>
        <v>Truncate table RRA501;</v>
      </c>
      <c r="Q6538" s="337"/>
      <c r="R6538" s="337"/>
    </row>
    <row r="6539" spans="2:18" x14ac:dyDescent="0.25">
      <c r="B6539" s="337" t="s">
        <v>10952</v>
      </c>
      <c r="C6539" s="337" t="s">
        <v>10953</v>
      </c>
      <c r="D6539" s="337" t="s">
        <v>29</v>
      </c>
      <c r="E6539" s="337" t="s">
        <v>8232</v>
      </c>
      <c r="F6539" s="337" t="s">
        <v>8227</v>
      </c>
      <c r="G6539" s="337" t="s">
        <v>35</v>
      </c>
      <c r="H6539" s="337" t="s">
        <v>36</v>
      </c>
      <c r="I6539" s="71"/>
      <c r="J6539" s="71"/>
      <c r="K6539" s="337" t="s">
        <v>10153</v>
      </c>
      <c r="L6539" s="337"/>
      <c r="M6539" s="397" t="s">
        <v>10170</v>
      </c>
      <c r="N6539" s="337"/>
      <c r="O6539" s="337" t="s">
        <v>38</v>
      </c>
      <c r="P6539" s="5" t="str">
        <f t="shared" si="163"/>
        <v>Truncate table RRA502;</v>
      </c>
      <c r="Q6539" s="337"/>
      <c r="R6539" s="337"/>
    </row>
    <row r="6540" spans="2:18" x14ac:dyDescent="0.25">
      <c r="B6540" s="337" t="s">
        <v>10954</v>
      </c>
      <c r="C6540" s="398" t="s">
        <v>10955</v>
      </c>
      <c r="D6540" s="337" t="s">
        <v>29</v>
      </c>
      <c r="E6540" s="337" t="s">
        <v>8232</v>
      </c>
      <c r="F6540" s="337" t="s">
        <v>8227</v>
      </c>
      <c r="G6540" s="337" t="s">
        <v>35</v>
      </c>
      <c r="H6540" s="337" t="s">
        <v>36</v>
      </c>
      <c r="I6540" s="71"/>
      <c r="J6540" s="71"/>
      <c r="K6540" s="337"/>
      <c r="L6540" s="337"/>
      <c r="M6540" s="397" t="s">
        <v>10170</v>
      </c>
      <c r="N6540" s="337"/>
      <c r="O6540" s="337" t="s">
        <v>38</v>
      </c>
      <c r="P6540" s="5" t="str">
        <f t="shared" si="163"/>
        <v>Truncate table RRP001;</v>
      </c>
      <c r="Q6540" s="337"/>
      <c r="R6540" s="337"/>
    </row>
    <row r="6541" spans="2:18" x14ac:dyDescent="0.25">
      <c r="B6541" s="337" t="s">
        <v>10956</v>
      </c>
      <c r="C6541" s="398" t="s">
        <v>10957</v>
      </c>
      <c r="D6541" s="337" t="s">
        <v>29</v>
      </c>
      <c r="E6541" s="337" t="s">
        <v>8232</v>
      </c>
      <c r="F6541" s="337" t="s">
        <v>8227</v>
      </c>
      <c r="G6541" s="337" t="s">
        <v>35</v>
      </c>
      <c r="H6541" s="337" t="s">
        <v>36</v>
      </c>
      <c r="I6541" s="71"/>
      <c r="J6541" s="71"/>
      <c r="K6541" t="s">
        <v>10210</v>
      </c>
      <c r="L6541" s="337"/>
      <c r="M6541" s="397" t="s">
        <v>10170</v>
      </c>
      <c r="N6541" s="337"/>
      <c r="O6541" s="337" t="s">
        <v>38</v>
      </c>
      <c r="P6541" s="5" t="str">
        <f t="shared" ref="P6541:P6604" si="168">IF(D6541="Datos","Truncate table "&amp; B6541&amp; ";","")</f>
        <v>Truncate table RRP002;</v>
      </c>
      <c r="Q6541" s="337"/>
      <c r="R6541" s="337"/>
    </row>
    <row r="6542" spans="2:18" x14ac:dyDescent="0.25">
      <c r="B6542" s="337" t="s">
        <v>10958</v>
      </c>
      <c r="C6542" s="398" t="s">
        <v>10958</v>
      </c>
      <c r="D6542" s="337" t="s">
        <v>10206</v>
      </c>
      <c r="E6542" s="337" t="s">
        <v>8232</v>
      </c>
      <c r="F6542" s="337" t="s">
        <v>8227</v>
      </c>
      <c r="G6542" s="337" t="s">
        <v>35</v>
      </c>
      <c r="H6542" s="337" t="s">
        <v>36</v>
      </c>
      <c r="I6542" s="71"/>
      <c r="J6542" s="71"/>
      <c r="K6542" s="337"/>
      <c r="L6542" s="337"/>
      <c r="M6542" s="397" t="s">
        <v>10170</v>
      </c>
      <c r="N6542" s="337"/>
      <c r="O6542" s="337" t="s">
        <v>38</v>
      </c>
      <c r="P6542" s="5" t="str">
        <f t="shared" si="168"/>
        <v/>
      </c>
      <c r="Q6542" s="337"/>
      <c r="R6542" s="337"/>
    </row>
    <row r="6543" spans="2:18" x14ac:dyDescent="0.25">
      <c r="B6543" s="337" t="s">
        <v>10959</v>
      </c>
      <c r="C6543" s="398" t="s">
        <v>10960</v>
      </c>
      <c r="D6543" s="337" t="s">
        <v>29</v>
      </c>
      <c r="E6543" s="337" t="s">
        <v>8232</v>
      </c>
      <c r="F6543" s="337" t="s">
        <v>8227</v>
      </c>
      <c r="G6543" s="337" t="s">
        <v>35</v>
      </c>
      <c r="H6543" s="337" t="s">
        <v>36</v>
      </c>
      <c r="I6543" s="71"/>
      <c r="J6543" s="71"/>
      <c r="K6543" s="337"/>
      <c r="L6543" s="337"/>
      <c r="M6543" s="397" t="s">
        <v>10170</v>
      </c>
      <c r="N6543" s="337"/>
      <c r="O6543" s="337" t="s">
        <v>38</v>
      </c>
      <c r="P6543" s="5" t="str">
        <f t="shared" si="168"/>
        <v>Truncate table RRPERS;</v>
      </c>
      <c r="Q6543" s="337"/>
      <c r="R6543" s="337"/>
    </row>
    <row r="6544" spans="2:18" x14ac:dyDescent="0.25">
      <c r="B6544" s="337" t="s">
        <v>10961</v>
      </c>
      <c r="C6544" s="398" t="s">
        <v>10962</v>
      </c>
      <c r="D6544" s="337" t="s">
        <v>29</v>
      </c>
      <c r="E6544" s="337" t="s">
        <v>8232</v>
      </c>
      <c r="F6544" s="337" t="s">
        <v>8227</v>
      </c>
      <c r="G6544" s="337" t="s">
        <v>35</v>
      </c>
      <c r="H6544" s="337" t="s">
        <v>36</v>
      </c>
      <c r="I6544" s="71"/>
      <c r="J6544" s="71"/>
      <c r="K6544" s="337"/>
      <c r="L6544" s="337"/>
      <c r="M6544" s="397" t="s">
        <v>10170</v>
      </c>
      <c r="N6544" s="337"/>
      <c r="O6544" s="337" t="s">
        <v>38</v>
      </c>
      <c r="P6544" s="5" t="str">
        <f t="shared" si="168"/>
        <v>Truncate table RRPETA;</v>
      </c>
      <c r="Q6544" s="337"/>
      <c r="R6544" s="337"/>
    </row>
    <row r="6545" spans="2:18" x14ac:dyDescent="0.25">
      <c r="B6545" s="398" t="s">
        <v>10963</v>
      </c>
      <c r="C6545" s="398" t="s">
        <v>10964</v>
      </c>
      <c r="D6545" s="398" t="s">
        <v>29</v>
      </c>
      <c r="E6545" s="337" t="s">
        <v>8232</v>
      </c>
      <c r="F6545" s="337" t="s">
        <v>8227</v>
      </c>
      <c r="G6545" s="337" t="s">
        <v>35</v>
      </c>
      <c r="H6545" s="337" t="s">
        <v>36</v>
      </c>
      <c r="I6545" s="71"/>
      <c r="J6545" s="71"/>
      <c r="K6545" s="337"/>
      <c r="L6545" s="337"/>
      <c r="M6545" s="397" t="s">
        <v>10170</v>
      </c>
      <c r="N6545" s="337"/>
      <c r="O6545" s="337" t="s">
        <v>38</v>
      </c>
      <c r="P6545" s="5" t="str">
        <f t="shared" si="168"/>
        <v>Truncate table RRPETE;</v>
      </c>
      <c r="Q6545" s="337"/>
      <c r="R6545" s="337"/>
    </row>
    <row r="6546" spans="2:18" x14ac:dyDescent="0.25">
      <c r="B6546" s="398" t="s">
        <v>10965</v>
      </c>
      <c r="C6546" s="398" t="s">
        <v>10966</v>
      </c>
      <c r="D6546" s="398" t="s">
        <v>8152</v>
      </c>
      <c r="E6546" s="337" t="s">
        <v>8232</v>
      </c>
      <c r="F6546" s="337" t="s">
        <v>8227</v>
      </c>
      <c r="G6546" s="337" t="s">
        <v>35</v>
      </c>
      <c r="H6546" s="337" t="s">
        <v>36</v>
      </c>
      <c r="I6546" s="71"/>
      <c r="J6546" s="71"/>
      <c r="K6546" s="337"/>
      <c r="L6546" s="337"/>
      <c r="M6546" s="397" t="s">
        <v>10170</v>
      </c>
      <c r="N6546" s="337"/>
      <c r="O6546" s="337" t="s">
        <v>38</v>
      </c>
      <c r="P6546" s="5" t="str">
        <f t="shared" si="168"/>
        <v/>
      </c>
      <c r="Q6546" s="337"/>
      <c r="R6546" s="337"/>
    </row>
    <row r="6547" spans="2:18" x14ac:dyDescent="0.25">
      <c r="B6547" s="398" t="s">
        <v>10967</v>
      </c>
      <c r="C6547" s="398" t="s">
        <v>10968</v>
      </c>
      <c r="D6547" s="398" t="s">
        <v>29</v>
      </c>
      <c r="E6547" s="337" t="s">
        <v>8232</v>
      </c>
      <c r="F6547" s="337" t="s">
        <v>8227</v>
      </c>
      <c r="G6547" s="337" t="s">
        <v>35</v>
      </c>
      <c r="H6547" s="337" t="s">
        <v>36</v>
      </c>
      <c r="I6547" s="71"/>
      <c r="J6547" s="71"/>
      <c r="K6547" s="337"/>
      <c r="L6547" s="337"/>
      <c r="M6547" s="397" t="s">
        <v>10170</v>
      </c>
      <c r="N6547" s="337"/>
      <c r="O6547" s="337" t="s">
        <v>38</v>
      </c>
      <c r="P6547" s="5" t="str">
        <f t="shared" si="168"/>
        <v>Truncate table RRT001;</v>
      </c>
      <c r="Q6547" s="337"/>
      <c r="R6547" s="337"/>
    </row>
    <row r="6548" spans="2:18" x14ac:dyDescent="0.25">
      <c r="B6548" s="398" t="s">
        <v>10969</v>
      </c>
      <c r="C6548" s="398" t="s">
        <v>10970</v>
      </c>
      <c r="D6548" s="398" t="s">
        <v>29</v>
      </c>
      <c r="E6548" s="337" t="s">
        <v>8232</v>
      </c>
      <c r="F6548" s="337" t="s">
        <v>8227</v>
      </c>
      <c r="G6548" s="337" t="s">
        <v>35</v>
      </c>
      <c r="H6548" s="337" t="s">
        <v>36</v>
      </c>
      <c r="I6548" s="71"/>
      <c r="J6548" s="71"/>
      <c r="K6548" t="s">
        <v>11567</v>
      </c>
      <c r="L6548" s="337"/>
      <c r="M6548" s="397" t="s">
        <v>10170</v>
      </c>
      <c r="N6548" s="337"/>
      <c r="O6548" s="337" t="s">
        <v>38</v>
      </c>
      <c r="P6548" s="5" t="str">
        <f t="shared" si="168"/>
        <v>Truncate table RRT002;</v>
      </c>
      <c r="Q6548" s="337"/>
      <c r="R6548" s="337"/>
    </row>
    <row r="6549" spans="2:18" x14ac:dyDescent="0.25">
      <c r="B6549" s="337" t="s">
        <v>10971</v>
      </c>
      <c r="C6549" s="337" t="s">
        <v>10972</v>
      </c>
      <c r="D6549" s="337" t="s">
        <v>29</v>
      </c>
      <c r="E6549" s="337" t="s">
        <v>151</v>
      </c>
      <c r="F6549" s="337" t="s">
        <v>8214</v>
      </c>
      <c r="G6549" s="337" t="s">
        <v>35</v>
      </c>
      <c r="H6549" s="337" t="s">
        <v>36</v>
      </c>
      <c r="I6549" s="71"/>
      <c r="J6549" s="71"/>
      <c r="K6549" s="337"/>
      <c r="L6549" s="337"/>
      <c r="M6549" s="397" t="s">
        <v>10170</v>
      </c>
      <c r="N6549" s="337"/>
      <c r="O6549" s="337" t="s">
        <v>38</v>
      </c>
      <c r="P6549" s="51" t="str">
        <f t="shared" si="168"/>
        <v>Truncate table SIM001;</v>
      </c>
      <c r="Q6549" s="337"/>
      <c r="R6549" s="337"/>
    </row>
    <row r="6550" spans="2:18" x14ac:dyDescent="0.25">
      <c r="B6550" s="337" t="s">
        <v>10973</v>
      </c>
      <c r="C6550" s="337" t="s">
        <v>10974</v>
      </c>
      <c r="D6550" s="337" t="s">
        <v>29</v>
      </c>
      <c r="E6550" s="337" t="s">
        <v>151</v>
      </c>
      <c r="F6550" s="337" t="s">
        <v>8214</v>
      </c>
      <c r="G6550" s="337" t="s">
        <v>35</v>
      </c>
      <c r="H6550" s="337" t="s">
        <v>36</v>
      </c>
      <c r="I6550" s="71"/>
      <c r="J6550" s="71"/>
      <c r="K6550" s="337"/>
      <c r="L6550" s="337"/>
      <c r="M6550" s="397" t="s">
        <v>10170</v>
      </c>
      <c r="N6550" s="337"/>
      <c r="O6550" s="337" t="s">
        <v>38</v>
      </c>
      <c r="P6550" s="5" t="str">
        <f t="shared" si="168"/>
        <v>Truncate table SIM002;</v>
      </c>
      <c r="Q6550" s="337"/>
      <c r="R6550" s="337"/>
    </row>
    <row r="6551" spans="2:18" x14ac:dyDescent="0.25">
      <c r="B6551" s="337" t="s">
        <v>10975</v>
      </c>
      <c r="C6551" s="337" t="s">
        <v>10976</v>
      </c>
      <c r="D6551" s="337" t="s">
        <v>8152</v>
      </c>
      <c r="E6551" s="337" t="s">
        <v>151</v>
      </c>
      <c r="F6551" s="337" t="s">
        <v>8214</v>
      </c>
      <c r="G6551" s="389" t="s">
        <v>35</v>
      </c>
      <c r="H6551" s="337" t="s">
        <v>36</v>
      </c>
      <c r="I6551" s="71"/>
      <c r="J6551" s="71"/>
      <c r="K6551" s="337"/>
      <c r="L6551" s="337"/>
      <c r="M6551" s="397" t="s">
        <v>10170</v>
      </c>
      <c r="N6551" s="337"/>
      <c r="O6551" s="337" t="s">
        <v>38</v>
      </c>
      <c r="P6551" s="10" t="str">
        <f t="shared" si="168"/>
        <v/>
      </c>
      <c r="Q6551" s="337"/>
      <c r="R6551" s="337"/>
    </row>
    <row r="6552" spans="2:18" x14ac:dyDescent="0.25">
      <c r="B6552" s="337" t="s">
        <v>10977</v>
      </c>
      <c r="C6552" s="337" t="s">
        <v>10978</v>
      </c>
      <c r="D6552" s="337" t="s">
        <v>29</v>
      </c>
      <c r="E6552" s="337" t="s">
        <v>54</v>
      </c>
      <c r="F6552" s="337" t="s">
        <v>163</v>
      </c>
      <c r="G6552" s="337" t="s">
        <v>35</v>
      </c>
      <c r="H6552" s="337" t="s">
        <v>36</v>
      </c>
      <c r="I6552" s="337"/>
      <c r="J6552" s="337"/>
      <c r="K6552" s="337"/>
      <c r="L6552" s="337"/>
      <c r="M6552" s="395" t="s">
        <v>10170</v>
      </c>
      <c r="N6552" s="337"/>
      <c r="O6552" s="167" t="s">
        <v>38</v>
      </c>
      <c r="P6552" s="5" t="str">
        <f t="shared" si="168"/>
        <v>Truncate table SNG0480;</v>
      </c>
      <c r="Q6552" s="337"/>
      <c r="R6552" s="337"/>
    </row>
    <row r="6553" spans="2:18" x14ac:dyDescent="0.25">
      <c r="B6553" s="337" t="s">
        <v>10979</v>
      </c>
      <c r="C6553" s="337" t="s">
        <v>10980</v>
      </c>
      <c r="D6553" s="337" t="s">
        <v>8152</v>
      </c>
      <c r="E6553" s="337" t="s">
        <v>54</v>
      </c>
      <c r="F6553" s="337" t="s">
        <v>163</v>
      </c>
      <c r="G6553" s="337" t="s">
        <v>35</v>
      </c>
      <c r="H6553" s="337" t="s">
        <v>36</v>
      </c>
      <c r="I6553" s="337"/>
      <c r="J6553" s="337"/>
      <c r="K6553" s="337"/>
      <c r="L6553" s="337"/>
      <c r="M6553" s="395" t="s">
        <v>10170</v>
      </c>
      <c r="N6553" s="337"/>
      <c r="O6553" s="167" t="s">
        <v>38</v>
      </c>
      <c r="P6553" s="5" t="str">
        <f t="shared" si="168"/>
        <v/>
      </c>
      <c r="Q6553" s="337"/>
      <c r="R6553" s="337"/>
    </row>
    <row r="6554" spans="2:18" x14ac:dyDescent="0.25">
      <c r="B6554" s="337" t="s">
        <v>10981</v>
      </c>
      <c r="C6554" s="337" t="s">
        <v>10982</v>
      </c>
      <c r="D6554" s="337" t="s">
        <v>29</v>
      </c>
      <c r="E6554" s="337" t="s">
        <v>54</v>
      </c>
      <c r="F6554" s="337" t="s">
        <v>163</v>
      </c>
      <c r="G6554" s="337" t="s">
        <v>35</v>
      </c>
      <c r="H6554" s="337" t="s">
        <v>36</v>
      </c>
      <c r="I6554" s="337"/>
      <c r="J6554" s="337"/>
      <c r="K6554" s="337"/>
      <c r="L6554" s="337"/>
      <c r="M6554" s="395" t="s">
        <v>10170</v>
      </c>
      <c r="N6554" s="337"/>
      <c r="O6554" s="167" t="s">
        <v>38</v>
      </c>
      <c r="P6554" s="5" t="str">
        <f t="shared" si="168"/>
        <v>Truncate table SNG130;</v>
      </c>
      <c r="Q6554" s="337"/>
      <c r="R6554" s="337"/>
    </row>
    <row r="6555" spans="2:18" x14ac:dyDescent="0.25">
      <c r="B6555" s="337" t="s">
        <v>10983</v>
      </c>
      <c r="C6555" s="337" t="s">
        <v>10984</v>
      </c>
      <c r="D6555" s="337" t="s">
        <v>29</v>
      </c>
      <c r="E6555" s="337" t="s">
        <v>54</v>
      </c>
      <c r="F6555" s="337" t="s">
        <v>163</v>
      </c>
      <c r="G6555" s="337" t="s">
        <v>35</v>
      </c>
      <c r="H6555" s="337" t="s">
        <v>36</v>
      </c>
      <c r="I6555" s="337"/>
      <c r="J6555" s="337"/>
      <c r="K6555" s="337"/>
      <c r="L6555" s="337"/>
      <c r="M6555" s="395" t="s">
        <v>10170</v>
      </c>
      <c r="N6555" s="337"/>
      <c r="O6555" s="167" t="s">
        <v>38</v>
      </c>
      <c r="P6555" s="5" t="str">
        <f t="shared" si="168"/>
        <v>Truncate table SNG131;</v>
      </c>
      <c r="Q6555" s="337"/>
      <c r="R6555" s="337"/>
    </row>
    <row r="6556" spans="2:18" x14ac:dyDescent="0.25">
      <c r="B6556" s="337" t="s">
        <v>10985</v>
      </c>
      <c r="C6556" s="337" t="s">
        <v>10986</v>
      </c>
      <c r="D6556" s="337" t="s">
        <v>8152</v>
      </c>
      <c r="E6556" s="337" t="s">
        <v>54</v>
      </c>
      <c r="F6556" s="337" t="s">
        <v>163</v>
      </c>
      <c r="G6556" s="337" t="s">
        <v>35</v>
      </c>
      <c r="H6556" s="337" t="s">
        <v>36</v>
      </c>
      <c r="I6556" s="337"/>
      <c r="J6556" s="337"/>
      <c r="K6556" s="337"/>
      <c r="L6556" s="337"/>
      <c r="M6556" s="395" t="s">
        <v>10170</v>
      </c>
      <c r="N6556" s="337"/>
      <c r="O6556" s="167" t="s">
        <v>38</v>
      </c>
      <c r="P6556" s="5" t="str">
        <f t="shared" si="168"/>
        <v/>
      </c>
      <c r="Q6556" s="337"/>
      <c r="R6556" s="337"/>
    </row>
    <row r="6557" spans="2:18" x14ac:dyDescent="0.25">
      <c r="B6557" s="337" t="s">
        <v>10987</v>
      </c>
      <c r="C6557" s="337" t="s">
        <v>10988</v>
      </c>
      <c r="D6557" s="337" t="s">
        <v>29</v>
      </c>
      <c r="E6557" s="337" t="s">
        <v>54</v>
      </c>
      <c r="F6557" s="337" t="s">
        <v>163</v>
      </c>
      <c r="G6557" s="337" t="s">
        <v>35</v>
      </c>
      <c r="H6557" s="337" t="s">
        <v>36</v>
      </c>
      <c r="I6557" s="337"/>
      <c r="J6557" s="337"/>
      <c r="K6557" s="337"/>
      <c r="L6557" s="337"/>
      <c r="M6557" s="395" t="s">
        <v>10170</v>
      </c>
      <c r="N6557" s="337"/>
      <c r="O6557" s="167" t="s">
        <v>38</v>
      </c>
      <c r="P6557" s="5" t="str">
        <f t="shared" si="168"/>
        <v>Truncate table SNG238;</v>
      </c>
      <c r="Q6557" s="337"/>
      <c r="R6557" s="337"/>
    </row>
    <row r="6558" spans="2:18" x14ac:dyDescent="0.25">
      <c r="B6558" s="337" t="s">
        <v>10989</v>
      </c>
      <c r="C6558" s="337" t="s">
        <v>10990</v>
      </c>
      <c r="D6558" s="337" t="s">
        <v>29</v>
      </c>
      <c r="E6558" s="337" t="s">
        <v>54</v>
      </c>
      <c r="F6558" s="337" t="s">
        <v>163</v>
      </c>
      <c r="G6558" s="337" t="s">
        <v>35</v>
      </c>
      <c r="H6558" s="337" t="s">
        <v>36</v>
      </c>
      <c r="I6558" s="337"/>
      <c r="J6558" s="337"/>
      <c r="K6558" s="337"/>
      <c r="L6558" s="337"/>
      <c r="M6558" s="395" t="s">
        <v>10170</v>
      </c>
      <c r="N6558" s="337"/>
      <c r="O6558" s="167" t="s">
        <v>38</v>
      </c>
      <c r="P6558" s="5" t="str">
        <f t="shared" si="168"/>
        <v>Truncate table SNG345;</v>
      </c>
      <c r="Q6558" s="337"/>
      <c r="R6558" s="337"/>
    </row>
    <row r="6559" spans="2:18" x14ac:dyDescent="0.25">
      <c r="B6559" s="337" t="s">
        <v>10991</v>
      </c>
      <c r="C6559" s="337" t="s">
        <v>10992</v>
      </c>
      <c r="D6559" s="337" t="s">
        <v>29</v>
      </c>
      <c r="E6559" s="337" t="s">
        <v>54</v>
      </c>
      <c r="F6559" s="337" t="s">
        <v>163</v>
      </c>
      <c r="G6559" s="337" t="s">
        <v>35</v>
      </c>
      <c r="H6559" s="337" t="s">
        <v>36</v>
      </c>
      <c r="I6559" s="337"/>
      <c r="J6559" s="337"/>
      <c r="K6559" s="337"/>
      <c r="L6559" s="337"/>
      <c r="M6559" s="395" t="s">
        <v>10170</v>
      </c>
      <c r="N6559" s="337"/>
      <c r="O6559" s="167" t="s">
        <v>38</v>
      </c>
      <c r="P6559" s="5" t="str">
        <f t="shared" si="168"/>
        <v>Truncate table SNG437;</v>
      </c>
      <c r="Q6559" s="337"/>
      <c r="R6559" s="337"/>
    </row>
    <row r="6560" spans="2:18" x14ac:dyDescent="0.25">
      <c r="B6560" s="337" t="s">
        <v>10993</v>
      </c>
      <c r="C6560" s="337" t="s">
        <v>10994</v>
      </c>
      <c r="D6560" s="337" t="s">
        <v>29</v>
      </c>
      <c r="E6560" s="337" t="s">
        <v>54</v>
      </c>
      <c r="F6560" s="337" t="s">
        <v>163</v>
      </c>
      <c r="G6560" s="337" t="s">
        <v>35</v>
      </c>
      <c r="H6560" s="337" t="s">
        <v>36</v>
      </c>
      <c r="I6560" s="337"/>
      <c r="J6560" s="337"/>
      <c r="K6560" s="337"/>
      <c r="L6560" s="337"/>
      <c r="M6560" s="395" t="s">
        <v>10170</v>
      </c>
      <c r="N6560" s="337"/>
      <c r="O6560" s="167" t="s">
        <v>38</v>
      </c>
      <c r="P6560" s="5" t="str">
        <f t="shared" si="168"/>
        <v>Truncate table SNG438;</v>
      </c>
      <c r="Q6560" s="337"/>
      <c r="R6560" s="337"/>
    </row>
    <row r="6561" spans="2:18" x14ac:dyDescent="0.25">
      <c r="B6561" s="337" t="s">
        <v>10995</v>
      </c>
      <c r="C6561" s="337" t="s">
        <v>10996</v>
      </c>
      <c r="D6561" s="337" t="s">
        <v>29</v>
      </c>
      <c r="E6561" s="337" t="s">
        <v>54</v>
      </c>
      <c r="F6561" s="337" t="s">
        <v>163</v>
      </c>
      <c r="G6561" s="337" t="s">
        <v>35</v>
      </c>
      <c r="H6561" s="337" t="s">
        <v>36</v>
      </c>
      <c r="I6561" s="337"/>
      <c r="J6561" s="337"/>
      <c r="K6561" s="337"/>
      <c r="L6561" s="337"/>
      <c r="M6561" s="395" t="s">
        <v>10170</v>
      </c>
      <c r="N6561" s="337"/>
      <c r="O6561" s="167" t="s">
        <v>38</v>
      </c>
      <c r="P6561" s="5" t="str">
        <f t="shared" si="168"/>
        <v>Truncate table SNG917;</v>
      </c>
      <c r="Q6561" s="337"/>
      <c r="R6561" s="337"/>
    </row>
    <row r="6562" spans="2:18" x14ac:dyDescent="0.25">
      <c r="B6562" s="337" t="s">
        <v>10997</v>
      </c>
      <c r="C6562" s="337" t="s">
        <v>10998</v>
      </c>
      <c r="D6562" s="337" t="s">
        <v>29</v>
      </c>
      <c r="E6562" s="337" t="s">
        <v>54</v>
      </c>
      <c r="F6562" s="337" t="s">
        <v>163</v>
      </c>
      <c r="G6562" s="337" t="s">
        <v>35</v>
      </c>
      <c r="H6562" s="337" t="s">
        <v>36</v>
      </c>
      <c r="I6562" s="337"/>
      <c r="J6562" s="337"/>
      <c r="K6562" s="337"/>
      <c r="L6562" s="337"/>
      <c r="M6562" s="395" t="s">
        <v>10170</v>
      </c>
      <c r="N6562" s="337"/>
      <c r="O6562" s="167" t="s">
        <v>38</v>
      </c>
      <c r="P6562" s="5" t="str">
        <f t="shared" si="168"/>
        <v>Truncate table SNGC156;</v>
      </c>
      <c r="Q6562" s="337"/>
      <c r="R6562" s="337"/>
    </row>
    <row r="6563" spans="2:18" x14ac:dyDescent="0.25">
      <c r="B6563" s="337" t="s">
        <v>10999</v>
      </c>
      <c r="C6563" s="337" t="s">
        <v>11000</v>
      </c>
      <c r="D6563" s="337" t="s">
        <v>29</v>
      </c>
      <c r="E6563" s="337" t="s">
        <v>54</v>
      </c>
      <c r="F6563" s="337" t="s">
        <v>163</v>
      </c>
      <c r="G6563" s="337" t="s">
        <v>35</v>
      </c>
      <c r="H6563" s="337" t="s">
        <v>36</v>
      </c>
      <c r="I6563" s="337"/>
      <c r="J6563" s="337"/>
      <c r="K6563" s="337"/>
      <c r="L6563" s="337"/>
      <c r="M6563" s="395" t="s">
        <v>10170</v>
      </c>
      <c r="N6563" s="337"/>
      <c r="O6563" s="167" t="s">
        <v>38</v>
      </c>
      <c r="P6563" s="5" t="str">
        <f t="shared" si="168"/>
        <v>Truncate table SNGC157;</v>
      </c>
      <c r="Q6563" s="337"/>
      <c r="R6563" s="337"/>
    </row>
    <row r="6564" spans="2:18" x14ac:dyDescent="0.25">
      <c r="B6564" s="337" t="s">
        <v>11001</v>
      </c>
      <c r="C6564" s="337" t="s">
        <v>11002</v>
      </c>
      <c r="D6564" s="337" t="s">
        <v>8152</v>
      </c>
      <c r="E6564" s="337" t="s">
        <v>54</v>
      </c>
      <c r="F6564" s="337" t="s">
        <v>163</v>
      </c>
      <c r="G6564" s="337" t="s">
        <v>35</v>
      </c>
      <c r="H6564" s="337" t="s">
        <v>36</v>
      </c>
      <c r="I6564" s="337"/>
      <c r="J6564" s="337"/>
      <c r="K6564" s="337"/>
      <c r="L6564" s="337"/>
      <c r="M6564" s="395" t="s">
        <v>10170</v>
      </c>
      <c r="N6564" s="337"/>
      <c r="O6564" s="167" t="s">
        <v>38</v>
      </c>
      <c r="P6564" s="5" t="str">
        <f t="shared" si="168"/>
        <v/>
      </c>
      <c r="Q6564" s="337"/>
      <c r="R6564" s="337"/>
    </row>
    <row r="6565" spans="2:18" x14ac:dyDescent="0.25">
      <c r="B6565" s="337" t="s">
        <v>11003</v>
      </c>
      <c r="C6565" s="337" t="s">
        <v>11004</v>
      </c>
      <c r="D6565" s="337" t="s">
        <v>8152</v>
      </c>
      <c r="E6565" s="337" t="s">
        <v>54</v>
      </c>
      <c r="F6565" s="337" t="s">
        <v>163</v>
      </c>
      <c r="G6565" s="337" t="s">
        <v>35</v>
      </c>
      <c r="H6565" s="337" t="s">
        <v>36</v>
      </c>
      <c r="I6565" s="337"/>
      <c r="J6565" s="337"/>
      <c r="K6565" s="337"/>
      <c r="L6565" s="337"/>
      <c r="M6565" s="395" t="s">
        <v>10170</v>
      </c>
      <c r="N6565" s="337"/>
      <c r="O6565" s="167" t="s">
        <v>38</v>
      </c>
      <c r="P6565" s="5" t="str">
        <f t="shared" si="168"/>
        <v/>
      </c>
      <c r="Q6565" s="337"/>
      <c r="R6565" s="337"/>
    </row>
    <row r="6566" spans="2:18" x14ac:dyDescent="0.25">
      <c r="B6566" s="337" t="s">
        <v>11005</v>
      </c>
      <c r="C6566" s="337" t="s">
        <v>11006</v>
      </c>
      <c r="D6566" s="337" t="s">
        <v>29</v>
      </c>
      <c r="E6566" s="337" t="s">
        <v>54</v>
      </c>
      <c r="F6566" s="337" t="s">
        <v>163</v>
      </c>
      <c r="G6566" s="337" t="s">
        <v>35</v>
      </c>
      <c r="H6566" s="337" t="s">
        <v>36</v>
      </c>
      <c r="I6566" s="337"/>
      <c r="J6566" s="337"/>
      <c r="K6566" s="337"/>
      <c r="L6566" s="337"/>
      <c r="M6566" s="395" t="s">
        <v>10170</v>
      </c>
      <c r="N6566" s="337"/>
      <c r="O6566" s="167" t="s">
        <v>38</v>
      </c>
      <c r="P6566" s="5" t="str">
        <f t="shared" si="168"/>
        <v>Truncate table SNGC80;</v>
      </c>
      <c r="Q6566" s="337"/>
      <c r="R6566" s="337"/>
    </row>
    <row r="6567" spans="2:18" x14ac:dyDescent="0.25">
      <c r="B6567" s="337" t="s">
        <v>11007</v>
      </c>
      <c r="C6567" s="337" t="s">
        <v>11008</v>
      </c>
      <c r="D6567" s="337" t="s">
        <v>29</v>
      </c>
      <c r="E6567" s="337" t="s">
        <v>54</v>
      </c>
      <c r="F6567" s="337" t="s">
        <v>163</v>
      </c>
      <c r="G6567" s="337" t="s">
        <v>35</v>
      </c>
      <c r="H6567" s="337" t="s">
        <v>36</v>
      </c>
      <c r="I6567" s="337"/>
      <c r="J6567" s="337"/>
      <c r="K6567" s="337"/>
      <c r="L6567" s="337"/>
      <c r="M6567" s="395" t="s">
        <v>10170</v>
      </c>
      <c r="N6567" s="337"/>
      <c r="O6567" s="167" t="s">
        <v>38</v>
      </c>
      <c r="P6567" s="5" t="str">
        <f t="shared" si="168"/>
        <v>Truncate table SNGC81;</v>
      </c>
      <c r="Q6567" s="337"/>
      <c r="R6567" s="337"/>
    </row>
    <row r="6568" spans="2:18" x14ac:dyDescent="0.25">
      <c r="B6568" s="337" t="s">
        <v>11009</v>
      </c>
      <c r="C6568" s="337" t="s">
        <v>11010</v>
      </c>
      <c r="D6568" s="337" t="s">
        <v>29</v>
      </c>
      <c r="E6568" s="337" t="s">
        <v>54</v>
      </c>
      <c r="F6568" s="337" t="s">
        <v>163</v>
      </c>
      <c r="G6568" s="337" t="s">
        <v>35</v>
      </c>
      <c r="H6568" s="337" t="s">
        <v>36</v>
      </c>
      <c r="I6568" s="337"/>
      <c r="J6568" s="337"/>
      <c r="K6568" s="337"/>
      <c r="L6568" s="337"/>
      <c r="M6568" s="395" t="s">
        <v>10170</v>
      </c>
      <c r="N6568" s="337"/>
      <c r="O6568" s="167" t="s">
        <v>38</v>
      </c>
      <c r="P6568" s="5" t="str">
        <f t="shared" si="168"/>
        <v>Truncate table SNGC88;</v>
      </c>
      <c r="Q6568" s="337"/>
      <c r="R6568" s="337"/>
    </row>
    <row r="6569" spans="2:18" x14ac:dyDescent="0.25">
      <c r="B6569" s="337" t="s">
        <v>11011</v>
      </c>
      <c r="C6569" s="337" t="s">
        <v>11012</v>
      </c>
      <c r="D6569" s="337" t="s">
        <v>29</v>
      </c>
      <c r="E6569" s="337" t="s">
        <v>54</v>
      </c>
      <c r="F6569" s="337" t="s">
        <v>163</v>
      </c>
      <c r="G6569" s="337" t="s">
        <v>35</v>
      </c>
      <c r="H6569" s="337" t="s">
        <v>36</v>
      </c>
      <c r="I6569" s="337"/>
      <c r="J6569" s="337"/>
      <c r="K6569" s="337"/>
      <c r="L6569" s="337"/>
      <c r="M6569" s="395" t="s">
        <v>10170</v>
      </c>
      <c r="N6569" s="337"/>
      <c r="O6569" s="167" t="s">
        <v>38</v>
      </c>
      <c r="P6569" s="5" t="str">
        <f t="shared" si="168"/>
        <v>Truncate table SNGCOJ;</v>
      </c>
      <c r="Q6569" s="337"/>
      <c r="R6569" s="337"/>
    </row>
    <row r="6570" spans="2:18" x14ac:dyDescent="0.25">
      <c r="B6570" s="337" t="s">
        <v>11013</v>
      </c>
      <c r="C6570" s="337" t="s">
        <v>11014</v>
      </c>
      <c r="D6570" s="337" t="s">
        <v>8152</v>
      </c>
      <c r="E6570" s="337" t="s">
        <v>54</v>
      </c>
      <c r="F6570" s="337" t="s">
        <v>163</v>
      </c>
      <c r="G6570" s="337" t="s">
        <v>35</v>
      </c>
      <c r="H6570" s="337" t="s">
        <v>36</v>
      </c>
      <c r="I6570" s="337"/>
      <c r="J6570" s="337"/>
      <c r="K6570" s="337"/>
      <c r="L6570" s="337"/>
      <c r="M6570" s="395" t="s">
        <v>10170</v>
      </c>
      <c r="N6570" s="337"/>
      <c r="O6570" s="167" t="s">
        <v>38</v>
      </c>
      <c r="P6570" s="5" t="str">
        <f t="shared" si="168"/>
        <v/>
      </c>
      <c r="Q6570" s="337"/>
      <c r="R6570" s="337"/>
    </row>
    <row r="6571" spans="2:18" x14ac:dyDescent="0.25">
      <c r="B6571" s="389" t="s">
        <v>11015</v>
      </c>
      <c r="C6571" s="389" t="s">
        <v>11016</v>
      </c>
      <c r="D6571" s="389" t="s">
        <v>29</v>
      </c>
      <c r="E6571" s="389" t="s">
        <v>54</v>
      </c>
      <c r="F6571" s="389" t="s">
        <v>163</v>
      </c>
      <c r="G6571" s="389" t="s">
        <v>35</v>
      </c>
      <c r="H6571" s="389" t="s">
        <v>36</v>
      </c>
      <c r="I6571" s="71"/>
      <c r="J6571" s="71"/>
      <c r="K6571" s="389"/>
      <c r="L6571" s="389"/>
      <c r="M6571" s="393" t="s">
        <v>10170</v>
      </c>
      <c r="N6571" s="389"/>
      <c r="O6571" s="404" t="s">
        <v>38</v>
      </c>
      <c r="P6571" s="10" t="str">
        <f t="shared" ref="P6571" si="169">IF(D6571="Datos","Truncate table "&amp; B6571&amp; ";","")</f>
        <v>Truncate table SNGDP1;</v>
      </c>
      <c r="Q6571" s="389"/>
      <c r="R6571" s="389"/>
    </row>
    <row r="6572" spans="2:18" x14ac:dyDescent="0.25">
      <c r="B6572" s="337" t="s">
        <v>11017</v>
      </c>
      <c r="C6572" s="337" t="s">
        <v>11018</v>
      </c>
      <c r="D6572" s="337" t="s">
        <v>29</v>
      </c>
      <c r="E6572" s="337" t="s">
        <v>151</v>
      </c>
      <c r="F6572" s="337" t="s">
        <v>8216</v>
      </c>
      <c r="G6572" s="337" t="s">
        <v>35</v>
      </c>
      <c r="H6572" s="337" t="s">
        <v>12</v>
      </c>
      <c r="I6572" s="337"/>
      <c r="J6572" s="337"/>
      <c r="K6572" s="337"/>
      <c r="L6572" s="337"/>
      <c r="M6572" s="395" t="s">
        <v>8149</v>
      </c>
      <c r="N6572" s="337"/>
      <c r="O6572" s="167" t="s">
        <v>8149</v>
      </c>
      <c r="P6572" s="5" t="str">
        <f t="shared" si="168"/>
        <v>Truncate table SNW013;</v>
      </c>
      <c r="Q6572" s="337" t="s">
        <v>8129</v>
      </c>
      <c r="R6572" s="337"/>
    </row>
    <row r="6573" spans="2:18" x14ac:dyDescent="0.25">
      <c r="B6573" s="337" t="s">
        <v>11019</v>
      </c>
      <c r="C6573" s="337" t="s">
        <v>11020</v>
      </c>
      <c r="D6573" s="337" t="s">
        <v>29</v>
      </c>
      <c r="E6573" s="337" t="s">
        <v>151</v>
      </c>
      <c r="F6573" s="337" t="s">
        <v>8216</v>
      </c>
      <c r="G6573" s="337" t="s">
        <v>35</v>
      </c>
      <c r="H6573" s="337" t="s">
        <v>12</v>
      </c>
      <c r="I6573" s="337"/>
      <c r="J6573" s="337"/>
      <c r="K6573" s="337"/>
      <c r="L6573" s="337"/>
      <c r="M6573" s="395" t="s">
        <v>8149</v>
      </c>
      <c r="N6573" s="337"/>
      <c r="O6573" s="167" t="s">
        <v>8149</v>
      </c>
      <c r="P6573" s="5" t="str">
        <f t="shared" si="168"/>
        <v>Truncate table SNWI01;</v>
      </c>
      <c r="Q6573" s="337" t="s">
        <v>8129</v>
      </c>
      <c r="R6573" s="337"/>
    </row>
    <row r="6574" spans="2:18" x14ac:dyDescent="0.25">
      <c r="B6574" s="337" t="s">
        <v>11021</v>
      </c>
      <c r="C6574" s="337" t="s">
        <v>11022</v>
      </c>
      <c r="D6574" s="337" t="s">
        <v>29</v>
      </c>
      <c r="E6574" s="337" t="s">
        <v>151</v>
      </c>
      <c r="F6574" s="337" t="s">
        <v>8216</v>
      </c>
      <c r="G6574" s="337" t="s">
        <v>35</v>
      </c>
      <c r="H6574" s="337" t="s">
        <v>12</v>
      </c>
      <c r="I6574" s="337"/>
      <c r="J6574" s="337"/>
      <c r="K6574" s="337"/>
      <c r="L6574" s="337"/>
      <c r="M6574" s="395" t="s">
        <v>8149</v>
      </c>
      <c r="N6574" s="337"/>
      <c r="O6574" s="167" t="s">
        <v>8149</v>
      </c>
      <c r="P6574" s="5" t="str">
        <f t="shared" si="168"/>
        <v>Truncate table SNWI02;</v>
      </c>
      <c r="Q6574" s="337" t="s">
        <v>8129</v>
      </c>
      <c r="R6574" s="337"/>
    </row>
    <row r="6575" spans="2:18" x14ac:dyDescent="0.25">
      <c r="B6575" s="337" t="s">
        <v>11023</v>
      </c>
      <c r="C6575" s="337" t="s">
        <v>11024</v>
      </c>
      <c r="D6575" s="337" t="s">
        <v>29</v>
      </c>
      <c r="E6575" s="337" t="s">
        <v>151</v>
      </c>
      <c r="F6575" s="337" t="s">
        <v>8216</v>
      </c>
      <c r="G6575" s="337" t="s">
        <v>35</v>
      </c>
      <c r="H6575" s="337" t="s">
        <v>12</v>
      </c>
      <c r="I6575" s="337"/>
      <c r="J6575" s="337"/>
      <c r="K6575" s="337"/>
      <c r="L6575" s="337"/>
      <c r="M6575" s="395" t="s">
        <v>8149</v>
      </c>
      <c r="N6575" s="337"/>
      <c r="O6575" s="167" t="s">
        <v>8149</v>
      </c>
      <c r="P6575" s="5" t="str">
        <f t="shared" si="168"/>
        <v>Truncate table SNWI03;</v>
      </c>
      <c r="Q6575" s="337" t="s">
        <v>8129</v>
      </c>
      <c r="R6575" s="337"/>
    </row>
    <row r="6576" spans="2:18" x14ac:dyDescent="0.25">
      <c r="B6576" s="337" t="s">
        <v>11025</v>
      </c>
      <c r="C6576" s="337" t="s">
        <v>11026</v>
      </c>
      <c r="D6576" s="337" t="s">
        <v>29</v>
      </c>
      <c r="E6576" s="337" t="s">
        <v>151</v>
      </c>
      <c r="F6576" s="337" t="s">
        <v>8216</v>
      </c>
      <c r="G6576" s="337" t="s">
        <v>35</v>
      </c>
      <c r="H6576" s="337" t="s">
        <v>12</v>
      </c>
      <c r="I6576" s="337"/>
      <c r="J6576" s="337"/>
      <c r="K6576" s="337"/>
      <c r="L6576" s="337"/>
      <c r="M6576" s="395" t="s">
        <v>8149</v>
      </c>
      <c r="N6576" s="337"/>
      <c r="O6576" s="167" t="s">
        <v>8149</v>
      </c>
      <c r="P6576" s="5" t="str">
        <f t="shared" si="168"/>
        <v>Truncate table SNWI04;</v>
      </c>
      <c r="Q6576" s="337" t="s">
        <v>8129</v>
      </c>
      <c r="R6576" s="337"/>
    </row>
    <row r="6577" spans="2:18" x14ac:dyDescent="0.25">
      <c r="B6577" s="337" t="s">
        <v>11027</v>
      </c>
      <c r="C6577" s="337" t="s">
        <v>11028</v>
      </c>
      <c r="D6577" s="337" t="s">
        <v>29</v>
      </c>
      <c r="E6577" s="337" t="s">
        <v>734</v>
      </c>
      <c r="F6577" s="337" t="s">
        <v>8248</v>
      </c>
      <c r="G6577" s="400" t="s">
        <v>35</v>
      </c>
      <c r="H6577" s="337" t="s">
        <v>12</v>
      </c>
      <c r="I6577" s="337"/>
      <c r="J6577" s="337"/>
      <c r="K6577" s="337"/>
      <c r="L6577" s="337"/>
      <c r="M6577" s="395" t="s">
        <v>8149</v>
      </c>
      <c r="N6577" s="337"/>
      <c r="O6577" s="167" t="s">
        <v>8149</v>
      </c>
      <c r="P6577" s="403" t="str">
        <f t="shared" si="168"/>
        <v>Truncate table TCW005;</v>
      </c>
      <c r="Q6577" s="337"/>
      <c r="R6577" s="337"/>
    </row>
    <row r="6578" spans="2:18" x14ac:dyDescent="0.25">
      <c r="B6578" s="337" t="s">
        <v>11029</v>
      </c>
      <c r="C6578" s="337" t="s">
        <v>7999</v>
      </c>
      <c r="D6578" s="337" t="s">
        <v>29</v>
      </c>
      <c r="E6578" s="337" t="s">
        <v>151</v>
      </c>
      <c r="F6578" s="337" t="s">
        <v>8215</v>
      </c>
      <c r="G6578" s="337" t="s">
        <v>35</v>
      </c>
      <c r="H6578" s="337" t="s">
        <v>36</v>
      </c>
      <c r="I6578" s="337"/>
      <c r="J6578" s="337"/>
      <c r="K6578" s="337"/>
      <c r="L6578" s="337"/>
      <c r="M6578" s="395" t="s">
        <v>10170</v>
      </c>
      <c r="N6578" s="337"/>
      <c r="O6578" s="167" t="s">
        <v>38</v>
      </c>
      <c r="P6578" s="5" t="str">
        <f t="shared" si="168"/>
        <v>Truncate table TDD044;</v>
      </c>
      <c r="Q6578" s="337"/>
      <c r="R6578" s="337"/>
    </row>
    <row r="6579" spans="2:18" x14ac:dyDescent="0.25">
      <c r="B6579" s="337" t="s">
        <v>11030</v>
      </c>
      <c r="C6579" s="337" t="s">
        <v>11031</v>
      </c>
      <c r="D6579" s="337" t="s">
        <v>29</v>
      </c>
      <c r="E6579" s="337" t="s">
        <v>151</v>
      </c>
      <c r="F6579" s="337" t="s">
        <v>8215</v>
      </c>
      <c r="G6579" s="337" t="s">
        <v>35</v>
      </c>
      <c r="H6579" s="337" t="s">
        <v>36</v>
      </c>
      <c r="I6579" s="337"/>
      <c r="J6579" s="337"/>
      <c r="K6579" s="337"/>
      <c r="L6579" s="337"/>
      <c r="M6579" s="395" t="s">
        <v>10170</v>
      </c>
      <c r="N6579" s="337"/>
      <c r="O6579" s="167" t="s">
        <v>38</v>
      </c>
      <c r="P6579" s="5" t="str">
        <f t="shared" si="168"/>
        <v>Truncate table TDD053;</v>
      </c>
      <c r="Q6579" s="337"/>
      <c r="R6579" s="337"/>
    </row>
    <row r="6580" spans="2:18" x14ac:dyDescent="0.25">
      <c r="B6580" s="337" t="s">
        <v>11032</v>
      </c>
      <c r="C6580" s="337" t="s">
        <v>11033</v>
      </c>
      <c r="D6580" s="337" t="s">
        <v>29</v>
      </c>
      <c r="E6580" s="337" t="s">
        <v>151</v>
      </c>
      <c r="F6580" s="337" t="s">
        <v>8215</v>
      </c>
      <c r="G6580" s="337" t="s">
        <v>35</v>
      </c>
      <c r="H6580" s="337" t="s">
        <v>36</v>
      </c>
      <c r="I6580" s="337"/>
      <c r="J6580" s="337"/>
      <c r="K6580" s="337"/>
      <c r="L6580" s="337"/>
      <c r="M6580" s="395" t="s">
        <v>10170</v>
      </c>
      <c r="N6580" s="337"/>
      <c r="O6580" s="167" t="s">
        <v>38</v>
      </c>
      <c r="P6580" s="5" t="str">
        <f t="shared" si="168"/>
        <v>Truncate table TDD054;</v>
      </c>
      <c r="Q6580" s="337"/>
      <c r="R6580" s="337"/>
    </row>
    <row r="6581" spans="2:18" x14ac:dyDescent="0.25">
      <c r="B6581" s="337" t="s">
        <v>11034</v>
      </c>
      <c r="C6581" s="337" t="s">
        <v>11035</v>
      </c>
      <c r="D6581" s="337" t="s">
        <v>29</v>
      </c>
      <c r="E6581" s="337" t="s">
        <v>151</v>
      </c>
      <c r="F6581" s="337" t="s">
        <v>8215</v>
      </c>
      <c r="G6581" s="337" t="s">
        <v>35</v>
      </c>
      <c r="H6581" s="337" t="s">
        <v>36</v>
      </c>
      <c r="I6581" s="337"/>
      <c r="J6581" s="337"/>
      <c r="K6581" s="337"/>
      <c r="L6581" s="337"/>
      <c r="M6581" s="395" t="s">
        <v>10170</v>
      </c>
      <c r="N6581" s="337"/>
      <c r="O6581" s="167" t="s">
        <v>38</v>
      </c>
      <c r="P6581" s="5" t="str">
        <f t="shared" si="168"/>
        <v>Truncate table TDD055;</v>
      </c>
      <c r="Q6581" s="337"/>
      <c r="R6581" s="337"/>
    </row>
    <row r="6582" spans="2:18" x14ac:dyDescent="0.25">
      <c r="B6582" s="337" t="s">
        <v>11036</v>
      </c>
      <c r="C6582" s="337" t="s">
        <v>11037</v>
      </c>
      <c r="D6582" s="337" t="s">
        <v>29</v>
      </c>
      <c r="E6582" s="337" t="s">
        <v>151</v>
      </c>
      <c r="F6582" s="337" t="s">
        <v>8215</v>
      </c>
      <c r="G6582" s="337" t="s">
        <v>35</v>
      </c>
      <c r="H6582" s="337" t="s">
        <v>36</v>
      </c>
      <c r="I6582" s="337"/>
      <c r="J6582" s="337"/>
      <c r="K6582" s="337"/>
      <c r="L6582" s="337"/>
      <c r="M6582" s="395" t="s">
        <v>10170</v>
      </c>
      <c r="N6582" s="337"/>
      <c r="O6582" s="167" t="s">
        <v>38</v>
      </c>
      <c r="P6582" s="5" t="str">
        <f t="shared" si="168"/>
        <v>Truncate table TDD060;</v>
      </c>
      <c r="Q6582" s="337"/>
      <c r="R6582" s="337"/>
    </row>
    <row r="6583" spans="2:18" x14ac:dyDescent="0.25">
      <c r="B6583" s="337" t="s">
        <v>11038</v>
      </c>
      <c r="C6583" s="337" t="s">
        <v>11039</v>
      </c>
      <c r="D6583" s="337" t="s">
        <v>29</v>
      </c>
      <c r="E6583" s="337" t="s">
        <v>151</v>
      </c>
      <c r="F6583" s="337" t="s">
        <v>8215</v>
      </c>
      <c r="G6583" s="337" t="s">
        <v>35</v>
      </c>
      <c r="H6583" s="337" t="s">
        <v>36</v>
      </c>
      <c r="I6583" s="337"/>
      <c r="J6583" s="337"/>
      <c r="K6583" s="337"/>
      <c r="L6583" s="337"/>
      <c r="M6583" s="395" t="s">
        <v>10170</v>
      </c>
      <c r="N6583" s="337"/>
      <c r="O6583" s="167" t="s">
        <v>38</v>
      </c>
      <c r="P6583" s="5" t="str">
        <f t="shared" si="168"/>
        <v>Truncate table TDD061;</v>
      </c>
      <c r="Q6583" s="337"/>
      <c r="R6583" s="337"/>
    </row>
    <row r="6584" spans="2:18" x14ac:dyDescent="0.25">
      <c r="B6584" s="337" t="s">
        <v>11040</v>
      </c>
      <c r="C6584" s="337" t="s">
        <v>11041</v>
      </c>
      <c r="D6584" s="337" t="s">
        <v>29</v>
      </c>
      <c r="E6584" s="337" t="s">
        <v>151</v>
      </c>
      <c r="F6584" s="337" t="s">
        <v>8215</v>
      </c>
      <c r="G6584" s="337" t="s">
        <v>35</v>
      </c>
      <c r="H6584" s="337" t="s">
        <v>36</v>
      </c>
      <c r="I6584" s="337"/>
      <c r="J6584" s="337"/>
      <c r="K6584" s="337"/>
      <c r="L6584" s="337"/>
      <c r="M6584" s="395" t="s">
        <v>10170</v>
      </c>
      <c r="N6584" s="337"/>
      <c r="O6584" s="167" t="s">
        <v>38</v>
      </c>
      <c r="P6584" s="5" t="str">
        <f t="shared" si="168"/>
        <v>Truncate table TDD062;</v>
      </c>
      <c r="Q6584" s="337"/>
      <c r="R6584" s="337"/>
    </row>
    <row r="6585" spans="2:18" x14ac:dyDescent="0.25">
      <c r="B6585" s="337" t="s">
        <v>11042</v>
      </c>
      <c r="C6585" s="337" t="s">
        <v>11043</v>
      </c>
      <c r="D6585" s="337" t="s">
        <v>29</v>
      </c>
      <c r="E6585" s="337" t="s">
        <v>151</v>
      </c>
      <c r="F6585" s="337" t="s">
        <v>8215</v>
      </c>
      <c r="G6585" s="337" t="s">
        <v>35</v>
      </c>
      <c r="H6585" s="337" t="s">
        <v>36</v>
      </c>
      <c r="I6585" s="337"/>
      <c r="J6585" s="337"/>
      <c r="K6585" s="337"/>
      <c r="L6585" s="337"/>
      <c r="M6585" s="395" t="s">
        <v>10170</v>
      </c>
      <c r="N6585" s="337"/>
      <c r="O6585" s="167" t="s">
        <v>38</v>
      </c>
      <c r="P6585" s="5" t="str">
        <f t="shared" si="168"/>
        <v>Truncate table TDD100;</v>
      </c>
      <c r="Q6585" s="337"/>
      <c r="R6585" s="337"/>
    </row>
    <row r="6586" spans="2:18" x14ac:dyDescent="0.25">
      <c r="B6586" s="337" t="s">
        <v>11044</v>
      </c>
      <c r="C6586" s="337" t="s">
        <v>11045</v>
      </c>
      <c r="D6586" s="337" t="s">
        <v>29</v>
      </c>
      <c r="E6586" s="337" t="s">
        <v>151</v>
      </c>
      <c r="F6586" s="337" t="s">
        <v>8215</v>
      </c>
      <c r="G6586" s="337" t="s">
        <v>35</v>
      </c>
      <c r="H6586" s="337" t="s">
        <v>36</v>
      </c>
      <c r="I6586" s="337"/>
      <c r="J6586" s="337"/>
      <c r="K6586" s="337"/>
      <c r="L6586" s="337"/>
      <c r="M6586" s="395" t="s">
        <v>10170</v>
      </c>
      <c r="N6586" s="337"/>
      <c r="O6586" s="167" t="s">
        <v>38</v>
      </c>
      <c r="P6586" s="5" t="str">
        <f t="shared" si="168"/>
        <v>Truncate table TDD126;</v>
      </c>
      <c r="Q6586" s="337"/>
      <c r="R6586" s="337"/>
    </row>
    <row r="6587" spans="2:18" x14ac:dyDescent="0.25">
      <c r="B6587" s="337" t="s">
        <v>11046</v>
      </c>
      <c r="C6587" s="337" t="s">
        <v>11047</v>
      </c>
      <c r="D6587" s="337" t="s">
        <v>29</v>
      </c>
      <c r="E6587" s="337" t="s">
        <v>151</v>
      </c>
      <c r="F6587" s="337" t="s">
        <v>8215</v>
      </c>
      <c r="G6587" s="337" t="s">
        <v>35</v>
      </c>
      <c r="H6587" s="337" t="s">
        <v>36</v>
      </c>
      <c r="I6587" s="337"/>
      <c r="J6587" s="337"/>
      <c r="K6587" s="337"/>
      <c r="L6587" s="337"/>
      <c r="M6587" s="395" t="s">
        <v>10170</v>
      </c>
      <c r="N6587" s="337"/>
      <c r="O6587" s="167" t="s">
        <v>38</v>
      </c>
      <c r="P6587" s="5" t="str">
        <f t="shared" si="168"/>
        <v>Truncate table TDD129;</v>
      </c>
      <c r="Q6587" s="337"/>
      <c r="R6587" s="337"/>
    </row>
    <row r="6588" spans="2:18" x14ac:dyDescent="0.25">
      <c r="B6588" s="337" t="s">
        <v>11048</v>
      </c>
      <c r="C6588" s="337" t="s">
        <v>11049</v>
      </c>
      <c r="D6588" s="337" t="s">
        <v>29</v>
      </c>
      <c r="E6588" s="337" t="s">
        <v>151</v>
      </c>
      <c r="F6588" s="337" t="s">
        <v>8215</v>
      </c>
      <c r="G6588" s="337" t="s">
        <v>35</v>
      </c>
      <c r="H6588" s="337" t="s">
        <v>36</v>
      </c>
      <c r="I6588" s="337"/>
      <c r="J6588" s="337"/>
      <c r="K6588" s="337"/>
      <c r="L6588" s="337"/>
      <c r="M6588" s="395" t="s">
        <v>10170</v>
      </c>
      <c r="N6588" s="337"/>
      <c r="O6588" s="167" t="s">
        <v>38</v>
      </c>
      <c r="P6588" s="5" t="str">
        <f t="shared" si="168"/>
        <v>Truncate table TDD41C;</v>
      </c>
      <c r="Q6588" s="337"/>
      <c r="R6588" s="337"/>
    </row>
    <row r="6589" spans="2:18" x14ac:dyDescent="0.25">
      <c r="B6589" s="337" t="s">
        <v>11050</v>
      </c>
      <c r="C6589" s="337" t="s">
        <v>11051</v>
      </c>
      <c r="D6589" s="337" t="s">
        <v>29</v>
      </c>
      <c r="E6589" s="337" t="s">
        <v>151</v>
      </c>
      <c r="F6589" s="337" t="s">
        <v>8215</v>
      </c>
      <c r="G6589" s="337" t="s">
        <v>35</v>
      </c>
      <c r="H6589" s="337" t="s">
        <v>36</v>
      </c>
      <c r="I6589" s="337"/>
      <c r="J6589" s="337"/>
      <c r="K6589" s="337"/>
      <c r="L6589" s="337"/>
      <c r="M6589" s="395" t="s">
        <v>10170</v>
      </c>
      <c r="N6589" s="337"/>
      <c r="O6589" s="167" t="s">
        <v>38</v>
      </c>
      <c r="P6589" s="5" t="str">
        <f t="shared" si="168"/>
        <v>Truncate table TDDA01;</v>
      </c>
      <c r="Q6589" s="337"/>
      <c r="R6589" s="337"/>
    </row>
    <row r="6590" spans="2:18" x14ac:dyDescent="0.25">
      <c r="B6590" s="337" t="s">
        <v>11052</v>
      </c>
      <c r="C6590" s="337" t="s">
        <v>11053</v>
      </c>
      <c r="D6590" s="337" t="s">
        <v>29</v>
      </c>
      <c r="E6590" s="337" t="s">
        <v>151</v>
      </c>
      <c r="F6590" s="337" t="s">
        <v>8215</v>
      </c>
      <c r="G6590" s="337" t="s">
        <v>35</v>
      </c>
      <c r="H6590" s="337" t="s">
        <v>36</v>
      </c>
      <c r="I6590" s="337"/>
      <c r="J6590" s="337"/>
      <c r="K6590" s="337"/>
      <c r="L6590" s="337"/>
      <c r="M6590" s="395" t="s">
        <v>10170</v>
      </c>
      <c r="N6590" s="337"/>
      <c r="O6590" s="167" t="s">
        <v>38</v>
      </c>
      <c r="P6590" s="5" t="str">
        <f t="shared" si="168"/>
        <v>Truncate table TDDI04;</v>
      </c>
      <c r="Q6590" s="337"/>
      <c r="R6590" s="337"/>
    </row>
    <row r="6591" spans="2:18" x14ac:dyDescent="0.25">
      <c r="B6591" s="337" t="s">
        <v>11054</v>
      </c>
      <c r="C6591" s="337" t="s">
        <v>11055</v>
      </c>
      <c r="D6591" s="337" t="s">
        <v>29</v>
      </c>
      <c r="E6591" s="337" t="s">
        <v>151</v>
      </c>
      <c r="F6591" s="337" t="s">
        <v>8215</v>
      </c>
      <c r="G6591" s="337" t="s">
        <v>35</v>
      </c>
      <c r="H6591" s="337" t="s">
        <v>36</v>
      </c>
      <c r="I6591" s="337"/>
      <c r="J6591" s="337"/>
      <c r="K6591" s="337"/>
      <c r="L6591" s="337"/>
      <c r="M6591" s="395" t="s">
        <v>10170</v>
      </c>
      <c r="N6591" s="337"/>
      <c r="O6591" s="167" t="s">
        <v>38</v>
      </c>
      <c r="P6591" s="5" t="str">
        <f t="shared" si="168"/>
        <v>Truncate table TDDI05;</v>
      </c>
      <c r="Q6591" s="337"/>
      <c r="R6591" s="337"/>
    </row>
    <row r="6592" spans="2:18" x14ac:dyDescent="0.25">
      <c r="B6592" s="337" t="s">
        <v>11056</v>
      </c>
      <c r="C6592" s="337" t="s">
        <v>11057</v>
      </c>
      <c r="D6592" s="337" t="s">
        <v>29</v>
      </c>
      <c r="E6592" s="337" t="s">
        <v>151</v>
      </c>
      <c r="F6592" s="337" t="s">
        <v>8215</v>
      </c>
      <c r="G6592" s="337" t="s">
        <v>35</v>
      </c>
      <c r="H6592" s="337" t="s">
        <v>36</v>
      </c>
      <c r="I6592" s="337"/>
      <c r="J6592" s="337"/>
      <c r="K6592" s="337"/>
      <c r="L6592" s="337"/>
      <c r="M6592" s="395" t="s">
        <v>10170</v>
      </c>
      <c r="N6592" s="337"/>
      <c r="O6592" s="167" t="s">
        <v>38</v>
      </c>
      <c r="P6592" s="5" t="str">
        <f t="shared" si="168"/>
        <v>Truncate table TDDI06;</v>
      </c>
      <c r="Q6592" s="337"/>
      <c r="R6592" s="337"/>
    </row>
    <row r="6593" spans="2:18" x14ac:dyDescent="0.25">
      <c r="B6593" s="337" t="s">
        <v>11058</v>
      </c>
      <c r="C6593" s="337" t="s">
        <v>11059</v>
      </c>
      <c r="D6593" s="337" t="s">
        <v>29</v>
      </c>
      <c r="E6593" s="337" t="s">
        <v>151</v>
      </c>
      <c r="F6593" s="337" t="s">
        <v>8215</v>
      </c>
      <c r="G6593" s="337" t="s">
        <v>35</v>
      </c>
      <c r="H6593" s="337" t="s">
        <v>36</v>
      </c>
      <c r="I6593" s="337"/>
      <c r="J6593" s="337"/>
      <c r="K6593" s="337"/>
      <c r="L6593" s="337"/>
      <c r="M6593" s="395" t="s">
        <v>10170</v>
      </c>
      <c r="N6593" s="337"/>
      <c r="O6593" s="167" t="s">
        <v>38</v>
      </c>
      <c r="P6593" s="5" t="str">
        <f t="shared" si="168"/>
        <v>Truncate table TDDI07;</v>
      </c>
      <c r="Q6593" s="337"/>
      <c r="R6593" s="337"/>
    </row>
    <row r="6594" spans="2:18" x14ac:dyDescent="0.25">
      <c r="B6594" s="337" t="s">
        <v>11060</v>
      </c>
      <c r="C6594" s="337" t="s">
        <v>11061</v>
      </c>
      <c r="D6594" s="337" t="s">
        <v>29</v>
      </c>
      <c r="E6594" s="337" t="s">
        <v>151</v>
      </c>
      <c r="F6594" s="337" t="s">
        <v>8215</v>
      </c>
      <c r="G6594" s="337" t="s">
        <v>35</v>
      </c>
      <c r="H6594" s="337" t="s">
        <v>36</v>
      </c>
      <c r="I6594" s="337"/>
      <c r="J6594" s="337"/>
      <c r="K6594" s="337"/>
      <c r="L6594" s="337"/>
      <c r="M6594" s="395" t="s">
        <v>10170</v>
      </c>
      <c r="N6594" s="337"/>
      <c r="O6594" s="167" t="s">
        <v>38</v>
      </c>
      <c r="P6594" s="5" t="str">
        <f t="shared" si="168"/>
        <v>Truncate table TDDI08;</v>
      </c>
      <c r="Q6594" s="337"/>
      <c r="R6594" s="337"/>
    </row>
    <row r="6595" spans="2:18" x14ac:dyDescent="0.25">
      <c r="B6595" s="337" t="s">
        <v>11062</v>
      </c>
      <c r="C6595" s="337" t="s">
        <v>11063</v>
      </c>
      <c r="D6595" s="337" t="s">
        <v>29</v>
      </c>
      <c r="E6595" s="337" t="s">
        <v>151</v>
      </c>
      <c r="F6595" s="337" t="s">
        <v>8215</v>
      </c>
      <c r="G6595" s="337" t="s">
        <v>35</v>
      </c>
      <c r="H6595" s="337" t="s">
        <v>36</v>
      </c>
      <c r="I6595" s="337"/>
      <c r="J6595" s="337"/>
      <c r="K6595" s="337"/>
      <c r="L6595" s="337"/>
      <c r="M6595" s="395" t="s">
        <v>10170</v>
      </c>
      <c r="N6595" s="337"/>
      <c r="O6595" s="167" t="s">
        <v>38</v>
      </c>
      <c r="P6595" s="5" t="str">
        <f t="shared" si="168"/>
        <v>Truncate table TDDI09;</v>
      </c>
      <c r="Q6595" s="337"/>
      <c r="R6595" s="337"/>
    </row>
    <row r="6596" spans="2:18" x14ac:dyDescent="0.25">
      <c r="B6596" s="337" t="s">
        <v>11064</v>
      </c>
      <c r="C6596" s="337" t="s">
        <v>11065</v>
      </c>
      <c r="D6596" s="337" t="s">
        <v>29</v>
      </c>
      <c r="E6596" s="337" t="s">
        <v>151</v>
      </c>
      <c r="F6596" s="337" t="s">
        <v>8215</v>
      </c>
      <c r="G6596" s="337" t="s">
        <v>35</v>
      </c>
      <c r="H6596" s="337" t="s">
        <v>36</v>
      </c>
      <c r="I6596" s="337"/>
      <c r="J6596" s="337"/>
      <c r="K6596" s="337"/>
      <c r="L6596" s="337"/>
      <c r="M6596" s="395" t="s">
        <v>10170</v>
      </c>
      <c r="N6596" s="337"/>
      <c r="O6596" s="167" t="s">
        <v>38</v>
      </c>
      <c r="P6596" s="5" t="str">
        <f t="shared" si="168"/>
        <v>Truncate table TDDI10;</v>
      </c>
      <c r="Q6596" s="337"/>
      <c r="R6596" s="337"/>
    </row>
    <row r="6597" spans="2:18" x14ac:dyDescent="0.25">
      <c r="B6597" s="337" t="s">
        <v>11066</v>
      </c>
      <c r="C6597" s="337" t="s">
        <v>11067</v>
      </c>
      <c r="D6597" s="337" t="s">
        <v>29</v>
      </c>
      <c r="E6597" s="337" t="s">
        <v>151</v>
      </c>
      <c r="F6597" s="337" t="s">
        <v>8215</v>
      </c>
      <c r="G6597" s="337" t="s">
        <v>35</v>
      </c>
      <c r="H6597" s="337" t="s">
        <v>36</v>
      </c>
      <c r="I6597" s="337"/>
      <c r="J6597" s="337"/>
      <c r="K6597" s="337"/>
      <c r="L6597" s="337"/>
      <c r="M6597" s="395" t="s">
        <v>10170</v>
      </c>
      <c r="N6597" s="337"/>
      <c r="O6597" s="167" t="s">
        <v>38</v>
      </c>
      <c r="P6597" s="5" t="str">
        <f t="shared" si="168"/>
        <v>Truncate table TDDI11;</v>
      </c>
      <c r="Q6597" s="337"/>
      <c r="R6597" s="337"/>
    </row>
    <row r="6598" spans="2:18" x14ac:dyDescent="0.25">
      <c r="B6598" s="337" t="s">
        <v>11068</v>
      </c>
      <c r="C6598" s="337" t="s">
        <v>11069</v>
      </c>
      <c r="D6598" s="337" t="s">
        <v>29</v>
      </c>
      <c r="E6598" s="337" t="s">
        <v>151</v>
      </c>
      <c r="F6598" s="337" t="s">
        <v>8215</v>
      </c>
      <c r="G6598" s="337" t="s">
        <v>35</v>
      </c>
      <c r="H6598" s="337" t="s">
        <v>36</v>
      </c>
      <c r="I6598" s="337"/>
      <c r="J6598" s="337"/>
      <c r="K6598" s="337"/>
      <c r="L6598" s="337"/>
      <c r="M6598" s="395" t="s">
        <v>10170</v>
      </c>
      <c r="N6598" s="337"/>
      <c r="O6598" s="167" t="s">
        <v>38</v>
      </c>
      <c r="P6598" s="5" t="str">
        <f t="shared" si="168"/>
        <v>Truncate table TDDI69;</v>
      </c>
      <c r="Q6598" s="337"/>
      <c r="R6598" s="337"/>
    </row>
    <row r="6599" spans="2:18" x14ac:dyDescent="0.25">
      <c r="B6599" s="337" t="s">
        <v>11070</v>
      </c>
      <c r="C6599" s="337" t="s">
        <v>11071</v>
      </c>
      <c r="D6599" s="337" t="s">
        <v>29</v>
      </c>
      <c r="E6599" s="337" t="s">
        <v>8232</v>
      </c>
      <c r="F6599" s="337" t="s">
        <v>8227</v>
      </c>
      <c r="G6599" s="337" t="s">
        <v>35</v>
      </c>
      <c r="H6599" s="337" t="s">
        <v>12</v>
      </c>
      <c r="I6599" s="71"/>
      <c r="J6599" s="71"/>
      <c r="K6599" s="337"/>
      <c r="L6599" s="337"/>
      <c r="M6599" s="395" t="s">
        <v>10170</v>
      </c>
      <c r="N6599" s="337" t="s">
        <v>11167</v>
      </c>
      <c r="O6599" s="167" t="s">
        <v>38</v>
      </c>
      <c r="P6599" s="5" t="str">
        <f t="shared" ref="P6599" si="170">IF(D6599="Datos","Truncate table "&amp; B6599&amp; ";","")</f>
        <v>Truncate table TIMX01;</v>
      </c>
      <c r="Q6599" s="337"/>
      <c r="R6599" s="337"/>
    </row>
    <row r="6600" spans="2:18" x14ac:dyDescent="0.25">
      <c r="B6600" s="337" t="s">
        <v>11072</v>
      </c>
      <c r="C6600" s="337" t="s">
        <v>11073</v>
      </c>
      <c r="D6600" s="337" t="s">
        <v>29</v>
      </c>
      <c r="E6600" s="337" t="s">
        <v>8230</v>
      </c>
      <c r="F6600" s="337" t="s">
        <v>8221</v>
      </c>
      <c r="G6600" s="337" t="s">
        <v>35</v>
      </c>
      <c r="H6600" s="337" t="s">
        <v>36</v>
      </c>
      <c r="I6600" s="337"/>
      <c r="J6600" s="337"/>
      <c r="K6600" s="337"/>
      <c r="L6600" s="337"/>
      <c r="M6600" s="395" t="s">
        <v>10170</v>
      </c>
      <c r="N6600" s="337"/>
      <c r="O6600" s="167" t="s">
        <v>38</v>
      </c>
      <c r="P6600" s="5" t="str">
        <f t="shared" si="168"/>
        <v>Truncate table TRC200;</v>
      </c>
      <c r="Q6600" s="337"/>
      <c r="R6600" s="337"/>
    </row>
    <row r="6601" spans="2:18" x14ac:dyDescent="0.25">
      <c r="B6601" s="337" t="s">
        <v>11074</v>
      </c>
      <c r="C6601" s="337" t="s">
        <v>11075</v>
      </c>
      <c r="D6601" s="337" t="s">
        <v>29</v>
      </c>
      <c r="E6601" s="337" t="s">
        <v>8230</v>
      </c>
      <c r="F6601" s="337" t="s">
        <v>8221</v>
      </c>
      <c r="G6601" s="337" t="s">
        <v>35</v>
      </c>
      <c r="H6601" s="337" t="s">
        <v>36</v>
      </c>
      <c r="I6601" s="337"/>
      <c r="J6601" s="337"/>
      <c r="K6601" s="337"/>
      <c r="L6601" s="337"/>
      <c r="M6601" s="395" t="s">
        <v>10170</v>
      </c>
      <c r="N6601" s="337"/>
      <c r="O6601" s="167" t="s">
        <v>38</v>
      </c>
      <c r="P6601" s="5" t="str">
        <f t="shared" si="168"/>
        <v>Truncate table TRC201;</v>
      </c>
      <c r="Q6601" s="337"/>
      <c r="R6601" s="337"/>
    </row>
    <row r="6602" spans="2:18" x14ac:dyDescent="0.25">
      <c r="B6602" s="337" t="s">
        <v>11076</v>
      </c>
      <c r="C6602" s="337" t="s">
        <v>11077</v>
      </c>
      <c r="D6602" s="337" t="s">
        <v>29</v>
      </c>
      <c r="E6602" s="337" t="s">
        <v>8230</v>
      </c>
      <c r="F6602" s="337" t="s">
        <v>8221</v>
      </c>
      <c r="G6602" s="337" t="s">
        <v>35</v>
      </c>
      <c r="H6602" s="337" t="s">
        <v>36</v>
      </c>
      <c r="I6602" s="337"/>
      <c r="J6602" s="337"/>
      <c r="K6602" s="337"/>
      <c r="L6602" s="337"/>
      <c r="M6602" s="395" t="s">
        <v>10170</v>
      </c>
      <c r="N6602" s="337"/>
      <c r="O6602" s="167" t="s">
        <v>38</v>
      </c>
      <c r="P6602" s="5" t="str">
        <f t="shared" si="168"/>
        <v>Truncate table TRC202;</v>
      </c>
      <c r="Q6602" s="337"/>
      <c r="R6602" s="337"/>
    </row>
    <row r="6603" spans="2:18" x14ac:dyDescent="0.25">
      <c r="B6603" s="337" t="s">
        <v>11078</v>
      </c>
      <c r="C6603" s="337" t="s">
        <v>11079</v>
      </c>
      <c r="D6603" s="337" t="s">
        <v>29</v>
      </c>
      <c r="E6603" s="337" t="s">
        <v>8230</v>
      </c>
      <c r="F6603" s="337" t="s">
        <v>8221</v>
      </c>
      <c r="G6603" s="337" t="s">
        <v>35</v>
      </c>
      <c r="H6603" s="337" t="s">
        <v>36</v>
      </c>
      <c r="I6603" s="337"/>
      <c r="J6603" s="337"/>
      <c r="K6603" s="337"/>
      <c r="L6603" s="337"/>
      <c r="M6603" s="395" t="s">
        <v>10170</v>
      </c>
      <c r="N6603" s="337"/>
      <c r="O6603" s="167" t="s">
        <v>38</v>
      </c>
      <c r="P6603" s="5" t="str">
        <f t="shared" si="168"/>
        <v>Truncate table TRC203;</v>
      </c>
      <c r="Q6603" s="337"/>
      <c r="R6603" s="337"/>
    </row>
    <row r="6604" spans="2:18" x14ac:dyDescent="0.25">
      <c r="B6604" s="337" t="s">
        <v>11080</v>
      </c>
      <c r="C6604" s="337" t="s">
        <v>11081</v>
      </c>
      <c r="D6604" s="337" t="s">
        <v>29</v>
      </c>
      <c r="E6604" s="337" t="s">
        <v>8230</v>
      </c>
      <c r="F6604" s="337" t="s">
        <v>8221</v>
      </c>
      <c r="G6604" s="337" t="s">
        <v>35</v>
      </c>
      <c r="H6604" s="337" t="s">
        <v>36</v>
      </c>
      <c r="I6604" s="337"/>
      <c r="J6604" s="337"/>
      <c r="K6604" s="337"/>
      <c r="L6604" s="337"/>
      <c r="M6604" s="395" t="s">
        <v>10170</v>
      </c>
      <c r="N6604" s="337"/>
      <c r="O6604" s="167" t="s">
        <v>38</v>
      </c>
      <c r="P6604" s="5" t="str">
        <f t="shared" si="168"/>
        <v>Truncate table TRC210;</v>
      </c>
      <c r="Q6604" s="337"/>
      <c r="R6604" s="337"/>
    </row>
    <row r="6605" spans="2:18" x14ac:dyDescent="0.25">
      <c r="B6605" s="337" t="s">
        <v>11082</v>
      </c>
      <c r="C6605" s="337" t="s">
        <v>11083</v>
      </c>
      <c r="D6605" s="337" t="s">
        <v>29</v>
      </c>
      <c r="E6605" s="337" t="s">
        <v>8230</v>
      </c>
      <c r="F6605" s="337" t="s">
        <v>8221</v>
      </c>
      <c r="G6605" s="337" t="s">
        <v>35</v>
      </c>
      <c r="H6605" s="337" t="s">
        <v>36</v>
      </c>
      <c r="I6605" s="337"/>
      <c r="J6605" s="337"/>
      <c r="K6605" s="337"/>
      <c r="L6605" s="337"/>
      <c r="M6605" s="395" t="s">
        <v>10170</v>
      </c>
      <c r="N6605" s="337"/>
      <c r="O6605" s="167" t="s">
        <v>38</v>
      </c>
      <c r="P6605" s="5" t="str">
        <f t="shared" ref="P6605:P6668" si="171">IF(D6605="Datos","Truncate table "&amp; B6605&amp; ";","")</f>
        <v>Truncate table TRC211;</v>
      </c>
      <c r="Q6605" s="337"/>
      <c r="R6605" s="337"/>
    </row>
    <row r="6606" spans="2:18" x14ac:dyDescent="0.25">
      <c r="B6606" s="337" t="s">
        <v>11084</v>
      </c>
      <c r="C6606" s="337" t="s">
        <v>11085</v>
      </c>
      <c r="D6606" s="337" t="s">
        <v>29</v>
      </c>
      <c r="E6606" s="337" t="s">
        <v>8230</v>
      </c>
      <c r="F6606" s="337" t="s">
        <v>8221</v>
      </c>
      <c r="G6606" s="337" t="s">
        <v>35</v>
      </c>
      <c r="H6606" s="337" t="s">
        <v>36</v>
      </c>
      <c r="I6606" s="337"/>
      <c r="J6606" s="337"/>
      <c r="K6606" s="337"/>
      <c r="L6606" s="337"/>
      <c r="M6606" s="395" t="s">
        <v>10170</v>
      </c>
      <c r="N6606" s="337"/>
      <c r="O6606" s="167" t="s">
        <v>38</v>
      </c>
      <c r="P6606" s="5" t="str">
        <f t="shared" si="171"/>
        <v>Truncate table TRC212;</v>
      </c>
      <c r="Q6606" s="337"/>
      <c r="R6606" s="337"/>
    </row>
    <row r="6607" spans="2:18" x14ac:dyDescent="0.25">
      <c r="B6607" s="337" t="s">
        <v>11086</v>
      </c>
      <c r="C6607" s="337" t="s">
        <v>11087</v>
      </c>
      <c r="D6607" s="337" t="s">
        <v>29</v>
      </c>
      <c r="E6607" s="337" t="s">
        <v>8230</v>
      </c>
      <c r="F6607" s="337" t="s">
        <v>8221</v>
      </c>
      <c r="G6607" s="337" t="s">
        <v>35</v>
      </c>
      <c r="H6607" s="337" t="s">
        <v>36</v>
      </c>
      <c r="I6607" s="337"/>
      <c r="J6607" s="337"/>
      <c r="K6607" s="337"/>
      <c r="L6607" s="337"/>
      <c r="M6607" s="395" t="s">
        <v>10170</v>
      </c>
      <c r="N6607" s="337"/>
      <c r="O6607" s="167" t="s">
        <v>38</v>
      </c>
      <c r="P6607" s="5" t="str">
        <f t="shared" si="171"/>
        <v>Truncate table TRC233;</v>
      </c>
      <c r="Q6607" s="337"/>
      <c r="R6607" s="337"/>
    </row>
    <row r="6608" spans="2:18" x14ac:dyDescent="0.25">
      <c r="B6608" s="337" t="s">
        <v>11088</v>
      </c>
      <c r="C6608" s="337" t="s">
        <v>11089</v>
      </c>
      <c r="D6608" s="337" t="s">
        <v>29</v>
      </c>
      <c r="E6608" s="337" t="s">
        <v>8230</v>
      </c>
      <c r="F6608" s="337" t="s">
        <v>8221</v>
      </c>
      <c r="G6608" s="337" t="s">
        <v>35</v>
      </c>
      <c r="H6608" s="337" t="s">
        <v>36</v>
      </c>
      <c r="I6608" s="337"/>
      <c r="J6608" s="337"/>
      <c r="K6608" s="337"/>
      <c r="L6608" s="337"/>
      <c r="M6608" s="395" t="s">
        <v>10170</v>
      </c>
      <c r="N6608" s="337"/>
      <c r="O6608" s="167" t="s">
        <v>38</v>
      </c>
      <c r="P6608" s="5" t="str">
        <f t="shared" si="171"/>
        <v>Truncate table TRC234;</v>
      </c>
      <c r="Q6608" s="337"/>
      <c r="R6608" s="337"/>
    </row>
    <row r="6609" spans="2:18" x14ac:dyDescent="0.25">
      <c r="B6609" s="337" t="s">
        <v>11090</v>
      </c>
      <c r="C6609" s="337" t="s">
        <v>11091</v>
      </c>
      <c r="D6609" s="337" t="s">
        <v>29</v>
      </c>
      <c r="E6609" s="337" t="s">
        <v>1096</v>
      </c>
      <c r="F6609" s="337" t="s">
        <v>184</v>
      </c>
      <c r="G6609" s="337" t="s">
        <v>35</v>
      </c>
      <c r="H6609" s="337" t="s">
        <v>36</v>
      </c>
      <c r="I6609" s="337"/>
      <c r="J6609" s="337"/>
      <c r="K6609" s="337"/>
      <c r="L6609" s="337"/>
      <c r="M6609" s="395" t="s">
        <v>10170</v>
      </c>
      <c r="N6609" s="337"/>
      <c r="O6609" s="167" t="s">
        <v>38</v>
      </c>
      <c r="P6609" s="5" t="str">
        <f t="shared" si="171"/>
        <v>Truncate table VEH001;</v>
      </c>
      <c r="Q6609" s="337"/>
      <c r="R6609" s="337"/>
    </row>
    <row r="6610" spans="2:18" x14ac:dyDescent="0.25">
      <c r="B6610" s="337" t="s">
        <v>11092</v>
      </c>
      <c r="C6610" s="337" t="s">
        <v>11093</v>
      </c>
      <c r="D6610" s="337" t="s">
        <v>29</v>
      </c>
      <c r="E6610" s="337" t="s">
        <v>1096</v>
      </c>
      <c r="F6610" s="337" t="s">
        <v>184</v>
      </c>
      <c r="G6610" s="337" t="s">
        <v>35</v>
      </c>
      <c r="H6610" s="337" t="s">
        <v>36</v>
      </c>
      <c r="I6610" s="337"/>
      <c r="J6610" s="337"/>
      <c r="K6610" s="337"/>
      <c r="L6610" s="337"/>
      <c r="M6610" s="395" t="s">
        <v>10170</v>
      </c>
      <c r="N6610" s="337"/>
      <c r="O6610" s="167" t="s">
        <v>38</v>
      </c>
      <c r="P6610" s="5" t="str">
        <f t="shared" si="171"/>
        <v>Truncate table VEH002;</v>
      </c>
      <c r="Q6610" s="337"/>
      <c r="R6610" s="337"/>
    </row>
    <row r="6611" spans="2:18" x14ac:dyDescent="0.25">
      <c r="B6611" s="337" t="s">
        <v>11094</v>
      </c>
      <c r="C6611" s="337" t="s">
        <v>11095</v>
      </c>
      <c r="D6611" s="337" t="s">
        <v>29</v>
      </c>
      <c r="E6611" s="337" t="s">
        <v>1096</v>
      </c>
      <c r="F6611" s="337" t="s">
        <v>184</v>
      </c>
      <c r="G6611" s="337" t="s">
        <v>35</v>
      </c>
      <c r="H6611" s="337" t="s">
        <v>36</v>
      </c>
      <c r="I6611" s="337"/>
      <c r="J6611" s="337"/>
      <c r="K6611" s="337"/>
      <c r="L6611" s="337"/>
      <c r="M6611" s="395" t="s">
        <v>10170</v>
      </c>
      <c r="N6611" s="337"/>
      <c r="O6611" s="167" t="s">
        <v>38</v>
      </c>
      <c r="P6611" s="5" t="str">
        <f t="shared" si="171"/>
        <v>Truncate table VEH004;</v>
      </c>
      <c r="Q6611" s="337"/>
      <c r="R6611" s="337"/>
    </row>
    <row r="6612" spans="2:18" x14ac:dyDescent="0.25">
      <c r="B6612" s="337" t="s">
        <v>11096</v>
      </c>
      <c r="C6612" s="337" t="s">
        <v>11097</v>
      </c>
      <c r="D6612" s="337" t="s">
        <v>29</v>
      </c>
      <c r="E6612" s="337" t="s">
        <v>1096</v>
      </c>
      <c r="F6612" s="337" t="s">
        <v>184</v>
      </c>
      <c r="G6612" s="337" t="s">
        <v>35</v>
      </c>
      <c r="H6612" s="337" t="s">
        <v>36</v>
      </c>
      <c r="I6612" s="337"/>
      <c r="J6612" s="337"/>
      <c r="K6612" s="337"/>
      <c r="L6612" s="337"/>
      <c r="M6612" s="395" t="s">
        <v>10170</v>
      </c>
      <c r="N6612" s="337"/>
      <c r="O6612" s="167" t="s">
        <v>38</v>
      </c>
      <c r="P6612" s="5" t="str">
        <f t="shared" si="171"/>
        <v>Truncate table VEH005;</v>
      </c>
      <c r="Q6612" s="337"/>
      <c r="R6612" s="337"/>
    </row>
    <row r="6613" spans="2:18" x14ac:dyDescent="0.25">
      <c r="B6613" s="337" t="s">
        <v>11098</v>
      </c>
      <c r="C6613" s="337" t="s">
        <v>11099</v>
      </c>
      <c r="D6613" s="337" t="s">
        <v>29</v>
      </c>
      <c r="E6613" s="337" t="s">
        <v>1096</v>
      </c>
      <c r="F6613" s="337" t="s">
        <v>184</v>
      </c>
      <c r="G6613" s="337" t="s">
        <v>35</v>
      </c>
      <c r="H6613" s="337" t="s">
        <v>36</v>
      </c>
      <c r="I6613" s="337"/>
      <c r="J6613" s="337"/>
      <c r="K6613" s="337"/>
      <c r="L6613" s="337"/>
      <c r="M6613" s="395" t="s">
        <v>10170</v>
      </c>
      <c r="N6613" s="337"/>
      <c r="O6613" s="167" t="s">
        <v>38</v>
      </c>
      <c r="P6613" s="5" t="str">
        <f t="shared" si="171"/>
        <v>Truncate table VEH006;</v>
      </c>
      <c r="Q6613" s="337"/>
      <c r="R6613" s="337"/>
    </row>
    <row r="6614" spans="2:18" x14ac:dyDescent="0.25">
      <c r="B6614" s="337" t="s">
        <v>11100</v>
      </c>
      <c r="C6614" s="337" t="s">
        <v>11101</v>
      </c>
      <c r="D6614" s="337" t="s">
        <v>29</v>
      </c>
      <c r="E6614" s="337" t="s">
        <v>1096</v>
      </c>
      <c r="F6614" s="337" t="s">
        <v>184</v>
      </c>
      <c r="G6614" s="337" t="s">
        <v>35</v>
      </c>
      <c r="H6614" s="337" t="s">
        <v>36</v>
      </c>
      <c r="I6614" s="337"/>
      <c r="J6614" s="337"/>
      <c r="K6614" s="337"/>
      <c r="L6614" s="337"/>
      <c r="M6614" s="395" t="s">
        <v>10170</v>
      </c>
      <c r="N6614" s="337"/>
      <c r="O6614" s="167" t="s">
        <v>38</v>
      </c>
      <c r="P6614" s="5" t="str">
        <f t="shared" si="171"/>
        <v>Truncate table VEH006A;</v>
      </c>
      <c r="Q6614" s="337"/>
      <c r="R6614" s="337"/>
    </row>
    <row r="6615" spans="2:18" x14ac:dyDescent="0.25">
      <c r="B6615" s="337" t="s">
        <v>11102</v>
      </c>
      <c r="C6615" s="337" t="s">
        <v>11103</v>
      </c>
      <c r="D6615" s="337" t="s">
        <v>29</v>
      </c>
      <c r="E6615" s="337" t="s">
        <v>1096</v>
      </c>
      <c r="F6615" s="337" t="s">
        <v>184</v>
      </c>
      <c r="G6615" s="337" t="s">
        <v>35</v>
      </c>
      <c r="H6615" s="337" t="s">
        <v>36</v>
      </c>
      <c r="I6615" s="337"/>
      <c r="J6615" s="337"/>
      <c r="K6615" s="337"/>
      <c r="L6615" s="337"/>
      <c r="M6615" s="395" t="s">
        <v>10170</v>
      </c>
      <c r="N6615" s="337"/>
      <c r="O6615" s="167" t="s">
        <v>38</v>
      </c>
      <c r="P6615" s="5" t="str">
        <f t="shared" si="171"/>
        <v>Truncate table VEH007;</v>
      </c>
      <c r="Q6615" s="337"/>
      <c r="R6615" s="337"/>
    </row>
    <row r="6616" spans="2:18" x14ac:dyDescent="0.25">
      <c r="B6616" s="337" t="s">
        <v>11104</v>
      </c>
      <c r="C6616" s="337" t="s">
        <v>11105</v>
      </c>
      <c r="D6616" s="337" t="s">
        <v>29</v>
      </c>
      <c r="E6616" s="337" t="s">
        <v>1096</v>
      </c>
      <c r="F6616" s="337" t="s">
        <v>184</v>
      </c>
      <c r="G6616" s="337" t="s">
        <v>35</v>
      </c>
      <c r="H6616" s="337" t="s">
        <v>36</v>
      </c>
      <c r="I6616" s="337"/>
      <c r="J6616" s="337"/>
      <c r="K6616" s="337"/>
      <c r="L6616" s="337"/>
      <c r="M6616" s="395" t="s">
        <v>10170</v>
      </c>
      <c r="N6616" s="337"/>
      <c r="O6616" s="167" t="s">
        <v>38</v>
      </c>
      <c r="P6616" s="5" t="str">
        <f t="shared" si="171"/>
        <v>Truncate table VEH007A;</v>
      </c>
      <c r="Q6616" s="337"/>
      <c r="R6616" s="337"/>
    </row>
    <row r="6617" spans="2:18" x14ac:dyDescent="0.25">
      <c r="B6617" s="337" t="s">
        <v>11106</v>
      </c>
      <c r="C6617" s="337" t="s">
        <v>11107</v>
      </c>
      <c r="D6617" s="337" t="s">
        <v>29</v>
      </c>
      <c r="E6617" s="337" t="s">
        <v>1096</v>
      </c>
      <c r="F6617" s="337" t="s">
        <v>184</v>
      </c>
      <c r="G6617" s="337" t="s">
        <v>35</v>
      </c>
      <c r="H6617" s="337" t="s">
        <v>36</v>
      </c>
      <c r="I6617" s="337"/>
      <c r="J6617" s="337"/>
      <c r="K6617" s="337"/>
      <c r="L6617" s="337"/>
      <c r="M6617" s="395" t="s">
        <v>10170</v>
      </c>
      <c r="N6617" s="337"/>
      <c r="O6617" s="167" t="s">
        <v>38</v>
      </c>
      <c r="P6617" s="5" t="str">
        <f t="shared" si="171"/>
        <v>Truncate table VEH008;</v>
      </c>
      <c r="Q6617" s="337"/>
      <c r="R6617" s="337"/>
    </row>
    <row r="6618" spans="2:18" x14ac:dyDescent="0.25">
      <c r="B6618" s="337" t="s">
        <v>11108</v>
      </c>
      <c r="C6618" s="337" t="s">
        <v>11109</v>
      </c>
      <c r="D6618" s="337" t="s">
        <v>29</v>
      </c>
      <c r="E6618" s="337" t="s">
        <v>1096</v>
      </c>
      <c r="F6618" s="337" t="s">
        <v>184</v>
      </c>
      <c r="G6618" s="337" t="s">
        <v>35</v>
      </c>
      <c r="H6618" s="337" t="s">
        <v>36</v>
      </c>
      <c r="I6618" s="337"/>
      <c r="J6618" s="337"/>
      <c r="K6618" s="337"/>
      <c r="L6618" s="337"/>
      <c r="M6618" s="395" t="s">
        <v>10170</v>
      </c>
      <c r="N6618" s="337"/>
      <c r="O6618" s="167" t="s">
        <v>38</v>
      </c>
      <c r="P6618" s="5" t="str">
        <f t="shared" si="171"/>
        <v>Truncate table VEH009;</v>
      </c>
      <c r="Q6618" s="337"/>
      <c r="R6618" s="337"/>
    </row>
    <row r="6619" spans="2:18" x14ac:dyDescent="0.25">
      <c r="B6619" s="337" t="s">
        <v>11110</v>
      </c>
      <c r="C6619" s="337" t="s">
        <v>11111</v>
      </c>
      <c r="D6619" s="337" t="s">
        <v>29</v>
      </c>
      <c r="E6619" s="337" t="s">
        <v>1096</v>
      </c>
      <c r="F6619" s="337" t="s">
        <v>184</v>
      </c>
      <c r="G6619" s="337" t="s">
        <v>35</v>
      </c>
      <c r="H6619" s="337" t="s">
        <v>36</v>
      </c>
      <c r="I6619" s="337"/>
      <c r="J6619" s="337"/>
      <c r="K6619" s="337"/>
      <c r="L6619" s="337"/>
      <c r="M6619" s="395" t="s">
        <v>10170</v>
      </c>
      <c r="N6619" s="337"/>
      <c r="O6619" s="167" t="s">
        <v>38</v>
      </c>
      <c r="P6619" s="5" t="str">
        <f t="shared" si="171"/>
        <v>Truncate table VEH010;</v>
      </c>
      <c r="Q6619" s="337"/>
      <c r="R6619" s="337"/>
    </row>
    <row r="6620" spans="2:18" x14ac:dyDescent="0.25">
      <c r="B6620" s="337" t="s">
        <v>11112</v>
      </c>
      <c r="C6620" s="337" t="s">
        <v>11113</v>
      </c>
      <c r="D6620" s="337" t="s">
        <v>29</v>
      </c>
      <c r="E6620" s="337" t="s">
        <v>1096</v>
      </c>
      <c r="F6620" s="337" t="s">
        <v>184</v>
      </c>
      <c r="G6620" s="337" t="s">
        <v>35</v>
      </c>
      <c r="H6620" s="337" t="s">
        <v>36</v>
      </c>
      <c r="I6620" s="337"/>
      <c r="J6620" s="337"/>
      <c r="K6620" s="337"/>
      <c r="L6620" s="337"/>
      <c r="M6620" s="395" t="s">
        <v>10170</v>
      </c>
      <c r="N6620" s="337"/>
      <c r="O6620" s="167" t="s">
        <v>38</v>
      </c>
      <c r="P6620" s="5" t="str">
        <f t="shared" si="171"/>
        <v>Truncate table VEH011;</v>
      </c>
      <c r="Q6620" s="337"/>
      <c r="R6620" s="337"/>
    </row>
    <row r="6621" spans="2:18" x14ac:dyDescent="0.25">
      <c r="B6621" s="337" t="s">
        <v>11114</v>
      </c>
      <c r="C6621" s="337" t="s">
        <v>11115</v>
      </c>
      <c r="D6621" s="337" t="s">
        <v>29</v>
      </c>
      <c r="E6621" s="337" t="s">
        <v>1096</v>
      </c>
      <c r="F6621" s="337" t="s">
        <v>184</v>
      </c>
      <c r="G6621" s="337" t="s">
        <v>35</v>
      </c>
      <c r="H6621" s="337" t="s">
        <v>36</v>
      </c>
      <c r="I6621" s="337"/>
      <c r="J6621" s="337"/>
      <c r="K6621" s="337"/>
      <c r="L6621" s="337"/>
      <c r="M6621" s="395" t="s">
        <v>10170</v>
      </c>
      <c r="N6621" s="337"/>
      <c r="O6621" s="167" t="s">
        <v>38</v>
      </c>
      <c r="P6621" s="5" t="str">
        <f t="shared" si="171"/>
        <v>Truncate table VEH012;</v>
      </c>
      <c r="Q6621" s="337"/>
      <c r="R6621" s="337"/>
    </row>
    <row r="6622" spans="2:18" x14ac:dyDescent="0.25">
      <c r="B6622" s="337" t="s">
        <v>11116</v>
      </c>
      <c r="C6622" s="337" t="s">
        <v>11117</v>
      </c>
      <c r="D6622" s="337" t="s">
        <v>29</v>
      </c>
      <c r="E6622" s="337" t="s">
        <v>1096</v>
      </c>
      <c r="F6622" s="337" t="s">
        <v>184</v>
      </c>
      <c r="G6622" s="337" t="s">
        <v>35</v>
      </c>
      <c r="H6622" s="337" t="s">
        <v>36</v>
      </c>
      <c r="I6622" s="337"/>
      <c r="J6622" s="337"/>
      <c r="K6622" s="337"/>
      <c r="L6622" s="337"/>
      <c r="M6622" s="395" t="s">
        <v>10170</v>
      </c>
      <c r="N6622" s="337"/>
      <c r="O6622" s="167" t="s">
        <v>38</v>
      </c>
      <c r="P6622" s="5" t="str">
        <f t="shared" si="171"/>
        <v>Truncate table VEH015;</v>
      </c>
      <c r="Q6622" s="337"/>
      <c r="R6622" s="337"/>
    </row>
    <row r="6623" spans="2:18" x14ac:dyDescent="0.25">
      <c r="B6623" s="337" t="s">
        <v>11118</v>
      </c>
      <c r="C6623" s="337" t="s">
        <v>11119</v>
      </c>
      <c r="D6623" s="337" t="s">
        <v>29</v>
      </c>
      <c r="E6623" s="337" t="s">
        <v>1096</v>
      </c>
      <c r="F6623" s="337" t="s">
        <v>184</v>
      </c>
      <c r="G6623" s="337" t="s">
        <v>35</v>
      </c>
      <c r="H6623" s="337" t="s">
        <v>36</v>
      </c>
      <c r="I6623" s="337"/>
      <c r="J6623" s="337"/>
      <c r="K6623" s="337"/>
      <c r="L6623" s="337"/>
      <c r="M6623" s="395" t="s">
        <v>10170</v>
      </c>
      <c r="N6623" s="337"/>
      <c r="O6623" s="167" t="s">
        <v>38</v>
      </c>
      <c r="P6623" s="5" t="str">
        <f t="shared" si="171"/>
        <v>Truncate table VEH101;</v>
      </c>
      <c r="Q6623" s="337"/>
      <c r="R6623" s="337"/>
    </row>
    <row r="6624" spans="2:18" x14ac:dyDescent="0.25">
      <c r="B6624" s="337" t="s">
        <v>11120</v>
      </c>
      <c r="C6624" s="337" t="s">
        <v>11121</v>
      </c>
      <c r="D6624" s="337" t="s">
        <v>29</v>
      </c>
      <c r="E6624" s="337" t="s">
        <v>1096</v>
      </c>
      <c r="F6624" s="337" t="s">
        <v>184</v>
      </c>
      <c r="G6624" s="337" t="s">
        <v>35</v>
      </c>
      <c r="H6624" s="337" t="s">
        <v>36</v>
      </c>
      <c r="I6624" s="337"/>
      <c r="J6624" s="337"/>
      <c r="K6624" s="337"/>
      <c r="L6624" s="337"/>
      <c r="M6624" s="395" t="s">
        <v>10170</v>
      </c>
      <c r="N6624" s="337"/>
      <c r="O6624" s="167" t="s">
        <v>38</v>
      </c>
      <c r="P6624" s="5" t="str">
        <f t="shared" si="171"/>
        <v>Truncate table VEH102;</v>
      </c>
      <c r="Q6624" s="337"/>
      <c r="R6624" s="337"/>
    </row>
    <row r="6625" spans="2:18" x14ac:dyDescent="0.25">
      <c r="B6625" s="337" t="s">
        <v>11122</v>
      </c>
      <c r="C6625" s="337" t="s">
        <v>11123</v>
      </c>
      <c r="D6625" s="337" t="s">
        <v>29</v>
      </c>
      <c r="E6625" s="337" t="s">
        <v>1096</v>
      </c>
      <c r="F6625" s="337" t="s">
        <v>184</v>
      </c>
      <c r="G6625" s="337" t="s">
        <v>35</v>
      </c>
      <c r="H6625" s="337" t="s">
        <v>36</v>
      </c>
      <c r="I6625" s="337"/>
      <c r="J6625" s="337"/>
      <c r="K6625" s="337"/>
      <c r="L6625" s="337"/>
      <c r="M6625" s="395" t="s">
        <v>10170</v>
      </c>
      <c r="N6625" s="337"/>
      <c r="O6625" s="167" t="s">
        <v>38</v>
      </c>
      <c r="P6625" s="5" t="str">
        <f t="shared" si="171"/>
        <v>Truncate table VEH103;</v>
      </c>
      <c r="Q6625" s="337"/>
      <c r="R6625" s="337"/>
    </row>
    <row r="6626" spans="2:18" x14ac:dyDescent="0.25">
      <c r="B6626" s="337" t="s">
        <v>11124</v>
      </c>
      <c r="C6626" s="337" t="s">
        <v>11125</v>
      </c>
      <c r="D6626" s="337" t="s">
        <v>29</v>
      </c>
      <c r="E6626" s="337" t="s">
        <v>1096</v>
      </c>
      <c r="F6626" s="337" t="s">
        <v>184</v>
      </c>
      <c r="G6626" s="337" t="s">
        <v>35</v>
      </c>
      <c r="H6626" s="337" t="s">
        <v>36</v>
      </c>
      <c r="I6626" s="337"/>
      <c r="J6626" s="337"/>
      <c r="K6626" s="337"/>
      <c r="L6626" s="337"/>
      <c r="M6626" s="395" t="s">
        <v>10170</v>
      </c>
      <c r="N6626" s="337"/>
      <c r="O6626" s="167" t="s">
        <v>38</v>
      </c>
      <c r="P6626" s="5" t="str">
        <f t="shared" si="171"/>
        <v>Truncate table VEH106;</v>
      </c>
      <c r="Q6626" s="337"/>
      <c r="R6626" s="337"/>
    </row>
    <row r="6627" spans="2:18" x14ac:dyDescent="0.25">
      <c r="B6627" s="337" t="s">
        <v>11126</v>
      </c>
      <c r="C6627" s="337" t="s">
        <v>11127</v>
      </c>
      <c r="D6627" s="337" t="s">
        <v>29</v>
      </c>
      <c r="E6627" s="337" t="s">
        <v>1096</v>
      </c>
      <c r="F6627" s="337" t="s">
        <v>184</v>
      </c>
      <c r="G6627" s="337" t="s">
        <v>35</v>
      </c>
      <c r="H6627" s="337" t="s">
        <v>36</v>
      </c>
      <c r="I6627" s="337"/>
      <c r="J6627" s="337"/>
      <c r="K6627" s="337"/>
      <c r="L6627" s="337"/>
      <c r="M6627" s="395" t="s">
        <v>10170</v>
      </c>
      <c r="N6627" s="337"/>
      <c r="O6627" s="167" t="s">
        <v>38</v>
      </c>
      <c r="P6627" s="5" t="str">
        <f t="shared" si="171"/>
        <v>Truncate table VEH110;</v>
      </c>
      <c r="Q6627" s="337"/>
      <c r="R6627" s="337"/>
    </row>
    <row r="6628" spans="2:18" x14ac:dyDescent="0.25">
      <c r="B6628" s="337" t="s">
        <v>11128</v>
      </c>
      <c r="C6628" s="337" t="s">
        <v>11129</v>
      </c>
      <c r="D6628" s="337" t="s">
        <v>29</v>
      </c>
      <c r="E6628" s="337" t="s">
        <v>1096</v>
      </c>
      <c r="F6628" s="337" t="s">
        <v>184</v>
      </c>
      <c r="G6628" s="337" t="s">
        <v>35</v>
      </c>
      <c r="H6628" s="337" t="s">
        <v>36</v>
      </c>
      <c r="I6628" s="337"/>
      <c r="J6628" s="337"/>
      <c r="K6628" s="337"/>
      <c r="L6628" s="337"/>
      <c r="M6628" s="395" t="s">
        <v>10170</v>
      </c>
      <c r="N6628" s="337"/>
      <c r="O6628" s="167" t="s">
        <v>38</v>
      </c>
      <c r="P6628" s="5" t="str">
        <f t="shared" si="171"/>
        <v>Truncate table VEH530;</v>
      </c>
      <c r="Q6628" s="337"/>
      <c r="R6628" s="337"/>
    </row>
    <row r="6629" spans="2:18" x14ac:dyDescent="0.25">
      <c r="B6629" s="337" t="s">
        <v>11130</v>
      </c>
      <c r="C6629" s="337" t="s">
        <v>10458</v>
      </c>
      <c r="D6629" s="337" t="s">
        <v>29</v>
      </c>
      <c r="E6629" s="337" t="s">
        <v>1096</v>
      </c>
      <c r="F6629" s="337" t="s">
        <v>184</v>
      </c>
      <c r="G6629" s="337" t="s">
        <v>35</v>
      </c>
      <c r="H6629" s="337" t="s">
        <v>36</v>
      </c>
      <c r="I6629" s="337"/>
      <c r="J6629" s="337"/>
      <c r="K6629" s="337"/>
      <c r="L6629" s="337"/>
      <c r="M6629" s="395" t="s">
        <v>10170</v>
      </c>
      <c r="N6629" s="337"/>
      <c r="O6629" s="167" t="s">
        <v>38</v>
      </c>
      <c r="P6629" s="5" t="str">
        <f t="shared" si="171"/>
        <v>Truncate table VEHMC1;</v>
      </c>
      <c r="Q6629" s="337"/>
      <c r="R6629" s="337"/>
    </row>
    <row r="6630" spans="2:18" x14ac:dyDescent="0.25">
      <c r="B6630" s="337" t="s">
        <v>11131</v>
      </c>
      <c r="C6630" s="337" t="s">
        <v>10460</v>
      </c>
      <c r="D6630" s="337" t="s">
        <v>29</v>
      </c>
      <c r="E6630" s="337" t="s">
        <v>1096</v>
      </c>
      <c r="F6630" s="337" t="s">
        <v>184</v>
      </c>
      <c r="G6630" s="337" t="s">
        <v>35</v>
      </c>
      <c r="H6630" s="337" t="s">
        <v>36</v>
      </c>
      <c r="I6630" s="337"/>
      <c r="J6630" s="337"/>
      <c r="K6630" s="337"/>
      <c r="L6630" s="337"/>
      <c r="M6630" s="395" t="s">
        <v>10170</v>
      </c>
      <c r="N6630" s="337"/>
      <c r="O6630" s="167" t="s">
        <v>38</v>
      </c>
      <c r="P6630" s="5" t="str">
        <f t="shared" si="171"/>
        <v>Truncate table VEHNCS;</v>
      </c>
      <c r="Q6630" s="337"/>
      <c r="R6630" s="337"/>
    </row>
    <row r="6631" spans="2:18" x14ac:dyDescent="0.25">
      <c r="B6631" s="337" t="s">
        <v>11132</v>
      </c>
      <c r="C6631" s="337" t="s">
        <v>11133</v>
      </c>
      <c r="D6631" s="337" t="s">
        <v>10206</v>
      </c>
      <c r="E6631" s="337" t="s">
        <v>1096</v>
      </c>
      <c r="F6631" s="337" t="s">
        <v>184</v>
      </c>
      <c r="G6631" s="390" t="s">
        <v>35</v>
      </c>
      <c r="H6631" s="337" t="s">
        <v>36</v>
      </c>
      <c r="I6631" s="337"/>
      <c r="J6631" s="337"/>
      <c r="K6631" s="337"/>
      <c r="L6631" s="337"/>
      <c r="M6631" s="395" t="s">
        <v>10170</v>
      </c>
      <c r="N6631" s="337"/>
      <c r="O6631" s="167" t="s">
        <v>38</v>
      </c>
      <c r="P6631" s="5" t="str">
        <f t="shared" ref="P6631" si="172">IF(D6631="Datos","Truncate table "&amp; B6631&amp; ";","")</f>
        <v/>
      </c>
      <c r="Q6631" s="337"/>
      <c r="R6631" s="337"/>
    </row>
    <row r="6632" spans="2:18" x14ac:dyDescent="0.25">
      <c r="B6632" s="337" t="s">
        <v>11134</v>
      </c>
      <c r="C6632" s="337" t="s">
        <v>11135</v>
      </c>
      <c r="D6632" s="337" t="s">
        <v>29</v>
      </c>
      <c r="E6632" s="337" t="s">
        <v>1096</v>
      </c>
      <c r="F6632" s="337" t="s">
        <v>184</v>
      </c>
      <c r="G6632" s="337" t="s">
        <v>35</v>
      </c>
      <c r="H6632" s="337" t="s">
        <v>36</v>
      </c>
      <c r="I6632" s="337"/>
      <c r="J6632" s="337"/>
      <c r="K6632" s="337"/>
      <c r="L6632" s="337"/>
      <c r="M6632" s="395" t="s">
        <v>10170</v>
      </c>
      <c r="N6632" s="337"/>
      <c r="O6632" s="167" t="s">
        <v>38</v>
      </c>
      <c r="P6632" s="5" t="str">
        <f t="shared" ref="P6632:P6633" si="173">IF(D6632="Datos","Truncate table "&amp; B6632&amp; ";","")</f>
        <v>Truncate table WSPRER1;</v>
      </c>
      <c r="Q6632" s="337"/>
      <c r="R6632" s="337"/>
    </row>
    <row r="6633" spans="2:18" x14ac:dyDescent="0.25">
      <c r="B6633" s="337" t="s">
        <v>11136</v>
      </c>
      <c r="C6633" s="337" t="s">
        <v>11136</v>
      </c>
      <c r="D6633" s="389" t="s">
        <v>29</v>
      </c>
      <c r="E6633" s="389" t="s">
        <v>1096</v>
      </c>
      <c r="F6633" s="389" t="s">
        <v>184</v>
      </c>
      <c r="G6633" s="337" t="s">
        <v>35</v>
      </c>
      <c r="H6633" s="337" t="s">
        <v>36</v>
      </c>
      <c r="I6633" s="337"/>
      <c r="J6633" s="337"/>
      <c r="K6633" s="337"/>
      <c r="L6633" s="337"/>
      <c r="M6633" s="395" t="s">
        <v>10170</v>
      </c>
      <c r="N6633" s="337"/>
      <c r="O6633" s="167" t="s">
        <v>38</v>
      </c>
      <c r="P6633" s="5" t="str">
        <f t="shared" si="173"/>
        <v>Truncate table X03101;</v>
      </c>
      <c r="Q6633" s="337"/>
      <c r="R6633" s="337"/>
    </row>
    <row r="6634" spans="2:18" x14ac:dyDescent="0.25">
      <c r="B6634" s="337" t="s">
        <v>11137</v>
      </c>
      <c r="C6634" s="337" t="s">
        <v>11138</v>
      </c>
      <c r="D6634" s="337" t="s">
        <v>29</v>
      </c>
      <c r="E6634" s="337" t="s">
        <v>54</v>
      </c>
      <c r="F6634" s="337" t="s">
        <v>163</v>
      </c>
      <c r="G6634" s="337" t="s">
        <v>35</v>
      </c>
      <c r="H6634" s="337" t="s">
        <v>36</v>
      </c>
      <c r="I6634" s="337"/>
      <c r="J6634" s="337"/>
      <c r="K6634" s="337"/>
      <c r="L6634" s="337"/>
      <c r="M6634" s="395" t="s">
        <v>10170</v>
      </c>
      <c r="N6634" s="337"/>
      <c r="O6634" s="167" t="s">
        <v>38</v>
      </c>
      <c r="P6634" s="5" t="str">
        <f t="shared" si="171"/>
        <v>Truncate table X9995B;</v>
      </c>
      <c r="Q6634" s="337"/>
      <c r="R6634" s="337"/>
    </row>
    <row r="6635" spans="2:18" x14ac:dyDescent="0.25">
      <c r="B6635" s="337" t="s">
        <v>11139</v>
      </c>
      <c r="C6635" s="337" t="s">
        <v>11140</v>
      </c>
      <c r="D6635" s="337" t="s">
        <v>29</v>
      </c>
      <c r="E6635" s="337" t="s">
        <v>54</v>
      </c>
      <c r="F6635" s="337" t="s">
        <v>163</v>
      </c>
      <c r="G6635" s="337" t="s">
        <v>35</v>
      </c>
      <c r="H6635" s="337" t="s">
        <v>36</v>
      </c>
      <c r="I6635" s="337"/>
      <c r="J6635" s="337"/>
      <c r="K6635" s="337"/>
      <c r="L6635" s="337"/>
      <c r="M6635" s="395" t="s">
        <v>10170</v>
      </c>
      <c r="N6635" s="337"/>
      <c r="O6635" s="167" t="s">
        <v>38</v>
      </c>
      <c r="P6635" s="5" t="str">
        <f t="shared" si="171"/>
        <v>Truncate table XCR060;</v>
      </c>
      <c r="Q6635" s="337"/>
      <c r="R6635" s="337"/>
    </row>
    <row r="6636" spans="2:18" x14ac:dyDescent="0.25">
      <c r="B6636" s="337" t="s">
        <v>11141</v>
      </c>
      <c r="C6636" s="337" t="s">
        <v>11142</v>
      </c>
      <c r="D6636" s="337" t="s">
        <v>29</v>
      </c>
      <c r="E6636" s="337" t="s">
        <v>54</v>
      </c>
      <c r="F6636" s="337" t="s">
        <v>163</v>
      </c>
      <c r="G6636" s="337" t="s">
        <v>35</v>
      </c>
      <c r="H6636" s="337" t="s">
        <v>36</v>
      </c>
      <c r="I6636" s="337"/>
      <c r="J6636" s="337"/>
      <c r="K6636" s="337"/>
      <c r="L6636" s="337"/>
      <c r="M6636" s="395" t="s">
        <v>10170</v>
      </c>
      <c r="N6636" s="337"/>
      <c r="O6636" s="167" t="s">
        <v>38</v>
      </c>
      <c r="P6636" s="5" t="str">
        <f t="shared" si="171"/>
        <v>Truncate table XCR071;</v>
      </c>
      <c r="Q6636" s="337"/>
      <c r="R6636" s="337"/>
    </row>
    <row r="6637" spans="2:18" x14ac:dyDescent="0.25">
      <c r="B6637" s="337" t="s">
        <v>11143</v>
      </c>
      <c r="C6637" s="337" t="s">
        <v>11144</v>
      </c>
      <c r="D6637" s="337" t="s">
        <v>29</v>
      </c>
      <c r="E6637" s="337" t="s">
        <v>54</v>
      </c>
      <c r="F6637" s="337" t="s">
        <v>163</v>
      </c>
      <c r="G6637" s="389" t="s">
        <v>35</v>
      </c>
      <c r="H6637" s="337" t="s">
        <v>36</v>
      </c>
      <c r="I6637" s="337"/>
      <c r="J6637" s="337"/>
      <c r="K6637" s="337"/>
      <c r="L6637" s="337"/>
      <c r="M6637" s="395" t="s">
        <v>10170</v>
      </c>
      <c r="N6637" s="337"/>
      <c r="O6637" s="167" t="s">
        <v>38</v>
      </c>
      <c r="P6637" s="10" t="str">
        <f t="shared" si="171"/>
        <v>Truncate table XCR072;</v>
      </c>
      <c r="Q6637" s="337"/>
      <c r="R6637" s="337"/>
    </row>
    <row r="6638" spans="2:18" x14ac:dyDescent="0.25">
      <c r="B6638" s="337" t="s">
        <v>11145</v>
      </c>
      <c r="C6638" s="337" t="s">
        <v>11146</v>
      </c>
      <c r="D6638" s="337" t="s">
        <v>29</v>
      </c>
      <c r="E6638" s="337" t="s">
        <v>54</v>
      </c>
      <c r="F6638" s="337" t="s">
        <v>8200</v>
      </c>
      <c r="G6638" s="337" t="s">
        <v>35</v>
      </c>
      <c r="H6638" s="337" t="s">
        <v>36</v>
      </c>
      <c r="I6638" s="337"/>
      <c r="J6638" s="337"/>
      <c r="K6638" s="337"/>
      <c r="L6638" s="337"/>
      <c r="M6638" s="397" t="s">
        <v>10170</v>
      </c>
      <c r="N6638" s="337"/>
      <c r="O6638" s="167" t="s">
        <v>10170</v>
      </c>
      <c r="P6638" s="5" t="str">
        <f t="shared" si="171"/>
        <v>Truncate table XWF071;</v>
      </c>
      <c r="Q6638" s="337"/>
      <c r="R6638" s="337"/>
    </row>
    <row r="6639" spans="2:18" x14ac:dyDescent="0.25">
      <c r="B6639" s="337" t="s">
        <v>11147</v>
      </c>
      <c r="C6639" s="337" t="s">
        <v>11148</v>
      </c>
      <c r="D6639" s="337" t="s">
        <v>29</v>
      </c>
      <c r="E6639" s="337" t="s">
        <v>54</v>
      </c>
      <c r="F6639" s="337" t="s">
        <v>8200</v>
      </c>
      <c r="G6639" s="337" t="s">
        <v>35</v>
      </c>
      <c r="H6639" s="337" t="s">
        <v>36</v>
      </c>
      <c r="I6639" s="337"/>
      <c r="J6639" s="337"/>
      <c r="K6639" s="337"/>
      <c r="L6639" s="337"/>
      <c r="M6639" s="397" t="s">
        <v>10170</v>
      </c>
      <c r="N6639" s="337"/>
      <c r="O6639" s="167" t="s">
        <v>10170</v>
      </c>
      <c r="P6639" s="5" t="str">
        <f t="shared" si="171"/>
        <v>Truncate table XWF705;</v>
      </c>
      <c r="Q6639" s="337"/>
      <c r="R6639" s="337"/>
    </row>
    <row r="6640" spans="2:18" x14ac:dyDescent="0.25">
      <c r="B6640" s="337" t="s">
        <v>11149</v>
      </c>
      <c r="C6640" s="337" t="s">
        <v>11150</v>
      </c>
      <c r="D6640" s="337" t="s">
        <v>29</v>
      </c>
      <c r="E6640" s="337" t="s">
        <v>54</v>
      </c>
      <c r="F6640" s="337" t="s">
        <v>8200</v>
      </c>
      <c r="G6640" s="337" t="s">
        <v>35</v>
      </c>
      <c r="H6640" s="337" t="s">
        <v>36</v>
      </c>
      <c r="I6640" s="337"/>
      <c r="J6640" s="337"/>
      <c r="K6640" s="337"/>
      <c r="L6640" s="337"/>
      <c r="M6640" s="397" t="s">
        <v>10170</v>
      </c>
      <c r="N6640" s="337"/>
      <c r="O6640" s="167" t="s">
        <v>10170</v>
      </c>
      <c r="P6640" s="5" t="str">
        <f t="shared" si="171"/>
        <v>Truncate table XWF720;</v>
      </c>
      <c r="Q6640" s="337"/>
      <c r="R6640" s="337"/>
    </row>
    <row r="6641" spans="2:18" x14ac:dyDescent="0.25">
      <c r="B6641" s="337" t="s">
        <v>11151</v>
      </c>
      <c r="C6641" s="337" t="s">
        <v>9881</v>
      </c>
      <c r="D6641" s="337" t="s">
        <v>10206</v>
      </c>
      <c r="E6641" s="337" t="s">
        <v>54</v>
      </c>
      <c r="F6641" s="337" t="s">
        <v>8200</v>
      </c>
      <c r="G6641" s="337" t="s">
        <v>35</v>
      </c>
      <c r="H6641" s="337" t="s">
        <v>36</v>
      </c>
      <c r="I6641" s="337"/>
      <c r="J6641" s="337"/>
      <c r="K6641" s="337"/>
      <c r="L6641" s="337"/>
      <c r="M6641" s="397" t="s">
        <v>10170</v>
      </c>
      <c r="N6641" s="337"/>
      <c r="O6641" s="167" t="s">
        <v>10170</v>
      </c>
      <c r="P6641" s="5" t="str">
        <f t="shared" si="171"/>
        <v/>
      </c>
      <c r="Q6641" s="337"/>
      <c r="R6641" s="337"/>
    </row>
    <row r="6642" spans="2:18" x14ac:dyDescent="0.25">
      <c r="B6642" s="337" t="s">
        <v>11152</v>
      </c>
      <c r="C6642" s="337" t="s">
        <v>11153</v>
      </c>
      <c r="D6642" s="337" t="s">
        <v>10206</v>
      </c>
      <c r="E6642" s="337" t="s">
        <v>54</v>
      </c>
      <c r="F6642" s="337" t="s">
        <v>8200</v>
      </c>
      <c r="G6642" s="337" t="s">
        <v>35</v>
      </c>
      <c r="H6642" s="337" t="s">
        <v>36</v>
      </c>
      <c r="I6642" s="337"/>
      <c r="J6642" s="337"/>
      <c r="K6642" s="337"/>
      <c r="L6642" s="337"/>
      <c r="M6642" s="397" t="s">
        <v>10170</v>
      </c>
      <c r="N6642" s="337"/>
      <c r="O6642" s="167" t="s">
        <v>10170</v>
      </c>
      <c r="P6642" s="5" t="str">
        <f t="shared" si="171"/>
        <v/>
      </c>
      <c r="Q6642" s="337"/>
      <c r="R6642" s="337"/>
    </row>
    <row r="6643" spans="2:18" x14ac:dyDescent="0.25">
      <c r="B6643" s="337" t="s">
        <v>11154</v>
      </c>
      <c r="C6643" s="337" t="s">
        <v>11155</v>
      </c>
      <c r="D6643" s="337" t="s">
        <v>10206</v>
      </c>
      <c r="E6643" s="337" t="s">
        <v>54</v>
      </c>
      <c r="F6643" s="337" t="s">
        <v>8200</v>
      </c>
      <c r="G6643" s="337" t="s">
        <v>35</v>
      </c>
      <c r="H6643" s="337" t="s">
        <v>36</v>
      </c>
      <c r="I6643" s="337"/>
      <c r="J6643" s="337"/>
      <c r="K6643" s="337"/>
      <c r="L6643" s="337"/>
      <c r="M6643" s="397" t="s">
        <v>10170</v>
      </c>
      <c r="N6643" s="337"/>
      <c r="O6643" s="167" t="s">
        <v>10170</v>
      </c>
      <c r="P6643" s="5" t="str">
        <f t="shared" si="171"/>
        <v/>
      </c>
      <c r="Q6643" s="337"/>
      <c r="R6643" s="337"/>
    </row>
    <row r="6644" spans="2:18" x14ac:dyDescent="0.25">
      <c r="B6644" s="337" t="s">
        <v>11156</v>
      </c>
      <c r="C6644" s="337" t="s">
        <v>11157</v>
      </c>
      <c r="D6644" s="337" t="s">
        <v>10206</v>
      </c>
      <c r="E6644" s="337" t="s">
        <v>54</v>
      </c>
      <c r="F6644" s="337" t="s">
        <v>8200</v>
      </c>
      <c r="G6644" s="337" t="s">
        <v>35</v>
      </c>
      <c r="H6644" s="337" t="s">
        <v>36</v>
      </c>
      <c r="I6644" s="337"/>
      <c r="J6644" s="337"/>
      <c r="K6644" s="337"/>
      <c r="L6644" s="337"/>
      <c r="M6644" s="397" t="s">
        <v>10170</v>
      </c>
      <c r="N6644" s="337"/>
      <c r="O6644" s="167" t="s">
        <v>10170</v>
      </c>
      <c r="P6644" s="5" t="str">
        <f t="shared" si="171"/>
        <v/>
      </c>
      <c r="Q6644" s="337"/>
      <c r="R6644" s="337"/>
    </row>
    <row r="6645" spans="2:18" x14ac:dyDescent="0.25">
      <c r="M6645" s="237"/>
      <c r="P6645" s="26" t="str">
        <f t="shared" si="171"/>
        <v/>
      </c>
    </row>
    <row r="6646" spans="2:18" x14ac:dyDescent="0.25">
      <c r="B6646" s="118" t="s">
        <v>11170</v>
      </c>
      <c r="C6646" s="347" t="s">
        <v>11435</v>
      </c>
      <c r="D6646" s="347" t="s">
        <v>29</v>
      </c>
      <c r="E6646" s="118" t="s">
        <v>8232</v>
      </c>
      <c r="F6646" s="118" t="s">
        <v>8227</v>
      </c>
      <c r="G6646" s="118" t="s">
        <v>35</v>
      </c>
      <c r="H6646" s="118" t="s">
        <v>12</v>
      </c>
      <c r="I6646" s="118"/>
      <c r="J6646" s="118"/>
      <c r="K6646" s="118"/>
      <c r="L6646" s="118"/>
      <c r="M6646" s="236" t="s">
        <v>11158</v>
      </c>
      <c r="N6646" s="118"/>
      <c r="O6646" s="405" t="s">
        <v>11158</v>
      </c>
      <c r="P6646" s="16" t="str">
        <f t="shared" si="171"/>
        <v>Truncate table DEAR007;</v>
      </c>
      <c r="Q6646" s="118" t="s">
        <v>8129</v>
      </c>
      <c r="R6646" s="118"/>
    </row>
    <row r="6647" spans="2:18" x14ac:dyDescent="0.25">
      <c r="B6647" s="118" t="s">
        <v>11171</v>
      </c>
      <c r="C6647" s="347" t="s">
        <v>11172</v>
      </c>
      <c r="D6647" s="347" t="s">
        <v>29</v>
      </c>
      <c r="E6647" s="118" t="s">
        <v>8232</v>
      </c>
      <c r="F6647" s="118" t="s">
        <v>8227</v>
      </c>
      <c r="G6647" s="118" t="s">
        <v>35</v>
      </c>
      <c r="H6647" s="118" t="s">
        <v>12</v>
      </c>
      <c r="I6647" s="118"/>
      <c r="J6647" s="118"/>
      <c r="K6647" s="118"/>
      <c r="L6647" s="118"/>
      <c r="M6647" s="236" t="s">
        <v>11158</v>
      </c>
      <c r="N6647" s="118"/>
      <c r="O6647" s="405" t="s">
        <v>11158</v>
      </c>
      <c r="P6647" s="16" t="str">
        <f t="shared" si="171"/>
        <v>Truncate table DEAR025;</v>
      </c>
      <c r="Q6647" s="118" t="s">
        <v>8129</v>
      </c>
      <c r="R6647" s="118"/>
    </row>
    <row r="6648" spans="2:18" x14ac:dyDescent="0.25">
      <c r="B6648" s="118" t="s">
        <v>11173</v>
      </c>
      <c r="C6648" s="347" t="s">
        <v>11174</v>
      </c>
      <c r="D6648" s="347" t="s">
        <v>10206</v>
      </c>
      <c r="E6648" s="118" t="s">
        <v>8232</v>
      </c>
      <c r="F6648" s="118" t="s">
        <v>8227</v>
      </c>
      <c r="G6648" s="118" t="s">
        <v>35</v>
      </c>
      <c r="H6648" s="118" t="s">
        <v>12</v>
      </c>
      <c r="I6648" s="118"/>
      <c r="J6648" s="118"/>
      <c r="K6648" s="118"/>
      <c r="L6648" s="118"/>
      <c r="M6648" s="236" t="s">
        <v>11158</v>
      </c>
      <c r="N6648" s="118"/>
      <c r="O6648" s="405" t="s">
        <v>11158</v>
      </c>
      <c r="P6648" s="16" t="str">
        <f t="shared" si="171"/>
        <v/>
      </c>
      <c r="Q6648" s="118" t="s">
        <v>8129</v>
      </c>
      <c r="R6648" s="118"/>
    </row>
    <row r="6649" spans="2:18" x14ac:dyDescent="0.25">
      <c r="B6649" s="118" t="s">
        <v>11175</v>
      </c>
      <c r="C6649" s="347" t="s">
        <v>11176</v>
      </c>
      <c r="D6649" s="347" t="s">
        <v>29</v>
      </c>
      <c r="E6649" s="118" t="s">
        <v>1096</v>
      </c>
      <c r="F6649" s="118" t="s">
        <v>184</v>
      </c>
      <c r="G6649" s="118" t="s">
        <v>35</v>
      </c>
      <c r="H6649" s="118" t="s">
        <v>12</v>
      </c>
      <c r="I6649" s="118"/>
      <c r="J6649" s="118"/>
      <c r="K6649" s="118"/>
      <c r="L6649" s="118"/>
      <c r="M6649" s="236" t="s">
        <v>11158</v>
      </c>
      <c r="N6649" s="118"/>
      <c r="O6649" s="405" t="s">
        <v>11158</v>
      </c>
      <c r="P6649" s="16" t="str">
        <f t="shared" si="171"/>
        <v>Truncate table DEAR040;</v>
      </c>
      <c r="Q6649" s="118" t="s">
        <v>8129</v>
      </c>
      <c r="R6649" s="118"/>
    </row>
    <row r="6650" spans="2:18" x14ac:dyDescent="0.25">
      <c r="B6650" s="118" t="s">
        <v>11177</v>
      </c>
      <c r="C6650" s="347" t="s">
        <v>11178</v>
      </c>
      <c r="D6650" s="347" t="s">
        <v>29</v>
      </c>
      <c r="E6650" s="118" t="s">
        <v>1096</v>
      </c>
      <c r="F6650" s="118" t="s">
        <v>184</v>
      </c>
      <c r="G6650" s="118" t="s">
        <v>35</v>
      </c>
      <c r="H6650" s="118" t="s">
        <v>12</v>
      </c>
      <c r="I6650" s="118"/>
      <c r="J6650" s="118"/>
      <c r="K6650" s="118"/>
      <c r="L6650" s="118"/>
      <c r="M6650" s="236" t="s">
        <v>11158</v>
      </c>
      <c r="N6650" s="118"/>
      <c r="O6650" s="405" t="s">
        <v>11158</v>
      </c>
      <c r="P6650" s="16" t="str">
        <f t="shared" si="171"/>
        <v>Truncate table DEAR041;</v>
      </c>
      <c r="Q6650" s="118" t="s">
        <v>8129</v>
      </c>
      <c r="R6650" s="118"/>
    </row>
    <row r="6651" spans="2:18" x14ac:dyDescent="0.25">
      <c r="B6651" s="118" t="s">
        <v>11179</v>
      </c>
      <c r="C6651" s="347" t="s">
        <v>11180</v>
      </c>
      <c r="D6651" s="347" t="s">
        <v>29</v>
      </c>
      <c r="E6651" s="118" t="s">
        <v>1096</v>
      </c>
      <c r="F6651" s="118" t="s">
        <v>184</v>
      </c>
      <c r="G6651" s="118" t="s">
        <v>35</v>
      </c>
      <c r="H6651" s="118" t="s">
        <v>12</v>
      </c>
      <c r="I6651" s="118"/>
      <c r="J6651" s="118"/>
      <c r="K6651" s="118"/>
      <c r="L6651" s="118"/>
      <c r="M6651" s="236" t="s">
        <v>11158</v>
      </c>
      <c r="N6651" s="118"/>
      <c r="O6651" s="405" t="s">
        <v>11158</v>
      </c>
      <c r="P6651" s="16" t="str">
        <f t="shared" si="171"/>
        <v>Truncate table DEAR042;</v>
      </c>
      <c r="Q6651" s="118" t="s">
        <v>8129</v>
      </c>
      <c r="R6651" s="118"/>
    </row>
    <row r="6652" spans="2:18" x14ac:dyDescent="0.25">
      <c r="B6652" s="118" t="s">
        <v>11181</v>
      </c>
      <c r="C6652" s="347" t="s">
        <v>11182</v>
      </c>
      <c r="D6652" s="347" t="s">
        <v>29</v>
      </c>
      <c r="E6652" s="118" t="s">
        <v>1096</v>
      </c>
      <c r="F6652" s="118" t="s">
        <v>184</v>
      </c>
      <c r="G6652" s="118" t="s">
        <v>35</v>
      </c>
      <c r="H6652" s="118" t="s">
        <v>12</v>
      </c>
      <c r="I6652" s="118"/>
      <c r="J6652" s="118"/>
      <c r="K6652" s="118"/>
      <c r="L6652" s="118"/>
      <c r="M6652" s="236" t="s">
        <v>11158</v>
      </c>
      <c r="N6652" s="118"/>
      <c r="O6652" s="405" t="s">
        <v>11158</v>
      </c>
      <c r="P6652" s="16" t="str">
        <f t="shared" si="171"/>
        <v>Truncate table DEAR043;</v>
      </c>
      <c r="Q6652" s="118" t="s">
        <v>8129</v>
      </c>
      <c r="R6652" s="118"/>
    </row>
    <row r="6653" spans="2:18" x14ac:dyDescent="0.25">
      <c r="B6653" s="118" t="s">
        <v>11183</v>
      </c>
      <c r="C6653" s="347" t="s">
        <v>11184</v>
      </c>
      <c r="D6653" s="347" t="s">
        <v>29</v>
      </c>
      <c r="E6653" s="118" t="s">
        <v>1096</v>
      </c>
      <c r="F6653" s="118" t="s">
        <v>8212</v>
      </c>
      <c r="G6653" s="118" t="s">
        <v>35</v>
      </c>
      <c r="H6653" s="118" t="s">
        <v>12</v>
      </c>
      <c r="I6653" s="118"/>
      <c r="J6653" s="118"/>
      <c r="K6653" s="118"/>
      <c r="L6653" s="118"/>
      <c r="M6653" s="236" t="s">
        <v>11158</v>
      </c>
      <c r="N6653" s="118"/>
      <c r="O6653" s="405" t="s">
        <v>11158</v>
      </c>
      <c r="P6653" s="16" t="str">
        <f t="shared" si="171"/>
        <v>Truncate table DEAR061;</v>
      </c>
      <c r="Q6653" s="118" t="s">
        <v>8129</v>
      </c>
      <c r="R6653" s="118"/>
    </row>
    <row r="6654" spans="2:18" x14ac:dyDescent="0.25">
      <c r="B6654" s="118" t="s">
        <v>11185</v>
      </c>
      <c r="C6654" s="347" t="s">
        <v>11186</v>
      </c>
      <c r="D6654" s="347" t="s">
        <v>10206</v>
      </c>
      <c r="E6654" s="118" t="s">
        <v>1096</v>
      </c>
      <c r="F6654" s="118" t="s">
        <v>150</v>
      </c>
      <c r="G6654" s="118" t="s">
        <v>35</v>
      </c>
      <c r="H6654" s="118" t="s">
        <v>12</v>
      </c>
      <c r="I6654" s="118"/>
      <c r="J6654" s="118"/>
      <c r="K6654" s="118"/>
      <c r="L6654" s="118"/>
      <c r="M6654" s="236" t="s">
        <v>11158</v>
      </c>
      <c r="N6654" s="118"/>
      <c r="O6654" s="405" t="s">
        <v>11158</v>
      </c>
      <c r="P6654" s="16" t="str">
        <f t="shared" si="171"/>
        <v/>
      </c>
      <c r="Q6654" s="118" t="s">
        <v>8129</v>
      </c>
      <c r="R6654" s="118"/>
    </row>
    <row r="6655" spans="2:18" x14ac:dyDescent="0.25">
      <c r="B6655" s="118" t="s">
        <v>11187</v>
      </c>
      <c r="C6655" s="347" t="s">
        <v>11188</v>
      </c>
      <c r="D6655" s="347" t="s">
        <v>29</v>
      </c>
      <c r="E6655" s="118" t="s">
        <v>1096</v>
      </c>
      <c r="F6655" s="118" t="s">
        <v>8212</v>
      </c>
      <c r="G6655" s="118" t="s">
        <v>35</v>
      </c>
      <c r="H6655" s="118" t="s">
        <v>12</v>
      </c>
      <c r="I6655" s="118"/>
      <c r="J6655" s="118"/>
      <c r="K6655" s="118"/>
      <c r="L6655" s="118"/>
      <c r="M6655" s="236" t="s">
        <v>11158</v>
      </c>
      <c r="N6655" s="118"/>
      <c r="O6655" s="405" t="s">
        <v>11158</v>
      </c>
      <c r="P6655" s="16" t="str">
        <f t="shared" si="171"/>
        <v>Truncate table DEAR11;</v>
      </c>
      <c r="Q6655" s="118" t="s">
        <v>8129</v>
      </c>
      <c r="R6655" s="118"/>
    </row>
    <row r="6656" spans="2:18" x14ac:dyDescent="0.25">
      <c r="B6656" s="118" t="s">
        <v>11189</v>
      </c>
      <c r="C6656" s="347" t="s">
        <v>11190</v>
      </c>
      <c r="D6656" s="347" t="s">
        <v>10206</v>
      </c>
      <c r="E6656" s="118" t="s">
        <v>54</v>
      </c>
      <c r="F6656" s="118" t="s">
        <v>8192</v>
      </c>
      <c r="G6656" s="118" t="s">
        <v>35</v>
      </c>
      <c r="H6656" s="118" t="s">
        <v>12</v>
      </c>
      <c r="I6656" s="118"/>
      <c r="J6656" s="118"/>
      <c r="K6656" s="118"/>
      <c r="L6656" s="118"/>
      <c r="M6656" s="236" t="s">
        <v>11158</v>
      </c>
      <c r="N6656" s="118"/>
      <c r="O6656" s="405" t="s">
        <v>11158</v>
      </c>
      <c r="P6656" s="16" t="str">
        <f t="shared" si="171"/>
        <v/>
      </c>
      <c r="Q6656" s="118" t="s">
        <v>8129</v>
      </c>
      <c r="R6656" s="118"/>
    </row>
    <row r="6657" spans="2:18" x14ac:dyDescent="0.25">
      <c r="B6657" s="118" t="s">
        <v>11191</v>
      </c>
      <c r="C6657" s="347" t="s">
        <v>11192</v>
      </c>
      <c r="D6657" s="347" t="s">
        <v>29</v>
      </c>
      <c r="E6657" s="118" t="s">
        <v>54</v>
      </c>
      <c r="F6657" s="118" t="s">
        <v>8192</v>
      </c>
      <c r="G6657" s="118" t="s">
        <v>35</v>
      </c>
      <c r="H6657" s="118" t="s">
        <v>12</v>
      </c>
      <c r="I6657" s="118"/>
      <c r="J6657" s="118"/>
      <c r="K6657" s="118"/>
      <c r="L6657" s="118"/>
      <c r="M6657" s="236" t="s">
        <v>11158</v>
      </c>
      <c r="N6657" s="118"/>
      <c r="O6657" s="405" t="s">
        <v>11158</v>
      </c>
      <c r="P6657" s="16" t="str">
        <f t="shared" si="171"/>
        <v>Truncate table DEAR13;</v>
      </c>
      <c r="Q6657" s="118" t="s">
        <v>8129</v>
      </c>
      <c r="R6657" s="118"/>
    </row>
    <row r="6658" spans="2:18" x14ac:dyDescent="0.25">
      <c r="B6658" s="118" t="s">
        <v>11193</v>
      </c>
      <c r="C6658" s="347" t="s">
        <v>11194</v>
      </c>
      <c r="D6658" s="347" t="s">
        <v>10206</v>
      </c>
      <c r="E6658" s="118" t="s">
        <v>54</v>
      </c>
      <c r="F6658" s="118" t="s">
        <v>8192</v>
      </c>
      <c r="G6658" s="118" t="s">
        <v>35</v>
      </c>
      <c r="H6658" s="118" t="s">
        <v>12</v>
      </c>
      <c r="I6658" s="118"/>
      <c r="J6658" s="118"/>
      <c r="K6658" s="118"/>
      <c r="L6658" s="118"/>
      <c r="M6658" s="236" t="s">
        <v>11158</v>
      </c>
      <c r="N6658" s="118"/>
      <c r="O6658" s="405" t="s">
        <v>11158</v>
      </c>
      <c r="P6658" s="16" t="str">
        <f t="shared" si="171"/>
        <v/>
      </c>
      <c r="Q6658" s="118" t="s">
        <v>8129</v>
      </c>
      <c r="R6658" s="118"/>
    </row>
    <row r="6659" spans="2:18" x14ac:dyDescent="0.25">
      <c r="B6659" s="118" t="s">
        <v>11195</v>
      </c>
      <c r="C6659" s="347" t="s">
        <v>11196</v>
      </c>
      <c r="D6659" s="347" t="s">
        <v>29</v>
      </c>
      <c r="E6659" s="118" t="s">
        <v>151</v>
      </c>
      <c r="F6659" s="118" t="s">
        <v>150</v>
      </c>
      <c r="G6659" s="118" t="s">
        <v>35</v>
      </c>
      <c r="H6659" s="118" t="s">
        <v>12</v>
      </c>
      <c r="I6659" s="118"/>
      <c r="J6659" s="118"/>
      <c r="K6659" s="118"/>
      <c r="L6659" s="118"/>
      <c r="M6659" s="236" t="s">
        <v>11158</v>
      </c>
      <c r="N6659" s="118"/>
      <c r="O6659" s="405" t="s">
        <v>11158</v>
      </c>
      <c r="P6659" s="16" t="str">
        <f t="shared" si="171"/>
        <v>Truncate table DEAR15;</v>
      </c>
      <c r="Q6659" s="118" t="s">
        <v>8129</v>
      </c>
      <c r="R6659" s="118"/>
    </row>
    <row r="6660" spans="2:18" x14ac:dyDescent="0.25">
      <c r="B6660" s="118" t="s">
        <v>11197</v>
      </c>
      <c r="C6660" s="347" t="s">
        <v>11198</v>
      </c>
      <c r="D6660" s="347" t="s">
        <v>29</v>
      </c>
      <c r="E6660" s="118" t="s">
        <v>151</v>
      </c>
      <c r="F6660" s="118" t="s">
        <v>150</v>
      </c>
      <c r="G6660" s="118" t="s">
        <v>35</v>
      </c>
      <c r="H6660" s="118" t="s">
        <v>12</v>
      </c>
      <c r="I6660" s="118"/>
      <c r="J6660" s="118"/>
      <c r="K6660" s="118"/>
      <c r="L6660" s="118"/>
      <c r="M6660" s="236" t="s">
        <v>11158</v>
      </c>
      <c r="N6660" s="118"/>
      <c r="O6660" s="405" t="s">
        <v>11158</v>
      </c>
      <c r="P6660" s="16" t="str">
        <f t="shared" si="171"/>
        <v>Truncate table DEAR16;</v>
      </c>
      <c r="Q6660" s="118" t="s">
        <v>8129</v>
      </c>
      <c r="R6660" s="118"/>
    </row>
    <row r="6661" spans="2:18" x14ac:dyDescent="0.25">
      <c r="B6661" s="118" t="s">
        <v>11199</v>
      </c>
      <c r="C6661" s="347" t="s">
        <v>11200</v>
      </c>
      <c r="D6661" s="347" t="s">
        <v>29</v>
      </c>
      <c r="E6661" s="118" t="s">
        <v>54</v>
      </c>
      <c r="F6661" s="118" t="s">
        <v>8241</v>
      </c>
      <c r="G6661" s="118" t="s">
        <v>35</v>
      </c>
      <c r="H6661" s="118" t="s">
        <v>12</v>
      </c>
      <c r="I6661" s="118"/>
      <c r="J6661" s="118"/>
      <c r="K6661" s="118"/>
      <c r="L6661" s="118"/>
      <c r="M6661" s="236" t="s">
        <v>11158</v>
      </c>
      <c r="N6661" s="118"/>
      <c r="O6661" s="405" t="s">
        <v>11158</v>
      </c>
      <c r="P6661" s="16" t="str">
        <f t="shared" si="171"/>
        <v>Truncate table DEAR17;</v>
      </c>
      <c r="Q6661" s="118" t="s">
        <v>8129</v>
      </c>
      <c r="R6661" s="118"/>
    </row>
    <row r="6662" spans="2:18" x14ac:dyDescent="0.25">
      <c r="B6662" s="118" t="s">
        <v>11201</v>
      </c>
      <c r="C6662" s="347" t="s">
        <v>11202</v>
      </c>
      <c r="D6662" s="347" t="s">
        <v>29</v>
      </c>
      <c r="E6662" s="118" t="s">
        <v>151</v>
      </c>
      <c r="F6662" s="118" t="s">
        <v>8215</v>
      </c>
      <c r="G6662" s="118" t="s">
        <v>35</v>
      </c>
      <c r="H6662" s="118" t="s">
        <v>12</v>
      </c>
      <c r="I6662" s="118"/>
      <c r="J6662" s="118"/>
      <c r="K6662" s="118"/>
      <c r="L6662" s="118"/>
      <c r="M6662" s="236" t="s">
        <v>11158</v>
      </c>
      <c r="N6662" s="118"/>
      <c r="O6662" s="405" t="s">
        <v>11158</v>
      </c>
      <c r="P6662" s="16" t="str">
        <f t="shared" si="171"/>
        <v>Truncate table DEAR18;</v>
      </c>
      <c r="Q6662" s="118" t="s">
        <v>8129</v>
      </c>
      <c r="R6662" s="118"/>
    </row>
    <row r="6663" spans="2:18" x14ac:dyDescent="0.25">
      <c r="B6663" s="118" t="s">
        <v>11203</v>
      </c>
      <c r="C6663" s="347" t="s">
        <v>11204</v>
      </c>
      <c r="D6663" s="347" t="s">
        <v>10206</v>
      </c>
      <c r="E6663" s="118" t="s">
        <v>1096</v>
      </c>
      <c r="F6663" s="118" t="s">
        <v>8212</v>
      </c>
      <c r="G6663" s="118" t="s">
        <v>35</v>
      </c>
      <c r="H6663" s="118" t="s">
        <v>12</v>
      </c>
      <c r="I6663" s="118"/>
      <c r="J6663" s="118"/>
      <c r="K6663" s="118"/>
      <c r="L6663" s="118"/>
      <c r="M6663" s="236" t="s">
        <v>11158</v>
      </c>
      <c r="N6663" s="118"/>
      <c r="O6663" s="405" t="s">
        <v>11158</v>
      </c>
      <c r="P6663" s="16" t="str">
        <f t="shared" si="171"/>
        <v/>
      </c>
      <c r="Q6663" s="118" t="s">
        <v>8129</v>
      </c>
      <c r="R6663" s="118"/>
    </row>
    <row r="6664" spans="2:18" x14ac:dyDescent="0.25">
      <c r="B6664" s="118" t="s">
        <v>11205</v>
      </c>
      <c r="C6664" s="347" t="s">
        <v>11206</v>
      </c>
      <c r="D6664" s="347" t="s">
        <v>29</v>
      </c>
      <c r="E6664" s="118" t="s">
        <v>1096</v>
      </c>
      <c r="F6664" s="118" t="s">
        <v>8212</v>
      </c>
      <c r="G6664" s="118" t="s">
        <v>35</v>
      </c>
      <c r="H6664" s="118" t="s">
        <v>12</v>
      </c>
      <c r="I6664" s="118"/>
      <c r="J6664" s="118"/>
      <c r="K6664" s="118"/>
      <c r="L6664" s="118"/>
      <c r="M6664" s="236" t="s">
        <v>11158</v>
      </c>
      <c r="N6664" s="118"/>
      <c r="O6664" s="405" t="s">
        <v>11158</v>
      </c>
      <c r="P6664" s="16" t="str">
        <f t="shared" si="171"/>
        <v>Truncate table DEAR221;</v>
      </c>
      <c r="Q6664" s="118" t="s">
        <v>8129</v>
      </c>
      <c r="R6664" s="118"/>
    </row>
    <row r="6665" spans="2:18" x14ac:dyDescent="0.25">
      <c r="B6665" s="118" t="s">
        <v>11207</v>
      </c>
      <c r="C6665" s="347" t="s">
        <v>11208</v>
      </c>
      <c r="D6665" s="347" t="s">
        <v>10206</v>
      </c>
      <c r="E6665" s="118" t="s">
        <v>151</v>
      </c>
      <c r="F6665" s="118" t="s">
        <v>150</v>
      </c>
      <c r="G6665" s="118" t="s">
        <v>35</v>
      </c>
      <c r="H6665" s="118" t="s">
        <v>12</v>
      </c>
      <c r="I6665" s="118"/>
      <c r="J6665" s="118"/>
      <c r="K6665" s="118"/>
      <c r="L6665" s="118"/>
      <c r="M6665" s="236" t="s">
        <v>11158</v>
      </c>
      <c r="N6665" s="118"/>
      <c r="O6665" s="405" t="s">
        <v>11158</v>
      </c>
      <c r="P6665" s="16" t="str">
        <f t="shared" si="171"/>
        <v/>
      </c>
      <c r="Q6665" s="118" t="s">
        <v>8129</v>
      </c>
      <c r="R6665" s="118"/>
    </row>
    <row r="6666" spans="2:18" x14ac:dyDescent="0.25">
      <c r="B6666" s="118" t="s">
        <v>11209</v>
      </c>
      <c r="C6666" s="347" t="s">
        <v>11210</v>
      </c>
      <c r="D6666" s="347" t="s">
        <v>29</v>
      </c>
      <c r="E6666" s="118" t="s">
        <v>151</v>
      </c>
      <c r="F6666" s="118" t="s">
        <v>150</v>
      </c>
      <c r="G6666" s="118" t="s">
        <v>35</v>
      </c>
      <c r="H6666" s="118" t="s">
        <v>12</v>
      </c>
      <c r="I6666" s="118"/>
      <c r="J6666" s="118"/>
      <c r="K6666" s="118"/>
      <c r="L6666" s="118"/>
      <c r="M6666" s="236" t="s">
        <v>11158</v>
      </c>
      <c r="N6666" s="118"/>
      <c r="O6666" s="405" t="s">
        <v>11158</v>
      </c>
      <c r="P6666" s="16" t="str">
        <f t="shared" si="171"/>
        <v>Truncate table DEAR500;</v>
      </c>
      <c r="Q6666" s="118" t="s">
        <v>8129</v>
      </c>
      <c r="R6666" s="118"/>
    </row>
    <row r="6667" spans="2:18" x14ac:dyDescent="0.25">
      <c r="B6667" s="118" t="s">
        <v>11211</v>
      </c>
      <c r="C6667" s="347" t="s">
        <v>11212</v>
      </c>
      <c r="D6667" s="347" t="s">
        <v>10206</v>
      </c>
      <c r="E6667" s="118" t="s">
        <v>151</v>
      </c>
      <c r="F6667" s="118" t="s">
        <v>150</v>
      </c>
      <c r="G6667" s="118" t="s">
        <v>35</v>
      </c>
      <c r="H6667" s="118" t="s">
        <v>12</v>
      </c>
      <c r="I6667" s="118"/>
      <c r="J6667" s="118"/>
      <c r="K6667" s="118"/>
      <c r="L6667" s="118"/>
      <c r="M6667" s="236" t="s">
        <v>11158</v>
      </c>
      <c r="N6667" s="118"/>
      <c r="O6667" s="405" t="s">
        <v>11158</v>
      </c>
      <c r="P6667" s="16" t="str">
        <f t="shared" si="171"/>
        <v/>
      </c>
      <c r="Q6667" s="118" t="s">
        <v>8129</v>
      </c>
      <c r="R6667" s="118"/>
    </row>
    <row r="6668" spans="2:18" x14ac:dyDescent="0.25">
      <c r="B6668" s="118" t="s">
        <v>11213</v>
      </c>
      <c r="C6668" s="347" t="s">
        <v>11214</v>
      </c>
      <c r="D6668" s="347" t="s">
        <v>10206</v>
      </c>
      <c r="E6668" s="118" t="s">
        <v>151</v>
      </c>
      <c r="F6668" s="118" t="s">
        <v>150</v>
      </c>
      <c r="G6668" s="118" t="s">
        <v>35</v>
      </c>
      <c r="H6668" s="118" t="s">
        <v>12</v>
      </c>
      <c r="I6668" s="118"/>
      <c r="J6668" s="118"/>
      <c r="K6668" s="118"/>
      <c r="L6668" s="118"/>
      <c r="M6668" s="236" t="s">
        <v>11158</v>
      </c>
      <c r="N6668" s="118"/>
      <c r="O6668" s="405" t="s">
        <v>11158</v>
      </c>
      <c r="P6668" s="16" t="str">
        <f t="shared" si="171"/>
        <v/>
      </c>
      <c r="Q6668" s="118" t="s">
        <v>8129</v>
      </c>
      <c r="R6668" s="118"/>
    </row>
    <row r="6669" spans="2:18" x14ac:dyDescent="0.25">
      <c r="B6669" s="118" t="s">
        <v>11215</v>
      </c>
      <c r="C6669" s="347" t="s">
        <v>11216</v>
      </c>
      <c r="D6669" s="347" t="s">
        <v>10206</v>
      </c>
      <c r="E6669" s="118" t="s">
        <v>151</v>
      </c>
      <c r="F6669" s="118" t="s">
        <v>150</v>
      </c>
      <c r="G6669" s="118" t="s">
        <v>35</v>
      </c>
      <c r="H6669" s="118" t="s">
        <v>12</v>
      </c>
      <c r="I6669" s="118"/>
      <c r="J6669" s="118"/>
      <c r="K6669" s="118"/>
      <c r="L6669" s="118"/>
      <c r="M6669" s="236" t="s">
        <v>11158</v>
      </c>
      <c r="N6669" s="118"/>
      <c r="O6669" s="405" t="s">
        <v>11158</v>
      </c>
      <c r="P6669" s="16" t="str">
        <f t="shared" ref="P6669:P6737" si="174">IF(D6669="Datos","Truncate table "&amp; B6669&amp; ";","")</f>
        <v/>
      </c>
      <c r="Q6669" s="118" t="s">
        <v>8129</v>
      </c>
      <c r="R6669" s="118"/>
    </row>
    <row r="6670" spans="2:18" x14ac:dyDescent="0.25">
      <c r="B6670" s="118" t="s">
        <v>11217</v>
      </c>
      <c r="C6670" s="347" t="s">
        <v>2605</v>
      </c>
      <c r="D6670" s="347" t="s">
        <v>29</v>
      </c>
      <c r="E6670" s="118" t="s">
        <v>151</v>
      </c>
      <c r="F6670" s="118" t="s">
        <v>150</v>
      </c>
      <c r="G6670" s="118" t="s">
        <v>35</v>
      </c>
      <c r="H6670" s="118" t="s">
        <v>12</v>
      </c>
      <c r="I6670" s="118"/>
      <c r="J6670" s="118"/>
      <c r="K6670" s="118"/>
      <c r="L6670" s="118"/>
      <c r="M6670" s="236" t="s">
        <v>11158</v>
      </c>
      <c r="N6670" s="118"/>
      <c r="O6670" s="405" t="s">
        <v>11158</v>
      </c>
      <c r="P6670" s="16" t="str">
        <f t="shared" si="174"/>
        <v>Truncate table DECO020;</v>
      </c>
      <c r="Q6670" s="118" t="s">
        <v>8134</v>
      </c>
      <c r="R6670" s="118"/>
    </row>
    <row r="6671" spans="2:18" x14ac:dyDescent="0.25">
      <c r="B6671" s="118" t="s">
        <v>11218</v>
      </c>
      <c r="C6671" s="347" t="s">
        <v>11081</v>
      </c>
      <c r="D6671" s="347" t="s">
        <v>29</v>
      </c>
      <c r="E6671" s="118" t="s">
        <v>151</v>
      </c>
      <c r="F6671" s="118" t="s">
        <v>150</v>
      </c>
      <c r="G6671" s="118" t="s">
        <v>35</v>
      </c>
      <c r="H6671" s="118" t="s">
        <v>12</v>
      </c>
      <c r="I6671" s="118"/>
      <c r="J6671" s="118"/>
      <c r="K6671" s="118"/>
      <c r="L6671" s="118"/>
      <c r="M6671" s="236" t="s">
        <v>11158</v>
      </c>
      <c r="N6671" s="118"/>
      <c r="O6671" s="405" t="s">
        <v>11158</v>
      </c>
      <c r="P6671" s="16" t="str">
        <f t="shared" si="174"/>
        <v>Truncate table DECO050;</v>
      </c>
      <c r="Q6671" s="118" t="s">
        <v>8134</v>
      </c>
      <c r="R6671" s="118"/>
    </row>
    <row r="6672" spans="2:18" x14ac:dyDescent="0.25">
      <c r="B6672" s="118" t="s">
        <v>11219</v>
      </c>
      <c r="C6672" s="347" t="s">
        <v>11220</v>
      </c>
      <c r="D6672" s="347" t="s">
        <v>29</v>
      </c>
      <c r="E6672" s="118" t="s">
        <v>151</v>
      </c>
      <c r="F6672" s="118" t="s">
        <v>150</v>
      </c>
      <c r="G6672" s="118" t="s">
        <v>35</v>
      </c>
      <c r="H6672" s="118" t="s">
        <v>12</v>
      </c>
      <c r="I6672" s="118"/>
      <c r="J6672" s="118"/>
      <c r="K6672" s="118"/>
      <c r="L6672" s="118"/>
      <c r="M6672" s="236" t="s">
        <v>11158</v>
      </c>
      <c r="N6672" s="118"/>
      <c r="O6672" s="405" t="s">
        <v>11158</v>
      </c>
      <c r="P6672" s="16" t="str">
        <f t="shared" si="174"/>
        <v>Truncate table DECO051;</v>
      </c>
      <c r="Q6672" s="118" t="s">
        <v>8134</v>
      </c>
      <c r="R6672" s="118"/>
    </row>
    <row r="6673" spans="2:18" x14ac:dyDescent="0.25">
      <c r="B6673" s="118" t="s">
        <v>11221</v>
      </c>
      <c r="C6673" s="347" t="s">
        <v>11222</v>
      </c>
      <c r="D6673" s="347" t="s">
        <v>10206</v>
      </c>
      <c r="E6673" s="118" t="s">
        <v>54</v>
      </c>
      <c r="F6673" s="118" t="s">
        <v>8241</v>
      </c>
      <c r="G6673" s="118" t="s">
        <v>35</v>
      </c>
      <c r="H6673" s="118" t="s">
        <v>12</v>
      </c>
      <c r="I6673" s="118"/>
      <c r="J6673" s="118"/>
      <c r="K6673" s="118"/>
      <c r="L6673" s="118"/>
      <c r="M6673" s="236" t="s">
        <v>11158</v>
      </c>
      <c r="N6673" s="118"/>
      <c r="O6673" s="405" t="s">
        <v>11158</v>
      </c>
      <c r="P6673" s="16" t="str">
        <f t="shared" si="174"/>
        <v/>
      </c>
      <c r="Q6673" s="118" t="s">
        <v>8134</v>
      </c>
      <c r="R6673" s="118"/>
    </row>
    <row r="6674" spans="2:18" x14ac:dyDescent="0.25">
      <c r="B6674" s="118" t="s">
        <v>11223</v>
      </c>
      <c r="C6674" s="347" t="s">
        <v>11224</v>
      </c>
      <c r="D6674" s="347" t="s">
        <v>10206</v>
      </c>
      <c r="E6674" s="118" t="s">
        <v>54</v>
      </c>
      <c r="F6674" s="118" t="s">
        <v>8241</v>
      </c>
      <c r="G6674" s="118" t="s">
        <v>35</v>
      </c>
      <c r="H6674" s="118" t="s">
        <v>12</v>
      </c>
      <c r="I6674" s="118"/>
      <c r="J6674" s="118"/>
      <c r="K6674" s="118"/>
      <c r="L6674" s="118"/>
      <c r="M6674" s="236" t="s">
        <v>11158</v>
      </c>
      <c r="N6674" s="118"/>
      <c r="O6674" s="405" t="s">
        <v>11158</v>
      </c>
      <c r="P6674" s="16" t="str">
        <f t="shared" si="174"/>
        <v/>
      </c>
      <c r="Q6674" s="118" t="s">
        <v>8134</v>
      </c>
      <c r="R6674" s="118"/>
    </row>
    <row r="6675" spans="2:18" x14ac:dyDescent="0.25">
      <c r="B6675" s="118" t="s">
        <v>11225</v>
      </c>
      <c r="C6675" s="347" t="s">
        <v>11226</v>
      </c>
      <c r="D6675" s="347" t="s">
        <v>10206</v>
      </c>
      <c r="E6675" s="118" t="s">
        <v>54</v>
      </c>
      <c r="F6675" s="118" t="s">
        <v>8241</v>
      </c>
      <c r="G6675" s="118" t="s">
        <v>35</v>
      </c>
      <c r="H6675" s="118" t="s">
        <v>12</v>
      </c>
      <c r="I6675" s="118"/>
      <c r="J6675" s="118"/>
      <c r="K6675" s="118"/>
      <c r="L6675" s="118"/>
      <c r="M6675" s="236" t="s">
        <v>11158</v>
      </c>
      <c r="N6675" s="118"/>
      <c r="O6675" s="405" t="s">
        <v>11158</v>
      </c>
      <c r="P6675" s="16" t="str">
        <f t="shared" si="174"/>
        <v/>
      </c>
      <c r="Q6675" s="118" t="s">
        <v>8134</v>
      </c>
      <c r="R6675" s="118"/>
    </row>
    <row r="6676" spans="2:18" x14ac:dyDescent="0.25">
      <c r="B6676" s="118" t="s">
        <v>11227</v>
      </c>
      <c r="C6676" s="347" t="s">
        <v>11228</v>
      </c>
      <c r="D6676" s="347" t="s">
        <v>29</v>
      </c>
      <c r="E6676" s="118" t="s">
        <v>151</v>
      </c>
      <c r="F6676" s="118" t="s">
        <v>8214</v>
      </c>
      <c r="G6676" s="118" t="s">
        <v>35</v>
      </c>
      <c r="H6676" s="118" t="s">
        <v>12</v>
      </c>
      <c r="I6676" s="118"/>
      <c r="J6676" s="118"/>
      <c r="K6676" s="118"/>
      <c r="L6676" s="118"/>
      <c r="M6676" s="236" t="s">
        <v>11158</v>
      </c>
      <c r="N6676" s="118"/>
      <c r="O6676" s="405" t="s">
        <v>11158</v>
      </c>
      <c r="P6676" s="16" t="str">
        <f t="shared" si="174"/>
        <v>Truncate table DECO128;</v>
      </c>
      <c r="Q6676" s="118" t="s">
        <v>8134</v>
      </c>
      <c r="R6676" s="118"/>
    </row>
    <row r="6677" spans="2:18" x14ac:dyDescent="0.25">
      <c r="B6677" s="118" t="s">
        <v>11229</v>
      </c>
      <c r="C6677" s="347" t="s">
        <v>11230</v>
      </c>
      <c r="D6677" s="347" t="s">
        <v>29</v>
      </c>
      <c r="E6677" s="118" t="s">
        <v>151</v>
      </c>
      <c r="F6677" s="118" t="s">
        <v>8214</v>
      </c>
      <c r="G6677" s="118" t="s">
        <v>35</v>
      </c>
      <c r="H6677" s="118" t="s">
        <v>12</v>
      </c>
      <c r="I6677" s="118"/>
      <c r="J6677" s="118"/>
      <c r="K6677" s="118"/>
      <c r="L6677" s="118"/>
      <c r="M6677" s="236" t="s">
        <v>11158</v>
      </c>
      <c r="N6677" s="118"/>
      <c r="O6677" s="405" t="s">
        <v>11158</v>
      </c>
      <c r="P6677" s="16" t="str">
        <f t="shared" si="174"/>
        <v>Truncate table DECO129;</v>
      </c>
      <c r="Q6677" s="118" t="s">
        <v>8134</v>
      </c>
      <c r="R6677" s="118"/>
    </row>
    <row r="6678" spans="2:18" x14ac:dyDescent="0.25">
      <c r="B6678" s="118" t="s">
        <v>11231</v>
      </c>
      <c r="C6678" s="347" t="s">
        <v>11232</v>
      </c>
      <c r="D6678" s="347" t="s">
        <v>29</v>
      </c>
      <c r="E6678" s="118" t="s">
        <v>151</v>
      </c>
      <c r="F6678" s="118" t="s">
        <v>8214</v>
      </c>
      <c r="G6678" s="118" t="s">
        <v>35</v>
      </c>
      <c r="H6678" s="118" t="s">
        <v>12</v>
      </c>
      <c r="I6678" s="118"/>
      <c r="J6678" s="118"/>
      <c r="K6678" s="118"/>
      <c r="L6678" s="118"/>
      <c r="M6678" s="236" t="s">
        <v>11158</v>
      </c>
      <c r="N6678" s="118"/>
      <c r="O6678" s="405" t="s">
        <v>11158</v>
      </c>
      <c r="P6678" s="16" t="str">
        <f t="shared" si="174"/>
        <v>Truncate table DECO13;</v>
      </c>
      <c r="Q6678" s="118" t="s">
        <v>8134</v>
      </c>
      <c r="R6678" s="118"/>
    </row>
    <row r="6679" spans="2:18" x14ac:dyDescent="0.25">
      <c r="B6679" s="118" t="s">
        <v>11233</v>
      </c>
      <c r="C6679" s="347" t="s">
        <v>11234</v>
      </c>
      <c r="D6679" s="347" t="s">
        <v>10206</v>
      </c>
      <c r="E6679" s="118" t="s">
        <v>151</v>
      </c>
      <c r="F6679" s="118" t="s">
        <v>8214</v>
      </c>
      <c r="G6679" s="118" t="s">
        <v>35</v>
      </c>
      <c r="H6679" s="118" t="s">
        <v>12</v>
      </c>
      <c r="I6679" s="118"/>
      <c r="J6679" s="118"/>
      <c r="K6679" s="118"/>
      <c r="L6679" s="118"/>
      <c r="M6679" s="236" t="s">
        <v>11158</v>
      </c>
      <c r="N6679" s="118"/>
      <c r="O6679" s="405" t="s">
        <v>11158</v>
      </c>
      <c r="P6679" s="16" t="str">
        <f t="shared" si="174"/>
        <v/>
      </c>
      <c r="Q6679" s="118" t="s">
        <v>8134</v>
      </c>
      <c r="R6679" s="118"/>
    </row>
    <row r="6680" spans="2:18" x14ac:dyDescent="0.25">
      <c r="B6680" s="118" t="s">
        <v>11235</v>
      </c>
      <c r="C6680" s="347" t="s">
        <v>11236</v>
      </c>
      <c r="D6680" s="347" t="s">
        <v>29</v>
      </c>
      <c r="E6680" s="118" t="s">
        <v>151</v>
      </c>
      <c r="F6680" s="118" t="s">
        <v>8214</v>
      </c>
      <c r="G6680" s="118" t="s">
        <v>35</v>
      </c>
      <c r="H6680" s="118" t="s">
        <v>12</v>
      </c>
      <c r="I6680" s="118"/>
      <c r="J6680" s="118"/>
      <c r="K6680" s="118"/>
      <c r="L6680" s="118"/>
      <c r="M6680" s="236" t="s">
        <v>11158</v>
      </c>
      <c r="N6680" s="118"/>
      <c r="O6680" s="405" t="s">
        <v>11158</v>
      </c>
      <c r="P6680" s="16" t="str">
        <f t="shared" si="174"/>
        <v>Truncate table DECO131;</v>
      </c>
      <c r="Q6680" s="118" t="s">
        <v>8134</v>
      </c>
      <c r="R6680" s="118"/>
    </row>
    <row r="6681" spans="2:18" x14ac:dyDescent="0.25">
      <c r="B6681" s="118" t="s">
        <v>11237</v>
      </c>
      <c r="C6681" s="347" t="s">
        <v>11238</v>
      </c>
      <c r="D6681" s="347" t="s">
        <v>29</v>
      </c>
      <c r="E6681" s="118" t="s">
        <v>151</v>
      </c>
      <c r="F6681" s="118" t="s">
        <v>8214</v>
      </c>
      <c r="G6681" s="118" t="s">
        <v>35</v>
      </c>
      <c r="H6681" s="118" t="s">
        <v>12</v>
      </c>
      <c r="I6681" s="118"/>
      <c r="J6681" s="118"/>
      <c r="K6681" s="118"/>
      <c r="L6681" s="118"/>
      <c r="M6681" s="236" t="s">
        <v>11158</v>
      </c>
      <c r="N6681" s="118"/>
      <c r="O6681" s="405" t="s">
        <v>11158</v>
      </c>
      <c r="P6681" s="16" t="str">
        <f t="shared" si="174"/>
        <v>Truncate table DECO132;</v>
      </c>
      <c r="Q6681" s="118" t="s">
        <v>8134</v>
      </c>
      <c r="R6681" s="118"/>
    </row>
    <row r="6682" spans="2:18" x14ac:dyDescent="0.25">
      <c r="B6682" s="118" t="s">
        <v>11239</v>
      </c>
      <c r="C6682" s="347" t="s">
        <v>11230</v>
      </c>
      <c r="D6682" s="347" t="s">
        <v>10206</v>
      </c>
      <c r="E6682" s="118" t="s">
        <v>151</v>
      </c>
      <c r="F6682" s="118" t="s">
        <v>8214</v>
      </c>
      <c r="G6682" s="118" t="s">
        <v>35</v>
      </c>
      <c r="H6682" s="118" t="s">
        <v>12</v>
      </c>
      <c r="I6682" s="118"/>
      <c r="J6682" s="118"/>
      <c r="K6682" s="118"/>
      <c r="L6682" s="118"/>
      <c r="M6682" s="236" t="s">
        <v>11158</v>
      </c>
      <c r="N6682" s="118"/>
      <c r="O6682" s="405" t="s">
        <v>11158</v>
      </c>
      <c r="P6682" s="16" t="str">
        <f t="shared" si="174"/>
        <v/>
      </c>
      <c r="Q6682" s="118" t="s">
        <v>8134</v>
      </c>
      <c r="R6682" s="118"/>
    </row>
    <row r="6683" spans="2:18" x14ac:dyDescent="0.25">
      <c r="B6683" s="118" t="s">
        <v>11240</v>
      </c>
      <c r="C6683" s="347" t="s">
        <v>11241</v>
      </c>
      <c r="D6683" s="347" t="s">
        <v>29</v>
      </c>
      <c r="E6683" s="118" t="s">
        <v>151</v>
      </c>
      <c r="F6683" s="118" t="s">
        <v>8214</v>
      </c>
      <c r="G6683" s="118" t="s">
        <v>35</v>
      </c>
      <c r="H6683" s="118" t="s">
        <v>12</v>
      </c>
      <c r="I6683" s="118"/>
      <c r="J6683" s="118"/>
      <c r="K6683" s="118"/>
      <c r="L6683" s="118"/>
      <c r="M6683" s="236" t="s">
        <v>11158</v>
      </c>
      <c r="N6683" s="118"/>
      <c r="O6683" s="405" t="s">
        <v>11158</v>
      </c>
      <c r="P6683" s="16" t="str">
        <f t="shared" si="174"/>
        <v>Truncate table DECO141;</v>
      </c>
      <c r="Q6683" s="118" t="s">
        <v>8134</v>
      </c>
      <c r="R6683" s="118"/>
    </row>
    <row r="6684" spans="2:18" x14ac:dyDescent="0.25">
      <c r="B6684" s="118" t="s">
        <v>11242</v>
      </c>
      <c r="C6684" s="347" t="s">
        <v>11243</v>
      </c>
      <c r="D6684" s="347" t="s">
        <v>29</v>
      </c>
      <c r="E6684" s="118" t="s">
        <v>151</v>
      </c>
      <c r="F6684" s="118" t="s">
        <v>8214</v>
      </c>
      <c r="G6684" s="118" t="s">
        <v>35</v>
      </c>
      <c r="H6684" s="118" t="s">
        <v>12</v>
      </c>
      <c r="I6684" s="118"/>
      <c r="J6684" s="118"/>
      <c r="K6684" s="118"/>
      <c r="L6684" s="118"/>
      <c r="M6684" s="236" t="s">
        <v>11158</v>
      </c>
      <c r="N6684" s="118"/>
      <c r="O6684" s="405" t="s">
        <v>11158</v>
      </c>
      <c r="P6684" s="16" t="str">
        <f t="shared" si="174"/>
        <v>Truncate table DECO203;</v>
      </c>
      <c r="Q6684" s="118" t="s">
        <v>8134</v>
      </c>
      <c r="R6684" s="118"/>
    </row>
    <row r="6685" spans="2:18" x14ac:dyDescent="0.25">
      <c r="B6685" s="118" t="s">
        <v>11244</v>
      </c>
      <c r="C6685" s="347" t="s">
        <v>11437</v>
      </c>
      <c r="D6685" s="347" t="s">
        <v>29</v>
      </c>
      <c r="E6685" s="118" t="s">
        <v>54</v>
      </c>
      <c r="F6685" s="118" t="s">
        <v>8241</v>
      </c>
      <c r="G6685" s="118" t="s">
        <v>35</v>
      </c>
      <c r="H6685" s="118" t="s">
        <v>12</v>
      </c>
      <c r="I6685" s="118"/>
      <c r="J6685" s="118"/>
      <c r="K6685" s="118"/>
      <c r="L6685" s="118"/>
      <c r="M6685" s="236" t="s">
        <v>11158</v>
      </c>
      <c r="N6685" s="118" t="s">
        <v>11436</v>
      </c>
      <c r="O6685" s="405" t="s">
        <v>11158</v>
      </c>
      <c r="P6685" s="16" t="str">
        <f t="shared" si="174"/>
        <v>Truncate table DECO50;</v>
      </c>
      <c r="Q6685" s="118" t="s">
        <v>8134</v>
      </c>
      <c r="R6685" s="118"/>
    </row>
    <row r="6686" spans="2:18" x14ac:dyDescent="0.25">
      <c r="B6686" s="118" t="s">
        <v>11245</v>
      </c>
      <c r="C6686" s="347" t="s">
        <v>11439</v>
      </c>
      <c r="D6686" s="347" t="s">
        <v>29</v>
      </c>
      <c r="E6686" s="118" t="s">
        <v>54</v>
      </c>
      <c r="F6686" s="118" t="s">
        <v>8241</v>
      </c>
      <c r="G6686" s="118" t="s">
        <v>35</v>
      </c>
      <c r="H6686" s="118" t="s">
        <v>12</v>
      </c>
      <c r="I6686" s="118"/>
      <c r="J6686" s="118"/>
      <c r="K6686" s="118"/>
      <c r="L6686" s="118"/>
      <c r="M6686" s="236" t="s">
        <v>11158</v>
      </c>
      <c r="N6686" s="118" t="s">
        <v>11438</v>
      </c>
      <c r="O6686" s="405" t="s">
        <v>11158</v>
      </c>
      <c r="P6686" s="16" t="str">
        <f t="shared" si="174"/>
        <v>Truncate table DECO51;</v>
      </c>
      <c r="Q6686" s="118" t="s">
        <v>8134</v>
      </c>
      <c r="R6686" s="118"/>
    </row>
    <row r="6687" spans="2:18" x14ac:dyDescent="0.25">
      <c r="B6687" s="118" t="s">
        <v>11246</v>
      </c>
      <c r="C6687" s="347" t="s">
        <v>11247</v>
      </c>
      <c r="D6687" s="347" t="s">
        <v>29</v>
      </c>
      <c r="E6687" s="118" t="s">
        <v>54</v>
      </c>
      <c r="F6687" s="118" t="s">
        <v>8241</v>
      </c>
      <c r="G6687" s="118" t="s">
        <v>35</v>
      </c>
      <c r="H6687" s="118" t="s">
        <v>12</v>
      </c>
      <c r="I6687" s="118"/>
      <c r="J6687" s="118"/>
      <c r="K6687" s="118"/>
      <c r="L6687" s="118"/>
      <c r="M6687" s="236" t="s">
        <v>11158</v>
      </c>
      <c r="N6687" s="118"/>
      <c r="O6687" s="405" t="s">
        <v>11158</v>
      </c>
      <c r="P6687" s="16" t="str">
        <f t="shared" si="174"/>
        <v>Truncate table DECO60;</v>
      </c>
      <c r="Q6687" s="118" t="s">
        <v>8134</v>
      </c>
      <c r="R6687" s="118"/>
    </row>
    <row r="6688" spans="2:18" x14ac:dyDescent="0.25">
      <c r="B6688" s="118" t="s">
        <v>11248</v>
      </c>
      <c r="C6688" s="347" t="s">
        <v>11249</v>
      </c>
      <c r="D6688" s="347" t="s">
        <v>29</v>
      </c>
      <c r="E6688" s="118" t="s">
        <v>54</v>
      </c>
      <c r="F6688" s="118" t="s">
        <v>8241</v>
      </c>
      <c r="G6688" s="118" t="s">
        <v>35</v>
      </c>
      <c r="H6688" s="118" t="s">
        <v>12</v>
      </c>
      <c r="I6688" s="118"/>
      <c r="J6688" s="118"/>
      <c r="K6688" s="118"/>
      <c r="L6688" s="118"/>
      <c r="M6688" s="236" t="s">
        <v>11158</v>
      </c>
      <c r="N6688" s="118"/>
      <c r="O6688" s="405" t="s">
        <v>11158</v>
      </c>
      <c r="P6688" s="16" t="str">
        <f t="shared" si="174"/>
        <v>Truncate table DECO61;</v>
      </c>
      <c r="Q6688" s="118" t="s">
        <v>8134</v>
      </c>
      <c r="R6688" s="118"/>
    </row>
    <row r="6689" spans="2:18" x14ac:dyDescent="0.25">
      <c r="B6689" s="118" t="s">
        <v>11250</v>
      </c>
      <c r="C6689" s="347" t="s">
        <v>11251</v>
      </c>
      <c r="D6689" s="347" t="s">
        <v>29</v>
      </c>
      <c r="E6689" s="118" t="s">
        <v>54</v>
      </c>
      <c r="F6689" s="118" t="s">
        <v>8241</v>
      </c>
      <c r="G6689" s="118" t="s">
        <v>35</v>
      </c>
      <c r="H6689" s="118" t="s">
        <v>12</v>
      </c>
      <c r="I6689" s="118"/>
      <c r="J6689" s="118"/>
      <c r="K6689" s="118"/>
      <c r="L6689" s="118"/>
      <c r="M6689" s="236" t="s">
        <v>11158</v>
      </c>
      <c r="N6689" s="118"/>
      <c r="O6689" s="405" t="s">
        <v>11158</v>
      </c>
      <c r="P6689" s="16" t="str">
        <f t="shared" si="174"/>
        <v>Truncate table DECO62;</v>
      </c>
      <c r="Q6689" s="118" t="s">
        <v>8134</v>
      </c>
      <c r="R6689" s="118"/>
    </row>
    <row r="6690" spans="2:18" x14ac:dyDescent="0.25">
      <c r="B6690" s="118" t="s">
        <v>11252</v>
      </c>
      <c r="C6690" s="347" t="s">
        <v>11253</v>
      </c>
      <c r="D6690" s="347" t="s">
        <v>29</v>
      </c>
      <c r="E6690" s="118" t="s">
        <v>54</v>
      </c>
      <c r="F6690" s="118" t="s">
        <v>8241</v>
      </c>
      <c r="G6690" s="118" t="s">
        <v>35</v>
      </c>
      <c r="H6690" s="118" t="s">
        <v>12</v>
      </c>
      <c r="I6690" s="118"/>
      <c r="J6690" s="118"/>
      <c r="K6690" s="118"/>
      <c r="L6690" s="118"/>
      <c r="M6690" s="236" t="s">
        <v>11158</v>
      </c>
      <c r="N6690" s="118"/>
      <c r="O6690" s="405" t="s">
        <v>11158</v>
      </c>
      <c r="P6690" s="16" t="str">
        <f t="shared" si="174"/>
        <v>Truncate table DECO63;</v>
      </c>
      <c r="Q6690" s="118" t="s">
        <v>8134</v>
      </c>
      <c r="R6690" s="118"/>
    </row>
    <row r="6691" spans="2:18" x14ac:dyDescent="0.25">
      <c r="B6691" s="118" t="s">
        <v>11254</v>
      </c>
      <c r="C6691" s="347" t="s">
        <v>11255</v>
      </c>
      <c r="D6691" s="347" t="s">
        <v>29</v>
      </c>
      <c r="E6691" s="118" t="s">
        <v>54</v>
      </c>
      <c r="F6691" s="118" t="s">
        <v>8241</v>
      </c>
      <c r="G6691" s="118" t="s">
        <v>35</v>
      </c>
      <c r="H6691" s="118" t="s">
        <v>12</v>
      </c>
      <c r="I6691" s="118"/>
      <c r="J6691" s="118"/>
      <c r="K6691" s="118"/>
      <c r="L6691" s="118"/>
      <c r="M6691" s="236" t="s">
        <v>11158</v>
      </c>
      <c r="N6691" s="118"/>
      <c r="O6691" s="405" t="s">
        <v>11158</v>
      </c>
      <c r="P6691" s="16" t="str">
        <f t="shared" si="174"/>
        <v>Truncate table DECO70;</v>
      </c>
      <c r="Q6691" s="118" t="s">
        <v>8134</v>
      </c>
      <c r="R6691" s="118"/>
    </row>
    <row r="6692" spans="2:18" x14ac:dyDescent="0.25">
      <c r="B6692" s="118" t="s">
        <v>11256</v>
      </c>
      <c r="C6692" s="347" t="s">
        <v>11257</v>
      </c>
      <c r="D6692" s="347" t="s">
        <v>29</v>
      </c>
      <c r="E6692" s="118" t="s">
        <v>54</v>
      </c>
      <c r="F6692" s="118" t="s">
        <v>8241</v>
      </c>
      <c r="G6692" s="118" t="s">
        <v>35</v>
      </c>
      <c r="H6692" s="118" t="s">
        <v>12</v>
      </c>
      <c r="I6692" s="118"/>
      <c r="J6692" s="118"/>
      <c r="K6692" s="118"/>
      <c r="L6692" s="118"/>
      <c r="M6692" s="236" t="s">
        <v>11158</v>
      </c>
      <c r="N6692" s="118"/>
      <c r="O6692" s="405" t="s">
        <v>11158</v>
      </c>
      <c r="P6692" s="16" t="str">
        <f t="shared" si="174"/>
        <v>Truncate table DECO71;</v>
      </c>
      <c r="Q6692" s="118" t="s">
        <v>8134</v>
      </c>
      <c r="R6692" s="118"/>
    </row>
    <row r="6693" spans="2:18" x14ac:dyDescent="0.25">
      <c r="B6693" s="118" t="s">
        <v>11258</v>
      </c>
      <c r="C6693" s="347" t="s">
        <v>11259</v>
      </c>
      <c r="D6693" s="347" t="s">
        <v>29</v>
      </c>
      <c r="E6693" s="118" t="s">
        <v>54</v>
      </c>
      <c r="F6693" s="118" t="s">
        <v>8241</v>
      </c>
      <c r="G6693" s="118" t="s">
        <v>35</v>
      </c>
      <c r="H6693" s="118" t="s">
        <v>12</v>
      </c>
      <c r="I6693" s="118"/>
      <c r="J6693" s="118"/>
      <c r="K6693" s="118"/>
      <c r="L6693" s="118"/>
      <c r="M6693" s="236" t="s">
        <v>11158</v>
      </c>
      <c r="N6693" s="118"/>
      <c r="O6693" s="405" t="s">
        <v>11158</v>
      </c>
      <c r="P6693" s="16" t="str">
        <f t="shared" si="174"/>
        <v>Truncate table DECO72;</v>
      </c>
      <c r="Q6693" s="118" t="s">
        <v>8134</v>
      </c>
      <c r="R6693" s="118"/>
    </row>
    <row r="6694" spans="2:18" x14ac:dyDescent="0.25">
      <c r="B6694" s="118" t="s">
        <v>11260</v>
      </c>
      <c r="C6694" s="347" t="s">
        <v>11261</v>
      </c>
      <c r="D6694" s="347" t="s">
        <v>29</v>
      </c>
      <c r="E6694" s="118" t="s">
        <v>54</v>
      </c>
      <c r="F6694" s="118" t="s">
        <v>8241</v>
      </c>
      <c r="G6694" s="118" t="s">
        <v>35</v>
      </c>
      <c r="H6694" s="118" t="s">
        <v>12</v>
      </c>
      <c r="I6694" s="118"/>
      <c r="J6694" s="118"/>
      <c r="K6694" s="118"/>
      <c r="L6694" s="118"/>
      <c r="M6694" s="236" t="s">
        <v>11158</v>
      </c>
      <c r="N6694" s="118"/>
      <c r="O6694" s="405" t="s">
        <v>11158</v>
      </c>
      <c r="P6694" s="16" t="str">
        <f t="shared" si="174"/>
        <v>Truncate table DECO73;</v>
      </c>
      <c r="Q6694" s="118" t="s">
        <v>8134</v>
      </c>
      <c r="R6694" s="118"/>
    </row>
    <row r="6695" spans="2:18" x14ac:dyDescent="0.25">
      <c r="B6695" s="118" t="s">
        <v>11513</v>
      </c>
      <c r="C6695" s="118" t="s">
        <v>11514</v>
      </c>
      <c r="D6695" t="s">
        <v>29</v>
      </c>
      <c r="E6695" s="118" t="s">
        <v>54</v>
      </c>
      <c r="F6695" s="118" t="s">
        <v>8241</v>
      </c>
      <c r="G6695" s="118" t="s">
        <v>35</v>
      </c>
      <c r="H6695" s="118" t="s">
        <v>12</v>
      </c>
      <c r="I6695" s="118"/>
      <c r="J6695" s="118"/>
      <c r="K6695" s="118" t="s">
        <v>11515</v>
      </c>
      <c r="L6695" s="118"/>
      <c r="M6695" s="236" t="s">
        <v>11158</v>
      </c>
      <c r="N6695" s="118"/>
      <c r="O6695" s="405" t="s">
        <v>11158</v>
      </c>
      <c r="P6695" s="16" t="str">
        <f t="shared" ref="P6695:P6696" si="175">IF(D6695="Datos","Truncate table "&amp; B6695&amp; ";","")</f>
        <v>Truncate table DECO80;</v>
      </c>
      <c r="Q6695" s="118" t="s">
        <v>8134</v>
      </c>
      <c r="R6695" s="118"/>
    </row>
    <row r="6696" spans="2:18" x14ac:dyDescent="0.25">
      <c r="B6696" s="118" t="s">
        <v>11511</v>
      </c>
      <c r="C6696" s="118" t="s">
        <v>11512</v>
      </c>
      <c r="D6696" s="347" t="s">
        <v>29</v>
      </c>
      <c r="E6696" s="118" t="s">
        <v>54</v>
      </c>
      <c r="F6696" s="118" t="s">
        <v>8241</v>
      </c>
      <c r="G6696" s="118" t="s">
        <v>35</v>
      </c>
      <c r="H6696" s="118" t="s">
        <v>12</v>
      </c>
      <c r="I6696" s="118"/>
      <c r="J6696" s="118"/>
      <c r="K6696" s="118" t="s">
        <v>11515</v>
      </c>
      <c r="L6696" s="118"/>
      <c r="M6696" s="236" t="s">
        <v>11158</v>
      </c>
      <c r="N6696" s="118"/>
      <c r="O6696" s="405" t="s">
        <v>11158</v>
      </c>
      <c r="P6696" s="16" t="str">
        <f t="shared" si="175"/>
        <v>Truncate table DECO81;</v>
      </c>
      <c r="Q6696" s="118" t="s">
        <v>8134</v>
      </c>
      <c r="R6696" s="118"/>
    </row>
    <row r="6697" spans="2:18" x14ac:dyDescent="0.25">
      <c r="B6697" s="118" t="s">
        <v>11562</v>
      </c>
      <c r="C6697" t="s">
        <v>11563</v>
      </c>
      <c r="D6697" s="347" t="s">
        <v>29</v>
      </c>
      <c r="E6697" s="118" t="s">
        <v>54</v>
      </c>
      <c r="F6697" s="118" t="s">
        <v>8241</v>
      </c>
      <c r="G6697" s="118" t="s">
        <v>35</v>
      </c>
      <c r="H6697" s="118" t="s">
        <v>12</v>
      </c>
      <c r="I6697" s="118"/>
      <c r="J6697" s="118"/>
      <c r="K6697" t="s">
        <v>11552</v>
      </c>
      <c r="L6697" s="118"/>
      <c r="M6697" s="236" t="s">
        <v>11158</v>
      </c>
      <c r="N6697" s="118"/>
      <c r="O6697" s="405" t="s">
        <v>11158</v>
      </c>
      <c r="P6697" s="16" t="str">
        <f t="shared" ref="P6697:P6698" si="176">IF(D6697="Datos","Truncate table "&amp; B6697&amp; ";","")</f>
        <v>Truncate table DECO90;</v>
      </c>
      <c r="Q6697" s="118" t="s">
        <v>8134</v>
      </c>
      <c r="R6697" s="118"/>
    </row>
    <row r="6698" spans="2:18" x14ac:dyDescent="0.25">
      <c r="B6698" s="118" t="s">
        <v>11548</v>
      </c>
      <c r="C6698" s="118" t="s">
        <v>11549</v>
      </c>
      <c r="D6698" s="347" t="s">
        <v>29</v>
      </c>
      <c r="E6698" s="118" t="s">
        <v>54</v>
      </c>
      <c r="F6698" s="118" t="s">
        <v>8241</v>
      </c>
      <c r="G6698" s="118" t="s">
        <v>35</v>
      </c>
      <c r="H6698" s="118" t="s">
        <v>12</v>
      </c>
      <c r="I6698" s="118"/>
      <c r="J6698" s="118"/>
      <c r="K6698" t="s">
        <v>11552</v>
      </c>
      <c r="L6698" s="118"/>
      <c r="M6698" s="236" t="s">
        <v>11158</v>
      </c>
      <c r="N6698" s="118"/>
      <c r="O6698" s="405" t="s">
        <v>11158</v>
      </c>
      <c r="P6698" s="16" t="str">
        <f t="shared" si="176"/>
        <v>Truncate table DECO99;</v>
      </c>
      <c r="Q6698" s="118" t="s">
        <v>8134</v>
      </c>
      <c r="R6698" s="118"/>
    </row>
    <row r="6699" spans="2:18" x14ac:dyDescent="0.25">
      <c r="B6699" s="118" t="s">
        <v>11550</v>
      </c>
      <c r="C6699" s="118" t="s">
        <v>11551</v>
      </c>
      <c r="D6699" s="347" t="s">
        <v>29</v>
      </c>
      <c r="E6699" s="118" t="s">
        <v>54</v>
      </c>
      <c r="F6699" s="118" t="s">
        <v>8241</v>
      </c>
      <c r="G6699" s="118" t="s">
        <v>35</v>
      </c>
      <c r="H6699" s="118" t="s">
        <v>12</v>
      </c>
      <c r="I6699" s="118"/>
      <c r="J6699" s="118"/>
      <c r="K6699" t="s">
        <v>11552</v>
      </c>
      <c r="L6699" s="118"/>
      <c r="M6699" s="236" t="s">
        <v>11158</v>
      </c>
      <c r="N6699" s="118"/>
      <c r="O6699" s="405" t="s">
        <v>11158</v>
      </c>
      <c r="P6699" s="16" t="str">
        <f t="shared" ref="P6699" si="177">IF(D6699="Datos","Truncate table "&amp; B6699&amp; ";","")</f>
        <v>Truncate table DECO98;</v>
      </c>
      <c r="Q6699" s="118" t="s">
        <v>8134</v>
      </c>
      <c r="R6699" s="118"/>
    </row>
    <row r="6700" spans="2:18" x14ac:dyDescent="0.25">
      <c r="B6700" s="118" t="s">
        <v>11262</v>
      </c>
      <c r="C6700" s="347" t="s">
        <v>11263</v>
      </c>
      <c r="D6700" s="347" t="s">
        <v>29</v>
      </c>
      <c r="E6700" s="118" t="s">
        <v>54</v>
      </c>
      <c r="F6700" s="118" t="s">
        <v>8241</v>
      </c>
      <c r="G6700" s="118" t="s">
        <v>35</v>
      </c>
      <c r="H6700" s="118" t="s">
        <v>12</v>
      </c>
      <c r="I6700" s="118"/>
      <c r="J6700" s="118"/>
      <c r="K6700" s="118"/>
      <c r="L6700" s="118"/>
      <c r="M6700" s="236" t="s">
        <v>11158</v>
      </c>
      <c r="N6700" s="118"/>
      <c r="O6700" s="405" t="s">
        <v>11158</v>
      </c>
      <c r="P6700" s="16" t="str">
        <f t="shared" si="174"/>
        <v>Truncate table DECO850;</v>
      </c>
      <c r="Q6700" s="118" t="s">
        <v>8134</v>
      </c>
      <c r="R6700" s="118"/>
    </row>
    <row r="6701" spans="2:18" x14ac:dyDescent="0.25">
      <c r="B6701" s="118" t="s">
        <v>11264</v>
      </c>
      <c r="C6701" s="347" t="s">
        <v>11265</v>
      </c>
      <c r="D6701" s="347" t="s">
        <v>29</v>
      </c>
      <c r="E6701" s="118" t="s">
        <v>151</v>
      </c>
      <c r="F6701" s="118" t="s">
        <v>184</v>
      </c>
      <c r="G6701" s="118" t="s">
        <v>35</v>
      </c>
      <c r="H6701" s="118" t="s">
        <v>12</v>
      </c>
      <c r="I6701" s="118"/>
      <c r="J6701" s="118"/>
      <c r="K6701" s="118"/>
      <c r="L6701" s="118"/>
      <c r="M6701" s="236" t="s">
        <v>11158</v>
      </c>
      <c r="N6701" s="118" t="s">
        <v>11434</v>
      </c>
      <c r="O6701" s="405" t="s">
        <v>11158</v>
      </c>
      <c r="P6701" s="16" t="str">
        <f t="shared" si="174"/>
        <v>Truncate table DEGT092;</v>
      </c>
      <c r="Q6701" s="118"/>
      <c r="R6701" s="118"/>
    </row>
    <row r="6702" spans="2:18" x14ac:dyDescent="0.25">
      <c r="B6702" s="118" t="s">
        <v>11266</v>
      </c>
      <c r="C6702" s="347" t="s">
        <v>11267</v>
      </c>
      <c r="D6702" s="347" t="s">
        <v>29</v>
      </c>
      <c r="E6702" s="118" t="s">
        <v>54</v>
      </c>
      <c r="F6702" s="118" t="s">
        <v>235</v>
      </c>
      <c r="G6702" s="337" t="s">
        <v>35</v>
      </c>
      <c r="H6702" s="118" t="s">
        <v>12</v>
      </c>
      <c r="I6702" s="118"/>
      <c r="J6702" s="118"/>
      <c r="K6702" s="118"/>
      <c r="L6702" s="118"/>
      <c r="M6702" s="236" t="s">
        <v>11158</v>
      </c>
      <c r="N6702" s="118" t="s">
        <v>11167</v>
      </c>
      <c r="O6702" s="405" t="s">
        <v>11158</v>
      </c>
      <c r="P6702" s="16" t="str">
        <f t="shared" si="174"/>
        <v>Truncate table DEHN007;</v>
      </c>
      <c r="Q6702" s="118"/>
      <c r="R6702" s="118"/>
    </row>
    <row r="6703" spans="2:18" x14ac:dyDescent="0.25">
      <c r="B6703" s="118" t="s">
        <v>11268</v>
      </c>
      <c r="C6703" s="347" t="s">
        <v>11269</v>
      </c>
      <c r="D6703" s="347" t="s">
        <v>29</v>
      </c>
      <c r="E6703" s="118" t="s">
        <v>54</v>
      </c>
      <c r="F6703" s="118" t="s">
        <v>235</v>
      </c>
      <c r="G6703" s="337" t="s">
        <v>35</v>
      </c>
      <c r="H6703" s="118" t="s">
        <v>12</v>
      </c>
      <c r="I6703" s="118"/>
      <c r="J6703" s="118"/>
      <c r="K6703" s="118"/>
      <c r="L6703" s="118"/>
      <c r="M6703" s="236" t="s">
        <v>11158</v>
      </c>
      <c r="N6703" s="118" t="s">
        <v>11167</v>
      </c>
      <c r="O6703" s="405" t="s">
        <v>11158</v>
      </c>
      <c r="P6703" s="16" t="str">
        <f t="shared" si="174"/>
        <v>Truncate table DEHN01;</v>
      </c>
      <c r="Q6703" s="118"/>
      <c r="R6703" s="118"/>
    </row>
    <row r="6704" spans="2:18" x14ac:dyDescent="0.25">
      <c r="B6704" s="118" t="s">
        <v>11270</v>
      </c>
      <c r="C6704" s="347" t="s">
        <v>11271</v>
      </c>
      <c r="D6704" s="347" t="s">
        <v>10206</v>
      </c>
      <c r="E6704" s="118" t="s">
        <v>54</v>
      </c>
      <c r="F6704" s="118" t="s">
        <v>235</v>
      </c>
      <c r="G6704" s="337" t="s">
        <v>35</v>
      </c>
      <c r="H6704" s="118" t="s">
        <v>12</v>
      </c>
      <c r="I6704" s="118"/>
      <c r="J6704" s="118"/>
      <c r="K6704" s="118"/>
      <c r="L6704" s="118"/>
      <c r="M6704" s="236" t="s">
        <v>11158</v>
      </c>
      <c r="N6704" s="118" t="s">
        <v>11167</v>
      </c>
      <c r="O6704" s="405" t="s">
        <v>11158</v>
      </c>
      <c r="P6704" s="16" t="str">
        <f t="shared" si="174"/>
        <v/>
      </c>
      <c r="Q6704" s="118"/>
      <c r="R6704" s="118"/>
    </row>
    <row r="6705" spans="2:18" x14ac:dyDescent="0.25">
      <c r="B6705" s="118" t="s">
        <v>11272</v>
      </c>
      <c r="C6705" s="347" t="s">
        <v>11273</v>
      </c>
      <c r="D6705" s="347" t="s">
        <v>29</v>
      </c>
      <c r="E6705" s="118" t="s">
        <v>734</v>
      </c>
      <c r="F6705" s="118" t="s">
        <v>8225</v>
      </c>
      <c r="G6705" s="337" t="s">
        <v>35</v>
      </c>
      <c r="H6705" s="118" t="s">
        <v>12</v>
      </c>
      <c r="I6705" s="118"/>
      <c r="J6705" s="118"/>
      <c r="K6705" s="118"/>
      <c r="L6705" s="118"/>
      <c r="M6705" s="236" t="s">
        <v>11158</v>
      </c>
      <c r="N6705" s="118"/>
      <c r="O6705" s="405" t="s">
        <v>11158</v>
      </c>
      <c r="P6705" s="16" t="str">
        <f t="shared" si="174"/>
        <v>Truncate table DEMX002;</v>
      </c>
      <c r="Q6705" s="118" t="s">
        <v>8139</v>
      </c>
      <c r="R6705" s="118"/>
    </row>
    <row r="6706" spans="2:18" x14ac:dyDescent="0.25">
      <c r="B6706" s="118" t="s">
        <v>11274</v>
      </c>
      <c r="C6706" s="347" t="s">
        <v>11275</v>
      </c>
      <c r="D6706" s="347" t="s">
        <v>29</v>
      </c>
      <c r="E6706" s="118" t="s">
        <v>734</v>
      </c>
      <c r="F6706" s="118" t="s">
        <v>8225</v>
      </c>
      <c r="G6706" s="337" t="s">
        <v>35</v>
      </c>
      <c r="H6706" s="118" t="s">
        <v>12</v>
      </c>
      <c r="I6706" s="118"/>
      <c r="J6706" s="118"/>
      <c r="K6706" s="118"/>
      <c r="L6706" s="118"/>
      <c r="M6706" s="236" t="s">
        <v>11158</v>
      </c>
      <c r="N6706" s="118"/>
      <c r="O6706" s="405" t="s">
        <v>11158</v>
      </c>
      <c r="P6706" s="16" t="str">
        <f t="shared" si="174"/>
        <v>Truncate table DEMX013;</v>
      </c>
      <c r="Q6706" s="118" t="s">
        <v>8139</v>
      </c>
      <c r="R6706" s="118"/>
    </row>
    <row r="6707" spans="2:18" x14ac:dyDescent="0.25">
      <c r="B6707" s="118" t="s">
        <v>11276</v>
      </c>
      <c r="C6707" s="347" t="s">
        <v>11277</v>
      </c>
      <c r="D6707" s="347" t="s">
        <v>29</v>
      </c>
      <c r="E6707" s="118" t="s">
        <v>734</v>
      </c>
      <c r="F6707" s="118" t="s">
        <v>8225</v>
      </c>
      <c r="G6707" s="337" t="s">
        <v>35</v>
      </c>
      <c r="H6707" s="118" t="s">
        <v>12</v>
      </c>
      <c r="I6707" s="118"/>
      <c r="J6707" s="118"/>
      <c r="K6707" s="118"/>
      <c r="L6707" s="118"/>
      <c r="M6707" s="236" t="s">
        <v>11158</v>
      </c>
      <c r="N6707" s="118"/>
      <c r="O6707" s="405" t="s">
        <v>11158</v>
      </c>
      <c r="P6707" s="16" t="str">
        <f t="shared" si="174"/>
        <v>Truncate table DEMX014;</v>
      </c>
      <c r="Q6707" s="118" t="s">
        <v>8139</v>
      </c>
      <c r="R6707" s="118"/>
    </row>
    <row r="6708" spans="2:18" x14ac:dyDescent="0.25">
      <c r="B6708" s="118" t="s">
        <v>11278</v>
      </c>
      <c r="C6708" s="347" t="s">
        <v>11279</v>
      </c>
      <c r="D6708" s="347" t="s">
        <v>29</v>
      </c>
      <c r="E6708" s="118" t="s">
        <v>734</v>
      </c>
      <c r="F6708" s="118" t="s">
        <v>8225</v>
      </c>
      <c r="G6708" s="337" t="s">
        <v>35</v>
      </c>
      <c r="H6708" s="118" t="s">
        <v>12</v>
      </c>
      <c r="I6708" s="118"/>
      <c r="J6708" s="118"/>
      <c r="K6708" s="118"/>
      <c r="L6708" s="118"/>
      <c r="M6708" s="236" t="s">
        <v>11158</v>
      </c>
      <c r="N6708" s="118"/>
      <c r="O6708" s="405" t="s">
        <v>11158</v>
      </c>
      <c r="P6708" s="16" t="str">
        <f t="shared" si="174"/>
        <v>Truncate table DEMX015;</v>
      </c>
      <c r="Q6708" s="118" t="s">
        <v>8139</v>
      </c>
      <c r="R6708" s="118"/>
    </row>
    <row r="6709" spans="2:18" x14ac:dyDescent="0.25">
      <c r="B6709" s="118" t="s">
        <v>11280</v>
      </c>
      <c r="C6709" s="347" t="s">
        <v>11281</v>
      </c>
      <c r="D6709" s="347" t="s">
        <v>29</v>
      </c>
      <c r="E6709" s="118" t="s">
        <v>734</v>
      </c>
      <c r="F6709" s="118" t="s">
        <v>8225</v>
      </c>
      <c r="G6709" s="337" t="s">
        <v>35</v>
      </c>
      <c r="H6709" s="118" t="s">
        <v>12</v>
      </c>
      <c r="I6709" s="118"/>
      <c r="J6709" s="118"/>
      <c r="K6709" s="118"/>
      <c r="L6709" s="118"/>
      <c r="M6709" s="236" t="s">
        <v>11158</v>
      </c>
      <c r="N6709" s="118"/>
      <c r="O6709" s="405" t="s">
        <v>11158</v>
      </c>
      <c r="P6709" s="16" t="str">
        <f t="shared" si="174"/>
        <v>Truncate table DEMX016;</v>
      </c>
      <c r="Q6709" s="118" t="s">
        <v>8139</v>
      </c>
      <c r="R6709" s="118"/>
    </row>
    <row r="6710" spans="2:18" x14ac:dyDescent="0.25">
      <c r="B6710" s="118" t="s">
        <v>11282</v>
      </c>
      <c r="C6710" s="347" t="s">
        <v>11283</v>
      </c>
      <c r="D6710" s="347" t="s">
        <v>10206</v>
      </c>
      <c r="E6710" s="118" t="s">
        <v>734</v>
      </c>
      <c r="F6710" s="118" t="s">
        <v>8225</v>
      </c>
      <c r="G6710" s="337" t="s">
        <v>35</v>
      </c>
      <c r="H6710" s="118" t="s">
        <v>12</v>
      </c>
      <c r="I6710" s="118"/>
      <c r="J6710" s="118"/>
      <c r="K6710" s="118"/>
      <c r="L6710" s="118"/>
      <c r="M6710" s="236" t="s">
        <v>11158</v>
      </c>
      <c r="N6710" s="118"/>
      <c r="O6710" s="405" t="s">
        <v>11158</v>
      </c>
      <c r="P6710" s="16" t="str">
        <f t="shared" si="174"/>
        <v/>
      </c>
      <c r="Q6710" s="118" t="s">
        <v>8139</v>
      </c>
      <c r="R6710" s="118"/>
    </row>
    <row r="6711" spans="2:18" x14ac:dyDescent="0.25">
      <c r="B6711" s="118" t="s">
        <v>11284</v>
      </c>
      <c r="C6711" s="347" t="s">
        <v>11285</v>
      </c>
      <c r="D6711" s="347" t="s">
        <v>10206</v>
      </c>
      <c r="E6711" s="118" t="s">
        <v>734</v>
      </c>
      <c r="F6711" s="118" t="s">
        <v>8225</v>
      </c>
      <c r="G6711" s="337" t="s">
        <v>35</v>
      </c>
      <c r="H6711" s="118" t="s">
        <v>12</v>
      </c>
      <c r="I6711" s="118"/>
      <c r="J6711" s="118"/>
      <c r="K6711" s="118"/>
      <c r="L6711" s="118"/>
      <c r="M6711" s="236" t="s">
        <v>11158</v>
      </c>
      <c r="N6711" s="118"/>
      <c r="O6711" s="405" t="s">
        <v>11158</v>
      </c>
      <c r="P6711" s="16" t="str">
        <f t="shared" si="174"/>
        <v/>
      </c>
      <c r="Q6711" s="118" t="s">
        <v>8139</v>
      </c>
      <c r="R6711" s="118"/>
    </row>
    <row r="6712" spans="2:18" x14ac:dyDescent="0.25">
      <c r="B6712" s="118" t="s">
        <v>11286</v>
      </c>
      <c r="C6712" s="347" t="s">
        <v>11287</v>
      </c>
      <c r="D6712" s="347" t="s">
        <v>29</v>
      </c>
      <c r="E6712" s="118" t="s">
        <v>734</v>
      </c>
      <c r="F6712" s="118" t="s">
        <v>8225</v>
      </c>
      <c r="G6712" s="337" t="s">
        <v>35</v>
      </c>
      <c r="H6712" s="118" t="s">
        <v>12</v>
      </c>
      <c r="I6712" s="118"/>
      <c r="J6712" s="118"/>
      <c r="K6712" s="118"/>
      <c r="L6712" s="118"/>
      <c r="M6712" s="236" t="s">
        <v>11158</v>
      </c>
      <c r="N6712" s="118"/>
      <c r="O6712" s="405" t="s">
        <v>11158</v>
      </c>
      <c r="P6712" s="16" t="str">
        <f t="shared" si="174"/>
        <v>Truncate table DEMX019;</v>
      </c>
      <c r="Q6712" s="118" t="s">
        <v>8139</v>
      </c>
      <c r="R6712" s="118"/>
    </row>
    <row r="6713" spans="2:18" x14ac:dyDescent="0.25">
      <c r="B6713" s="118" t="s">
        <v>11288</v>
      </c>
      <c r="C6713" s="347" t="s">
        <v>11289</v>
      </c>
      <c r="D6713" s="347" t="s">
        <v>29</v>
      </c>
      <c r="E6713" s="118" t="s">
        <v>734</v>
      </c>
      <c r="F6713" s="118" t="s">
        <v>8225</v>
      </c>
      <c r="G6713" s="337" t="s">
        <v>35</v>
      </c>
      <c r="H6713" s="118" t="s">
        <v>12</v>
      </c>
      <c r="I6713" s="118"/>
      <c r="J6713" s="118"/>
      <c r="K6713" s="118"/>
      <c r="L6713" s="118"/>
      <c r="M6713" s="236" t="s">
        <v>11158</v>
      </c>
      <c r="N6713" s="118"/>
      <c r="O6713" s="405" t="s">
        <v>11158</v>
      </c>
      <c r="P6713" s="16" t="str">
        <f t="shared" si="174"/>
        <v>Truncate table DEMX020;</v>
      </c>
      <c r="Q6713" s="118" t="s">
        <v>8139</v>
      </c>
      <c r="R6713" s="118"/>
    </row>
    <row r="6714" spans="2:18" x14ac:dyDescent="0.25">
      <c r="B6714" s="118" t="s">
        <v>11290</v>
      </c>
      <c r="C6714" s="347" t="s">
        <v>11291</v>
      </c>
      <c r="D6714" s="347" t="s">
        <v>29</v>
      </c>
      <c r="E6714" s="118" t="s">
        <v>734</v>
      </c>
      <c r="F6714" s="118" t="s">
        <v>8225</v>
      </c>
      <c r="G6714" s="337" t="s">
        <v>35</v>
      </c>
      <c r="H6714" s="118" t="s">
        <v>12</v>
      </c>
      <c r="I6714" s="118"/>
      <c r="J6714" s="118"/>
      <c r="K6714" s="118"/>
      <c r="L6714" s="118"/>
      <c r="M6714" s="236" t="s">
        <v>11158</v>
      </c>
      <c r="N6714" s="118"/>
      <c r="O6714" s="405" t="s">
        <v>11158</v>
      </c>
      <c r="P6714" s="16" t="str">
        <f t="shared" si="174"/>
        <v>Truncate table DEMX021;</v>
      </c>
      <c r="Q6714" s="118" t="s">
        <v>8139</v>
      </c>
      <c r="R6714" s="118"/>
    </row>
    <row r="6715" spans="2:18" x14ac:dyDescent="0.25">
      <c r="B6715" s="118" t="s">
        <v>11292</v>
      </c>
      <c r="C6715" s="347" t="s">
        <v>11293</v>
      </c>
      <c r="D6715" s="347" t="s">
        <v>29</v>
      </c>
      <c r="E6715" s="118" t="s">
        <v>734</v>
      </c>
      <c r="F6715" s="118" t="s">
        <v>8225</v>
      </c>
      <c r="G6715" s="337" t="s">
        <v>35</v>
      </c>
      <c r="H6715" s="118" t="s">
        <v>12</v>
      </c>
      <c r="I6715" s="118"/>
      <c r="J6715" s="118"/>
      <c r="K6715" s="118"/>
      <c r="L6715" s="118"/>
      <c r="M6715" s="236" t="s">
        <v>11158</v>
      </c>
      <c r="N6715" s="118"/>
      <c r="O6715" s="405" t="s">
        <v>11158</v>
      </c>
      <c r="P6715" s="16" t="str">
        <f t="shared" si="174"/>
        <v>Truncate table DEMX022;</v>
      </c>
      <c r="Q6715" s="118" t="s">
        <v>8139</v>
      </c>
      <c r="R6715" s="118"/>
    </row>
    <row r="6716" spans="2:18" x14ac:dyDescent="0.25">
      <c r="B6716" s="118" t="s">
        <v>11294</v>
      </c>
      <c r="C6716" s="347" t="s">
        <v>11295</v>
      </c>
      <c r="D6716" s="347" t="s">
        <v>29</v>
      </c>
      <c r="E6716" s="118" t="s">
        <v>734</v>
      </c>
      <c r="F6716" s="118" t="s">
        <v>8225</v>
      </c>
      <c r="G6716" s="337" t="s">
        <v>35</v>
      </c>
      <c r="H6716" s="118" t="s">
        <v>12</v>
      </c>
      <c r="I6716" s="118"/>
      <c r="J6716" s="118"/>
      <c r="K6716" s="118"/>
      <c r="L6716" s="118"/>
      <c r="M6716" s="236" t="s">
        <v>11158</v>
      </c>
      <c r="N6716" s="118"/>
      <c r="O6716" s="405" t="s">
        <v>11158</v>
      </c>
      <c r="P6716" s="16" t="str">
        <f t="shared" si="174"/>
        <v>Truncate table DEMX024;</v>
      </c>
      <c r="Q6716" s="118" t="s">
        <v>8139</v>
      </c>
      <c r="R6716" s="118"/>
    </row>
    <row r="6717" spans="2:18" x14ac:dyDescent="0.25">
      <c r="B6717" s="118" t="s">
        <v>11296</v>
      </c>
      <c r="C6717" s="347" t="s">
        <v>11297</v>
      </c>
      <c r="D6717" s="347" t="s">
        <v>29</v>
      </c>
      <c r="E6717" s="118" t="s">
        <v>734</v>
      </c>
      <c r="F6717" s="118" t="s">
        <v>8225</v>
      </c>
      <c r="G6717" s="337" t="s">
        <v>35</v>
      </c>
      <c r="H6717" s="118" t="s">
        <v>12</v>
      </c>
      <c r="I6717" s="118"/>
      <c r="J6717" s="118"/>
      <c r="K6717" s="118"/>
      <c r="L6717" s="118"/>
      <c r="M6717" s="236" t="s">
        <v>11158</v>
      </c>
      <c r="N6717" s="118"/>
      <c r="O6717" s="405" t="s">
        <v>11158</v>
      </c>
      <c r="P6717" s="16" t="str">
        <f t="shared" si="174"/>
        <v>Truncate table DEMX02A;</v>
      </c>
      <c r="Q6717" s="118" t="s">
        <v>8139</v>
      </c>
      <c r="R6717" s="118"/>
    </row>
    <row r="6718" spans="2:18" x14ac:dyDescent="0.25">
      <c r="B6718" s="118" t="s">
        <v>11298</v>
      </c>
      <c r="C6718" s="347" t="s">
        <v>11299</v>
      </c>
      <c r="D6718" s="347" t="s">
        <v>29</v>
      </c>
      <c r="E6718" s="118" t="s">
        <v>734</v>
      </c>
      <c r="F6718" s="118" t="s">
        <v>8225</v>
      </c>
      <c r="G6718" s="337" t="s">
        <v>35</v>
      </c>
      <c r="H6718" s="118" t="s">
        <v>12</v>
      </c>
      <c r="I6718" s="118"/>
      <c r="J6718" s="118"/>
      <c r="K6718" s="118"/>
      <c r="L6718" s="118"/>
      <c r="M6718" s="236" t="s">
        <v>11158</v>
      </c>
      <c r="N6718" s="118"/>
      <c r="O6718" s="405" t="s">
        <v>11158</v>
      </c>
      <c r="P6718" s="16" t="str">
        <f t="shared" si="174"/>
        <v>Truncate table DEMX02B;</v>
      </c>
      <c r="Q6718" s="118" t="s">
        <v>8139</v>
      </c>
      <c r="R6718" s="118"/>
    </row>
    <row r="6719" spans="2:18" x14ac:dyDescent="0.25">
      <c r="B6719" s="118" t="s">
        <v>11300</v>
      </c>
      <c r="C6719" s="347" t="s">
        <v>11301</v>
      </c>
      <c r="D6719" s="347" t="s">
        <v>29</v>
      </c>
      <c r="E6719" s="118" t="s">
        <v>734</v>
      </c>
      <c r="F6719" s="118" t="s">
        <v>8225</v>
      </c>
      <c r="G6719" s="337" t="s">
        <v>35</v>
      </c>
      <c r="H6719" s="118" t="s">
        <v>12</v>
      </c>
      <c r="I6719" s="118"/>
      <c r="J6719" s="118"/>
      <c r="K6719" s="118"/>
      <c r="L6719" s="118"/>
      <c r="M6719" s="236" t="s">
        <v>11158</v>
      </c>
      <c r="N6719" s="118"/>
      <c r="O6719" s="405" t="s">
        <v>11158</v>
      </c>
      <c r="P6719" s="16" t="str">
        <f t="shared" si="174"/>
        <v>Truncate table DEMX02C;</v>
      </c>
      <c r="Q6719" s="118" t="s">
        <v>8139</v>
      </c>
      <c r="R6719" s="118"/>
    </row>
    <row r="6720" spans="2:18" x14ac:dyDescent="0.25">
      <c r="B6720" s="118" t="s">
        <v>11302</v>
      </c>
      <c r="C6720" s="347" t="s">
        <v>11273</v>
      </c>
      <c r="D6720" s="347" t="s">
        <v>29</v>
      </c>
      <c r="E6720" s="118" t="s">
        <v>734</v>
      </c>
      <c r="F6720" s="118" t="s">
        <v>8225</v>
      </c>
      <c r="G6720" s="337" t="s">
        <v>35</v>
      </c>
      <c r="H6720" s="118" t="s">
        <v>12</v>
      </c>
      <c r="I6720" s="118"/>
      <c r="J6720" s="118"/>
      <c r="K6720" s="118"/>
      <c r="L6720" s="118"/>
      <c r="M6720" s="236" t="s">
        <v>11158</v>
      </c>
      <c r="N6720" s="118"/>
      <c r="O6720" s="405" t="s">
        <v>11158</v>
      </c>
      <c r="P6720" s="16" t="str">
        <f t="shared" si="174"/>
        <v>Truncate table DEMX02D;</v>
      </c>
      <c r="Q6720" s="118" t="s">
        <v>8139</v>
      </c>
      <c r="R6720" s="118"/>
    </row>
    <row r="6721" spans="2:18" x14ac:dyDescent="0.25">
      <c r="B6721" s="118" t="s">
        <v>11303</v>
      </c>
      <c r="C6721" s="347" t="s">
        <v>11304</v>
      </c>
      <c r="D6721" s="347" t="s">
        <v>29</v>
      </c>
      <c r="E6721" s="118" t="s">
        <v>734</v>
      </c>
      <c r="F6721" s="118" t="s">
        <v>8225</v>
      </c>
      <c r="G6721" s="337" t="s">
        <v>35</v>
      </c>
      <c r="H6721" s="118" t="s">
        <v>12</v>
      </c>
      <c r="I6721" s="118"/>
      <c r="J6721" s="118"/>
      <c r="K6721" s="118"/>
      <c r="L6721" s="118"/>
      <c r="M6721" s="236" t="s">
        <v>11158</v>
      </c>
      <c r="N6721" s="118"/>
      <c r="O6721" s="405" t="s">
        <v>11158</v>
      </c>
      <c r="P6721" s="16" t="str">
        <f t="shared" si="174"/>
        <v>Truncate table DEMX045;</v>
      </c>
      <c r="Q6721" s="118" t="s">
        <v>8139</v>
      </c>
      <c r="R6721" s="118"/>
    </row>
    <row r="6722" spans="2:18" x14ac:dyDescent="0.25">
      <c r="B6722" s="118" t="s">
        <v>11305</v>
      </c>
      <c r="C6722" s="347" t="s">
        <v>11306</v>
      </c>
      <c r="D6722" s="347" t="s">
        <v>29</v>
      </c>
      <c r="E6722" s="118" t="s">
        <v>734</v>
      </c>
      <c r="F6722" s="118" t="s">
        <v>8225</v>
      </c>
      <c r="G6722" s="337" t="s">
        <v>35</v>
      </c>
      <c r="H6722" s="118" t="s">
        <v>12</v>
      </c>
      <c r="I6722" s="118"/>
      <c r="J6722" s="118"/>
      <c r="K6722" s="118"/>
      <c r="L6722" s="118"/>
      <c r="M6722" s="236" t="s">
        <v>11158</v>
      </c>
      <c r="N6722" s="118"/>
      <c r="O6722" s="405" t="s">
        <v>11158</v>
      </c>
      <c r="P6722" s="16" t="str">
        <f t="shared" si="174"/>
        <v>Truncate table DEMX046;</v>
      </c>
      <c r="Q6722" s="118" t="s">
        <v>8139</v>
      </c>
      <c r="R6722" s="118"/>
    </row>
    <row r="6723" spans="2:18" x14ac:dyDescent="0.25">
      <c r="B6723" s="118" t="s">
        <v>11307</v>
      </c>
      <c r="C6723" s="347" t="s">
        <v>9640</v>
      </c>
      <c r="D6723" s="347" t="s">
        <v>29</v>
      </c>
      <c r="E6723" s="118" t="s">
        <v>734</v>
      </c>
      <c r="F6723" s="118" t="s">
        <v>8225</v>
      </c>
      <c r="G6723" s="337" t="s">
        <v>35</v>
      </c>
      <c r="H6723" s="118" t="s">
        <v>12</v>
      </c>
      <c r="I6723" s="118"/>
      <c r="J6723" s="118"/>
      <c r="K6723" s="118"/>
      <c r="L6723" s="118"/>
      <c r="M6723" s="236" t="s">
        <v>11158</v>
      </c>
      <c r="N6723" s="118"/>
      <c r="O6723" s="405" t="s">
        <v>11158</v>
      </c>
      <c r="P6723" s="16" t="str">
        <f t="shared" si="174"/>
        <v>Truncate table DEMX047;</v>
      </c>
      <c r="Q6723" s="118" t="s">
        <v>8139</v>
      </c>
      <c r="R6723" s="118"/>
    </row>
    <row r="6724" spans="2:18" x14ac:dyDescent="0.25">
      <c r="B6724" s="118" t="s">
        <v>11308</v>
      </c>
      <c r="C6724" s="347" t="s">
        <v>11309</v>
      </c>
      <c r="D6724" s="347" t="s">
        <v>10206</v>
      </c>
      <c r="E6724" s="118" t="s">
        <v>734</v>
      </c>
      <c r="F6724" s="118" t="s">
        <v>8225</v>
      </c>
      <c r="G6724" s="337" t="s">
        <v>35</v>
      </c>
      <c r="H6724" s="118" t="s">
        <v>12</v>
      </c>
      <c r="I6724" s="118"/>
      <c r="J6724" s="118"/>
      <c r="K6724" s="118"/>
      <c r="L6724" s="118"/>
      <c r="M6724" s="236" t="s">
        <v>11158</v>
      </c>
      <c r="N6724" s="118"/>
      <c r="O6724" s="405" t="s">
        <v>11158</v>
      </c>
      <c r="P6724" s="16" t="str">
        <f t="shared" si="174"/>
        <v/>
      </c>
      <c r="Q6724" s="118" t="s">
        <v>8139</v>
      </c>
      <c r="R6724" s="118"/>
    </row>
    <row r="6725" spans="2:18" x14ac:dyDescent="0.25">
      <c r="B6725" s="118" t="s">
        <v>11310</v>
      </c>
      <c r="C6725" s="347" t="s">
        <v>11311</v>
      </c>
      <c r="D6725" s="347" t="s">
        <v>29</v>
      </c>
      <c r="E6725" s="118" t="s">
        <v>734</v>
      </c>
      <c r="F6725" s="118" t="s">
        <v>8225</v>
      </c>
      <c r="G6725" s="337" t="s">
        <v>35</v>
      </c>
      <c r="H6725" s="118" t="s">
        <v>12</v>
      </c>
      <c r="I6725" s="118"/>
      <c r="J6725" s="118"/>
      <c r="K6725" s="118"/>
      <c r="L6725" s="118"/>
      <c r="M6725" s="236" t="s">
        <v>11158</v>
      </c>
      <c r="N6725" s="118"/>
      <c r="O6725" s="405" t="s">
        <v>11158</v>
      </c>
      <c r="P6725" s="16" t="str">
        <f t="shared" si="174"/>
        <v>Truncate table DEMX95;</v>
      </c>
      <c r="Q6725" s="118" t="s">
        <v>8139</v>
      </c>
      <c r="R6725" s="118"/>
    </row>
    <row r="6726" spans="2:18" x14ac:dyDescent="0.25">
      <c r="B6726" s="118" t="s">
        <v>11312</v>
      </c>
      <c r="C6726" s="347" t="s">
        <v>11313</v>
      </c>
      <c r="D6726" s="347" t="s">
        <v>29</v>
      </c>
      <c r="E6726" s="118" t="s">
        <v>734</v>
      </c>
      <c r="F6726" s="118" t="s">
        <v>8225</v>
      </c>
      <c r="G6726" s="337" t="s">
        <v>35</v>
      </c>
      <c r="H6726" s="118" t="s">
        <v>12</v>
      </c>
      <c r="I6726" s="118"/>
      <c r="J6726" s="118"/>
      <c r="K6726" s="118"/>
      <c r="L6726" s="118"/>
      <c r="M6726" s="236" t="s">
        <v>11158</v>
      </c>
      <c r="N6726" s="118"/>
      <c r="O6726" s="405" t="s">
        <v>11158</v>
      </c>
      <c r="P6726" s="16" t="str">
        <f t="shared" si="174"/>
        <v>Truncate table DEMX96;</v>
      </c>
      <c r="Q6726" s="118" t="s">
        <v>8139</v>
      </c>
      <c r="R6726" s="118"/>
    </row>
    <row r="6727" spans="2:18" x14ac:dyDescent="0.25">
      <c r="B6727" s="118" t="s">
        <v>11314</v>
      </c>
      <c r="C6727" s="347" t="s">
        <v>11315</v>
      </c>
      <c r="D6727" s="347" t="s">
        <v>10206</v>
      </c>
      <c r="E6727" s="118" t="s">
        <v>54</v>
      </c>
      <c r="F6727" s="118" t="s">
        <v>235</v>
      </c>
      <c r="G6727" s="337" t="s">
        <v>35</v>
      </c>
      <c r="H6727" s="118" t="s">
        <v>12</v>
      </c>
      <c r="I6727" s="118"/>
      <c r="J6727" s="118"/>
      <c r="K6727" s="118"/>
      <c r="L6727" s="118"/>
      <c r="M6727" s="236" t="s">
        <v>11158</v>
      </c>
      <c r="N6727" s="118"/>
      <c r="O6727" s="405" t="s">
        <v>11158</v>
      </c>
      <c r="P6727" s="16" t="str">
        <f t="shared" si="174"/>
        <v/>
      </c>
      <c r="Q6727" s="118" t="s">
        <v>8144</v>
      </c>
      <c r="R6727" s="118"/>
    </row>
    <row r="6728" spans="2:18" x14ac:dyDescent="0.25">
      <c r="B6728" s="118" t="s">
        <v>11316</v>
      </c>
      <c r="C6728" s="347" t="s">
        <v>11317</v>
      </c>
      <c r="D6728" s="347" t="s">
        <v>29</v>
      </c>
      <c r="E6728" s="118" t="s">
        <v>54</v>
      </c>
      <c r="F6728" s="118" t="s">
        <v>8241</v>
      </c>
      <c r="G6728" s="337" t="s">
        <v>35</v>
      </c>
      <c r="H6728" s="118" t="s">
        <v>12</v>
      </c>
      <c r="I6728" s="118"/>
      <c r="J6728" s="118"/>
      <c r="K6728" s="118"/>
      <c r="L6728" s="118"/>
      <c r="M6728" s="236" t="s">
        <v>11158</v>
      </c>
      <c r="N6728" s="118"/>
      <c r="O6728" s="405" t="s">
        <v>11158</v>
      </c>
      <c r="P6728" s="16" t="str">
        <f t="shared" si="174"/>
        <v>Truncate table DEPE011;</v>
      </c>
      <c r="Q6728" s="118" t="s">
        <v>8144</v>
      </c>
      <c r="R6728" s="118"/>
    </row>
    <row r="6729" spans="2:18" x14ac:dyDescent="0.25">
      <c r="B6729" s="118" t="s">
        <v>11318</v>
      </c>
      <c r="C6729" s="347" t="s">
        <v>11319</v>
      </c>
      <c r="D6729" s="347" t="s">
        <v>29</v>
      </c>
      <c r="E6729" s="118" t="s">
        <v>54</v>
      </c>
      <c r="F6729" s="118" t="s">
        <v>8241</v>
      </c>
      <c r="G6729" s="337" t="s">
        <v>35</v>
      </c>
      <c r="H6729" s="118" t="s">
        <v>12</v>
      </c>
      <c r="I6729" s="118"/>
      <c r="J6729" s="118"/>
      <c r="K6729" s="118"/>
      <c r="L6729" s="118"/>
      <c r="M6729" s="236" t="s">
        <v>11158</v>
      </c>
      <c r="N6729" s="118"/>
      <c r="O6729" s="405" t="s">
        <v>11158</v>
      </c>
      <c r="P6729" s="16" t="str">
        <f t="shared" si="174"/>
        <v>Truncate table DEPE068;</v>
      </c>
      <c r="Q6729" s="118" t="s">
        <v>8144</v>
      </c>
      <c r="R6729" s="118"/>
    </row>
    <row r="6730" spans="2:18" x14ac:dyDescent="0.25">
      <c r="B6730" s="118" t="s">
        <v>11320</v>
      </c>
      <c r="C6730" s="347" t="s">
        <v>11321</v>
      </c>
      <c r="D6730" s="347" t="s">
        <v>29</v>
      </c>
      <c r="E6730" s="118" t="s">
        <v>8232</v>
      </c>
      <c r="F6730" s="118" t="s">
        <v>8227</v>
      </c>
      <c r="G6730" s="337" t="s">
        <v>35</v>
      </c>
      <c r="H6730" s="118" t="s">
        <v>12</v>
      </c>
      <c r="I6730" s="118"/>
      <c r="J6730" s="118"/>
      <c r="K6730" s="118"/>
      <c r="L6730" s="118"/>
      <c r="M6730" s="236" t="s">
        <v>11158</v>
      </c>
      <c r="N6730" s="118"/>
      <c r="O6730" s="405" t="s">
        <v>11158</v>
      </c>
      <c r="P6730" s="16" t="str">
        <f t="shared" si="174"/>
        <v>Truncate table DEPE069;</v>
      </c>
      <c r="Q6730" s="118" t="s">
        <v>8144</v>
      </c>
      <c r="R6730" s="118"/>
    </row>
    <row r="6731" spans="2:18" x14ac:dyDescent="0.25">
      <c r="B6731" s="118" t="s">
        <v>11322</v>
      </c>
      <c r="C6731" s="347" t="s">
        <v>11323</v>
      </c>
      <c r="D6731" s="347" t="s">
        <v>29</v>
      </c>
      <c r="E6731" s="118" t="s">
        <v>8232</v>
      </c>
      <c r="F6731" s="118" t="s">
        <v>8227</v>
      </c>
      <c r="G6731" s="337" t="s">
        <v>35</v>
      </c>
      <c r="H6731" s="118" t="s">
        <v>12</v>
      </c>
      <c r="I6731" s="118"/>
      <c r="J6731" s="118"/>
      <c r="K6731" s="118"/>
      <c r="L6731" s="118"/>
      <c r="M6731" s="236" t="s">
        <v>11158</v>
      </c>
      <c r="N6731" s="118"/>
      <c r="O6731" s="405" t="s">
        <v>11158</v>
      </c>
      <c r="P6731" s="16" t="str">
        <f t="shared" si="174"/>
        <v>Truncate table DEPE070;</v>
      </c>
      <c r="Q6731" s="118" t="s">
        <v>8144</v>
      </c>
      <c r="R6731" s="118"/>
    </row>
    <row r="6732" spans="2:18" x14ac:dyDescent="0.25">
      <c r="B6732" s="118" t="s">
        <v>11324</v>
      </c>
      <c r="C6732" s="347" t="s">
        <v>11325</v>
      </c>
      <c r="D6732" s="347" t="s">
        <v>29</v>
      </c>
      <c r="E6732" s="118" t="s">
        <v>8232</v>
      </c>
      <c r="F6732" s="118" t="s">
        <v>8227</v>
      </c>
      <c r="G6732" s="337" t="s">
        <v>35</v>
      </c>
      <c r="H6732" s="118" t="s">
        <v>12</v>
      </c>
      <c r="I6732" s="118"/>
      <c r="J6732" s="118"/>
      <c r="K6732" s="118"/>
      <c r="L6732" s="118"/>
      <c r="M6732" s="236" t="s">
        <v>11158</v>
      </c>
      <c r="N6732" s="118"/>
      <c r="O6732" s="405" t="s">
        <v>11158</v>
      </c>
      <c r="P6732" s="16" t="str">
        <f t="shared" si="174"/>
        <v>Truncate table DEPE071;</v>
      </c>
      <c r="Q6732" s="118" t="s">
        <v>8144</v>
      </c>
      <c r="R6732" s="118"/>
    </row>
    <row r="6733" spans="2:18" x14ac:dyDescent="0.25">
      <c r="B6733" s="118" t="s">
        <v>11326</v>
      </c>
      <c r="C6733" s="347" t="s">
        <v>11327</v>
      </c>
      <c r="D6733" s="347" t="s">
        <v>29</v>
      </c>
      <c r="E6733" s="118" t="s">
        <v>8232</v>
      </c>
      <c r="F6733" s="118" t="s">
        <v>8227</v>
      </c>
      <c r="G6733" s="337" t="s">
        <v>35</v>
      </c>
      <c r="H6733" s="118" t="s">
        <v>12</v>
      </c>
      <c r="I6733" s="118"/>
      <c r="J6733" s="118"/>
      <c r="K6733" s="118"/>
      <c r="L6733" s="118"/>
      <c r="M6733" s="236" t="s">
        <v>11158</v>
      </c>
      <c r="N6733" s="118"/>
      <c r="O6733" s="405" t="s">
        <v>11158</v>
      </c>
      <c r="P6733" s="16" t="str">
        <f t="shared" si="174"/>
        <v>Truncate table DEPE072;</v>
      </c>
      <c r="Q6733" s="118" t="s">
        <v>8144</v>
      </c>
      <c r="R6733" s="118"/>
    </row>
    <row r="6734" spans="2:18" x14ac:dyDescent="0.25">
      <c r="B6734" s="118" t="s">
        <v>11328</v>
      </c>
      <c r="C6734" s="347" t="s">
        <v>11329</v>
      </c>
      <c r="D6734" s="347" t="s">
        <v>29</v>
      </c>
      <c r="E6734" s="118" t="s">
        <v>8232</v>
      </c>
      <c r="F6734" s="118" t="s">
        <v>8227</v>
      </c>
      <c r="G6734" s="337" t="s">
        <v>35</v>
      </c>
      <c r="H6734" s="118" t="s">
        <v>12</v>
      </c>
      <c r="I6734" s="118"/>
      <c r="J6734" s="118"/>
      <c r="K6734" s="118"/>
      <c r="L6734" s="118"/>
      <c r="M6734" s="236" t="s">
        <v>11158</v>
      </c>
      <c r="N6734" s="118"/>
      <c r="O6734" s="405" t="s">
        <v>11158</v>
      </c>
      <c r="P6734" s="16" t="str">
        <f t="shared" si="174"/>
        <v>Truncate table DEPE073;</v>
      </c>
      <c r="Q6734" s="118" t="s">
        <v>8144</v>
      </c>
      <c r="R6734" s="118"/>
    </row>
    <row r="6735" spans="2:18" x14ac:dyDescent="0.25">
      <c r="B6735" s="118" t="s">
        <v>11330</v>
      </c>
      <c r="C6735" s="347" t="s">
        <v>11331</v>
      </c>
      <c r="D6735" s="347" t="s">
        <v>29</v>
      </c>
      <c r="E6735" s="118" t="s">
        <v>8232</v>
      </c>
      <c r="F6735" s="118" t="s">
        <v>8227</v>
      </c>
      <c r="G6735" s="337" t="s">
        <v>35</v>
      </c>
      <c r="H6735" s="118" t="s">
        <v>12</v>
      </c>
      <c r="I6735" s="118"/>
      <c r="J6735" s="118"/>
      <c r="K6735" s="118"/>
      <c r="L6735" s="118"/>
      <c r="M6735" s="236" t="s">
        <v>11158</v>
      </c>
      <c r="N6735" s="118"/>
      <c r="O6735" s="405" t="s">
        <v>11158</v>
      </c>
      <c r="P6735" s="16" t="str">
        <f t="shared" si="174"/>
        <v>Truncate table DEPE074;</v>
      </c>
      <c r="Q6735" s="118" t="s">
        <v>8144</v>
      </c>
      <c r="R6735" s="118"/>
    </row>
    <row r="6736" spans="2:18" x14ac:dyDescent="0.25">
      <c r="B6736" s="118" t="s">
        <v>11332</v>
      </c>
      <c r="C6736" s="347" t="s">
        <v>11333</v>
      </c>
      <c r="D6736" s="347" t="s">
        <v>29</v>
      </c>
      <c r="E6736" s="118" t="s">
        <v>8232</v>
      </c>
      <c r="F6736" s="118" t="s">
        <v>8227</v>
      </c>
      <c r="G6736" s="337" t="s">
        <v>35</v>
      </c>
      <c r="H6736" s="118" t="s">
        <v>12</v>
      </c>
      <c r="I6736" s="118"/>
      <c r="J6736" s="118"/>
      <c r="K6736" s="118"/>
      <c r="L6736" s="118"/>
      <c r="M6736" s="236" t="s">
        <v>11158</v>
      </c>
      <c r="N6736" s="118"/>
      <c r="O6736" s="405" t="s">
        <v>11158</v>
      </c>
      <c r="P6736" s="16" t="str">
        <f t="shared" si="174"/>
        <v>Truncate table DEPE10;</v>
      </c>
      <c r="Q6736" s="118" t="s">
        <v>8144</v>
      </c>
      <c r="R6736" s="118"/>
    </row>
    <row r="6737" spans="2:18" x14ac:dyDescent="0.25">
      <c r="B6737" s="118" t="s">
        <v>11334</v>
      </c>
      <c r="C6737" s="347" t="s">
        <v>11335</v>
      </c>
      <c r="D6737" s="347" t="s">
        <v>29</v>
      </c>
      <c r="E6737" s="118" t="s">
        <v>8232</v>
      </c>
      <c r="F6737" s="118" t="s">
        <v>8227</v>
      </c>
      <c r="G6737" s="337" t="s">
        <v>35</v>
      </c>
      <c r="H6737" s="118" t="s">
        <v>12</v>
      </c>
      <c r="I6737" s="118"/>
      <c r="J6737" s="118"/>
      <c r="K6737" s="118"/>
      <c r="L6737" s="118"/>
      <c r="M6737" s="236" t="s">
        <v>11158</v>
      </c>
      <c r="N6737" s="118"/>
      <c r="O6737" s="405" t="s">
        <v>11158</v>
      </c>
      <c r="P6737" s="16" t="str">
        <f t="shared" si="174"/>
        <v>Truncate table DEPE108;</v>
      </c>
      <c r="Q6737" s="118" t="s">
        <v>8144</v>
      </c>
      <c r="R6737" s="118"/>
    </row>
    <row r="6738" spans="2:18" x14ac:dyDescent="0.25">
      <c r="B6738" s="118" t="s">
        <v>11336</v>
      </c>
      <c r="C6738" s="347" t="s">
        <v>11337</v>
      </c>
      <c r="D6738" s="347" t="s">
        <v>29</v>
      </c>
      <c r="E6738" s="118" t="s">
        <v>8232</v>
      </c>
      <c r="F6738" s="118" t="s">
        <v>8227</v>
      </c>
      <c r="G6738" s="337" t="s">
        <v>35</v>
      </c>
      <c r="H6738" s="118" t="s">
        <v>12</v>
      </c>
      <c r="I6738" s="118"/>
      <c r="J6738" s="118"/>
      <c r="K6738" s="118"/>
      <c r="L6738" s="118"/>
      <c r="M6738" s="236" t="s">
        <v>11158</v>
      </c>
      <c r="N6738" s="118"/>
      <c r="O6738" s="405" t="s">
        <v>11158</v>
      </c>
      <c r="P6738" s="16" t="str">
        <f t="shared" ref="P6738:P6808" si="178">IF(D6738="Datos","Truncate table "&amp; B6738&amp; ";","")</f>
        <v>Truncate table DEPE11;</v>
      </c>
      <c r="Q6738" s="118" t="s">
        <v>8144</v>
      </c>
      <c r="R6738" s="118"/>
    </row>
    <row r="6739" spans="2:18" x14ac:dyDescent="0.25">
      <c r="B6739" s="118" t="s">
        <v>11338</v>
      </c>
      <c r="C6739" s="347" t="s">
        <v>11339</v>
      </c>
      <c r="D6739" s="347" t="s">
        <v>29</v>
      </c>
      <c r="E6739" s="118" t="s">
        <v>8232</v>
      </c>
      <c r="F6739" s="118" t="s">
        <v>8227</v>
      </c>
      <c r="G6739" s="337" t="s">
        <v>35</v>
      </c>
      <c r="H6739" s="118" t="s">
        <v>12</v>
      </c>
      <c r="I6739" s="118"/>
      <c r="J6739" s="118"/>
      <c r="K6739" s="118"/>
      <c r="L6739" s="118"/>
      <c r="M6739" s="236" t="s">
        <v>11158</v>
      </c>
      <c r="N6739" s="118"/>
      <c r="O6739" s="405" t="s">
        <v>11158</v>
      </c>
      <c r="P6739" s="16" t="str">
        <f t="shared" si="178"/>
        <v>Truncate table DEPE12;</v>
      </c>
      <c r="Q6739" s="118" t="s">
        <v>8144</v>
      </c>
      <c r="R6739" s="118"/>
    </row>
    <row r="6740" spans="2:18" x14ac:dyDescent="0.25">
      <c r="B6740" s="118" t="s">
        <v>11340</v>
      </c>
      <c r="C6740" s="347" t="s">
        <v>11341</v>
      </c>
      <c r="D6740" s="347" t="s">
        <v>29</v>
      </c>
      <c r="E6740" s="118" t="s">
        <v>8232</v>
      </c>
      <c r="F6740" s="118" t="s">
        <v>8227</v>
      </c>
      <c r="G6740" s="337" t="s">
        <v>35</v>
      </c>
      <c r="H6740" s="118" t="s">
        <v>12</v>
      </c>
      <c r="I6740" s="118"/>
      <c r="J6740" s="118"/>
      <c r="K6740" s="118"/>
      <c r="L6740" s="118"/>
      <c r="M6740" s="236" t="s">
        <v>11158</v>
      </c>
      <c r="N6740" s="118"/>
      <c r="O6740" s="405" t="s">
        <v>11158</v>
      </c>
      <c r="P6740" s="16" t="str">
        <f t="shared" si="178"/>
        <v>Truncate table DEPE121;</v>
      </c>
      <c r="Q6740" s="118" t="s">
        <v>8144</v>
      </c>
      <c r="R6740" s="118"/>
    </row>
    <row r="6741" spans="2:18" x14ac:dyDescent="0.25">
      <c r="B6741" s="118" t="s">
        <v>11342</v>
      </c>
      <c r="C6741" s="347" t="s">
        <v>11343</v>
      </c>
      <c r="D6741" s="347" t="s">
        <v>29</v>
      </c>
      <c r="E6741" s="118" t="s">
        <v>8232</v>
      </c>
      <c r="F6741" s="118" t="s">
        <v>8227</v>
      </c>
      <c r="G6741" s="337" t="s">
        <v>35</v>
      </c>
      <c r="H6741" s="118" t="s">
        <v>12</v>
      </c>
      <c r="I6741" s="118"/>
      <c r="J6741" s="118"/>
      <c r="K6741" s="118"/>
      <c r="L6741" s="118"/>
      <c r="M6741" s="236" t="s">
        <v>11158</v>
      </c>
      <c r="N6741" s="118"/>
      <c r="O6741" s="405" t="s">
        <v>11158</v>
      </c>
      <c r="P6741" s="16" t="str">
        <f t="shared" si="178"/>
        <v>Truncate table DEPE122;</v>
      </c>
      <c r="Q6741" s="118" t="s">
        <v>8144</v>
      </c>
      <c r="R6741" s="118"/>
    </row>
    <row r="6742" spans="2:18" x14ac:dyDescent="0.25">
      <c r="B6742" s="118" t="s">
        <v>11344</v>
      </c>
      <c r="C6742" s="347" t="s">
        <v>11345</v>
      </c>
      <c r="D6742" s="347" t="s">
        <v>29</v>
      </c>
      <c r="E6742" s="118" t="s">
        <v>8232</v>
      </c>
      <c r="F6742" s="118" t="s">
        <v>8227</v>
      </c>
      <c r="G6742" s="337" t="s">
        <v>35</v>
      </c>
      <c r="H6742" s="118" t="s">
        <v>12</v>
      </c>
      <c r="I6742" s="118"/>
      <c r="J6742" s="118"/>
      <c r="K6742" s="118"/>
      <c r="L6742" s="118"/>
      <c r="M6742" s="236" t="s">
        <v>11158</v>
      </c>
      <c r="N6742" s="118"/>
      <c r="O6742" s="405" t="s">
        <v>11158</v>
      </c>
      <c r="P6742" s="16" t="str">
        <f t="shared" si="178"/>
        <v>Truncate table DEPE125;</v>
      </c>
      <c r="Q6742" s="118" t="s">
        <v>8144</v>
      </c>
      <c r="R6742" s="118"/>
    </row>
    <row r="6743" spans="2:18" x14ac:dyDescent="0.25">
      <c r="B6743" s="118" t="s">
        <v>11346</v>
      </c>
      <c r="C6743" s="347" t="s">
        <v>11347</v>
      </c>
      <c r="D6743" s="347" t="s">
        <v>29</v>
      </c>
      <c r="E6743" s="118" t="s">
        <v>54</v>
      </c>
      <c r="F6743" s="118" t="s">
        <v>235</v>
      </c>
      <c r="G6743" s="337" t="s">
        <v>35</v>
      </c>
      <c r="H6743" s="118" t="s">
        <v>12</v>
      </c>
      <c r="I6743" s="118"/>
      <c r="J6743" s="118"/>
      <c r="K6743" s="118"/>
      <c r="L6743" s="118"/>
      <c r="M6743" s="236" t="s">
        <v>11158</v>
      </c>
      <c r="N6743" s="118"/>
      <c r="O6743" s="405" t="s">
        <v>11158</v>
      </c>
      <c r="P6743" s="16" t="str">
        <f t="shared" si="178"/>
        <v>Truncate table DEPE250;</v>
      </c>
      <c r="Q6743" s="118" t="s">
        <v>8144</v>
      </c>
      <c r="R6743" s="118"/>
    </row>
    <row r="6744" spans="2:18" x14ac:dyDescent="0.25">
      <c r="B6744" s="118" t="s">
        <v>11348</v>
      </c>
      <c r="C6744" s="347" t="s">
        <v>11349</v>
      </c>
      <c r="D6744" s="347" t="s">
        <v>29</v>
      </c>
      <c r="E6744" s="118" t="s">
        <v>54</v>
      </c>
      <c r="F6744" s="118" t="s">
        <v>8189</v>
      </c>
      <c r="G6744" s="337" t="s">
        <v>35</v>
      </c>
      <c r="H6744" s="118" t="s">
        <v>12</v>
      </c>
      <c r="I6744" s="118"/>
      <c r="J6744" s="118"/>
      <c r="K6744" s="118"/>
      <c r="L6744" s="118"/>
      <c r="M6744" s="236" t="s">
        <v>11158</v>
      </c>
      <c r="N6744" s="118"/>
      <c r="O6744" s="405" t="s">
        <v>11158</v>
      </c>
      <c r="P6744" s="16" t="str">
        <f t="shared" si="178"/>
        <v>Truncate table DEPE257;</v>
      </c>
      <c r="Q6744" s="118" t="s">
        <v>8144</v>
      </c>
      <c r="R6744" s="118"/>
    </row>
    <row r="6745" spans="2:18" x14ac:dyDescent="0.25">
      <c r="B6745" s="118" t="s">
        <v>11350</v>
      </c>
      <c r="C6745" s="347" t="s">
        <v>11351</v>
      </c>
      <c r="D6745" s="347" t="s">
        <v>29</v>
      </c>
      <c r="E6745" s="118" t="s">
        <v>8232</v>
      </c>
      <c r="F6745" s="118" t="s">
        <v>8227</v>
      </c>
      <c r="G6745" s="337" t="s">
        <v>35</v>
      </c>
      <c r="H6745" s="118" t="s">
        <v>12</v>
      </c>
      <c r="I6745" s="118"/>
      <c r="J6745" s="118"/>
      <c r="K6745" s="118"/>
      <c r="L6745" s="118"/>
      <c r="M6745" s="236" t="s">
        <v>11158</v>
      </c>
      <c r="N6745" s="118"/>
      <c r="O6745" s="405" t="s">
        <v>11158</v>
      </c>
      <c r="P6745" s="16" t="str">
        <f t="shared" si="178"/>
        <v>Truncate table DEPE350;</v>
      </c>
      <c r="Q6745" s="118" t="s">
        <v>8144</v>
      </c>
      <c r="R6745" s="118"/>
    </row>
    <row r="6746" spans="2:18" x14ac:dyDescent="0.25">
      <c r="B6746" s="118" t="s">
        <v>11352</v>
      </c>
      <c r="C6746" s="347" t="s">
        <v>11353</v>
      </c>
      <c r="D6746" s="347" t="s">
        <v>29</v>
      </c>
      <c r="E6746" s="118" t="s">
        <v>8230</v>
      </c>
      <c r="F6746" s="118" t="s">
        <v>8221</v>
      </c>
      <c r="G6746" s="337" t="s">
        <v>35</v>
      </c>
      <c r="H6746" s="118" t="s">
        <v>12</v>
      </c>
      <c r="I6746" s="118"/>
      <c r="J6746" s="118"/>
      <c r="K6746" s="118"/>
      <c r="L6746" s="118"/>
      <c r="M6746" s="236" t="s">
        <v>11158</v>
      </c>
      <c r="N6746" s="118"/>
      <c r="O6746" s="405" t="s">
        <v>11158</v>
      </c>
      <c r="P6746" s="16" t="str">
        <f t="shared" si="178"/>
        <v>Truncate table DEPE40;</v>
      </c>
      <c r="Q6746" s="118" t="s">
        <v>8144</v>
      </c>
      <c r="R6746" s="118"/>
    </row>
    <row r="6747" spans="2:18" x14ac:dyDescent="0.25">
      <c r="B6747" s="118" t="s">
        <v>11354</v>
      </c>
      <c r="C6747" s="347" t="s">
        <v>11355</v>
      </c>
      <c r="D6747" s="347" t="s">
        <v>29</v>
      </c>
      <c r="E6747" s="118" t="s">
        <v>8230</v>
      </c>
      <c r="F6747" s="118" t="s">
        <v>8221</v>
      </c>
      <c r="G6747" s="337" t="s">
        <v>35</v>
      </c>
      <c r="H6747" s="118" t="s">
        <v>12</v>
      </c>
      <c r="I6747" s="118"/>
      <c r="J6747" s="118"/>
      <c r="K6747" s="118"/>
      <c r="L6747" s="118"/>
      <c r="M6747" s="236" t="s">
        <v>11158</v>
      </c>
      <c r="N6747" s="118"/>
      <c r="O6747" s="405" t="s">
        <v>11158</v>
      </c>
      <c r="P6747" s="16" t="str">
        <f t="shared" si="178"/>
        <v>Truncate table DEPE445;</v>
      </c>
      <c r="Q6747" s="118" t="s">
        <v>8144</v>
      </c>
      <c r="R6747" s="118"/>
    </row>
    <row r="6748" spans="2:18" x14ac:dyDescent="0.25">
      <c r="B6748" s="118" t="s">
        <v>11356</v>
      </c>
      <c r="C6748" s="347" t="s">
        <v>11357</v>
      </c>
      <c r="D6748" s="347" t="s">
        <v>29</v>
      </c>
      <c r="E6748" s="118" t="s">
        <v>8230</v>
      </c>
      <c r="F6748" s="118" t="s">
        <v>8221</v>
      </c>
      <c r="G6748" s="337" t="s">
        <v>35</v>
      </c>
      <c r="H6748" s="118" t="s">
        <v>12</v>
      </c>
      <c r="I6748" s="118"/>
      <c r="J6748" s="118"/>
      <c r="K6748" s="118"/>
      <c r="L6748" s="118"/>
      <c r="M6748" s="236" t="s">
        <v>11158</v>
      </c>
      <c r="N6748" s="118"/>
      <c r="O6748" s="405" t="s">
        <v>11158</v>
      </c>
      <c r="P6748" s="16" t="str">
        <f t="shared" si="178"/>
        <v>Truncate table DEPE446;</v>
      </c>
      <c r="Q6748" s="118" t="s">
        <v>8144</v>
      </c>
      <c r="R6748" s="118"/>
    </row>
    <row r="6749" spans="2:18" x14ac:dyDescent="0.25">
      <c r="B6749" s="118" t="s">
        <v>11358</v>
      </c>
      <c r="C6749" s="347" t="s">
        <v>11359</v>
      </c>
      <c r="D6749" s="347" t="s">
        <v>29</v>
      </c>
      <c r="E6749" s="118" t="s">
        <v>8230</v>
      </c>
      <c r="F6749" s="118" t="s">
        <v>8221</v>
      </c>
      <c r="G6749" s="337" t="s">
        <v>35</v>
      </c>
      <c r="H6749" s="118" t="s">
        <v>12</v>
      </c>
      <c r="I6749" s="118"/>
      <c r="J6749" s="118"/>
      <c r="K6749" s="118"/>
      <c r="L6749" s="118"/>
      <c r="M6749" s="236" t="s">
        <v>11158</v>
      </c>
      <c r="N6749" s="118"/>
      <c r="O6749" s="405" t="s">
        <v>11158</v>
      </c>
      <c r="P6749" s="16" t="str">
        <f t="shared" si="178"/>
        <v>Truncate table DEPE447;</v>
      </c>
      <c r="Q6749" s="118" t="s">
        <v>8144</v>
      </c>
      <c r="R6749" s="118"/>
    </row>
    <row r="6750" spans="2:18" x14ac:dyDescent="0.25">
      <c r="B6750" s="118" t="s">
        <v>11360</v>
      </c>
      <c r="C6750" s="347" t="s">
        <v>11361</v>
      </c>
      <c r="D6750" s="347" t="s">
        <v>29</v>
      </c>
      <c r="E6750" s="118" t="s">
        <v>54</v>
      </c>
      <c r="F6750" s="118" t="s">
        <v>8189</v>
      </c>
      <c r="G6750" s="337" t="s">
        <v>35</v>
      </c>
      <c r="H6750" s="118" t="s">
        <v>12</v>
      </c>
      <c r="I6750" s="118"/>
      <c r="J6750" s="118"/>
      <c r="K6750" s="118"/>
      <c r="L6750" s="118"/>
      <c r="M6750" s="236" t="s">
        <v>11158</v>
      </c>
      <c r="N6750" s="118"/>
      <c r="O6750" s="405" t="s">
        <v>11158</v>
      </c>
      <c r="P6750" s="16" t="str">
        <f t="shared" si="178"/>
        <v>Truncate table DEPE58;</v>
      </c>
      <c r="Q6750" s="118" t="s">
        <v>8144</v>
      </c>
      <c r="R6750" s="118"/>
    </row>
    <row r="6751" spans="2:18" x14ac:dyDescent="0.25">
      <c r="B6751" s="118" t="s">
        <v>11362</v>
      </c>
      <c r="C6751" s="347" t="s">
        <v>11363</v>
      </c>
      <c r="D6751" s="347" t="s">
        <v>29</v>
      </c>
      <c r="E6751" s="118" t="s">
        <v>1096</v>
      </c>
      <c r="F6751" s="118" t="s">
        <v>184</v>
      </c>
      <c r="G6751" s="337" t="s">
        <v>35</v>
      </c>
      <c r="H6751" s="118" t="s">
        <v>12</v>
      </c>
      <c r="I6751" s="118"/>
      <c r="J6751" s="118"/>
      <c r="K6751" s="118"/>
      <c r="L6751" s="118"/>
      <c r="M6751" s="236" t="s">
        <v>11158</v>
      </c>
      <c r="N6751" s="118"/>
      <c r="O6751" s="405" t="s">
        <v>11158</v>
      </c>
      <c r="P6751" s="16" t="str">
        <f t="shared" si="178"/>
        <v>Truncate table DEPE62;</v>
      </c>
      <c r="Q6751" s="118" t="s">
        <v>8144</v>
      </c>
      <c r="R6751" s="118"/>
    </row>
    <row r="6752" spans="2:18" x14ac:dyDescent="0.25">
      <c r="B6752" s="118" t="s">
        <v>11364</v>
      </c>
      <c r="C6752" s="347" t="s">
        <v>11365</v>
      </c>
      <c r="D6752" s="347" t="s">
        <v>29</v>
      </c>
      <c r="E6752" s="118" t="s">
        <v>1096</v>
      </c>
      <c r="F6752" s="118" t="s">
        <v>184</v>
      </c>
      <c r="G6752" s="337" t="s">
        <v>35</v>
      </c>
      <c r="H6752" s="118" t="s">
        <v>12</v>
      </c>
      <c r="I6752" s="118"/>
      <c r="J6752" s="118"/>
      <c r="K6752" s="118"/>
      <c r="L6752" s="118"/>
      <c r="M6752" s="236" t="s">
        <v>11158</v>
      </c>
      <c r="N6752" s="118"/>
      <c r="O6752" s="405" t="s">
        <v>11158</v>
      </c>
      <c r="P6752" s="16" t="str">
        <f t="shared" si="178"/>
        <v>Truncate table DEPE64;</v>
      </c>
      <c r="Q6752" s="118" t="s">
        <v>8144</v>
      </c>
      <c r="R6752" s="118"/>
    </row>
    <row r="6753" spans="2:18" x14ac:dyDescent="0.25">
      <c r="B6753" s="118" t="s">
        <v>11366</v>
      </c>
      <c r="C6753" s="347" t="s">
        <v>11367</v>
      </c>
      <c r="D6753" s="347" t="s">
        <v>29</v>
      </c>
      <c r="E6753" s="118" t="s">
        <v>1096</v>
      </c>
      <c r="F6753" s="118" t="s">
        <v>184</v>
      </c>
      <c r="G6753" s="337" t="s">
        <v>35</v>
      </c>
      <c r="H6753" s="118" t="s">
        <v>12</v>
      </c>
      <c r="I6753" s="118"/>
      <c r="J6753" s="118"/>
      <c r="K6753" s="118"/>
      <c r="L6753" s="118"/>
      <c r="M6753" s="236" t="s">
        <v>11158</v>
      </c>
      <c r="N6753" s="118"/>
      <c r="O6753" s="405" t="s">
        <v>11158</v>
      </c>
      <c r="P6753" s="16" t="str">
        <f t="shared" si="178"/>
        <v>Truncate table DEPE65;</v>
      </c>
      <c r="Q6753" s="118" t="s">
        <v>8144</v>
      </c>
      <c r="R6753" s="118"/>
    </row>
    <row r="6754" spans="2:18" x14ac:dyDescent="0.25">
      <c r="B6754" s="118" t="s">
        <v>11368</v>
      </c>
      <c r="C6754" s="347" t="s">
        <v>11369</v>
      </c>
      <c r="D6754" s="347" t="s">
        <v>29</v>
      </c>
      <c r="E6754" s="118" t="s">
        <v>1096</v>
      </c>
      <c r="F6754" s="118" t="s">
        <v>184</v>
      </c>
      <c r="G6754" s="337" t="s">
        <v>35</v>
      </c>
      <c r="H6754" s="118" t="s">
        <v>12</v>
      </c>
      <c r="I6754" s="118"/>
      <c r="J6754" s="118"/>
      <c r="K6754" s="118"/>
      <c r="L6754" s="118"/>
      <c r="M6754" s="236" t="s">
        <v>11158</v>
      </c>
      <c r="N6754" s="118"/>
      <c r="O6754" s="405" t="s">
        <v>11158</v>
      </c>
      <c r="P6754" s="16" t="str">
        <f t="shared" si="178"/>
        <v>Truncate table DEPE75;</v>
      </c>
      <c r="Q6754" s="118" t="s">
        <v>8144</v>
      </c>
      <c r="R6754" s="118"/>
    </row>
    <row r="6755" spans="2:18" x14ac:dyDescent="0.25">
      <c r="B6755" s="118" t="s">
        <v>11370</v>
      </c>
      <c r="C6755" s="347" t="s">
        <v>11371</v>
      </c>
      <c r="D6755" s="347" t="s">
        <v>29</v>
      </c>
      <c r="E6755" s="118" t="s">
        <v>1096</v>
      </c>
      <c r="F6755" s="118" t="s">
        <v>184</v>
      </c>
      <c r="G6755" s="337" t="s">
        <v>35</v>
      </c>
      <c r="H6755" s="118" t="s">
        <v>12</v>
      </c>
      <c r="I6755" s="118"/>
      <c r="J6755" s="118"/>
      <c r="K6755" s="118"/>
      <c r="L6755" s="118"/>
      <c r="M6755" s="236" t="s">
        <v>11158</v>
      </c>
      <c r="N6755" s="118"/>
      <c r="O6755" s="405" t="s">
        <v>11158</v>
      </c>
      <c r="P6755" s="16" t="str">
        <f t="shared" si="178"/>
        <v>Truncate table DEPE76;</v>
      </c>
      <c r="Q6755" s="118" t="s">
        <v>8144</v>
      </c>
      <c r="R6755" s="118"/>
    </row>
    <row r="6756" spans="2:18" x14ac:dyDescent="0.25">
      <c r="B6756" s="118" t="s">
        <v>11372</v>
      </c>
      <c r="C6756" s="347" t="s">
        <v>11373</v>
      </c>
      <c r="D6756" s="347" t="s">
        <v>29</v>
      </c>
      <c r="E6756" s="118" t="s">
        <v>1096</v>
      </c>
      <c r="F6756" s="118" t="s">
        <v>184</v>
      </c>
      <c r="G6756" s="337" t="s">
        <v>35</v>
      </c>
      <c r="H6756" s="118" t="s">
        <v>12</v>
      </c>
      <c r="I6756" s="118"/>
      <c r="J6756" s="118"/>
      <c r="K6756" s="118"/>
      <c r="L6756" s="118"/>
      <c r="M6756" s="236" t="s">
        <v>11158</v>
      </c>
      <c r="N6756" s="118"/>
      <c r="O6756" s="405" t="s">
        <v>11158</v>
      </c>
      <c r="P6756" s="16" t="str">
        <f t="shared" si="178"/>
        <v>Truncate table DEPE77;</v>
      </c>
      <c r="Q6756" s="118" t="s">
        <v>8144</v>
      </c>
      <c r="R6756" s="118"/>
    </row>
    <row r="6757" spans="2:18" x14ac:dyDescent="0.25">
      <c r="B6757" s="118" t="s">
        <v>11374</v>
      </c>
      <c r="C6757" s="347" t="s">
        <v>11375</v>
      </c>
      <c r="D6757" s="347" t="s">
        <v>29</v>
      </c>
      <c r="E6757" s="118" t="s">
        <v>1096</v>
      </c>
      <c r="F6757" s="118" t="s">
        <v>184</v>
      </c>
      <c r="G6757" s="337" t="s">
        <v>35</v>
      </c>
      <c r="H6757" s="118" t="s">
        <v>12</v>
      </c>
      <c r="I6757" s="118"/>
      <c r="J6757" s="118"/>
      <c r="K6757" s="118"/>
      <c r="L6757" s="118"/>
      <c r="M6757" s="236" t="s">
        <v>11158</v>
      </c>
      <c r="N6757" s="118"/>
      <c r="O6757" s="405" t="s">
        <v>11158</v>
      </c>
      <c r="P6757" s="16" t="str">
        <f t="shared" si="178"/>
        <v>Truncate table DEPE78;</v>
      </c>
      <c r="Q6757" s="118" t="s">
        <v>8144</v>
      </c>
      <c r="R6757" s="118"/>
    </row>
    <row r="6758" spans="2:18" x14ac:dyDescent="0.25">
      <c r="B6758" s="118" t="s">
        <v>11376</v>
      </c>
      <c r="C6758" s="347" t="s">
        <v>11377</v>
      </c>
      <c r="D6758" s="347" t="s">
        <v>29</v>
      </c>
      <c r="E6758" s="118" t="s">
        <v>1096</v>
      </c>
      <c r="F6758" s="118" t="s">
        <v>184</v>
      </c>
      <c r="G6758" s="337" t="s">
        <v>35</v>
      </c>
      <c r="H6758" s="118" t="s">
        <v>12</v>
      </c>
      <c r="I6758" s="118"/>
      <c r="J6758" s="118"/>
      <c r="K6758" s="118"/>
      <c r="L6758" s="118"/>
      <c r="M6758" s="236" t="s">
        <v>11158</v>
      </c>
      <c r="N6758" s="118"/>
      <c r="O6758" s="405" t="s">
        <v>11158</v>
      </c>
      <c r="P6758" s="16" t="str">
        <f t="shared" si="178"/>
        <v>Truncate table DEPE88;</v>
      </c>
      <c r="Q6758" s="118" t="s">
        <v>8144</v>
      </c>
      <c r="R6758" s="118"/>
    </row>
    <row r="6759" spans="2:18" x14ac:dyDescent="0.25">
      <c r="B6759" s="118" t="s">
        <v>11378</v>
      </c>
      <c r="C6759" s="347" t="s">
        <v>11379</v>
      </c>
      <c r="D6759" s="347" t="s">
        <v>29</v>
      </c>
      <c r="E6759" s="118" t="s">
        <v>1096</v>
      </c>
      <c r="F6759" s="118" t="s">
        <v>184</v>
      </c>
      <c r="G6759" s="337" t="s">
        <v>35</v>
      </c>
      <c r="H6759" s="118" t="s">
        <v>12</v>
      </c>
      <c r="I6759" s="118"/>
      <c r="J6759" s="118"/>
      <c r="K6759" s="118"/>
      <c r="L6759" s="118"/>
      <c r="M6759" s="236" t="s">
        <v>11158</v>
      </c>
      <c r="N6759" s="118"/>
      <c r="O6759" s="405" t="s">
        <v>11158</v>
      </c>
      <c r="P6759" s="16" t="str">
        <f t="shared" si="178"/>
        <v>Truncate table DEPEE1;</v>
      </c>
      <c r="Q6759" s="118" t="s">
        <v>8144</v>
      </c>
      <c r="R6759" s="118"/>
    </row>
    <row r="6760" spans="2:18" x14ac:dyDescent="0.25">
      <c r="B6760" s="118" t="s">
        <v>11380</v>
      </c>
      <c r="C6760" s="347" t="s">
        <v>11381</v>
      </c>
      <c r="D6760" s="347" t="s">
        <v>10206</v>
      </c>
      <c r="E6760" s="118" t="s">
        <v>734</v>
      </c>
      <c r="F6760" s="118" t="s">
        <v>8241</v>
      </c>
      <c r="G6760" s="337" t="s">
        <v>35</v>
      </c>
      <c r="H6760" s="118" t="s">
        <v>12</v>
      </c>
      <c r="I6760" s="118"/>
      <c r="J6760" s="118"/>
      <c r="K6760" s="118"/>
      <c r="L6760" s="118"/>
      <c r="M6760" s="236" t="s">
        <v>11158</v>
      </c>
      <c r="N6760" s="118"/>
      <c r="O6760" s="405" t="s">
        <v>11158</v>
      </c>
      <c r="P6760" s="16" t="str">
        <f t="shared" si="178"/>
        <v/>
      </c>
      <c r="Q6760" s="118" t="s">
        <v>8144</v>
      </c>
      <c r="R6760" s="118"/>
    </row>
    <row r="6761" spans="2:18" x14ac:dyDescent="0.25">
      <c r="B6761" s="118" t="s">
        <v>11382</v>
      </c>
      <c r="C6761" s="347" t="s">
        <v>11383</v>
      </c>
      <c r="D6761" s="347" t="s">
        <v>10206</v>
      </c>
      <c r="E6761" s="118" t="s">
        <v>734</v>
      </c>
      <c r="F6761" s="118" t="s">
        <v>8241</v>
      </c>
      <c r="G6761" s="337" t="s">
        <v>35</v>
      </c>
      <c r="H6761" s="118" t="s">
        <v>12</v>
      </c>
      <c r="I6761" s="118"/>
      <c r="J6761" s="118"/>
      <c r="K6761" s="118"/>
      <c r="L6761" s="118"/>
      <c r="M6761" s="236" t="s">
        <v>11158</v>
      </c>
      <c r="N6761" s="118"/>
      <c r="O6761" s="405" t="s">
        <v>11158</v>
      </c>
      <c r="P6761" s="16" t="str">
        <f t="shared" si="178"/>
        <v/>
      </c>
      <c r="Q6761" s="118" t="s">
        <v>8144</v>
      </c>
      <c r="R6761" s="118"/>
    </row>
    <row r="6762" spans="2:18" x14ac:dyDescent="0.25">
      <c r="B6762" s="118" t="s">
        <v>11384</v>
      </c>
      <c r="C6762" s="347" t="s">
        <v>11385</v>
      </c>
      <c r="D6762" s="347" t="s">
        <v>29</v>
      </c>
      <c r="E6762" s="118" t="s">
        <v>734</v>
      </c>
      <c r="F6762" s="118" t="s">
        <v>8241</v>
      </c>
      <c r="G6762" s="337" t="s">
        <v>35</v>
      </c>
      <c r="H6762" s="118" t="s">
        <v>12</v>
      </c>
      <c r="I6762" s="118"/>
      <c r="J6762" s="118"/>
      <c r="K6762" s="118"/>
      <c r="L6762" s="118"/>
      <c r="M6762" s="236" t="s">
        <v>11158</v>
      </c>
      <c r="N6762" s="118"/>
      <c r="O6762" s="405" t="s">
        <v>11158</v>
      </c>
      <c r="P6762" s="16" t="str">
        <f t="shared" si="178"/>
        <v>Truncate table DEPEIA;</v>
      </c>
      <c r="Q6762" s="118" t="s">
        <v>8144</v>
      </c>
      <c r="R6762" s="118"/>
    </row>
    <row r="6763" spans="2:18" x14ac:dyDescent="0.25">
      <c r="B6763" s="118" t="s">
        <v>11386</v>
      </c>
      <c r="C6763" s="347" t="s">
        <v>11387</v>
      </c>
      <c r="D6763" s="347" t="s">
        <v>29</v>
      </c>
      <c r="E6763" s="118" t="s">
        <v>734</v>
      </c>
      <c r="F6763" s="118" t="s">
        <v>8241</v>
      </c>
      <c r="G6763" s="337" t="s">
        <v>35</v>
      </c>
      <c r="H6763" s="118" t="s">
        <v>12</v>
      </c>
      <c r="I6763" s="118"/>
      <c r="J6763" s="118"/>
      <c r="K6763" s="118"/>
      <c r="L6763" s="118"/>
      <c r="M6763" s="236" t="s">
        <v>11158</v>
      </c>
      <c r="N6763" s="118"/>
      <c r="O6763" s="405" t="s">
        <v>11158</v>
      </c>
      <c r="P6763" s="16" t="str">
        <f t="shared" si="178"/>
        <v>Truncate table DEPEIB;</v>
      </c>
      <c r="Q6763" s="118" t="s">
        <v>8144</v>
      </c>
      <c r="R6763" s="118"/>
    </row>
    <row r="6764" spans="2:18" x14ac:dyDescent="0.25">
      <c r="B6764" s="118" t="s">
        <v>11388</v>
      </c>
      <c r="C6764" s="347" t="s">
        <v>11389</v>
      </c>
      <c r="D6764" s="347" t="s">
        <v>10206</v>
      </c>
      <c r="E6764" s="118" t="s">
        <v>8232</v>
      </c>
      <c r="F6764" s="118" t="s">
        <v>8227</v>
      </c>
      <c r="G6764" s="337" t="s">
        <v>35</v>
      </c>
      <c r="H6764" s="118" t="s">
        <v>12</v>
      </c>
      <c r="I6764" s="118"/>
      <c r="J6764" s="118"/>
      <c r="K6764" s="118"/>
      <c r="L6764" s="118"/>
      <c r="M6764" s="236" t="s">
        <v>11158</v>
      </c>
      <c r="N6764" s="118"/>
      <c r="O6764" s="405" t="s">
        <v>11158</v>
      </c>
      <c r="P6764" s="16" t="str">
        <f t="shared" si="178"/>
        <v/>
      </c>
      <c r="Q6764" s="118" t="s">
        <v>8144</v>
      </c>
      <c r="R6764" s="118"/>
    </row>
    <row r="6765" spans="2:18" x14ac:dyDescent="0.25">
      <c r="B6765" s="118" t="s">
        <v>11390</v>
      </c>
      <c r="C6765" s="347" t="s">
        <v>11391</v>
      </c>
      <c r="D6765" s="347" t="s">
        <v>29</v>
      </c>
      <c r="E6765" s="118" t="s">
        <v>8232</v>
      </c>
      <c r="F6765" s="118" t="s">
        <v>8227</v>
      </c>
      <c r="G6765" s="337" t="s">
        <v>35</v>
      </c>
      <c r="H6765" s="118" t="s">
        <v>12</v>
      </c>
      <c r="I6765" s="118"/>
      <c r="J6765" s="118"/>
      <c r="K6765" s="118"/>
      <c r="L6765" s="118"/>
      <c r="M6765" s="236" t="s">
        <v>11158</v>
      </c>
      <c r="N6765" s="118"/>
      <c r="O6765" s="405" t="s">
        <v>11158</v>
      </c>
      <c r="P6765" s="16" t="str">
        <f t="shared" si="178"/>
        <v>Truncate table DEPY001;</v>
      </c>
      <c r="Q6765" s="118" t="s">
        <v>1442</v>
      </c>
      <c r="R6765" s="118"/>
    </row>
    <row r="6766" spans="2:18" x14ac:dyDescent="0.25">
      <c r="B6766" s="118" t="s">
        <v>11392</v>
      </c>
      <c r="C6766" s="347" t="s">
        <v>11393</v>
      </c>
      <c r="D6766" s="347" t="s">
        <v>29</v>
      </c>
      <c r="E6766" s="118" t="s">
        <v>151</v>
      </c>
      <c r="F6766" s="118" t="s">
        <v>8229</v>
      </c>
      <c r="G6766" s="337" t="s">
        <v>35</v>
      </c>
      <c r="H6766" s="118" t="s">
        <v>12</v>
      </c>
      <c r="I6766" s="118"/>
      <c r="J6766" s="118"/>
      <c r="K6766" s="118"/>
      <c r="L6766" s="118"/>
      <c r="M6766" s="236" t="s">
        <v>11158</v>
      </c>
      <c r="N6766" s="118"/>
      <c r="O6766" s="405" t="s">
        <v>11158</v>
      </c>
      <c r="P6766" s="16" t="str">
        <f t="shared" si="178"/>
        <v>Truncate table DEPY03;</v>
      </c>
      <c r="Q6766" s="118" t="s">
        <v>1442</v>
      </c>
      <c r="R6766" s="118"/>
    </row>
    <row r="6767" spans="2:18" x14ac:dyDescent="0.25">
      <c r="B6767" s="118" t="s">
        <v>11394</v>
      </c>
      <c r="C6767" s="347" t="s">
        <v>11395</v>
      </c>
      <c r="D6767" s="347" t="s">
        <v>29</v>
      </c>
      <c r="E6767" s="118" t="s">
        <v>1096</v>
      </c>
      <c r="F6767" s="118" t="s">
        <v>8206</v>
      </c>
      <c r="G6767" s="337" t="s">
        <v>35</v>
      </c>
      <c r="H6767" s="118" t="s">
        <v>12</v>
      </c>
      <c r="I6767" s="118"/>
      <c r="J6767" s="118"/>
      <c r="K6767" s="118"/>
      <c r="L6767" s="118"/>
      <c r="M6767" s="236" t="s">
        <v>11158</v>
      </c>
      <c r="N6767" s="118"/>
      <c r="O6767" s="405" t="s">
        <v>11158</v>
      </c>
      <c r="P6767" s="16" t="str">
        <f t="shared" si="178"/>
        <v>Truncate table DEPY101;</v>
      </c>
      <c r="Q6767" s="118" t="s">
        <v>1442</v>
      </c>
      <c r="R6767" s="118"/>
    </row>
    <row r="6768" spans="2:18" x14ac:dyDescent="0.25">
      <c r="B6768" s="118" t="s">
        <v>11396</v>
      </c>
      <c r="C6768" s="347" t="s">
        <v>11397</v>
      </c>
      <c r="D6768" s="347" t="s">
        <v>29</v>
      </c>
      <c r="E6768" s="118" t="s">
        <v>1096</v>
      </c>
      <c r="F6768" s="118" t="s">
        <v>8206</v>
      </c>
      <c r="G6768" s="337" t="s">
        <v>35</v>
      </c>
      <c r="H6768" s="118" t="s">
        <v>12</v>
      </c>
      <c r="I6768" s="118"/>
      <c r="J6768" s="118"/>
      <c r="K6768" s="118"/>
      <c r="L6768" s="118"/>
      <c r="M6768" s="236" t="s">
        <v>11158</v>
      </c>
      <c r="N6768" s="118"/>
      <c r="O6768" s="405" t="s">
        <v>11158</v>
      </c>
      <c r="P6768" s="16" t="str">
        <f t="shared" si="178"/>
        <v>Truncate table DEPY102;</v>
      </c>
      <c r="Q6768" s="118" t="s">
        <v>1442</v>
      </c>
      <c r="R6768" s="118"/>
    </row>
    <row r="6769" spans="2:18" x14ac:dyDescent="0.25">
      <c r="B6769" s="118" t="s">
        <v>11398</v>
      </c>
      <c r="C6769" s="347" t="s">
        <v>11399</v>
      </c>
      <c r="D6769" s="347" t="s">
        <v>29</v>
      </c>
      <c r="E6769" s="118" t="s">
        <v>1096</v>
      </c>
      <c r="F6769" s="118" t="s">
        <v>8206</v>
      </c>
      <c r="G6769" s="337" t="s">
        <v>35</v>
      </c>
      <c r="H6769" s="118" t="s">
        <v>12</v>
      </c>
      <c r="I6769" s="118"/>
      <c r="J6769" s="118"/>
      <c r="K6769" s="118"/>
      <c r="L6769" s="118"/>
      <c r="M6769" s="236" t="s">
        <v>11158</v>
      </c>
      <c r="N6769" s="118"/>
      <c r="O6769" s="405" t="s">
        <v>11158</v>
      </c>
      <c r="P6769" s="16" t="str">
        <f t="shared" si="178"/>
        <v>Truncate table DEPY103;</v>
      </c>
      <c r="Q6769" s="118" t="s">
        <v>1442</v>
      </c>
      <c r="R6769" s="118"/>
    </row>
    <row r="6770" spans="2:18" x14ac:dyDescent="0.25">
      <c r="B6770" s="118" t="s">
        <v>11400</v>
      </c>
      <c r="C6770" s="347" t="s">
        <v>11401</v>
      </c>
      <c r="D6770" s="347" t="s">
        <v>29</v>
      </c>
      <c r="E6770" s="118" t="s">
        <v>1096</v>
      </c>
      <c r="F6770" s="118" t="s">
        <v>8206</v>
      </c>
      <c r="G6770" s="337" t="s">
        <v>35</v>
      </c>
      <c r="H6770" s="118" t="s">
        <v>12</v>
      </c>
      <c r="I6770" s="118"/>
      <c r="J6770" s="118"/>
      <c r="K6770" s="118"/>
      <c r="L6770" s="118"/>
      <c r="M6770" s="236" t="s">
        <v>11158</v>
      </c>
      <c r="N6770" s="118"/>
      <c r="O6770" s="405" t="s">
        <v>11158</v>
      </c>
      <c r="P6770" s="16" t="str">
        <f t="shared" si="178"/>
        <v>Truncate table DEPY104;</v>
      </c>
      <c r="Q6770" s="118" t="s">
        <v>1442</v>
      </c>
      <c r="R6770" s="118"/>
    </row>
    <row r="6771" spans="2:18" x14ac:dyDescent="0.25">
      <c r="B6771" s="118" t="s">
        <v>11402</v>
      </c>
      <c r="C6771" s="347" t="s">
        <v>11403</v>
      </c>
      <c r="D6771" s="347" t="s">
        <v>29</v>
      </c>
      <c r="E6771" s="118" t="s">
        <v>1096</v>
      </c>
      <c r="F6771" s="118" t="s">
        <v>8206</v>
      </c>
      <c r="G6771" s="337" t="s">
        <v>35</v>
      </c>
      <c r="H6771" s="118" t="s">
        <v>12</v>
      </c>
      <c r="I6771" s="118"/>
      <c r="J6771" s="118"/>
      <c r="K6771" s="118"/>
      <c r="L6771" s="118"/>
      <c r="M6771" s="236" t="s">
        <v>11158</v>
      </c>
      <c r="N6771" s="118"/>
      <c r="O6771" s="405" t="s">
        <v>11158</v>
      </c>
      <c r="P6771" s="16" t="str">
        <f t="shared" si="178"/>
        <v>Truncate table DEPY105;</v>
      </c>
      <c r="Q6771" s="118" t="s">
        <v>1442</v>
      </c>
      <c r="R6771" s="118"/>
    </row>
    <row r="6772" spans="2:18" x14ac:dyDescent="0.25">
      <c r="B6772" s="118" t="s">
        <v>11404</v>
      </c>
      <c r="C6772" s="347" t="s">
        <v>11405</v>
      </c>
      <c r="D6772" s="347" t="s">
        <v>29</v>
      </c>
      <c r="E6772" s="118" t="s">
        <v>1096</v>
      </c>
      <c r="F6772" s="118" t="s">
        <v>8206</v>
      </c>
      <c r="G6772" s="337" t="s">
        <v>35</v>
      </c>
      <c r="H6772" s="118" t="s">
        <v>12</v>
      </c>
      <c r="I6772" s="118"/>
      <c r="J6772" s="118"/>
      <c r="K6772" s="118"/>
      <c r="L6772" s="118"/>
      <c r="M6772" s="236" t="s">
        <v>11158</v>
      </c>
      <c r="N6772" s="118"/>
      <c r="O6772" s="405" t="s">
        <v>11158</v>
      </c>
      <c r="P6772" s="16" t="str">
        <f t="shared" si="178"/>
        <v>Truncate table DEPY106;</v>
      </c>
      <c r="Q6772" s="118" t="s">
        <v>1442</v>
      </c>
      <c r="R6772" s="118"/>
    </row>
    <row r="6773" spans="2:18" x14ac:dyDescent="0.25">
      <c r="B6773" s="118" t="s">
        <v>11406</v>
      </c>
      <c r="C6773" s="347" t="s">
        <v>11407</v>
      </c>
      <c r="D6773" s="347" t="s">
        <v>29</v>
      </c>
      <c r="E6773" s="118" t="s">
        <v>1096</v>
      </c>
      <c r="F6773" s="118" t="s">
        <v>8206</v>
      </c>
      <c r="G6773" s="337" t="s">
        <v>35</v>
      </c>
      <c r="H6773" s="118" t="s">
        <v>12</v>
      </c>
      <c r="I6773" s="118"/>
      <c r="J6773" s="118"/>
      <c r="K6773" s="118"/>
      <c r="L6773" s="118"/>
      <c r="M6773" s="236" t="s">
        <v>11158</v>
      </c>
      <c r="N6773" s="118"/>
      <c r="O6773" s="405" t="s">
        <v>11158</v>
      </c>
      <c r="P6773" s="16" t="str">
        <f t="shared" si="178"/>
        <v>Truncate table DEPY107;</v>
      </c>
      <c r="Q6773" s="118" t="s">
        <v>1442</v>
      </c>
      <c r="R6773" s="118"/>
    </row>
    <row r="6774" spans="2:18" x14ac:dyDescent="0.25">
      <c r="B6774" s="118" t="s">
        <v>11408</v>
      </c>
      <c r="C6774" s="347" t="s">
        <v>11409</v>
      </c>
      <c r="D6774" s="347" t="s">
        <v>10206</v>
      </c>
      <c r="E6774" s="118" t="s">
        <v>8232</v>
      </c>
      <c r="F6774" s="118" t="s">
        <v>8227</v>
      </c>
      <c r="G6774" s="337" t="s">
        <v>35</v>
      </c>
      <c r="H6774" s="118" t="s">
        <v>12</v>
      </c>
      <c r="I6774" s="118"/>
      <c r="J6774" s="118"/>
      <c r="K6774" s="118"/>
      <c r="L6774" s="118"/>
      <c r="M6774" s="236" t="s">
        <v>11158</v>
      </c>
      <c r="N6774" s="118"/>
      <c r="O6774" s="405" t="s">
        <v>11158</v>
      </c>
      <c r="P6774" s="16" t="str">
        <f t="shared" si="178"/>
        <v/>
      </c>
      <c r="Q6774" s="118" t="s">
        <v>1442</v>
      </c>
      <c r="R6774" s="118"/>
    </row>
    <row r="6775" spans="2:18" x14ac:dyDescent="0.25">
      <c r="B6775" s="118" t="s">
        <v>11410</v>
      </c>
      <c r="C6775" s="347" t="s">
        <v>11411</v>
      </c>
      <c r="D6775" s="347" t="s">
        <v>29</v>
      </c>
      <c r="E6775" s="118" t="s">
        <v>8232</v>
      </c>
      <c r="F6775" s="118" t="s">
        <v>8227</v>
      </c>
      <c r="G6775" s="337" t="s">
        <v>35</v>
      </c>
      <c r="H6775" s="118" t="s">
        <v>12</v>
      </c>
      <c r="I6775" s="118"/>
      <c r="J6775" s="118"/>
      <c r="K6775" s="118"/>
      <c r="L6775" s="118"/>
      <c r="M6775" s="236" t="s">
        <v>11158</v>
      </c>
      <c r="N6775" s="118"/>
      <c r="O6775" s="405" t="s">
        <v>11158</v>
      </c>
      <c r="P6775" s="16" t="str">
        <f t="shared" si="178"/>
        <v>Truncate table DEPY128;</v>
      </c>
      <c r="Q6775" s="118" t="s">
        <v>1442</v>
      </c>
      <c r="R6775" s="118"/>
    </row>
    <row r="6776" spans="2:18" x14ac:dyDescent="0.25">
      <c r="B6776" s="118" t="s">
        <v>11412</v>
      </c>
      <c r="C6776" s="347" t="s">
        <v>11413</v>
      </c>
      <c r="D6776" s="347" t="s">
        <v>29</v>
      </c>
      <c r="E6776" s="118" t="s">
        <v>8232</v>
      </c>
      <c r="F6776" s="118" t="s">
        <v>8227</v>
      </c>
      <c r="G6776" s="337" t="s">
        <v>35</v>
      </c>
      <c r="H6776" s="118" t="s">
        <v>12</v>
      </c>
      <c r="I6776" s="118"/>
      <c r="J6776" s="118"/>
      <c r="K6776" s="118"/>
      <c r="L6776" s="118"/>
      <c r="M6776" s="236" t="s">
        <v>11158</v>
      </c>
      <c r="N6776" s="118"/>
      <c r="O6776" s="405" t="s">
        <v>11158</v>
      </c>
      <c r="P6776" s="16" t="str">
        <f t="shared" si="178"/>
        <v>Truncate table DEPY129;</v>
      </c>
      <c r="Q6776" s="118" t="s">
        <v>1442</v>
      </c>
      <c r="R6776" s="118"/>
    </row>
    <row r="6777" spans="2:18" x14ac:dyDescent="0.25">
      <c r="B6777" s="118" t="s">
        <v>11414</v>
      </c>
      <c r="C6777" s="347" t="s">
        <v>11415</v>
      </c>
      <c r="D6777" s="347" t="s">
        <v>29</v>
      </c>
      <c r="E6777" s="118" t="s">
        <v>8232</v>
      </c>
      <c r="F6777" s="118" t="s">
        <v>8227</v>
      </c>
      <c r="G6777" s="337" t="s">
        <v>35</v>
      </c>
      <c r="H6777" s="118" t="s">
        <v>12</v>
      </c>
      <c r="I6777" s="118"/>
      <c r="J6777" s="118"/>
      <c r="K6777" s="118"/>
      <c r="L6777" s="118"/>
      <c r="M6777" s="236" t="s">
        <v>11158</v>
      </c>
      <c r="N6777" s="118"/>
      <c r="O6777" s="405" t="s">
        <v>11158</v>
      </c>
      <c r="P6777" s="16" t="str">
        <f t="shared" si="178"/>
        <v>Truncate table DEPY130;</v>
      </c>
      <c r="Q6777" s="118" t="s">
        <v>1442</v>
      </c>
      <c r="R6777" s="118"/>
    </row>
    <row r="6778" spans="2:18" x14ac:dyDescent="0.25">
      <c r="B6778" s="118" t="s">
        <v>11416</v>
      </c>
      <c r="C6778" s="347" t="s">
        <v>11417</v>
      </c>
      <c r="D6778" s="347" t="s">
        <v>10206</v>
      </c>
      <c r="E6778" s="118" t="s">
        <v>54</v>
      </c>
      <c r="F6778" s="118" t="s">
        <v>235</v>
      </c>
      <c r="G6778" s="337" t="s">
        <v>35</v>
      </c>
      <c r="H6778" s="118" t="s">
        <v>12</v>
      </c>
      <c r="I6778" s="118"/>
      <c r="J6778" s="118"/>
      <c r="K6778" s="118"/>
      <c r="L6778" s="118"/>
      <c r="M6778" s="236" t="s">
        <v>11158</v>
      </c>
      <c r="N6778" s="118"/>
      <c r="O6778" s="405" t="s">
        <v>11158</v>
      </c>
      <c r="P6778" s="16" t="str">
        <f t="shared" si="178"/>
        <v/>
      </c>
      <c r="Q6778" s="118" t="s">
        <v>1442</v>
      </c>
      <c r="R6778" s="118"/>
    </row>
    <row r="6779" spans="2:18" x14ac:dyDescent="0.25">
      <c r="B6779" s="118" t="s">
        <v>11418</v>
      </c>
      <c r="C6779" s="347" t="s">
        <v>11419</v>
      </c>
      <c r="D6779" s="347" t="s">
        <v>29</v>
      </c>
      <c r="E6779" s="118" t="s">
        <v>8230</v>
      </c>
      <c r="F6779" s="118" t="s">
        <v>8221</v>
      </c>
      <c r="G6779" s="337" t="s">
        <v>35</v>
      </c>
      <c r="H6779" s="118" t="s">
        <v>12</v>
      </c>
      <c r="I6779" s="118"/>
      <c r="J6779" s="118"/>
      <c r="K6779" s="118"/>
      <c r="L6779" s="118"/>
      <c r="M6779" s="236" t="s">
        <v>11158</v>
      </c>
      <c r="N6779" s="118"/>
      <c r="O6779" s="405" t="s">
        <v>11158</v>
      </c>
      <c r="P6779" s="16" t="str">
        <f t="shared" si="178"/>
        <v>Truncate table DEPY200;</v>
      </c>
      <c r="Q6779" s="118" t="s">
        <v>1442</v>
      </c>
      <c r="R6779" s="118"/>
    </row>
    <row r="6780" spans="2:18" x14ac:dyDescent="0.25">
      <c r="B6780" s="118" t="s">
        <v>11420</v>
      </c>
      <c r="C6780" s="347" t="s">
        <v>11075</v>
      </c>
      <c r="D6780" s="347" t="s">
        <v>29</v>
      </c>
      <c r="E6780" s="118" t="s">
        <v>8230</v>
      </c>
      <c r="F6780" s="118" t="s">
        <v>8221</v>
      </c>
      <c r="G6780" s="337" t="s">
        <v>35</v>
      </c>
      <c r="H6780" s="118" t="s">
        <v>12</v>
      </c>
      <c r="I6780" s="118"/>
      <c r="J6780" s="118"/>
      <c r="K6780" s="118"/>
      <c r="L6780" s="118"/>
      <c r="M6780" s="236" t="s">
        <v>11158</v>
      </c>
      <c r="N6780" s="118"/>
      <c r="O6780" s="405" t="s">
        <v>11158</v>
      </c>
      <c r="P6780" s="16" t="str">
        <f t="shared" si="178"/>
        <v>Truncate table DEPY201;</v>
      </c>
      <c r="Q6780" s="118" t="s">
        <v>1442</v>
      </c>
      <c r="R6780" s="118"/>
    </row>
    <row r="6781" spans="2:18" x14ac:dyDescent="0.25">
      <c r="B6781" s="118" t="s">
        <v>11421</v>
      </c>
      <c r="C6781" s="347" t="s">
        <v>11422</v>
      </c>
      <c r="D6781" s="347" t="s">
        <v>29</v>
      </c>
      <c r="E6781" s="118" t="s">
        <v>8232</v>
      </c>
      <c r="F6781" s="118" t="s">
        <v>8227</v>
      </c>
      <c r="G6781" s="337" t="s">
        <v>35</v>
      </c>
      <c r="H6781" s="118" t="s">
        <v>12</v>
      </c>
      <c r="I6781" s="118"/>
      <c r="J6781" s="118"/>
      <c r="K6781" s="118"/>
      <c r="L6781" s="118"/>
      <c r="M6781" s="236" t="s">
        <v>11158</v>
      </c>
      <c r="N6781" s="118"/>
      <c r="O6781" s="405" t="s">
        <v>11158</v>
      </c>
      <c r="P6781" s="16" t="str">
        <f t="shared" si="178"/>
        <v>Truncate table DEPY25;</v>
      </c>
      <c r="Q6781" s="118" t="s">
        <v>1442</v>
      </c>
      <c r="R6781" s="118"/>
    </row>
    <row r="6782" spans="2:18" x14ac:dyDescent="0.25">
      <c r="B6782" s="118" t="s">
        <v>11423</v>
      </c>
      <c r="C6782" s="347" t="s">
        <v>11424</v>
      </c>
      <c r="D6782" s="347" t="s">
        <v>29</v>
      </c>
      <c r="E6782" s="118" t="s">
        <v>151</v>
      </c>
      <c r="F6782" s="118" t="s">
        <v>8216</v>
      </c>
      <c r="G6782" s="337" t="s">
        <v>35</v>
      </c>
      <c r="H6782" s="118" t="s">
        <v>12</v>
      </c>
      <c r="I6782" s="118"/>
      <c r="J6782" s="118"/>
      <c r="K6782" s="118"/>
      <c r="L6782" s="118"/>
      <c r="M6782" s="236" t="s">
        <v>11158</v>
      </c>
      <c r="N6782" s="118"/>
      <c r="O6782" s="405" t="s">
        <v>11158</v>
      </c>
      <c r="P6782" s="16" t="str">
        <f t="shared" si="178"/>
        <v>Truncate table DEPY365;</v>
      </c>
      <c r="Q6782" s="118" t="s">
        <v>1442</v>
      </c>
      <c r="R6782" s="118"/>
    </row>
    <row r="6783" spans="2:18" x14ac:dyDescent="0.25">
      <c r="B6783" s="118" t="s">
        <v>11425</v>
      </c>
      <c r="C6783" s="347" t="s">
        <v>11426</v>
      </c>
      <c r="D6783" s="347" t="s">
        <v>29</v>
      </c>
      <c r="E6783" s="118" t="s">
        <v>151</v>
      </c>
      <c r="F6783" s="118" t="s">
        <v>8216</v>
      </c>
      <c r="G6783" s="337" t="s">
        <v>35</v>
      </c>
      <c r="H6783" s="118" t="s">
        <v>12</v>
      </c>
      <c r="I6783" s="118"/>
      <c r="J6783" s="118"/>
      <c r="K6783" s="118"/>
      <c r="L6783" s="118"/>
      <c r="M6783" s="236" t="s">
        <v>11158</v>
      </c>
      <c r="N6783" s="118"/>
      <c r="O6783" s="405" t="s">
        <v>11158</v>
      </c>
      <c r="P6783" s="16" t="str">
        <f t="shared" si="178"/>
        <v>Truncate table DEPY366;</v>
      </c>
      <c r="Q6783" s="118" t="s">
        <v>1442</v>
      </c>
      <c r="R6783" s="118"/>
    </row>
    <row r="6784" spans="2:18" x14ac:dyDescent="0.25">
      <c r="B6784" s="118" t="s">
        <v>11427</v>
      </c>
      <c r="C6784" s="347" t="s">
        <v>11428</v>
      </c>
      <c r="D6784" s="347" t="s">
        <v>29</v>
      </c>
      <c r="E6784" s="118" t="s">
        <v>151</v>
      </c>
      <c r="F6784" s="118" t="s">
        <v>8216</v>
      </c>
      <c r="G6784" s="337" t="s">
        <v>35</v>
      </c>
      <c r="H6784" s="118" t="s">
        <v>12</v>
      </c>
      <c r="I6784" s="118"/>
      <c r="J6784" s="118"/>
      <c r="K6784" s="118"/>
      <c r="L6784" s="118"/>
      <c r="M6784" s="236" t="s">
        <v>11158</v>
      </c>
      <c r="N6784" s="118"/>
      <c r="O6784" s="405" t="s">
        <v>11158</v>
      </c>
      <c r="P6784" s="16" t="str">
        <f t="shared" si="178"/>
        <v>Truncate table DEPY367;</v>
      </c>
      <c r="Q6784" s="118" t="s">
        <v>1442</v>
      </c>
      <c r="R6784" s="118"/>
    </row>
    <row r="6785" spans="2:18" x14ac:dyDescent="0.25">
      <c r="B6785" s="118" t="s">
        <v>11429</v>
      </c>
      <c r="C6785" s="347" t="s">
        <v>6051</v>
      </c>
      <c r="D6785" s="347" t="s">
        <v>10206</v>
      </c>
      <c r="E6785" s="118" t="s">
        <v>151</v>
      </c>
      <c r="F6785" s="118" t="s">
        <v>8216</v>
      </c>
      <c r="G6785" s="337" t="s">
        <v>35</v>
      </c>
      <c r="H6785" s="118" t="s">
        <v>12</v>
      </c>
      <c r="I6785" s="118"/>
      <c r="J6785" s="118"/>
      <c r="K6785" s="118"/>
      <c r="L6785" s="118"/>
      <c r="M6785" s="236" t="s">
        <v>11158</v>
      </c>
      <c r="N6785" s="118"/>
      <c r="O6785" s="405" t="s">
        <v>11158</v>
      </c>
      <c r="P6785" s="16" t="str">
        <f t="shared" si="178"/>
        <v/>
      </c>
      <c r="Q6785" s="118" t="s">
        <v>1442</v>
      </c>
      <c r="R6785" s="118"/>
    </row>
    <row r="6786" spans="2:18" x14ac:dyDescent="0.25">
      <c r="B6786" s="118" t="s">
        <v>11430</v>
      </c>
      <c r="C6786" s="347" t="s">
        <v>11431</v>
      </c>
      <c r="D6786" s="347" t="s">
        <v>29</v>
      </c>
      <c r="E6786" s="118" t="s">
        <v>151</v>
      </c>
      <c r="F6786" s="118" t="s">
        <v>8216</v>
      </c>
      <c r="G6786" s="337" t="s">
        <v>35</v>
      </c>
      <c r="H6786" s="118" t="s">
        <v>12</v>
      </c>
      <c r="I6786" s="118"/>
      <c r="J6786" s="118"/>
      <c r="K6786" s="118"/>
      <c r="L6786" s="118"/>
      <c r="M6786" s="236" t="s">
        <v>11158</v>
      </c>
      <c r="N6786" s="118"/>
      <c r="O6786" s="405" t="s">
        <v>11158</v>
      </c>
      <c r="P6786" s="16" t="str">
        <f t="shared" si="178"/>
        <v>Truncate table DEPY36A;</v>
      </c>
      <c r="Q6786" s="118" t="s">
        <v>1442</v>
      </c>
      <c r="R6786" s="118"/>
    </row>
    <row r="6787" spans="2:18" x14ac:dyDescent="0.25">
      <c r="B6787" s="118" t="s">
        <v>11432</v>
      </c>
      <c r="C6787" s="347" t="s">
        <v>11433</v>
      </c>
      <c r="D6787" s="347" t="s">
        <v>29</v>
      </c>
      <c r="E6787" s="118" t="s">
        <v>8232</v>
      </c>
      <c r="F6787" s="118" t="s">
        <v>8227</v>
      </c>
      <c r="G6787" s="337" t="s">
        <v>35</v>
      </c>
      <c r="H6787" s="118" t="s">
        <v>12</v>
      </c>
      <c r="I6787" s="118"/>
      <c r="J6787" s="118"/>
      <c r="K6787" s="118"/>
      <c r="L6787" s="118"/>
      <c r="M6787" s="236" t="s">
        <v>11158</v>
      </c>
      <c r="N6787" s="118"/>
      <c r="O6787" s="405" t="s">
        <v>11158</v>
      </c>
      <c r="P6787" s="16" t="str">
        <f t="shared" si="178"/>
        <v>Truncate table DEPYCS;</v>
      </c>
      <c r="Q6787" s="118" t="s">
        <v>1442</v>
      </c>
      <c r="R6787" s="118"/>
    </row>
    <row r="6788" spans="2:18" x14ac:dyDescent="0.25">
      <c r="B6788" s="346" t="s">
        <v>11447</v>
      </c>
      <c r="C6788" s="346" t="s">
        <v>11450</v>
      </c>
      <c r="D6788" s="272" t="s">
        <v>8152</v>
      </c>
      <c r="E6788" s="118" t="s">
        <v>8233</v>
      </c>
      <c r="F6788" s="118" t="s">
        <v>8233</v>
      </c>
      <c r="G6788" s="118" t="s">
        <v>35</v>
      </c>
      <c r="H6788" s="118" t="s">
        <v>36</v>
      </c>
      <c r="I6788" s="118"/>
      <c r="J6788" s="118"/>
      <c r="K6788" s="118"/>
      <c r="L6788" s="118"/>
      <c r="M6788" s="236" t="s">
        <v>10170</v>
      </c>
      <c r="N6788" s="118"/>
      <c r="O6788" s="405" t="s">
        <v>38</v>
      </c>
      <c r="P6788" s="16" t="str">
        <f t="shared" si="178"/>
        <v/>
      </c>
      <c r="Q6788" s="118"/>
      <c r="R6788" s="118"/>
    </row>
    <row r="6789" spans="2:18" x14ac:dyDescent="0.25">
      <c r="B6789" s="346" t="s">
        <v>11448</v>
      </c>
      <c r="C6789" s="346" t="s">
        <v>11451</v>
      </c>
      <c r="D6789" s="272" t="s">
        <v>8152</v>
      </c>
      <c r="E6789" s="118" t="s">
        <v>8233</v>
      </c>
      <c r="F6789" s="118" t="s">
        <v>8233</v>
      </c>
      <c r="G6789" s="118" t="s">
        <v>35</v>
      </c>
      <c r="H6789" s="118" t="s">
        <v>36</v>
      </c>
      <c r="I6789" s="118"/>
      <c r="J6789" s="118"/>
      <c r="K6789" s="118"/>
      <c r="L6789" s="118"/>
      <c r="M6789" s="236" t="s">
        <v>10170</v>
      </c>
      <c r="N6789" s="118"/>
      <c r="O6789" s="405" t="s">
        <v>38</v>
      </c>
      <c r="P6789" s="16" t="str">
        <f t="shared" si="178"/>
        <v/>
      </c>
      <c r="Q6789" s="118"/>
      <c r="R6789" s="118"/>
    </row>
    <row r="6790" spans="2:18" x14ac:dyDescent="0.25">
      <c r="B6790" s="346" t="s">
        <v>11449</v>
      </c>
      <c r="C6790" s="346" t="s">
        <v>11452</v>
      </c>
      <c r="D6790" s="272" t="s">
        <v>8152</v>
      </c>
      <c r="E6790" s="118" t="s">
        <v>8233</v>
      </c>
      <c r="F6790" s="118" t="s">
        <v>8233</v>
      </c>
      <c r="G6790" s="118" t="s">
        <v>35</v>
      </c>
      <c r="H6790" s="118" t="s">
        <v>36</v>
      </c>
      <c r="I6790" s="118"/>
      <c r="J6790" s="118"/>
      <c r="K6790" s="118"/>
      <c r="L6790" s="118"/>
      <c r="M6790" s="236" t="s">
        <v>10170</v>
      </c>
      <c r="N6790" s="118"/>
      <c r="O6790" s="405" t="s">
        <v>38</v>
      </c>
      <c r="P6790" s="16" t="str">
        <f t="shared" si="178"/>
        <v/>
      </c>
      <c r="Q6790" s="118"/>
      <c r="R6790" s="118"/>
    </row>
    <row r="6791" spans="2:18" x14ac:dyDescent="0.25">
      <c r="B6791" s="118" t="s">
        <v>11557</v>
      </c>
      <c r="C6791" s="118" t="s">
        <v>11558</v>
      </c>
      <c r="D6791" s="118" t="s">
        <v>8152</v>
      </c>
      <c r="E6791" s="118" t="s">
        <v>1096</v>
      </c>
      <c r="F6791" s="118" t="s">
        <v>8203</v>
      </c>
      <c r="G6791" s="118" t="s">
        <v>35</v>
      </c>
      <c r="H6791" s="118" t="s">
        <v>36</v>
      </c>
      <c r="I6791" s="118"/>
      <c r="J6791" s="118"/>
      <c r="K6791" s="118" t="s">
        <v>8523</v>
      </c>
      <c r="L6791" s="118"/>
      <c r="M6791" s="236" t="s">
        <v>10170</v>
      </c>
      <c r="N6791" s="118"/>
      <c r="O6791" s="405" t="s">
        <v>38</v>
      </c>
      <c r="P6791" s="16"/>
      <c r="Q6791" s="118"/>
      <c r="R6791" s="118"/>
    </row>
    <row r="6792" spans="2:18" x14ac:dyDescent="0.25">
      <c r="B6792" s="118" t="s">
        <v>11482</v>
      </c>
      <c r="C6792" s="346" t="s">
        <v>11492</v>
      </c>
      <c r="D6792" s="118" t="s">
        <v>29</v>
      </c>
      <c r="E6792" s="118" t="s">
        <v>1096</v>
      </c>
      <c r="F6792" s="118" t="s">
        <v>8203</v>
      </c>
      <c r="G6792" s="118" t="s">
        <v>35</v>
      </c>
      <c r="H6792" s="118" t="s">
        <v>36</v>
      </c>
      <c r="I6792" s="118"/>
      <c r="J6792" s="118"/>
      <c r="K6792" s="118" t="s">
        <v>8523</v>
      </c>
      <c r="L6792" s="118"/>
      <c r="M6792" s="236" t="s">
        <v>10170</v>
      </c>
      <c r="N6792" s="118"/>
      <c r="O6792" s="118"/>
      <c r="P6792" s="16" t="str">
        <f t="shared" si="178"/>
        <v>Truncate table PTNR06;</v>
      </c>
      <c r="Q6792" s="118"/>
      <c r="R6792" s="118"/>
    </row>
    <row r="6793" spans="2:18" x14ac:dyDescent="0.25">
      <c r="B6793" s="118" t="s">
        <v>11483</v>
      </c>
      <c r="C6793" s="346" t="s">
        <v>11493</v>
      </c>
      <c r="D6793" s="118" t="s">
        <v>29</v>
      </c>
      <c r="E6793" s="118" t="s">
        <v>1096</v>
      </c>
      <c r="F6793" s="118" t="s">
        <v>8203</v>
      </c>
      <c r="G6793" s="118" t="s">
        <v>35</v>
      </c>
      <c r="H6793" s="118" t="s">
        <v>36</v>
      </c>
      <c r="I6793" s="118"/>
      <c r="J6793" s="118"/>
      <c r="K6793" s="118" t="s">
        <v>8523</v>
      </c>
      <c r="L6793" s="118"/>
      <c r="M6793" s="236" t="s">
        <v>10170</v>
      </c>
      <c r="N6793" s="118"/>
      <c r="O6793" s="118"/>
      <c r="P6793" s="16" t="str">
        <f t="shared" si="178"/>
        <v>Truncate table PTNR07;</v>
      </c>
      <c r="Q6793" s="118"/>
      <c r="R6793" s="118"/>
    </row>
    <row r="6794" spans="2:18" x14ac:dyDescent="0.25">
      <c r="B6794" s="118" t="s">
        <v>11484</v>
      </c>
      <c r="C6794" s="346" t="s">
        <v>11494</v>
      </c>
      <c r="D6794" s="118" t="s">
        <v>29</v>
      </c>
      <c r="E6794" s="118" t="s">
        <v>1096</v>
      </c>
      <c r="F6794" s="118" t="s">
        <v>8203</v>
      </c>
      <c r="G6794" s="118" t="s">
        <v>35</v>
      </c>
      <c r="H6794" s="118" t="s">
        <v>36</v>
      </c>
      <c r="I6794" s="118"/>
      <c r="J6794" s="118"/>
      <c r="K6794" s="118" t="s">
        <v>8523</v>
      </c>
      <c r="L6794" s="118"/>
      <c r="M6794" s="236" t="s">
        <v>10170</v>
      </c>
      <c r="N6794" s="118"/>
      <c r="O6794" s="118"/>
      <c r="P6794" s="16" t="str">
        <f t="shared" si="178"/>
        <v>Truncate table PTNR12;</v>
      </c>
      <c r="Q6794" s="118"/>
      <c r="R6794" s="118"/>
    </row>
    <row r="6795" spans="2:18" x14ac:dyDescent="0.25">
      <c r="B6795" s="118" t="s">
        <v>11485</v>
      </c>
      <c r="C6795" s="346" t="s">
        <v>11495</v>
      </c>
      <c r="D6795" s="118" t="s">
        <v>29</v>
      </c>
      <c r="E6795" s="118" t="s">
        <v>1096</v>
      </c>
      <c r="F6795" s="118" t="s">
        <v>8203</v>
      </c>
      <c r="G6795" s="118" t="s">
        <v>35</v>
      </c>
      <c r="H6795" s="118" t="s">
        <v>36</v>
      </c>
      <c r="I6795" s="118"/>
      <c r="J6795" s="118"/>
      <c r="K6795" s="118" t="s">
        <v>8523</v>
      </c>
      <c r="L6795" s="118"/>
      <c r="M6795" s="236" t="s">
        <v>10170</v>
      </c>
      <c r="N6795" s="118"/>
      <c r="O6795" s="118"/>
      <c r="P6795" s="16" t="str">
        <f t="shared" si="178"/>
        <v>Truncate table PTNR10;</v>
      </c>
      <c r="Q6795" s="118"/>
      <c r="R6795" s="118"/>
    </row>
    <row r="6796" spans="2:18" x14ac:dyDescent="0.25">
      <c r="B6796" s="118" t="s">
        <v>11559</v>
      </c>
      <c r="C6796" s="118" t="s">
        <v>11560</v>
      </c>
      <c r="D6796" t="s">
        <v>29</v>
      </c>
      <c r="E6796" s="118" t="s">
        <v>1096</v>
      </c>
      <c r="F6796" s="118" t="s">
        <v>8203</v>
      </c>
      <c r="G6796" s="118" t="s">
        <v>35</v>
      </c>
      <c r="H6796" s="118" t="s">
        <v>36</v>
      </c>
      <c r="I6796" s="118"/>
      <c r="J6796" s="118"/>
      <c r="K6796" s="118" t="s">
        <v>8523</v>
      </c>
      <c r="L6796" s="118"/>
      <c r="M6796" s="236" t="s">
        <v>10170</v>
      </c>
      <c r="N6796" s="118"/>
      <c r="O6796" s="118"/>
      <c r="P6796" s="16" t="str">
        <f t="shared" ref="P6796" si="179">IF(D6796="Datos","Truncate table "&amp; B6796&amp; ";","")</f>
        <v>Truncate table PTNR11;</v>
      </c>
      <c r="Q6796" s="118"/>
      <c r="R6796" s="118"/>
    </row>
    <row r="6797" spans="2:18" x14ac:dyDescent="0.25">
      <c r="B6797" s="118" t="s">
        <v>11486</v>
      </c>
      <c r="C6797" s="346" t="s">
        <v>11496</v>
      </c>
      <c r="D6797" s="118" t="s">
        <v>29</v>
      </c>
      <c r="E6797" s="118" t="s">
        <v>1096</v>
      </c>
      <c r="F6797" s="118" t="s">
        <v>8203</v>
      </c>
      <c r="G6797" s="118" t="s">
        <v>35</v>
      </c>
      <c r="H6797" s="118" t="s">
        <v>36</v>
      </c>
      <c r="I6797" s="118"/>
      <c r="J6797" s="118"/>
      <c r="K6797" s="118" t="s">
        <v>8523</v>
      </c>
      <c r="L6797" s="118"/>
      <c r="M6797" s="236" t="s">
        <v>10170</v>
      </c>
      <c r="N6797" s="118"/>
      <c r="O6797" s="118"/>
      <c r="P6797" s="16" t="str">
        <f t="shared" si="178"/>
        <v>Truncate table PTNR15;</v>
      </c>
      <c r="Q6797" s="118"/>
      <c r="R6797" s="118"/>
    </row>
    <row r="6798" spans="2:18" x14ac:dyDescent="0.25">
      <c r="B6798" s="118" t="s">
        <v>11487</v>
      </c>
      <c r="C6798" s="346" t="s">
        <v>11497</v>
      </c>
      <c r="D6798" s="118" t="s">
        <v>29</v>
      </c>
      <c r="E6798" s="118" t="s">
        <v>1096</v>
      </c>
      <c r="F6798" s="118" t="s">
        <v>8203</v>
      </c>
      <c r="G6798" s="118" t="s">
        <v>35</v>
      </c>
      <c r="H6798" s="118" t="s">
        <v>36</v>
      </c>
      <c r="I6798" s="118"/>
      <c r="J6798" s="118"/>
      <c r="K6798" s="118" t="s">
        <v>8523</v>
      </c>
      <c r="L6798" s="118"/>
      <c r="M6798" s="236" t="s">
        <v>10170</v>
      </c>
      <c r="N6798" s="118"/>
      <c r="O6798" s="118"/>
      <c r="P6798" s="16" t="str">
        <f t="shared" si="178"/>
        <v>Truncate table PTNR01;</v>
      </c>
      <c r="Q6798" s="118"/>
      <c r="R6798" s="118"/>
    </row>
    <row r="6799" spans="2:18" x14ac:dyDescent="0.25">
      <c r="B6799" s="118" t="s">
        <v>11488</v>
      </c>
      <c r="C6799" s="346" t="s">
        <v>11498</v>
      </c>
      <c r="D6799" s="118" t="s">
        <v>29</v>
      </c>
      <c r="E6799" s="118" t="s">
        <v>1096</v>
      </c>
      <c r="F6799" s="118" t="s">
        <v>8203</v>
      </c>
      <c r="G6799" s="118" t="s">
        <v>35</v>
      </c>
      <c r="H6799" s="118" t="s">
        <v>36</v>
      </c>
      <c r="I6799" s="118"/>
      <c r="J6799" s="118"/>
      <c r="K6799" s="118" t="s">
        <v>8523</v>
      </c>
      <c r="L6799" s="118"/>
      <c r="M6799" s="236" t="s">
        <v>10170</v>
      </c>
      <c r="N6799" s="118"/>
      <c r="O6799" s="118"/>
      <c r="P6799" s="16" t="str">
        <f t="shared" si="178"/>
        <v>Truncate table PTNR05;</v>
      </c>
      <c r="Q6799" s="118"/>
      <c r="R6799" s="118"/>
    </row>
    <row r="6800" spans="2:18" x14ac:dyDescent="0.25">
      <c r="B6800" s="118" t="s">
        <v>11489</v>
      </c>
      <c r="C6800" s="346" t="s">
        <v>11499</v>
      </c>
      <c r="D6800" s="118" t="s">
        <v>29</v>
      </c>
      <c r="E6800" s="118" t="s">
        <v>1096</v>
      </c>
      <c r="F6800" s="118" t="s">
        <v>8203</v>
      </c>
      <c r="G6800" s="118" t="s">
        <v>35</v>
      </c>
      <c r="H6800" s="118" t="s">
        <v>36</v>
      </c>
      <c r="I6800" s="118"/>
      <c r="J6800" s="118"/>
      <c r="K6800" s="118" t="s">
        <v>8523</v>
      </c>
      <c r="L6800" s="118"/>
      <c r="M6800" s="236" t="s">
        <v>10170</v>
      </c>
      <c r="N6800" s="118"/>
      <c r="O6800" s="118"/>
      <c r="P6800" s="16" t="str">
        <f t="shared" si="178"/>
        <v>Truncate table PTNR04;</v>
      </c>
      <c r="Q6800" s="118"/>
      <c r="R6800" s="118"/>
    </row>
    <row r="6801" spans="2:18" x14ac:dyDescent="0.25">
      <c r="B6801" s="118" t="s">
        <v>11490</v>
      </c>
      <c r="C6801" s="346" t="s">
        <v>11500</v>
      </c>
      <c r="D6801" s="118" t="s">
        <v>29</v>
      </c>
      <c r="E6801" s="118" t="s">
        <v>1096</v>
      </c>
      <c r="F6801" s="118" t="s">
        <v>8203</v>
      </c>
      <c r="G6801" s="118" t="s">
        <v>35</v>
      </c>
      <c r="H6801" s="118" t="s">
        <v>36</v>
      </c>
      <c r="I6801" s="118"/>
      <c r="J6801" s="118"/>
      <c r="K6801" s="118" t="s">
        <v>8523</v>
      </c>
      <c r="L6801" s="118"/>
      <c r="M6801" s="236" t="s">
        <v>10170</v>
      </c>
      <c r="N6801" s="118"/>
      <c r="O6801" s="118"/>
      <c r="P6801" s="16" t="str">
        <f t="shared" si="178"/>
        <v>Truncate table PTNR02;</v>
      </c>
      <c r="Q6801" s="118"/>
      <c r="R6801" s="118"/>
    </row>
    <row r="6802" spans="2:18" x14ac:dyDescent="0.25">
      <c r="B6802" s="118" t="s">
        <v>11491</v>
      </c>
      <c r="C6802" s="346" t="s">
        <v>11501</v>
      </c>
      <c r="D6802" s="118" t="s">
        <v>29</v>
      </c>
      <c r="E6802" s="118" t="s">
        <v>1096</v>
      </c>
      <c r="F6802" s="118" t="s">
        <v>8203</v>
      </c>
      <c r="G6802" s="118" t="s">
        <v>35</v>
      </c>
      <c r="H6802" s="118" t="s">
        <v>36</v>
      </c>
      <c r="I6802" s="118"/>
      <c r="J6802" s="118"/>
      <c r="K6802" s="118" t="s">
        <v>8523</v>
      </c>
      <c r="L6802" s="118"/>
      <c r="M6802" s="236" t="s">
        <v>10170</v>
      </c>
      <c r="N6802" s="118"/>
      <c r="O6802" s="118"/>
      <c r="P6802" s="16" t="str">
        <f t="shared" si="178"/>
        <v>Truncate table PTNR03;</v>
      </c>
      <c r="Q6802" s="118"/>
      <c r="R6802" s="118"/>
    </row>
    <row r="6803" spans="2:18" x14ac:dyDescent="0.25">
      <c r="B6803" s="118" t="s">
        <v>11544</v>
      </c>
      <c r="C6803" s="118" t="s">
        <v>11545</v>
      </c>
      <c r="D6803" s="118" t="s">
        <v>29</v>
      </c>
      <c r="E6803" s="118" t="s">
        <v>1096</v>
      </c>
      <c r="F6803" s="118" t="s">
        <v>8203</v>
      </c>
      <c r="G6803" s="118" t="s">
        <v>35</v>
      </c>
      <c r="H6803" s="118" t="s">
        <v>36</v>
      </c>
      <c r="I6803" s="118"/>
      <c r="J6803" s="118"/>
      <c r="K6803" s="118" t="s">
        <v>11543</v>
      </c>
      <c r="L6803" s="118"/>
      <c r="M6803" s="236" t="s">
        <v>10170</v>
      </c>
      <c r="N6803" s="118"/>
      <c r="O6803" s="118"/>
      <c r="P6803" s="16" t="str">
        <f t="shared" si="178"/>
        <v>Truncate table PTNRV2;</v>
      </c>
      <c r="Q6803" s="118"/>
      <c r="R6803" s="118"/>
    </row>
    <row r="6804" spans="2:18" x14ac:dyDescent="0.25">
      <c r="B6804" s="118" t="s">
        <v>11546</v>
      </c>
      <c r="C6804" s="118" t="s">
        <v>11547</v>
      </c>
      <c r="D6804" s="118" t="s">
        <v>29</v>
      </c>
      <c r="E6804" s="118" t="s">
        <v>1096</v>
      </c>
      <c r="F6804" s="118" t="s">
        <v>8203</v>
      </c>
      <c r="G6804" s="118" t="s">
        <v>35</v>
      </c>
      <c r="H6804" s="118" t="s">
        <v>36</v>
      </c>
      <c r="I6804" s="118"/>
      <c r="J6804" s="118"/>
      <c r="K6804" s="118" t="s">
        <v>11543</v>
      </c>
      <c r="L6804" s="118"/>
      <c r="M6804" s="236" t="s">
        <v>10170</v>
      </c>
      <c r="N6804" s="118"/>
      <c r="O6804" s="118"/>
      <c r="P6804" s="16" t="str">
        <f t="shared" si="178"/>
        <v>Truncate table PTNRV1;</v>
      </c>
      <c r="Q6804" s="118"/>
      <c r="R6804" s="118"/>
    </row>
    <row r="6805" spans="2:18" x14ac:dyDescent="0.25">
      <c r="B6805" s="118" t="s">
        <v>11553</v>
      </c>
      <c r="C6805" s="118" t="s">
        <v>11554</v>
      </c>
      <c r="D6805" s="118" t="s">
        <v>29</v>
      </c>
      <c r="E6805" s="118" t="s">
        <v>1096</v>
      </c>
      <c r="F6805" s="118" t="s">
        <v>8203</v>
      </c>
      <c r="G6805" s="118" t="s">
        <v>35</v>
      </c>
      <c r="H6805" s="118" t="s">
        <v>36</v>
      </c>
      <c r="I6805" s="118"/>
      <c r="J6805" s="118"/>
      <c r="K6805" s="118" t="s">
        <v>11543</v>
      </c>
      <c r="L6805" s="118"/>
      <c r="M6805" s="236" t="s">
        <v>10170</v>
      </c>
      <c r="N6805" s="118"/>
      <c r="O6805" s="118"/>
      <c r="P6805" s="16" t="str">
        <f t="shared" ref="P6805:P6806" si="180">IF(D6805="Datos","Truncate table "&amp; B6805&amp; ";","")</f>
        <v>Truncate table PTNRV4;</v>
      </c>
      <c r="Q6805" s="118"/>
      <c r="R6805" s="118"/>
    </row>
    <row r="6806" spans="2:18" x14ac:dyDescent="0.25">
      <c r="B6806" s="118" t="s">
        <v>11555</v>
      </c>
      <c r="C6806" s="118" t="s">
        <v>11556</v>
      </c>
      <c r="D6806" s="118" t="s">
        <v>29</v>
      </c>
      <c r="E6806" s="118" t="s">
        <v>1096</v>
      </c>
      <c r="F6806" s="118" t="s">
        <v>8203</v>
      </c>
      <c r="G6806" s="118" t="s">
        <v>35</v>
      </c>
      <c r="H6806" s="118" t="s">
        <v>36</v>
      </c>
      <c r="I6806" s="118"/>
      <c r="J6806" s="118"/>
      <c r="K6806" s="118" t="s">
        <v>11543</v>
      </c>
      <c r="L6806" s="118"/>
      <c r="M6806" s="236" t="s">
        <v>10170</v>
      </c>
      <c r="N6806" s="118"/>
      <c r="O6806" s="118"/>
      <c r="P6806" s="16" t="str">
        <f t="shared" si="180"/>
        <v>Truncate table PTNRV3;</v>
      </c>
      <c r="Q6806" s="118"/>
      <c r="R6806" s="118"/>
    </row>
    <row r="6807" spans="2:18" x14ac:dyDescent="0.25">
      <c r="B6807" s="118" t="s">
        <v>11535</v>
      </c>
      <c r="C6807" s="118" t="s">
        <v>11542</v>
      </c>
      <c r="D6807" s="118" t="s">
        <v>29</v>
      </c>
      <c r="E6807" s="118" t="s">
        <v>1096</v>
      </c>
      <c r="F6807" s="118" t="s">
        <v>8203</v>
      </c>
      <c r="G6807" s="118" t="s">
        <v>35</v>
      </c>
      <c r="H6807" s="118" t="s">
        <v>36</v>
      </c>
      <c r="I6807" s="118"/>
      <c r="J6807" s="118"/>
      <c r="K6807" s="118" t="s">
        <v>11543</v>
      </c>
      <c r="L6807" s="118"/>
      <c r="M6807" s="236" t="s">
        <v>10170</v>
      </c>
      <c r="N6807" s="118"/>
      <c r="O6807" s="118"/>
      <c r="P6807" s="16" t="str">
        <f t="shared" ref="P6807" si="181">IF(D6807="Datos","Truncate table "&amp; B6807&amp; ";","")</f>
        <v>Truncate table PTVH01;</v>
      </c>
      <c r="Q6807" s="118"/>
      <c r="R6807" s="118"/>
    </row>
    <row r="6808" spans="2:18" x14ac:dyDescent="0.25">
      <c r="B6808" s="118" t="s">
        <v>11529</v>
      </c>
      <c r="C6808" s="118" t="s">
        <v>11536</v>
      </c>
      <c r="D6808" s="118" t="s">
        <v>29</v>
      </c>
      <c r="E6808" s="118" t="s">
        <v>1096</v>
      </c>
      <c r="F6808" s="118" t="s">
        <v>8203</v>
      </c>
      <c r="G6808" s="118" t="s">
        <v>35</v>
      </c>
      <c r="H6808" s="118" t="s">
        <v>36</v>
      </c>
      <c r="I6808" s="118"/>
      <c r="J6808" s="118"/>
      <c r="K6808" s="118" t="s">
        <v>11543</v>
      </c>
      <c r="L6808" s="118"/>
      <c r="M6808" s="236" t="s">
        <v>10170</v>
      </c>
      <c r="N6808" s="118"/>
      <c r="O6808" s="118"/>
      <c r="P6808" s="16" t="str">
        <f t="shared" si="178"/>
        <v>Truncate table PTVH10;</v>
      </c>
      <c r="Q6808" s="118"/>
      <c r="R6808" s="118"/>
    </row>
    <row r="6809" spans="2:18" x14ac:dyDescent="0.25">
      <c r="B6809" s="118" t="s">
        <v>11530</v>
      </c>
      <c r="C6809" s="118" t="s">
        <v>11537</v>
      </c>
      <c r="D6809" s="118" t="s">
        <v>29</v>
      </c>
      <c r="E6809" s="118" t="s">
        <v>1096</v>
      </c>
      <c r="F6809" s="118" t="s">
        <v>8203</v>
      </c>
      <c r="G6809" s="118" t="s">
        <v>35</v>
      </c>
      <c r="H6809" s="118" t="s">
        <v>36</v>
      </c>
      <c r="I6809" s="118"/>
      <c r="J6809" s="118"/>
      <c r="K6809" s="118" t="s">
        <v>11543</v>
      </c>
      <c r="L6809" s="118"/>
      <c r="M6809" s="236" t="s">
        <v>10170</v>
      </c>
      <c r="N6809" s="118"/>
      <c r="O6809" s="118"/>
      <c r="P6809" s="16" t="str">
        <f t="shared" ref="P6809:P6814" si="182">IF(D6809="Datos","Truncate table "&amp; B6809&amp; ";","")</f>
        <v>Truncate table PTVH06;</v>
      </c>
      <c r="Q6809" s="118"/>
      <c r="R6809" s="118"/>
    </row>
    <row r="6810" spans="2:18" x14ac:dyDescent="0.25">
      <c r="B6810" s="118" t="s">
        <v>11531</v>
      </c>
      <c r="C6810" s="118" t="s">
        <v>11538</v>
      </c>
      <c r="D6810" s="118" t="s">
        <v>29</v>
      </c>
      <c r="E6810" s="118" t="s">
        <v>1096</v>
      </c>
      <c r="F6810" s="118" t="s">
        <v>8203</v>
      </c>
      <c r="G6810" s="118" t="s">
        <v>35</v>
      </c>
      <c r="H6810" s="118" t="s">
        <v>36</v>
      </c>
      <c r="I6810" s="118"/>
      <c r="J6810" s="118"/>
      <c r="K6810" s="118" t="s">
        <v>11543</v>
      </c>
      <c r="L6810" s="118"/>
      <c r="M6810" s="236" t="s">
        <v>10170</v>
      </c>
      <c r="N6810" s="118"/>
      <c r="O6810" s="118"/>
      <c r="P6810" s="16" t="str">
        <f t="shared" si="182"/>
        <v>Truncate table PTVH05;</v>
      </c>
      <c r="Q6810" s="118"/>
      <c r="R6810" s="118"/>
    </row>
    <row r="6811" spans="2:18" x14ac:dyDescent="0.25">
      <c r="B6811" s="118" t="s">
        <v>11532</v>
      </c>
      <c r="C6811" s="118" t="s">
        <v>11539</v>
      </c>
      <c r="D6811" s="118" t="s">
        <v>29</v>
      </c>
      <c r="E6811" s="118" t="s">
        <v>1096</v>
      </c>
      <c r="F6811" s="118" t="s">
        <v>8203</v>
      </c>
      <c r="G6811" s="118" t="s">
        <v>35</v>
      </c>
      <c r="H6811" s="118" t="s">
        <v>36</v>
      </c>
      <c r="I6811" s="118"/>
      <c r="J6811" s="118"/>
      <c r="K6811" s="118" t="s">
        <v>11543</v>
      </c>
      <c r="L6811" s="118"/>
      <c r="M6811" s="236" t="s">
        <v>10170</v>
      </c>
      <c r="N6811" s="118"/>
      <c r="O6811" s="118"/>
      <c r="P6811" s="16" t="str">
        <f t="shared" si="182"/>
        <v>Truncate table PTVH04;</v>
      </c>
      <c r="Q6811" s="118"/>
      <c r="R6811" s="118"/>
    </row>
    <row r="6812" spans="2:18" x14ac:dyDescent="0.25">
      <c r="B6812" s="118" t="s">
        <v>11533</v>
      </c>
      <c r="C6812" s="118" t="s">
        <v>11540</v>
      </c>
      <c r="D6812" s="118" t="s">
        <v>29</v>
      </c>
      <c r="E6812" s="118" t="s">
        <v>1096</v>
      </c>
      <c r="F6812" s="118" t="s">
        <v>8203</v>
      </c>
      <c r="G6812" s="118" t="s">
        <v>35</v>
      </c>
      <c r="H6812" s="118" t="s">
        <v>36</v>
      </c>
      <c r="I6812" s="118"/>
      <c r="J6812" s="118"/>
      <c r="K6812" s="118" t="s">
        <v>11543</v>
      </c>
      <c r="L6812" s="118"/>
      <c r="M6812" s="236" t="s">
        <v>10170</v>
      </c>
      <c r="N6812" s="118"/>
      <c r="O6812" s="118"/>
      <c r="P6812" s="16" t="str">
        <f t="shared" si="182"/>
        <v>Truncate table PTVH03;</v>
      </c>
      <c r="Q6812" s="118"/>
      <c r="R6812" s="118"/>
    </row>
    <row r="6813" spans="2:18" x14ac:dyDescent="0.25">
      <c r="B6813" s="118" t="s">
        <v>11534</v>
      </c>
      <c r="C6813" s="118" t="s">
        <v>11541</v>
      </c>
      <c r="D6813" s="118" t="s">
        <v>29</v>
      </c>
      <c r="E6813" s="118" t="s">
        <v>1096</v>
      </c>
      <c r="F6813" s="118" t="s">
        <v>8203</v>
      </c>
      <c r="G6813" s="118" t="s">
        <v>35</v>
      </c>
      <c r="H6813" s="118" t="s">
        <v>36</v>
      </c>
      <c r="I6813" s="118"/>
      <c r="J6813" s="118"/>
      <c r="K6813" s="118" t="s">
        <v>11543</v>
      </c>
      <c r="L6813" s="118"/>
      <c r="M6813" s="236" t="s">
        <v>10170</v>
      </c>
      <c r="N6813" s="118"/>
      <c r="O6813" s="118"/>
      <c r="P6813" s="16" t="str">
        <f t="shared" si="182"/>
        <v>Truncate table PTVH02;</v>
      </c>
      <c r="Q6813" s="118"/>
      <c r="R6813" s="118"/>
    </row>
    <row r="6814" spans="2:18" x14ac:dyDescent="0.25">
      <c r="B6814" s="194" t="s">
        <v>11535</v>
      </c>
      <c r="C6814" s="194" t="s">
        <v>11542</v>
      </c>
      <c r="D6814" s="194" t="s">
        <v>29</v>
      </c>
      <c r="E6814" s="194" t="s">
        <v>1096</v>
      </c>
      <c r="F6814" s="194" t="s">
        <v>8203</v>
      </c>
      <c r="G6814" s="194" t="s">
        <v>35</v>
      </c>
      <c r="H6814" s="194" t="s">
        <v>36</v>
      </c>
      <c r="I6814" s="194"/>
      <c r="J6814" s="194"/>
      <c r="K6814" t="s">
        <v>11561</v>
      </c>
      <c r="L6814" s="194"/>
      <c r="M6814" s="336" t="s">
        <v>10170</v>
      </c>
      <c r="N6814" s="194"/>
      <c r="O6814" s="194"/>
      <c r="P6814" s="38" t="str">
        <f t="shared" si="182"/>
        <v>Truncate table PTVH01;</v>
      </c>
      <c r="Q6814" s="194"/>
      <c r="R6814" s="194"/>
    </row>
    <row r="6815" spans="2:18" x14ac:dyDescent="0.25">
      <c r="B6815" s="118" t="s">
        <v>11564</v>
      </c>
      <c r="C6815" s="118" t="s">
        <v>11565</v>
      </c>
      <c r="D6815" s="118" t="s">
        <v>29</v>
      </c>
      <c r="E6815" s="118" t="s">
        <v>54</v>
      </c>
      <c r="F6815" s="118" t="s">
        <v>8241</v>
      </c>
      <c r="G6815" s="118" t="s">
        <v>35</v>
      </c>
      <c r="H6815" s="118" t="s">
        <v>36</v>
      </c>
      <c r="I6815" s="118"/>
      <c r="J6815" s="118"/>
      <c r="K6815" s="118" t="s">
        <v>11566</v>
      </c>
      <c r="L6815" s="118"/>
      <c r="M6815" s="236" t="s">
        <v>10170</v>
      </c>
      <c r="N6815" s="118"/>
      <c r="O6815" s="118"/>
      <c r="P6815" s="16" t="str">
        <f t="shared" ref="P6815:P6816" si="183">IF(D6815="Datos","Truncate table "&amp; B6815&amp; ";","")</f>
        <v>Truncate table MPI001;</v>
      </c>
      <c r="Q6815" s="118"/>
      <c r="R6815" s="118"/>
    </row>
    <row r="6816" spans="2:18" x14ac:dyDescent="0.25">
      <c r="B6816" s="118" t="s">
        <v>11602</v>
      </c>
      <c r="C6816" s="118" t="s">
        <v>11603</v>
      </c>
      <c r="D6816" s="118" t="s">
        <v>29</v>
      </c>
      <c r="E6816" s="118" t="s">
        <v>54</v>
      </c>
      <c r="F6816" s="118" t="s">
        <v>1198</v>
      </c>
      <c r="G6816" s="118" t="s">
        <v>35</v>
      </c>
      <c r="H6816" s="118" t="s">
        <v>36</v>
      </c>
      <c r="I6816" s="118"/>
      <c r="J6816" s="118"/>
      <c r="K6816" t="s">
        <v>11604</v>
      </c>
      <c r="L6816" s="118"/>
      <c r="M6816" s="236" t="s">
        <v>10170</v>
      </c>
      <c r="N6816" s="118"/>
      <c r="O6816" s="118"/>
      <c r="P6816" s="16" t="str">
        <f t="shared" si="183"/>
        <v>Truncate table DPAI01;</v>
      </c>
      <c r="Q6816" s="118"/>
      <c r="R6816" s="118"/>
    </row>
    <row r="6817" spans="2:18" x14ac:dyDescent="0.25">
      <c r="B6817" s="183" t="s">
        <v>11607</v>
      </c>
      <c r="C6817" s="183" t="s">
        <v>11608</v>
      </c>
      <c r="D6817" s="183" t="s">
        <v>29</v>
      </c>
      <c r="E6817" s="183"/>
      <c r="F6817" s="183"/>
      <c r="G6817" s="183"/>
      <c r="H6817" s="183" t="s">
        <v>36</v>
      </c>
      <c r="I6817" s="413">
        <v>45435</v>
      </c>
      <c r="J6817" s="183"/>
      <c r="K6817" s="183" t="s">
        <v>11609</v>
      </c>
      <c r="L6817" s="118"/>
      <c r="M6817" s="118"/>
      <c r="N6817" s="118"/>
      <c r="O6817" s="118"/>
      <c r="P6817" s="118"/>
      <c r="Q6817" s="118"/>
      <c r="R6817" s="118"/>
    </row>
    <row r="6818" spans="2:18" x14ac:dyDescent="0.25">
      <c r="B6818" s="183" t="s">
        <v>11610</v>
      </c>
      <c r="C6818" s="183" t="s">
        <v>11611</v>
      </c>
      <c r="D6818" s="183" t="s">
        <v>10206</v>
      </c>
      <c r="E6818" s="183"/>
      <c r="F6818" s="183"/>
      <c r="G6818" s="183"/>
      <c r="H6818" s="183" t="s">
        <v>36</v>
      </c>
      <c r="I6818" s="413">
        <v>45404</v>
      </c>
      <c r="J6818" s="183"/>
      <c r="K6818" s="183" t="s">
        <v>11612</v>
      </c>
      <c r="L6818" s="118"/>
      <c r="M6818" s="118"/>
      <c r="N6818" s="118"/>
      <c r="O6818" s="118"/>
      <c r="P6818" s="118"/>
      <c r="Q6818" s="118"/>
      <c r="R6818" s="118"/>
    </row>
    <row r="6819" spans="2:18" x14ac:dyDescent="0.25">
      <c r="B6819" s="183" t="s">
        <v>11613</v>
      </c>
      <c r="C6819" s="183" t="s">
        <v>11614</v>
      </c>
      <c r="D6819" s="183" t="s">
        <v>29</v>
      </c>
      <c r="E6819" s="183"/>
      <c r="F6819" s="183"/>
      <c r="G6819" s="183"/>
      <c r="H6819" s="183" t="s">
        <v>11615</v>
      </c>
      <c r="I6819" s="412" t="s">
        <v>11616</v>
      </c>
      <c r="J6819" s="183"/>
      <c r="K6819" s="183" t="s">
        <v>11617</v>
      </c>
      <c r="L6819" s="118"/>
      <c r="M6819" s="118"/>
      <c r="N6819" s="118"/>
      <c r="O6819" s="118"/>
      <c r="P6819" s="118"/>
      <c r="Q6819" s="118" t="s">
        <v>8129</v>
      </c>
      <c r="R6819" s="118"/>
    </row>
    <row r="6820" spans="2:18" x14ac:dyDescent="0.25">
      <c r="B6820" s="183" t="s">
        <v>11618</v>
      </c>
      <c r="C6820" s="183" t="s">
        <v>11619</v>
      </c>
      <c r="D6820" s="183" t="s">
        <v>29</v>
      </c>
      <c r="E6820" s="183"/>
      <c r="F6820" s="183"/>
      <c r="G6820" s="183"/>
      <c r="H6820" s="183" t="s">
        <v>36</v>
      </c>
      <c r="I6820" s="420">
        <v>43822</v>
      </c>
      <c r="J6820" s="416">
        <v>45467</v>
      </c>
      <c r="K6820" s="183" t="s">
        <v>11609</v>
      </c>
      <c r="L6820" s="118"/>
      <c r="M6820" s="118"/>
      <c r="N6820" s="118"/>
      <c r="O6820" s="118"/>
      <c r="P6820" s="118"/>
      <c r="Q6820" s="118"/>
      <c r="R6820" s="118"/>
    </row>
    <row r="6821" spans="2:18" x14ac:dyDescent="0.25">
      <c r="B6821" s="183" t="s">
        <v>11199</v>
      </c>
      <c r="C6821" s="183" t="s">
        <v>11200</v>
      </c>
      <c r="D6821" s="183" t="s">
        <v>29</v>
      </c>
      <c r="E6821" s="183"/>
      <c r="F6821" s="183"/>
      <c r="G6821" s="183"/>
      <c r="H6821" s="183" t="s">
        <v>11615</v>
      </c>
      <c r="I6821" s="421">
        <v>43658</v>
      </c>
      <c r="J6821" s="418">
        <v>45467</v>
      </c>
      <c r="K6821" s="183" t="s">
        <v>11617</v>
      </c>
      <c r="L6821" s="118"/>
      <c r="M6821" s="118"/>
      <c r="N6821" s="118"/>
      <c r="O6821" s="118"/>
      <c r="P6821" s="118"/>
      <c r="Q6821" s="118" t="s">
        <v>8129</v>
      </c>
      <c r="R6821" s="118"/>
    </row>
    <row r="6822" spans="2:18" x14ac:dyDescent="0.25">
      <c r="B6822" s="183" t="s">
        <v>11620</v>
      </c>
      <c r="C6822" s="183" t="s">
        <v>11621</v>
      </c>
      <c r="D6822" s="183" t="s">
        <v>29</v>
      </c>
      <c r="E6822" s="183"/>
      <c r="F6822" s="183"/>
      <c r="G6822" s="183"/>
      <c r="H6822" s="183" t="s">
        <v>11615</v>
      </c>
      <c r="I6822" s="413">
        <v>45369</v>
      </c>
      <c r="J6822" s="419">
        <v>45384</v>
      </c>
      <c r="K6822" s="183" t="s">
        <v>11622</v>
      </c>
      <c r="L6822" s="118"/>
      <c r="M6822" s="118"/>
      <c r="N6822" s="118"/>
      <c r="O6822" s="118"/>
      <c r="P6822" s="118"/>
      <c r="Q6822" s="118" t="s">
        <v>8129</v>
      </c>
      <c r="R6822" s="118"/>
    </row>
    <row r="6823" spans="2:18" x14ac:dyDescent="0.25">
      <c r="B6823" s="183" t="s">
        <v>11623</v>
      </c>
      <c r="C6823" s="183" t="s">
        <v>11624</v>
      </c>
      <c r="D6823" s="183" t="s">
        <v>29</v>
      </c>
      <c r="E6823" s="183"/>
      <c r="F6823" s="183"/>
      <c r="G6823" s="183"/>
      <c r="H6823" s="183" t="s">
        <v>11615</v>
      </c>
      <c r="I6823" s="413">
        <v>45187</v>
      </c>
      <c r="J6823" s="418">
        <v>45385</v>
      </c>
      <c r="K6823" s="423" t="s">
        <v>11617</v>
      </c>
      <c r="L6823" s="118"/>
      <c r="M6823" s="118"/>
      <c r="N6823" s="118"/>
      <c r="O6823" s="118"/>
      <c r="P6823" s="118"/>
      <c r="Q6823" s="118" t="s">
        <v>8129</v>
      </c>
      <c r="R6823" s="118"/>
    </row>
    <row r="6824" spans="2:18" x14ac:dyDescent="0.25">
      <c r="B6824" s="183" t="s">
        <v>11625</v>
      </c>
      <c r="C6824" s="183" t="s">
        <v>11626</v>
      </c>
      <c r="D6824" s="183" t="s">
        <v>29</v>
      </c>
      <c r="E6824" s="183"/>
      <c r="F6824" s="183"/>
      <c r="G6824" s="183"/>
      <c r="H6824" s="183" t="s">
        <v>11615</v>
      </c>
      <c r="I6824" s="413">
        <v>45238</v>
      </c>
      <c r="J6824" s="418">
        <v>45448</v>
      </c>
      <c r="K6824" s="183" t="s">
        <v>11627</v>
      </c>
      <c r="L6824" s="118"/>
      <c r="M6824" s="118"/>
      <c r="N6824" s="118"/>
      <c r="O6824" s="118"/>
      <c r="P6824" s="118"/>
      <c r="Q6824" s="118" t="s">
        <v>8129</v>
      </c>
      <c r="R6824" s="118"/>
    </row>
    <row r="6825" spans="2:18" x14ac:dyDescent="0.25">
      <c r="B6825" s="183" t="s">
        <v>11628</v>
      </c>
      <c r="C6825" s="183" t="s">
        <v>11629</v>
      </c>
      <c r="D6825" s="183" t="s">
        <v>29</v>
      </c>
      <c r="E6825" s="183"/>
      <c r="F6825" s="183"/>
      <c r="G6825" s="183"/>
      <c r="H6825" s="183" t="s">
        <v>11615</v>
      </c>
      <c r="I6825" s="413">
        <v>45238</v>
      </c>
      <c r="J6825" s="418">
        <v>45448</v>
      </c>
      <c r="K6825" s="183" t="s">
        <v>11627</v>
      </c>
      <c r="L6825" s="118"/>
      <c r="M6825" s="118"/>
      <c r="N6825" s="118"/>
      <c r="O6825" s="118"/>
      <c r="P6825" s="118"/>
      <c r="Q6825" s="118" t="s">
        <v>8129</v>
      </c>
      <c r="R6825" s="118"/>
    </row>
    <row r="6826" spans="2:18" x14ac:dyDescent="0.25">
      <c r="B6826" s="183" t="s">
        <v>11630</v>
      </c>
      <c r="C6826" s="183" t="s">
        <v>11631</v>
      </c>
      <c r="D6826" s="183" t="s">
        <v>10206</v>
      </c>
      <c r="E6826" s="183"/>
      <c r="F6826" s="183"/>
      <c r="G6826" s="183"/>
      <c r="H6826" s="183" t="s">
        <v>11615</v>
      </c>
      <c r="I6826" s="422">
        <v>45152</v>
      </c>
      <c r="J6826" s="417">
        <v>45385</v>
      </c>
      <c r="K6826" s="183" t="s">
        <v>11622</v>
      </c>
      <c r="L6826" s="118"/>
      <c r="M6826" s="118"/>
      <c r="N6826" s="118"/>
      <c r="O6826" s="118"/>
      <c r="P6826" s="118"/>
      <c r="Q6826" s="118" t="s">
        <v>1442</v>
      </c>
      <c r="R6826" s="118"/>
    </row>
    <row r="6827" spans="2:18" x14ac:dyDescent="0.25">
      <c r="B6827" s="183" t="s">
        <v>11632</v>
      </c>
      <c r="C6827" s="183" t="s">
        <v>11633</v>
      </c>
      <c r="D6827" s="183" t="s">
        <v>29</v>
      </c>
      <c r="E6827" s="183"/>
      <c r="F6827" s="183"/>
      <c r="G6827" s="183"/>
      <c r="H6827" s="183" t="s">
        <v>11615</v>
      </c>
      <c r="I6827" s="422">
        <v>45152</v>
      </c>
      <c r="J6827" s="418">
        <v>45385</v>
      </c>
      <c r="K6827" s="183" t="s">
        <v>11622</v>
      </c>
      <c r="L6827" s="118"/>
      <c r="M6827" s="118"/>
      <c r="N6827" s="118"/>
      <c r="O6827" s="118"/>
      <c r="P6827" s="118"/>
      <c r="Q6827" s="118" t="s">
        <v>1442</v>
      </c>
      <c r="R6827" s="118"/>
    </row>
    <row r="6828" spans="2:18" x14ac:dyDescent="0.25">
      <c r="B6828" s="183" t="s">
        <v>11634</v>
      </c>
      <c r="C6828" s="183" t="s">
        <v>11635</v>
      </c>
      <c r="D6828" s="424" t="s">
        <v>29</v>
      </c>
      <c r="E6828" s="183"/>
      <c r="F6828" s="183"/>
      <c r="G6828" s="183"/>
      <c r="H6828" s="183" t="s">
        <v>11615</v>
      </c>
      <c r="I6828" s="421">
        <v>45152</v>
      </c>
      <c r="J6828" s="421">
        <v>45391</v>
      </c>
      <c r="K6828" s="183" t="s">
        <v>11622</v>
      </c>
      <c r="L6828" s="118"/>
      <c r="M6828" s="118"/>
      <c r="N6828" s="118"/>
      <c r="O6828" s="118"/>
      <c r="P6828" s="118"/>
      <c r="Q6828" t="s">
        <v>1442</v>
      </c>
      <c r="R6828" s="118"/>
    </row>
    <row r="6829" spans="2:18" x14ac:dyDescent="0.25">
      <c r="B6829" s="183" t="s">
        <v>11636</v>
      </c>
      <c r="C6829" s="183" t="s">
        <v>11637</v>
      </c>
      <c r="D6829" s="183" t="s">
        <v>29</v>
      </c>
      <c r="E6829" s="183"/>
      <c r="F6829" s="183"/>
      <c r="G6829" s="183"/>
      <c r="H6829" s="183" t="s">
        <v>11615</v>
      </c>
      <c r="I6829" s="422">
        <v>45331</v>
      </c>
      <c r="J6829" s="422"/>
      <c r="K6829" s="183" t="s">
        <v>11638</v>
      </c>
      <c r="L6829" s="118"/>
      <c r="M6829" s="118"/>
      <c r="N6829" s="118"/>
      <c r="O6829" s="118"/>
      <c r="P6829" s="118"/>
      <c r="Q6829" s="118" t="s">
        <v>11639</v>
      </c>
      <c r="R6829" s="118"/>
    </row>
    <row r="6830" spans="2:18" x14ac:dyDescent="0.25">
      <c r="B6830" s="183" t="s">
        <v>11640</v>
      </c>
      <c r="C6830" s="183" t="s">
        <v>11641</v>
      </c>
      <c r="D6830" s="183" t="s">
        <v>29</v>
      </c>
      <c r="E6830" s="183"/>
      <c r="F6830" s="183"/>
      <c r="G6830" s="183"/>
      <c r="H6830" s="183" t="s">
        <v>36</v>
      </c>
      <c r="I6830" s="422">
        <v>45398</v>
      </c>
      <c r="J6830" s="418">
        <v>45412</v>
      </c>
      <c r="K6830" s="183" t="s">
        <v>11642</v>
      </c>
      <c r="L6830" s="118"/>
      <c r="M6830" s="118"/>
      <c r="N6830" s="118"/>
      <c r="O6830" s="118"/>
      <c r="P6830" s="118"/>
      <c r="Q6830" s="118"/>
      <c r="R6830" s="118"/>
    </row>
    <row r="6831" spans="2:18" x14ac:dyDescent="0.25">
      <c r="B6831" s="183" t="s">
        <v>11643</v>
      </c>
      <c r="C6831" s="183" t="s">
        <v>11644</v>
      </c>
      <c r="D6831" s="183" t="s">
        <v>10206</v>
      </c>
      <c r="E6831" s="183"/>
      <c r="F6831" s="183"/>
      <c r="G6831" s="183"/>
      <c r="H6831" s="183" t="s">
        <v>36</v>
      </c>
      <c r="I6831" s="422">
        <v>45398</v>
      </c>
      <c r="J6831" s="418">
        <v>45399</v>
      </c>
      <c r="K6831" s="183" t="s">
        <v>11645</v>
      </c>
      <c r="L6831" s="118"/>
      <c r="M6831" s="118"/>
      <c r="N6831" s="118"/>
      <c r="O6831" s="118"/>
      <c r="P6831" s="118"/>
      <c r="Q6831" s="118"/>
      <c r="R6831" s="118"/>
    </row>
    <row r="6832" spans="2:18" x14ac:dyDescent="0.25">
      <c r="B6832" s="183" t="s">
        <v>5963</v>
      </c>
      <c r="C6832" s="183" t="s">
        <v>11646</v>
      </c>
      <c r="D6832" s="183" t="s">
        <v>29</v>
      </c>
      <c r="E6832" s="183"/>
      <c r="F6832" s="183"/>
      <c r="G6832" s="183"/>
      <c r="H6832" s="183" t="s">
        <v>36</v>
      </c>
      <c r="I6832" s="422">
        <v>40716</v>
      </c>
      <c r="J6832" s="418">
        <v>45391</v>
      </c>
      <c r="K6832" s="183" t="s">
        <v>11609</v>
      </c>
      <c r="L6832" s="118"/>
      <c r="M6832" s="118"/>
      <c r="N6832" s="118"/>
      <c r="O6832" s="118"/>
      <c r="P6832" s="118"/>
      <c r="Q6832" s="118"/>
      <c r="R6832" s="118"/>
    </row>
    <row r="6833" spans="2:18" x14ac:dyDescent="0.25">
      <c r="B6833" s="183" t="s">
        <v>5964</v>
      </c>
      <c r="C6833" s="183" t="s">
        <v>11647</v>
      </c>
      <c r="D6833" s="183" t="s">
        <v>29</v>
      </c>
      <c r="E6833" s="183"/>
      <c r="F6833" s="118"/>
      <c r="G6833" s="118"/>
      <c r="H6833" s="118" t="s">
        <v>36</v>
      </c>
      <c r="I6833" s="422">
        <v>40716</v>
      </c>
      <c r="J6833" s="418">
        <v>45391</v>
      </c>
      <c r="K6833" s="183" t="s">
        <v>11609</v>
      </c>
      <c r="L6833" s="118"/>
      <c r="M6833" s="118"/>
      <c r="N6833" s="118"/>
      <c r="O6833" s="118"/>
      <c r="P6833" s="118"/>
      <c r="Q6833" s="118"/>
      <c r="R6833" s="118"/>
    </row>
    <row r="6834" spans="2:18" x14ac:dyDescent="0.25">
      <c r="B6834" s="183" t="s">
        <v>5966</v>
      </c>
      <c r="C6834" s="183" t="s">
        <v>11648</v>
      </c>
      <c r="D6834" s="183" t="s">
        <v>29</v>
      </c>
      <c r="E6834" s="183"/>
      <c r="F6834" s="118"/>
      <c r="G6834" s="118"/>
      <c r="H6834" s="118" t="s">
        <v>36</v>
      </c>
      <c r="I6834" s="422">
        <v>40716</v>
      </c>
      <c r="J6834" s="418" t="s">
        <v>11649</v>
      </c>
      <c r="K6834" s="183" t="s">
        <v>11609</v>
      </c>
      <c r="L6834" s="118"/>
      <c r="M6834" s="118"/>
      <c r="N6834" s="118"/>
      <c r="O6834" s="118"/>
      <c r="P6834" s="118"/>
      <c r="Q6834" s="118"/>
      <c r="R6834" s="118"/>
    </row>
    <row r="6835" spans="2:18" x14ac:dyDescent="0.25">
      <c r="B6835" s="183" t="s">
        <v>5967</v>
      </c>
      <c r="C6835" s="183" t="s">
        <v>11650</v>
      </c>
      <c r="D6835" s="183" t="s">
        <v>29</v>
      </c>
      <c r="E6835" s="183"/>
      <c r="F6835" s="118"/>
      <c r="G6835" s="118"/>
      <c r="H6835" s="118" t="s">
        <v>36</v>
      </c>
      <c r="I6835" s="414">
        <v>40716</v>
      </c>
      <c r="J6835" s="414">
        <v>45391</v>
      </c>
      <c r="K6835" s="183" t="s">
        <v>11609</v>
      </c>
      <c r="L6835" s="118"/>
      <c r="M6835" s="118"/>
      <c r="N6835" s="118"/>
      <c r="O6835" s="118"/>
      <c r="P6835" s="118"/>
      <c r="Q6835" s="118"/>
      <c r="R6835" s="118"/>
    </row>
    <row r="6836" spans="2:18" x14ac:dyDescent="0.25">
      <c r="B6836" s="183" t="s">
        <v>5968</v>
      </c>
      <c r="C6836" s="183" t="s">
        <v>11651</v>
      </c>
      <c r="D6836" s="183" t="s">
        <v>29</v>
      </c>
      <c r="E6836" s="183"/>
      <c r="F6836" s="118"/>
      <c r="G6836" s="118"/>
      <c r="H6836" s="118" t="s">
        <v>36</v>
      </c>
      <c r="I6836" s="414">
        <v>40716</v>
      </c>
      <c r="J6836" s="414">
        <v>45391</v>
      </c>
      <c r="K6836" s="183" t="s">
        <v>11609</v>
      </c>
      <c r="L6836" s="118"/>
      <c r="M6836" s="118"/>
      <c r="N6836" s="118"/>
      <c r="O6836" s="118"/>
      <c r="P6836" s="118"/>
      <c r="Q6836" s="118"/>
      <c r="R6836" s="118"/>
    </row>
    <row r="6837" spans="2:18" x14ac:dyDescent="0.25">
      <c r="B6837" s="183" t="s">
        <v>5970</v>
      </c>
      <c r="C6837" s="183" t="s">
        <v>11652</v>
      </c>
      <c r="D6837" s="183" t="s">
        <v>29</v>
      </c>
      <c r="E6837" s="183"/>
      <c r="F6837" s="118"/>
      <c r="G6837" s="118"/>
      <c r="H6837" s="118" t="s">
        <v>36</v>
      </c>
      <c r="I6837" s="414">
        <v>40716</v>
      </c>
      <c r="J6837" s="414">
        <v>45391</v>
      </c>
      <c r="K6837" s="183" t="s">
        <v>11609</v>
      </c>
      <c r="L6837" s="118"/>
      <c r="M6837" s="118"/>
      <c r="N6837" s="118"/>
      <c r="O6837" s="118"/>
      <c r="P6837" s="118"/>
      <c r="Q6837" s="118"/>
      <c r="R6837" s="118"/>
    </row>
    <row r="6838" spans="2:18" x14ac:dyDescent="0.25">
      <c r="B6838" s="183" t="s">
        <v>8313</v>
      </c>
      <c r="C6838" s="183" t="s">
        <v>11653</v>
      </c>
      <c r="D6838" s="183" t="s">
        <v>29</v>
      </c>
      <c r="E6838" s="183"/>
      <c r="F6838" s="118"/>
      <c r="G6838" s="118"/>
      <c r="H6838" s="118" t="s">
        <v>36</v>
      </c>
      <c r="I6838" s="414">
        <v>42710</v>
      </c>
      <c r="J6838" s="414">
        <v>45391</v>
      </c>
      <c r="K6838" s="183" t="s">
        <v>11609</v>
      </c>
      <c r="L6838" s="118"/>
      <c r="M6838" s="118"/>
      <c r="N6838" s="118"/>
      <c r="O6838" s="118"/>
      <c r="P6838" s="118"/>
      <c r="Q6838" s="118"/>
      <c r="R6838" s="118"/>
    </row>
    <row r="6839" spans="2:18" x14ac:dyDescent="0.25">
      <c r="B6839" s="183" t="s">
        <v>5971</v>
      </c>
      <c r="C6839" s="183" t="s">
        <v>11654</v>
      </c>
      <c r="D6839" s="183" t="s">
        <v>29</v>
      </c>
      <c r="E6839" s="183"/>
      <c r="F6839" s="118"/>
      <c r="G6839" s="118"/>
      <c r="H6839" s="118" t="s">
        <v>36</v>
      </c>
      <c r="I6839" s="414">
        <v>40716</v>
      </c>
      <c r="J6839" s="414">
        <v>45391</v>
      </c>
      <c r="K6839" s="183" t="s">
        <v>11609</v>
      </c>
      <c r="L6839" s="118"/>
      <c r="M6839" s="118"/>
      <c r="N6839" s="118"/>
      <c r="O6839" s="118"/>
      <c r="P6839" s="118"/>
      <c r="Q6839" s="118"/>
      <c r="R6839" s="118"/>
    </row>
    <row r="6840" spans="2:18" x14ac:dyDescent="0.25">
      <c r="B6840" s="183" t="s">
        <v>11655</v>
      </c>
      <c r="C6840" s="183" t="s">
        <v>11656</v>
      </c>
      <c r="D6840" s="183" t="s">
        <v>29</v>
      </c>
      <c r="E6840" s="183"/>
      <c r="F6840" s="118"/>
      <c r="G6840" s="118"/>
      <c r="H6840" s="118" t="s">
        <v>36</v>
      </c>
      <c r="I6840" s="414">
        <v>40701</v>
      </c>
      <c r="J6840" s="414">
        <v>45477</v>
      </c>
      <c r="K6840" s="118" t="s">
        <v>11609</v>
      </c>
      <c r="L6840" s="118"/>
      <c r="M6840" s="118"/>
      <c r="N6840" s="118"/>
      <c r="O6840" s="118"/>
      <c r="P6840" s="118"/>
      <c r="Q6840" s="118"/>
      <c r="R6840" s="118"/>
    </row>
    <row r="6841" spans="2:18" x14ac:dyDescent="0.25">
      <c r="B6841" s="186" t="s">
        <v>11657</v>
      </c>
      <c r="C6841" s="186" t="s">
        <v>11658</v>
      </c>
      <c r="D6841" s="186" t="s">
        <v>29</v>
      </c>
      <c r="E6841" s="186"/>
      <c r="F6841" s="118"/>
      <c r="G6841" s="118"/>
      <c r="H6841" s="118" t="s">
        <v>11615</v>
      </c>
      <c r="I6841" s="414">
        <v>44692</v>
      </c>
      <c r="J6841" s="118"/>
      <c r="K6841" s="118" t="s">
        <v>11609</v>
      </c>
      <c r="L6841" s="118"/>
      <c r="M6841" s="118"/>
      <c r="N6841" s="118"/>
      <c r="O6841" s="118"/>
      <c r="P6841" s="118"/>
      <c r="Q6841" s="118" t="s">
        <v>1442</v>
      </c>
      <c r="R6841" s="118"/>
    </row>
    <row r="6842" spans="2:18" x14ac:dyDescent="0.25">
      <c r="B6842" s="186" t="s">
        <v>11613</v>
      </c>
      <c r="C6842" s="186" t="s">
        <v>11614</v>
      </c>
      <c r="D6842" s="186" t="s">
        <v>29</v>
      </c>
      <c r="E6842" s="186"/>
      <c r="F6842" s="118"/>
      <c r="G6842" s="118"/>
      <c r="H6842" s="118" t="s">
        <v>11615</v>
      </c>
      <c r="I6842" s="414">
        <v>45441</v>
      </c>
      <c r="J6842" s="118"/>
      <c r="K6842" s="415" t="s">
        <v>11617</v>
      </c>
      <c r="L6842" s="118"/>
      <c r="M6842" s="118"/>
      <c r="N6842" s="118"/>
      <c r="O6842" s="118"/>
      <c r="P6842" s="118"/>
      <c r="Q6842" s="118" t="s">
        <v>8129</v>
      </c>
      <c r="R6842" s="118"/>
    </row>
    <row r="6843" spans="2:18" x14ac:dyDescent="0.25">
      <c r="B6843" s="186" t="s">
        <v>11659</v>
      </c>
      <c r="C6843" s="186" t="s">
        <v>11660</v>
      </c>
      <c r="D6843" s="186" t="s">
        <v>29</v>
      </c>
      <c r="E6843" s="186"/>
      <c r="F6843" s="118"/>
      <c r="G6843" s="118"/>
      <c r="H6843" s="118" t="s">
        <v>36</v>
      </c>
      <c r="I6843" s="414">
        <v>45474</v>
      </c>
      <c r="J6843" s="118"/>
      <c r="K6843" s="415" t="s">
        <v>11661</v>
      </c>
      <c r="L6843" s="118"/>
      <c r="M6843" s="118"/>
      <c r="N6843" s="118"/>
      <c r="O6843" s="118"/>
      <c r="P6843" s="118"/>
      <c r="Q6843" s="118"/>
      <c r="R6843" s="118"/>
    </row>
    <row r="6844" spans="2:18" x14ac:dyDescent="0.25">
      <c r="B6844" s="186" t="s">
        <v>11662</v>
      </c>
      <c r="C6844" s="186" t="s">
        <v>11663</v>
      </c>
      <c r="D6844" s="186" t="s">
        <v>29</v>
      </c>
      <c r="E6844" s="186"/>
      <c r="F6844" s="118"/>
      <c r="G6844" s="118"/>
      <c r="H6844" s="118" t="s">
        <v>11615</v>
      </c>
      <c r="I6844" s="414">
        <v>45469</v>
      </c>
      <c r="J6844" s="118"/>
      <c r="K6844" s="415" t="s">
        <v>11664</v>
      </c>
      <c r="L6844" s="118"/>
      <c r="M6844" s="118"/>
      <c r="N6844" s="118"/>
      <c r="O6844" s="118"/>
      <c r="P6844" s="118"/>
      <c r="Q6844" s="118" t="s">
        <v>11639</v>
      </c>
      <c r="R6844" s="118"/>
    </row>
    <row r="6845" spans="2:18" x14ac:dyDescent="0.25">
      <c r="B6845" s="186" t="s">
        <v>11442</v>
      </c>
      <c r="C6845" s="186" t="s">
        <v>11665</v>
      </c>
      <c r="D6845" s="186" t="s">
        <v>29</v>
      </c>
      <c r="E6845" s="186"/>
      <c r="F6845" s="118"/>
      <c r="G6845" s="118"/>
      <c r="H6845" s="118" t="s">
        <v>11615</v>
      </c>
      <c r="I6845" s="414">
        <v>45301</v>
      </c>
      <c r="J6845" s="118"/>
      <c r="K6845" s="415" t="s">
        <v>11666</v>
      </c>
      <c r="L6845" s="118"/>
      <c r="M6845" s="118"/>
      <c r="N6845" s="118"/>
      <c r="O6845" s="118"/>
      <c r="P6845" s="118"/>
      <c r="Q6845" s="118" t="s">
        <v>11667</v>
      </c>
      <c r="R6845" s="118"/>
    </row>
    <row r="6846" spans="2:18" ht="15.75" thickBot="1" x14ac:dyDescent="0.3">
      <c r="B6846" s="118" t="s">
        <v>11668</v>
      </c>
      <c r="C6846" s="118" t="s">
        <v>11669</v>
      </c>
      <c r="D6846" s="118" t="s">
        <v>29</v>
      </c>
      <c r="E6846" s="118"/>
      <c r="F6846" s="118"/>
      <c r="G6846" s="118"/>
      <c r="H6846" s="118" t="s">
        <v>36</v>
      </c>
      <c r="I6846" s="415" t="s">
        <v>11670</v>
      </c>
      <c r="J6846" s="414">
        <v>44876</v>
      </c>
      <c r="K6846" s="415" t="s">
        <v>11671</v>
      </c>
      <c r="L6846" s="118"/>
      <c r="M6846" s="118"/>
      <c r="N6846" s="118"/>
      <c r="O6846" s="118"/>
      <c r="P6846" s="118"/>
      <c r="Q6846" s="118"/>
      <c r="R6846" s="118"/>
    </row>
    <row r="6847" spans="2:18" ht="15.75" thickBot="1" x14ac:dyDescent="0.3">
      <c r="B6847" s="118" t="s">
        <v>11672</v>
      </c>
      <c r="C6847" s="118" t="s">
        <v>11673</v>
      </c>
      <c r="D6847" s="118" t="s">
        <v>29</v>
      </c>
      <c r="E6847" s="118"/>
      <c r="F6847" s="118"/>
      <c r="G6847" s="118"/>
      <c r="H6847" s="118" t="s">
        <v>36</v>
      </c>
      <c r="I6847" s="425">
        <v>43509</v>
      </c>
      <c r="J6847" s="414">
        <v>45475</v>
      </c>
      <c r="K6847" s="415" t="s">
        <v>11617</v>
      </c>
      <c r="L6847" s="118"/>
      <c r="M6847" s="118"/>
      <c r="N6847" s="118"/>
      <c r="O6847" s="118"/>
      <c r="P6847" s="118"/>
      <c r="Q6847" s="118"/>
      <c r="R6847" s="118"/>
    </row>
    <row r="6848" spans="2:18" x14ac:dyDescent="0.25">
      <c r="B6848" s="118" t="s">
        <v>11185</v>
      </c>
      <c r="C6848" s="118" t="s">
        <v>11186</v>
      </c>
      <c r="D6848" s="118" t="s">
        <v>10206</v>
      </c>
      <c r="E6848" s="118"/>
      <c r="F6848" s="118"/>
      <c r="G6848" s="118"/>
      <c r="H6848" s="118" t="s">
        <v>11615</v>
      </c>
      <c r="I6848" s="414">
        <v>43616</v>
      </c>
      <c r="J6848" s="414">
        <v>43685</v>
      </c>
      <c r="K6848" s="415" t="s">
        <v>11674</v>
      </c>
      <c r="L6848" s="118"/>
      <c r="M6848" s="118"/>
      <c r="N6848" s="118"/>
      <c r="O6848" s="118"/>
      <c r="P6848" s="118"/>
      <c r="Q6848" s="118" t="s">
        <v>8129</v>
      </c>
      <c r="R6848" s="118"/>
    </row>
    <row r="6849" spans="2:18" x14ac:dyDescent="0.25">
      <c r="B6849" s="118" t="s">
        <v>11625</v>
      </c>
      <c r="C6849" s="118" t="s">
        <v>11626</v>
      </c>
      <c r="D6849" s="118" t="s">
        <v>29</v>
      </c>
      <c r="E6849" s="118"/>
      <c r="F6849" s="118"/>
      <c r="G6849" s="118"/>
      <c r="H6849" s="118" t="s">
        <v>11615</v>
      </c>
      <c r="I6849" s="414">
        <v>45238</v>
      </c>
      <c r="J6849" s="414">
        <v>45448</v>
      </c>
      <c r="K6849" s="415" t="s">
        <v>11627</v>
      </c>
      <c r="L6849" s="118"/>
      <c r="M6849" s="118"/>
      <c r="N6849" s="118"/>
      <c r="O6849" s="118"/>
      <c r="P6849" s="118"/>
      <c r="Q6849" s="118" t="s">
        <v>8129</v>
      </c>
      <c r="R6849" s="118"/>
    </row>
    <row r="6850" spans="2:18" x14ac:dyDescent="0.25">
      <c r="B6850" s="118" t="s">
        <v>11628</v>
      </c>
      <c r="C6850" s="118" t="s">
        <v>11629</v>
      </c>
      <c r="D6850" s="118" t="s">
        <v>29</v>
      </c>
      <c r="E6850" s="118"/>
      <c r="F6850" s="118"/>
      <c r="G6850" s="118"/>
      <c r="H6850" s="118" t="s">
        <v>11615</v>
      </c>
      <c r="I6850" s="414">
        <v>45238</v>
      </c>
      <c r="J6850" s="414">
        <v>45448</v>
      </c>
      <c r="K6850" s="415" t="s">
        <v>11627</v>
      </c>
      <c r="L6850" s="118"/>
      <c r="M6850" s="118"/>
      <c r="N6850" s="118"/>
      <c r="O6850" s="118"/>
      <c r="P6850" s="118"/>
      <c r="Q6850" s="118" t="s">
        <v>8129</v>
      </c>
      <c r="R6850" s="118"/>
    </row>
    <row r="6851" spans="2:18" x14ac:dyDescent="0.25">
      <c r="B6851" s="118" t="s">
        <v>2255</v>
      </c>
      <c r="C6851" s="118" t="s">
        <v>11675</v>
      </c>
      <c r="D6851" s="118" t="s">
        <v>29</v>
      </c>
      <c r="E6851" s="118"/>
      <c r="F6851" s="118"/>
      <c r="G6851" s="118"/>
      <c r="H6851" s="118" t="s">
        <v>36</v>
      </c>
      <c r="I6851" s="414">
        <v>40982</v>
      </c>
      <c r="J6851" s="118"/>
      <c r="K6851" s="118"/>
      <c r="L6851" s="118"/>
      <c r="M6851" s="118"/>
      <c r="N6851" s="118"/>
      <c r="O6851" s="118"/>
      <c r="P6851" s="118"/>
      <c r="Q6851" s="118"/>
      <c r="R6851" s="118"/>
    </row>
    <row r="6852" spans="2:18" x14ac:dyDescent="0.25">
      <c r="B6852" s="118" t="s">
        <v>11676</v>
      </c>
      <c r="C6852" s="118" t="s">
        <v>11677</v>
      </c>
      <c r="D6852" s="118" t="s">
        <v>29</v>
      </c>
      <c r="E6852" s="118"/>
      <c r="F6852" s="118"/>
      <c r="G6852" s="118"/>
      <c r="H6852" s="118" t="s">
        <v>36</v>
      </c>
      <c r="I6852" s="415" t="s">
        <v>11678</v>
      </c>
      <c r="J6852" s="414">
        <v>45433</v>
      </c>
      <c r="K6852" s="415" t="s">
        <v>11679</v>
      </c>
      <c r="L6852" s="118"/>
      <c r="M6852" s="118"/>
      <c r="N6852" s="118"/>
      <c r="O6852" s="118"/>
      <c r="P6852" s="118"/>
      <c r="Q6852" s="118"/>
      <c r="R6852" s="118"/>
    </row>
    <row r="6853" spans="2:18" x14ac:dyDescent="0.25">
      <c r="B6853" s="118" t="s">
        <v>11636</v>
      </c>
      <c r="C6853" s="118" t="s">
        <v>11637</v>
      </c>
      <c r="D6853" s="118" t="s">
        <v>29</v>
      </c>
      <c r="E6853" s="118"/>
      <c r="F6853" s="118"/>
      <c r="G6853" s="118"/>
      <c r="H6853" s="118" t="s">
        <v>11615</v>
      </c>
      <c r="I6853" s="415" t="s">
        <v>11680</v>
      </c>
      <c r="J6853" s="414">
        <v>45477</v>
      </c>
      <c r="K6853" s="118" t="s">
        <v>11664</v>
      </c>
      <c r="L6853" s="118"/>
      <c r="M6853" s="118"/>
      <c r="N6853" s="118"/>
      <c r="O6853" s="118"/>
      <c r="P6853" s="118"/>
      <c r="Q6853" s="118" t="s">
        <v>11639</v>
      </c>
      <c r="R6853" s="118"/>
    </row>
    <row r="6854" spans="2:18" x14ac:dyDescent="0.25">
      <c r="B6854" s="118" t="s">
        <v>11640</v>
      </c>
      <c r="C6854" s="118" t="s">
        <v>11641</v>
      </c>
      <c r="D6854" s="118" t="s">
        <v>29</v>
      </c>
      <c r="E6854" s="118"/>
      <c r="F6854" s="118"/>
      <c r="G6854" s="118"/>
      <c r="H6854" s="118" t="s">
        <v>36</v>
      </c>
      <c r="I6854" s="414">
        <v>45398</v>
      </c>
      <c r="J6854" s="414">
        <v>45412</v>
      </c>
      <c r="K6854" s="415" t="s">
        <v>11642</v>
      </c>
      <c r="L6854" s="118"/>
      <c r="M6854" s="118"/>
      <c r="N6854" s="118"/>
      <c r="O6854" s="118"/>
      <c r="P6854" s="118"/>
      <c r="Q6854" s="118"/>
      <c r="R6854" s="118"/>
    </row>
    <row r="6855" spans="2:18" x14ac:dyDescent="0.25">
      <c r="B6855" s="118" t="s">
        <v>11655</v>
      </c>
      <c r="C6855" s="118" t="s">
        <v>11656</v>
      </c>
      <c r="D6855" s="118" t="s">
        <v>29</v>
      </c>
      <c r="E6855" s="118"/>
      <c r="F6855" s="118"/>
      <c r="G6855" s="118"/>
      <c r="H6855" s="118" t="s">
        <v>36</v>
      </c>
      <c r="I6855" s="414">
        <v>40701</v>
      </c>
      <c r="J6855" s="415" t="s">
        <v>11681</v>
      </c>
      <c r="K6855" s="415" t="s">
        <v>11609</v>
      </c>
      <c r="L6855" s="118"/>
      <c r="M6855" s="118"/>
      <c r="N6855" s="118"/>
      <c r="O6855" s="118"/>
      <c r="P6855" s="118"/>
      <c r="Q6855" s="118"/>
      <c r="R6855" s="118"/>
    </row>
    <row r="6856" spans="2:18" x14ac:dyDescent="0.25">
      <c r="B6856" s="118" t="s">
        <v>11682</v>
      </c>
      <c r="C6856" s="118" t="s">
        <v>11683</v>
      </c>
      <c r="D6856" s="118" t="s">
        <v>29</v>
      </c>
      <c r="E6856" s="118"/>
      <c r="F6856" s="118"/>
      <c r="G6856" s="118"/>
      <c r="H6856" s="118" t="s">
        <v>36</v>
      </c>
      <c r="I6856" s="414">
        <v>44462</v>
      </c>
      <c r="J6856" s="118"/>
      <c r="K6856" s="415" t="s">
        <v>11684</v>
      </c>
      <c r="L6856" s="118"/>
      <c r="M6856" s="118"/>
      <c r="N6856" s="118"/>
      <c r="O6856" s="118"/>
      <c r="P6856" s="118"/>
      <c r="Q6856" s="118"/>
      <c r="R6856" s="118"/>
    </row>
    <row r="6857" spans="2:18" x14ac:dyDescent="0.25">
      <c r="M6857" s="237"/>
    </row>
    <row r="6858" spans="2:18" x14ac:dyDescent="0.25">
      <c r="M6858" s="237"/>
    </row>
    <row r="6859" spans="2:18" x14ac:dyDescent="0.25">
      <c r="M6859" s="237"/>
    </row>
    <row r="6860" spans="2:18" x14ac:dyDescent="0.25">
      <c r="M6860" s="237"/>
    </row>
    <row r="6861" spans="2:18" x14ac:dyDescent="0.25">
      <c r="M6861" s="237"/>
    </row>
    <row r="6862" spans="2:18" x14ac:dyDescent="0.25">
      <c r="M6862" s="237"/>
    </row>
    <row r="6863" spans="2:18" x14ac:dyDescent="0.25">
      <c r="M6863" s="237"/>
    </row>
    <row r="6864" spans="2:18" x14ac:dyDescent="0.25">
      <c r="M6864" s="237"/>
    </row>
    <row r="6865" spans="13:13" x14ac:dyDescent="0.25">
      <c r="M6865" s="237"/>
    </row>
    <row r="6866" spans="13:13" x14ac:dyDescent="0.25">
      <c r="M6866" s="237"/>
    </row>
    <row r="6867" spans="13:13" x14ac:dyDescent="0.25">
      <c r="M6867" s="237"/>
    </row>
    <row r="6868" spans="13:13" x14ac:dyDescent="0.25">
      <c r="M6868" s="237"/>
    </row>
    <row r="6869" spans="13:13" x14ac:dyDescent="0.25">
      <c r="M6869" s="237"/>
    </row>
    <row r="6870" spans="13:13" x14ac:dyDescent="0.25">
      <c r="M6870" s="237"/>
    </row>
    <row r="6871" spans="13:13" x14ac:dyDescent="0.25">
      <c r="M6871" s="237"/>
    </row>
    <row r="6872" spans="13:13" x14ac:dyDescent="0.25">
      <c r="M6872" s="237"/>
    </row>
    <row r="6873" spans="13:13" x14ac:dyDescent="0.25">
      <c r="M6873" s="237"/>
    </row>
    <row r="6874" spans="13:13" x14ac:dyDescent="0.25">
      <c r="M6874" s="237"/>
    </row>
    <row r="6875" spans="13:13" x14ac:dyDescent="0.25">
      <c r="M6875" s="237"/>
    </row>
    <row r="6876" spans="13:13" x14ac:dyDescent="0.25">
      <c r="M6876" s="237"/>
    </row>
    <row r="6877" spans="13:13" x14ac:dyDescent="0.25">
      <c r="M6877" s="237"/>
    </row>
    <row r="6878" spans="13:13" x14ac:dyDescent="0.25">
      <c r="M6878" s="237"/>
    </row>
    <row r="6879" spans="13:13" x14ac:dyDescent="0.25">
      <c r="M6879" s="237"/>
    </row>
    <row r="6880" spans="13:13" x14ac:dyDescent="0.25">
      <c r="M6880" s="237"/>
    </row>
    <row r="6881" spans="13:13" x14ac:dyDescent="0.25">
      <c r="M6881" s="237"/>
    </row>
    <row r="6882" spans="13:13" x14ac:dyDescent="0.25">
      <c r="M6882" s="237"/>
    </row>
    <row r="6883" spans="13:13" x14ac:dyDescent="0.25">
      <c r="M6883" s="237"/>
    </row>
    <row r="6884" spans="13:13" x14ac:dyDescent="0.25">
      <c r="M6884" s="237"/>
    </row>
    <row r="6885" spans="13:13" x14ac:dyDescent="0.25">
      <c r="M6885" s="237"/>
    </row>
    <row r="6886" spans="13:13" x14ac:dyDescent="0.25">
      <c r="M6886" s="237"/>
    </row>
    <row r="6887" spans="13:13" x14ac:dyDescent="0.25">
      <c r="M6887" s="237"/>
    </row>
    <row r="6888" spans="13:13" x14ac:dyDescent="0.25">
      <c r="M6888" s="237"/>
    </row>
    <row r="6889" spans="13:13" x14ac:dyDescent="0.25">
      <c r="M6889" s="237"/>
    </row>
    <row r="6890" spans="13:13" x14ac:dyDescent="0.25">
      <c r="M6890" s="237"/>
    </row>
    <row r="6891" spans="13:13" x14ac:dyDescent="0.25">
      <c r="M6891" s="237"/>
    </row>
    <row r="6892" spans="13:13" x14ac:dyDescent="0.25">
      <c r="M6892" s="237"/>
    </row>
    <row r="6893" spans="13:13" x14ac:dyDescent="0.25">
      <c r="M6893" s="237"/>
    </row>
    <row r="6894" spans="13:13" x14ac:dyDescent="0.25">
      <c r="M6894" s="237"/>
    </row>
    <row r="6895" spans="13:13" x14ac:dyDescent="0.25">
      <c r="M6895" s="237"/>
    </row>
    <row r="6896" spans="13:13" x14ac:dyDescent="0.25">
      <c r="M6896" s="237"/>
    </row>
    <row r="6897" spans="13:13" x14ac:dyDescent="0.25">
      <c r="M6897" s="237"/>
    </row>
    <row r="6898" spans="13:13" x14ac:dyDescent="0.25">
      <c r="M6898" s="237"/>
    </row>
    <row r="6899" spans="13:13" x14ac:dyDescent="0.25">
      <c r="M6899" s="237"/>
    </row>
    <row r="6900" spans="13:13" x14ac:dyDescent="0.25">
      <c r="M6900" s="237"/>
    </row>
    <row r="6901" spans="13:13" x14ac:dyDescent="0.25">
      <c r="M6901" s="237"/>
    </row>
    <row r="6902" spans="13:13" x14ac:dyDescent="0.25">
      <c r="M6902" s="237"/>
    </row>
    <row r="6903" spans="13:13" x14ac:dyDescent="0.25">
      <c r="M6903" s="237"/>
    </row>
    <row r="6904" spans="13:13" x14ac:dyDescent="0.25">
      <c r="M6904" s="237"/>
    </row>
    <row r="6905" spans="13:13" x14ac:dyDescent="0.25">
      <c r="M6905" s="237"/>
    </row>
    <row r="6906" spans="13:13" x14ac:dyDescent="0.25">
      <c r="M6906" s="237"/>
    </row>
    <row r="6907" spans="13:13" x14ac:dyDescent="0.25">
      <c r="M6907" s="237"/>
    </row>
    <row r="6908" spans="13:13" x14ac:dyDescent="0.25">
      <c r="M6908" s="237"/>
    </row>
    <row r="6909" spans="13:13" x14ac:dyDescent="0.25">
      <c r="M6909" s="237"/>
    </row>
    <row r="6910" spans="13:13" x14ac:dyDescent="0.25">
      <c r="M6910" s="237"/>
    </row>
    <row r="6911" spans="13:13" x14ac:dyDescent="0.25">
      <c r="M6911" s="237"/>
    </row>
    <row r="6912" spans="13:13" x14ac:dyDescent="0.25">
      <c r="M6912" s="237"/>
    </row>
    <row r="6913" spans="13:13" x14ac:dyDescent="0.25">
      <c r="M6913" s="237"/>
    </row>
    <row r="6914" spans="13:13" x14ac:dyDescent="0.25">
      <c r="M6914" s="237"/>
    </row>
    <row r="6915" spans="13:13" x14ac:dyDescent="0.25">
      <c r="M6915" s="237"/>
    </row>
    <row r="6916" spans="13:13" x14ac:dyDescent="0.25">
      <c r="M6916" s="237"/>
    </row>
    <row r="6917" spans="13:13" x14ac:dyDescent="0.25">
      <c r="M6917" s="237"/>
    </row>
    <row r="6918" spans="13:13" x14ac:dyDescent="0.25">
      <c r="M6918" s="237"/>
    </row>
    <row r="6919" spans="13:13" x14ac:dyDescent="0.25">
      <c r="M6919" s="237"/>
    </row>
    <row r="6920" spans="13:13" x14ac:dyDescent="0.25">
      <c r="M6920" s="237"/>
    </row>
    <row r="6921" spans="13:13" x14ac:dyDescent="0.25">
      <c r="M6921" s="237"/>
    </row>
    <row r="6922" spans="13:13" x14ac:dyDescent="0.25">
      <c r="M6922" s="237"/>
    </row>
    <row r="6923" spans="13:13" x14ac:dyDescent="0.25">
      <c r="M6923" s="237"/>
    </row>
    <row r="6924" spans="13:13" x14ac:dyDescent="0.25">
      <c r="M6924" s="237"/>
    </row>
    <row r="6925" spans="13:13" x14ac:dyDescent="0.25">
      <c r="M6925" s="237"/>
    </row>
    <row r="6926" spans="13:13" x14ac:dyDescent="0.25">
      <c r="M6926" s="237"/>
    </row>
    <row r="6927" spans="13:13" x14ac:dyDescent="0.25">
      <c r="M6927" s="237"/>
    </row>
    <row r="6928" spans="13:13" x14ac:dyDescent="0.25">
      <c r="M6928" s="237"/>
    </row>
    <row r="6929" spans="13:13" x14ac:dyDescent="0.25">
      <c r="M6929" s="237"/>
    </row>
    <row r="6930" spans="13:13" x14ac:dyDescent="0.25">
      <c r="M6930" s="237"/>
    </row>
    <row r="6931" spans="13:13" x14ac:dyDescent="0.25">
      <c r="M6931" s="237"/>
    </row>
    <row r="6932" spans="13:13" x14ac:dyDescent="0.25">
      <c r="M6932" s="237"/>
    </row>
    <row r="6933" spans="13:13" x14ac:dyDescent="0.25">
      <c r="M6933" s="237"/>
    </row>
    <row r="6934" spans="13:13" x14ac:dyDescent="0.25">
      <c r="M6934" s="237"/>
    </row>
    <row r="6935" spans="13:13" x14ac:dyDescent="0.25">
      <c r="M6935" s="237"/>
    </row>
    <row r="6936" spans="13:13" x14ac:dyDescent="0.25">
      <c r="M6936" s="237"/>
    </row>
    <row r="6937" spans="13:13" x14ac:dyDescent="0.25">
      <c r="M6937" s="237"/>
    </row>
    <row r="6938" spans="13:13" x14ac:dyDescent="0.25">
      <c r="M6938" s="237"/>
    </row>
    <row r="6939" spans="13:13" x14ac:dyDescent="0.25">
      <c r="M6939" s="237"/>
    </row>
    <row r="6940" spans="13:13" x14ac:dyDescent="0.25">
      <c r="M6940" s="237"/>
    </row>
    <row r="6941" spans="13:13" x14ac:dyDescent="0.25">
      <c r="M6941" s="237"/>
    </row>
    <row r="6942" spans="13:13" x14ac:dyDescent="0.25">
      <c r="M6942" s="237"/>
    </row>
    <row r="6943" spans="13:13" x14ac:dyDescent="0.25">
      <c r="M6943" s="237"/>
    </row>
    <row r="6944" spans="13:13" x14ac:dyDescent="0.25">
      <c r="M6944" s="237"/>
    </row>
    <row r="6945" spans="13:13" x14ac:dyDescent="0.25">
      <c r="M6945" s="237"/>
    </row>
    <row r="6946" spans="13:13" x14ac:dyDescent="0.25">
      <c r="M6946" s="237"/>
    </row>
    <row r="6947" spans="13:13" x14ac:dyDescent="0.25">
      <c r="M6947" s="237"/>
    </row>
    <row r="6948" spans="13:13" x14ac:dyDescent="0.25">
      <c r="M6948" s="237"/>
    </row>
    <row r="6949" spans="13:13" x14ac:dyDescent="0.25">
      <c r="M6949" s="237"/>
    </row>
    <row r="6950" spans="13:13" x14ac:dyDescent="0.25">
      <c r="M6950" s="237"/>
    </row>
    <row r="6951" spans="13:13" x14ac:dyDescent="0.25">
      <c r="M6951" s="237"/>
    </row>
    <row r="6952" spans="13:13" x14ac:dyDescent="0.25">
      <c r="M6952" s="237"/>
    </row>
    <row r="6953" spans="13:13" x14ac:dyDescent="0.25">
      <c r="M6953" s="237"/>
    </row>
    <row r="6954" spans="13:13" x14ac:dyDescent="0.25">
      <c r="M6954" s="237"/>
    </row>
    <row r="6955" spans="13:13" x14ac:dyDescent="0.25">
      <c r="M6955" s="237"/>
    </row>
    <row r="6956" spans="13:13" x14ac:dyDescent="0.25">
      <c r="M6956" s="237"/>
    </row>
    <row r="6957" spans="13:13" x14ac:dyDescent="0.25">
      <c r="M6957" s="237"/>
    </row>
    <row r="6958" spans="13:13" x14ac:dyDescent="0.25">
      <c r="M6958" s="237"/>
    </row>
    <row r="6959" spans="13:13" x14ac:dyDescent="0.25">
      <c r="M6959" s="237"/>
    </row>
    <row r="6960" spans="13:13" x14ac:dyDescent="0.25">
      <c r="M6960" s="237"/>
    </row>
    <row r="6961" spans="13:13" x14ac:dyDescent="0.25">
      <c r="M6961" s="237"/>
    </row>
    <row r="6962" spans="13:13" x14ac:dyDescent="0.25">
      <c r="M6962" s="237"/>
    </row>
    <row r="6963" spans="13:13" x14ac:dyDescent="0.25">
      <c r="M6963" s="237"/>
    </row>
    <row r="6964" spans="13:13" x14ac:dyDescent="0.25">
      <c r="M6964" s="237"/>
    </row>
    <row r="6965" spans="13:13" x14ac:dyDescent="0.25">
      <c r="M6965" s="237"/>
    </row>
    <row r="6966" spans="13:13" x14ac:dyDescent="0.25">
      <c r="M6966" s="237"/>
    </row>
    <row r="6967" spans="13:13" x14ac:dyDescent="0.25">
      <c r="M6967" s="237"/>
    </row>
    <row r="6968" spans="13:13" x14ac:dyDescent="0.25">
      <c r="M6968" s="237"/>
    </row>
    <row r="6969" spans="13:13" x14ac:dyDescent="0.25">
      <c r="M6969" s="237"/>
    </row>
    <row r="6970" spans="13:13" x14ac:dyDescent="0.25">
      <c r="M6970" s="237"/>
    </row>
    <row r="6971" spans="13:13" x14ac:dyDescent="0.25">
      <c r="M6971" s="237"/>
    </row>
    <row r="6972" spans="13:13" x14ac:dyDescent="0.25">
      <c r="M6972" s="237"/>
    </row>
    <row r="6973" spans="13:13" x14ac:dyDescent="0.25">
      <c r="M6973" s="237"/>
    </row>
    <row r="6974" spans="13:13" x14ac:dyDescent="0.25">
      <c r="M6974" s="237"/>
    </row>
    <row r="6975" spans="13:13" x14ac:dyDescent="0.25">
      <c r="M6975" s="237"/>
    </row>
    <row r="6976" spans="13:13" x14ac:dyDescent="0.25">
      <c r="M6976" s="237"/>
    </row>
    <row r="6977" spans="13:13" x14ac:dyDescent="0.25">
      <c r="M6977" s="237"/>
    </row>
    <row r="6978" spans="13:13" x14ac:dyDescent="0.25">
      <c r="M6978" s="237"/>
    </row>
    <row r="6979" spans="13:13" x14ac:dyDescent="0.25">
      <c r="M6979" s="237"/>
    </row>
    <row r="6980" spans="13:13" x14ac:dyDescent="0.25">
      <c r="M6980" s="237"/>
    </row>
    <row r="6981" spans="13:13" x14ac:dyDescent="0.25">
      <c r="M6981" s="237"/>
    </row>
    <row r="6982" spans="13:13" x14ac:dyDescent="0.25">
      <c r="M6982" s="237"/>
    </row>
    <row r="6983" spans="13:13" x14ac:dyDescent="0.25">
      <c r="M6983" s="237"/>
    </row>
    <row r="6984" spans="13:13" x14ac:dyDescent="0.25">
      <c r="M6984" s="237"/>
    </row>
    <row r="6985" spans="13:13" x14ac:dyDescent="0.25">
      <c r="M6985" s="237"/>
    </row>
    <row r="6986" spans="13:13" x14ac:dyDescent="0.25">
      <c r="M6986" s="237"/>
    </row>
    <row r="6987" spans="13:13" x14ac:dyDescent="0.25">
      <c r="M6987" s="237"/>
    </row>
    <row r="6988" spans="13:13" x14ac:dyDescent="0.25">
      <c r="M6988" s="237"/>
    </row>
    <row r="6989" spans="13:13" x14ac:dyDescent="0.25">
      <c r="M6989" s="237"/>
    </row>
    <row r="6990" spans="13:13" x14ac:dyDescent="0.25">
      <c r="M6990" s="237"/>
    </row>
    <row r="6991" spans="13:13" x14ac:dyDescent="0.25">
      <c r="M6991" s="237"/>
    </row>
    <row r="6992" spans="13:13" x14ac:dyDescent="0.25">
      <c r="M6992" s="237"/>
    </row>
    <row r="6993" spans="13:13" x14ac:dyDescent="0.25">
      <c r="M6993" s="237"/>
    </row>
    <row r="6994" spans="13:13" x14ac:dyDescent="0.25">
      <c r="M6994" s="237"/>
    </row>
    <row r="6995" spans="13:13" x14ac:dyDescent="0.25">
      <c r="M6995" s="237"/>
    </row>
    <row r="6996" spans="13:13" x14ac:dyDescent="0.25">
      <c r="M6996" s="237"/>
    </row>
    <row r="6997" spans="13:13" x14ac:dyDescent="0.25">
      <c r="M6997" s="237"/>
    </row>
    <row r="6998" spans="13:13" x14ac:dyDescent="0.25">
      <c r="M6998" s="237"/>
    </row>
    <row r="6999" spans="13:13" x14ac:dyDescent="0.25">
      <c r="M6999" s="237"/>
    </row>
    <row r="7000" spans="13:13" x14ac:dyDescent="0.25">
      <c r="M7000" s="237"/>
    </row>
    <row r="7001" spans="13:13" x14ac:dyDescent="0.25">
      <c r="M7001" s="237"/>
    </row>
    <row r="7002" spans="13:13" x14ac:dyDescent="0.25">
      <c r="M7002" s="237"/>
    </row>
    <row r="7003" spans="13:13" x14ac:dyDescent="0.25">
      <c r="M7003" s="237"/>
    </row>
    <row r="7004" spans="13:13" x14ac:dyDescent="0.25">
      <c r="M7004" s="237"/>
    </row>
    <row r="7005" spans="13:13" x14ac:dyDescent="0.25">
      <c r="M7005" s="237"/>
    </row>
    <row r="7006" spans="13:13" x14ac:dyDescent="0.25">
      <c r="M7006" s="237"/>
    </row>
    <row r="7007" spans="13:13" x14ac:dyDescent="0.25">
      <c r="M7007" s="237"/>
    </row>
    <row r="7008" spans="13:13" x14ac:dyDescent="0.25">
      <c r="M7008" s="237"/>
    </row>
    <row r="7009" spans="13:13" x14ac:dyDescent="0.25">
      <c r="M7009" s="237"/>
    </row>
    <row r="7010" spans="13:13" x14ac:dyDescent="0.25">
      <c r="M7010" s="237"/>
    </row>
    <row r="7011" spans="13:13" x14ac:dyDescent="0.25">
      <c r="M7011" s="237"/>
    </row>
    <row r="7012" spans="13:13" x14ac:dyDescent="0.25">
      <c r="M7012" s="237"/>
    </row>
    <row r="7013" spans="13:13" x14ac:dyDescent="0.25">
      <c r="M7013" s="237"/>
    </row>
    <row r="7014" spans="13:13" x14ac:dyDescent="0.25">
      <c r="M7014" s="237"/>
    </row>
    <row r="7015" spans="13:13" x14ac:dyDescent="0.25">
      <c r="M7015" s="237"/>
    </row>
    <row r="7016" spans="13:13" x14ac:dyDescent="0.25">
      <c r="M7016" s="237"/>
    </row>
    <row r="7017" spans="13:13" x14ac:dyDescent="0.25">
      <c r="M7017" s="237"/>
    </row>
    <row r="7018" spans="13:13" x14ac:dyDescent="0.25">
      <c r="M7018" s="237"/>
    </row>
    <row r="7019" spans="13:13" x14ac:dyDescent="0.25">
      <c r="M7019" s="237"/>
    </row>
    <row r="7020" spans="13:13" x14ac:dyDescent="0.25">
      <c r="M7020" s="237"/>
    </row>
    <row r="7021" spans="13:13" x14ac:dyDescent="0.25">
      <c r="M7021" s="237"/>
    </row>
    <row r="7022" spans="13:13" x14ac:dyDescent="0.25">
      <c r="M7022" s="237"/>
    </row>
    <row r="7023" spans="13:13" x14ac:dyDescent="0.25">
      <c r="M7023" s="237"/>
    </row>
    <row r="7024" spans="13:13" x14ac:dyDescent="0.25">
      <c r="M7024" s="237"/>
    </row>
    <row r="7025" spans="13:13" x14ac:dyDescent="0.25">
      <c r="M7025" s="237"/>
    </row>
    <row r="7026" spans="13:13" x14ac:dyDescent="0.25">
      <c r="M7026" s="237"/>
    </row>
    <row r="7027" spans="13:13" x14ac:dyDescent="0.25">
      <c r="M7027" s="237"/>
    </row>
    <row r="7028" spans="13:13" x14ac:dyDescent="0.25">
      <c r="M7028" s="237"/>
    </row>
    <row r="7029" spans="13:13" x14ac:dyDescent="0.25">
      <c r="M7029" s="237"/>
    </row>
    <row r="7030" spans="13:13" x14ac:dyDescent="0.25">
      <c r="M7030" s="237"/>
    </row>
    <row r="7031" spans="13:13" x14ac:dyDescent="0.25">
      <c r="M7031" s="237"/>
    </row>
    <row r="7032" spans="13:13" x14ac:dyDescent="0.25">
      <c r="M7032" s="237"/>
    </row>
    <row r="7033" spans="13:13" x14ac:dyDescent="0.25">
      <c r="M7033" s="237"/>
    </row>
    <row r="7034" spans="13:13" x14ac:dyDescent="0.25">
      <c r="M7034" s="237"/>
    </row>
    <row r="7035" spans="13:13" x14ac:dyDescent="0.25">
      <c r="M7035" s="237"/>
    </row>
    <row r="7036" spans="13:13" x14ac:dyDescent="0.25">
      <c r="M7036" s="237"/>
    </row>
    <row r="7037" spans="13:13" x14ac:dyDescent="0.25">
      <c r="M7037" s="237"/>
    </row>
    <row r="7038" spans="13:13" x14ac:dyDescent="0.25">
      <c r="M7038" s="237"/>
    </row>
    <row r="7039" spans="13:13" x14ac:dyDescent="0.25">
      <c r="M7039" s="237"/>
    </row>
    <row r="7040" spans="13:13" x14ac:dyDescent="0.25">
      <c r="M7040" s="237"/>
    </row>
    <row r="7041" spans="13:13" x14ac:dyDescent="0.25">
      <c r="M7041" s="237"/>
    </row>
    <row r="7042" spans="13:13" x14ac:dyDescent="0.25">
      <c r="M7042" s="237"/>
    </row>
    <row r="7043" spans="13:13" x14ac:dyDescent="0.25">
      <c r="M7043" s="237"/>
    </row>
    <row r="7044" spans="13:13" x14ac:dyDescent="0.25">
      <c r="M7044" s="237"/>
    </row>
    <row r="7045" spans="13:13" x14ac:dyDescent="0.25">
      <c r="M7045" s="237"/>
    </row>
    <row r="7046" spans="13:13" x14ac:dyDescent="0.25">
      <c r="M7046" s="237"/>
    </row>
    <row r="7047" spans="13:13" x14ac:dyDescent="0.25">
      <c r="M7047" s="237"/>
    </row>
    <row r="7048" spans="13:13" x14ac:dyDescent="0.25">
      <c r="M7048" s="237"/>
    </row>
    <row r="7049" spans="13:13" x14ac:dyDescent="0.25">
      <c r="M7049" s="237"/>
    </row>
    <row r="7050" spans="13:13" x14ac:dyDescent="0.25">
      <c r="M7050" s="237"/>
    </row>
    <row r="7051" spans="13:13" x14ac:dyDescent="0.25">
      <c r="M7051" s="237"/>
    </row>
    <row r="7052" spans="13:13" x14ac:dyDescent="0.25">
      <c r="M7052" s="237"/>
    </row>
    <row r="7053" spans="13:13" x14ac:dyDescent="0.25">
      <c r="M7053" s="237"/>
    </row>
    <row r="7054" spans="13:13" x14ac:dyDescent="0.25">
      <c r="M7054" s="237"/>
    </row>
    <row r="7055" spans="13:13" x14ac:dyDescent="0.25">
      <c r="M7055" s="237"/>
    </row>
    <row r="7056" spans="13:13" x14ac:dyDescent="0.25">
      <c r="M7056" s="237"/>
    </row>
    <row r="7057" spans="13:13" x14ac:dyDescent="0.25">
      <c r="M7057" s="237"/>
    </row>
    <row r="7058" spans="13:13" x14ac:dyDescent="0.25">
      <c r="M7058" s="237"/>
    </row>
    <row r="7059" spans="13:13" x14ac:dyDescent="0.25">
      <c r="M7059" s="237"/>
    </row>
    <row r="7060" spans="13:13" x14ac:dyDescent="0.25">
      <c r="M7060" s="237"/>
    </row>
    <row r="7061" spans="13:13" x14ac:dyDescent="0.25">
      <c r="M7061" s="237"/>
    </row>
    <row r="7062" spans="13:13" x14ac:dyDescent="0.25">
      <c r="M7062" s="237"/>
    </row>
    <row r="7063" spans="13:13" x14ac:dyDescent="0.25">
      <c r="M7063" s="237"/>
    </row>
    <row r="7064" spans="13:13" x14ac:dyDescent="0.25">
      <c r="M7064" s="237"/>
    </row>
    <row r="7065" spans="13:13" x14ac:dyDescent="0.25">
      <c r="M7065" s="237"/>
    </row>
    <row r="7066" spans="13:13" x14ac:dyDescent="0.25">
      <c r="M7066" s="237"/>
    </row>
    <row r="7067" spans="13:13" x14ac:dyDescent="0.25">
      <c r="M7067" s="237"/>
    </row>
    <row r="7068" spans="13:13" x14ac:dyDescent="0.25">
      <c r="M7068" s="237"/>
    </row>
    <row r="7069" spans="13:13" x14ac:dyDescent="0.25">
      <c r="M7069" s="237"/>
    </row>
    <row r="7070" spans="13:13" x14ac:dyDescent="0.25">
      <c r="M7070" s="237"/>
    </row>
    <row r="7071" spans="13:13" x14ac:dyDescent="0.25">
      <c r="M7071" s="237"/>
    </row>
    <row r="7072" spans="13:13" x14ac:dyDescent="0.25">
      <c r="M7072" s="237"/>
    </row>
    <row r="7073" spans="13:13" x14ac:dyDescent="0.25">
      <c r="M7073" s="237"/>
    </row>
    <row r="7074" spans="13:13" x14ac:dyDescent="0.25">
      <c r="M7074" s="237"/>
    </row>
    <row r="7075" spans="13:13" x14ac:dyDescent="0.25">
      <c r="M7075" s="237"/>
    </row>
    <row r="7076" spans="13:13" x14ac:dyDescent="0.25">
      <c r="M7076" s="237"/>
    </row>
    <row r="7077" spans="13:13" x14ac:dyDescent="0.25">
      <c r="M7077" s="237"/>
    </row>
    <row r="7078" spans="13:13" x14ac:dyDescent="0.25">
      <c r="M7078" s="237"/>
    </row>
    <row r="7079" spans="13:13" x14ac:dyDescent="0.25">
      <c r="M7079" s="237"/>
    </row>
    <row r="7080" spans="13:13" x14ac:dyDescent="0.25">
      <c r="M7080" s="237"/>
    </row>
    <row r="7081" spans="13:13" x14ac:dyDescent="0.25">
      <c r="M7081" s="237"/>
    </row>
    <row r="7082" spans="13:13" x14ac:dyDescent="0.25">
      <c r="M7082" s="237"/>
    </row>
    <row r="7083" spans="13:13" x14ac:dyDescent="0.25">
      <c r="M7083" s="237"/>
    </row>
    <row r="7084" spans="13:13" x14ac:dyDescent="0.25">
      <c r="M7084" s="237"/>
    </row>
    <row r="7085" spans="13:13" x14ac:dyDescent="0.25">
      <c r="M7085" s="237"/>
    </row>
    <row r="7086" spans="13:13" x14ac:dyDescent="0.25">
      <c r="M7086" s="237"/>
    </row>
    <row r="7087" spans="13:13" x14ac:dyDescent="0.25">
      <c r="M7087" s="237"/>
    </row>
    <row r="7088" spans="13:13" x14ac:dyDescent="0.25">
      <c r="M7088" s="237"/>
    </row>
    <row r="7089" spans="13:13" x14ac:dyDescent="0.25">
      <c r="M7089" s="237"/>
    </row>
    <row r="7090" spans="13:13" x14ac:dyDescent="0.25">
      <c r="M7090" s="237"/>
    </row>
    <row r="7091" spans="13:13" x14ac:dyDescent="0.25">
      <c r="M7091" s="237"/>
    </row>
    <row r="7092" spans="13:13" x14ac:dyDescent="0.25">
      <c r="M7092" s="237"/>
    </row>
    <row r="7093" spans="13:13" x14ac:dyDescent="0.25">
      <c r="M7093" s="237"/>
    </row>
    <row r="7094" spans="13:13" x14ac:dyDescent="0.25">
      <c r="M7094" s="237"/>
    </row>
    <row r="7095" spans="13:13" x14ac:dyDescent="0.25">
      <c r="M7095" s="237"/>
    </row>
    <row r="7096" spans="13:13" x14ac:dyDescent="0.25">
      <c r="M7096" s="237"/>
    </row>
    <row r="7097" spans="13:13" x14ac:dyDescent="0.25">
      <c r="M7097" s="237"/>
    </row>
    <row r="7098" spans="13:13" x14ac:dyDescent="0.25">
      <c r="M7098" s="237"/>
    </row>
    <row r="7099" spans="13:13" x14ac:dyDescent="0.25">
      <c r="M7099" s="237"/>
    </row>
    <row r="7100" spans="13:13" x14ac:dyDescent="0.25">
      <c r="M7100" s="237"/>
    </row>
    <row r="7101" spans="13:13" x14ac:dyDescent="0.25">
      <c r="M7101" s="237"/>
    </row>
    <row r="7102" spans="13:13" x14ac:dyDescent="0.25">
      <c r="M7102" s="237"/>
    </row>
    <row r="7103" spans="13:13" x14ac:dyDescent="0.25">
      <c r="M7103" s="237"/>
    </row>
    <row r="7104" spans="13:13" x14ac:dyDescent="0.25">
      <c r="M7104" s="237"/>
    </row>
    <row r="7105" spans="13:13" x14ac:dyDescent="0.25">
      <c r="M7105" s="237"/>
    </row>
    <row r="7106" spans="13:13" x14ac:dyDescent="0.25">
      <c r="M7106" s="237"/>
    </row>
    <row r="7107" spans="13:13" x14ac:dyDescent="0.25">
      <c r="M7107" s="237"/>
    </row>
    <row r="7108" spans="13:13" x14ac:dyDescent="0.25">
      <c r="M7108" s="237"/>
    </row>
    <row r="7109" spans="13:13" x14ac:dyDescent="0.25">
      <c r="M7109" s="237"/>
    </row>
    <row r="7110" spans="13:13" x14ac:dyDescent="0.25">
      <c r="M7110" s="237"/>
    </row>
    <row r="7111" spans="13:13" x14ac:dyDescent="0.25">
      <c r="M7111" s="237"/>
    </row>
    <row r="7112" spans="13:13" x14ac:dyDescent="0.25">
      <c r="M7112" s="237"/>
    </row>
    <row r="7113" spans="13:13" x14ac:dyDescent="0.25">
      <c r="M7113" s="237"/>
    </row>
    <row r="7114" spans="13:13" x14ac:dyDescent="0.25">
      <c r="M7114" s="237"/>
    </row>
    <row r="7115" spans="13:13" x14ac:dyDescent="0.25">
      <c r="M7115" s="237"/>
    </row>
    <row r="7116" spans="13:13" x14ac:dyDescent="0.25">
      <c r="M7116" s="237"/>
    </row>
    <row r="7117" spans="13:13" x14ac:dyDescent="0.25">
      <c r="M7117" s="237"/>
    </row>
    <row r="7118" spans="13:13" x14ac:dyDescent="0.25">
      <c r="M7118" s="237"/>
    </row>
    <row r="7119" spans="13:13" x14ac:dyDescent="0.25">
      <c r="M7119" s="237"/>
    </row>
    <row r="7120" spans="13:13" x14ac:dyDescent="0.25">
      <c r="M7120" s="237"/>
    </row>
    <row r="7121" spans="13:13" x14ac:dyDescent="0.25">
      <c r="M7121" s="237"/>
    </row>
    <row r="7122" spans="13:13" x14ac:dyDescent="0.25">
      <c r="M7122" s="237"/>
    </row>
    <row r="7123" spans="13:13" x14ac:dyDescent="0.25">
      <c r="M7123" s="237"/>
    </row>
    <row r="7124" spans="13:13" x14ac:dyDescent="0.25">
      <c r="M7124" s="237"/>
    </row>
    <row r="7125" spans="13:13" x14ac:dyDescent="0.25">
      <c r="M7125" s="237"/>
    </row>
    <row r="7126" spans="13:13" x14ac:dyDescent="0.25">
      <c r="M7126" s="237"/>
    </row>
    <row r="7127" spans="13:13" x14ac:dyDescent="0.25">
      <c r="M7127" s="237"/>
    </row>
    <row r="7128" spans="13:13" x14ac:dyDescent="0.25">
      <c r="M7128" s="237"/>
    </row>
    <row r="7129" spans="13:13" x14ac:dyDescent="0.25">
      <c r="M7129" s="237"/>
    </row>
    <row r="7130" spans="13:13" x14ac:dyDescent="0.25">
      <c r="M7130" s="237"/>
    </row>
    <row r="7131" spans="13:13" x14ac:dyDescent="0.25">
      <c r="M7131" s="237"/>
    </row>
    <row r="7132" spans="13:13" x14ac:dyDescent="0.25">
      <c r="M7132" s="237"/>
    </row>
    <row r="7133" spans="13:13" x14ac:dyDescent="0.25">
      <c r="M7133" s="237"/>
    </row>
    <row r="7134" spans="13:13" x14ac:dyDescent="0.25">
      <c r="M7134" s="237"/>
    </row>
    <row r="7135" spans="13:13" x14ac:dyDescent="0.25">
      <c r="M7135" s="237"/>
    </row>
    <row r="7136" spans="13:13" x14ac:dyDescent="0.25">
      <c r="M7136" s="237"/>
    </row>
    <row r="7137" spans="13:13" x14ac:dyDescent="0.25">
      <c r="M7137" s="237"/>
    </row>
    <row r="7138" spans="13:13" x14ac:dyDescent="0.25">
      <c r="M7138" s="237"/>
    </row>
    <row r="7139" spans="13:13" x14ac:dyDescent="0.25">
      <c r="M7139" s="237"/>
    </row>
    <row r="7140" spans="13:13" x14ac:dyDescent="0.25">
      <c r="M7140" s="237"/>
    </row>
    <row r="7141" spans="13:13" x14ac:dyDescent="0.25">
      <c r="M7141" s="237"/>
    </row>
    <row r="7142" spans="13:13" x14ac:dyDescent="0.25">
      <c r="M7142" s="237"/>
    </row>
    <row r="7143" spans="13:13" x14ac:dyDescent="0.25">
      <c r="M7143" s="237"/>
    </row>
    <row r="7144" spans="13:13" x14ac:dyDescent="0.25">
      <c r="M7144" s="237"/>
    </row>
    <row r="7145" spans="13:13" x14ac:dyDescent="0.25">
      <c r="M7145" s="237"/>
    </row>
    <row r="7146" spans="13:13" x14ac:dyDescent="0.25">
      <c r="M7146" s="237"/>
    </row>
    <row r="7147" spans="13:13" x14ac:dyDescent="0.25">
      <c r="M7147" s="237"/>
    </row>
    <row r="7148" spans="13:13" x14ac:dyDescent="0.25">
      <c r="M7148" s="237"/>
    </row>
    <row r="7149" spans="13:13" x14ac:dyDescent="0.25">
      <c r="M7149" s="237"/>
    </row>
    <row r="7150" spans="13:13" x14ac:dyDescent="0.25">
      <c r="M7150" s="237"/>
    </row>
    <row r="7151" spans="13:13" x14ac:dyDescent="0.25">
      <c r="M7151" s="237"/>
    </row>
    <row r="7152" spans="13:13" x14ac:dyDescent="0.25">
      <c r="M7152" s="237"/>
    </row>
    <row r="7153" spans="13:13" x14ac:dyDescent="0.25">
      <c r="M7153" s="237"/>
    </row>
    <row r="7154" spans="13:13" x14ac:dyDescent="0.25">
      <c r="M7154" s="237"/>
    </row>
    <row r="7155" spans="13:13" x14ac:dyDescent="0.25">
      <c r="M7155" s="237"/>
    </row>
    <row r="7156" spans="13:13" x14ac:dyDescent="0.25">
      <c r="M7156" s="237"/>
    </row>
    <row r="7157" spans="13:13" x14ac:dyDescent="0.25">
      <c r="M7157" s="237"/>
    </row>
    <row r="7158" spans="13:13" x14ac:dyDescent="0.25">
      <c r="M7158" s="237"/>
    </row>
    <row r="7159" spans="13:13" x14ac:dyDescent="0.25">
      <c r="M7159" s="237"/>
    </row>
    <row r="7160" spans="13:13" x14ac:dyDescent="0.25">
      <c r="M7160" s="237"/>
    </row>
    <row r="7161" spans="13:13" x14ac:dyDescent="0.25">
      <c r="M7161" s="237"/>
    </row>
    <row r="7162" spans="13:13" x14ac:dyDescent="0.25">
      <c r="M7162" s="237"/>
    </row>
    <row r="7163" spans="13:13" x14ac:dyDescent="0.25">
      <c r="M7163" s="237"/>
    </row>
    <row r="7164" spans="13:13" x14ac:dyDescent="0.25">
      <c r="M7164" s="237"/>
    </row>
    <row r="7165" spans="13:13" x14ac:dyDescent="0.25">
      <c r="M7165" s="237"/>
    </row>
    <row r="7166" spans="13:13" x14ac:dyDescent="0.25">
      <c r="M7166" s="237"/>
    </row>
    <row r="7167" spans="13:13" x14ac:dyDescent="0.25">
      <c r="M7167" s="237"/>
    </row>
    <row r="7168" spans="13:13" x14ac:dyDescent="0.25">
      <c r="M7168" s="237"/>
    </row>
    <row r="7169" spans="13:13" x14ac:dyDescent="0.25">
      <c r="M7169" s="237"/>
    </row>
    <row r="7170" spans="13:13" x14ac:dyDescent="0.25">
      <c r="M7170" s="237"/>
    </row>
    <row r="7171" spans="13:13" x14ac:dyDescent="0.25">
      <c r="M7171" s="237"/>
    </row>
    <row r="7172" spans="13:13" x14ac:dyDescent="0.25">
      <c r="M7172" s="237"/>
    </row>
    <row r="7173" spans="13:13" x14ac:dyDescent="0.25">
      <c r="M7173" s="237"/>
    </row>
    <row r="7174" spans="13:13" x14ac:dyDescent="0.25">
      <c r="M7174" s="237"/>
    </row>
    <row r="7175" spans="13:13" x14ac:dyDescent="0.25">
      <c r="M7175" s="237"/>
    </row>
    <row r="7176" spans="13:13" x14ac:dyDescent="0.25">
      <c r="M7176" s="237"/>
    </row>
    <row r="7177" spans="13:13" x14ac:dyDescent="0.25">
      <c r="M7177" s="237"/>
    </row>
    <row r="7178" spans="13:13" x14ac:dyDescent="0.25">
      <c r="M7178" s="237"/>
    </row>
    <row r="7179" spans="13:13" x14ac:dyDescent="0.25">
      <c r="M7179" s="237"/>
    </row>
    <row r="7180" spans="13:13" x14ac:dyDescent="0.25">
      <c r="M7180" s="237"/>
    </row>
    <row r="7181" spans="13:13" x14ac:dyDescent="0.25">
      <c r="M7181" s="237"/>
    </row>
    <row r="7182" spans="13:13" x14ac:dyDescent="0.25">
      <c r="M7182" s="237"/>
    </row>
    <row r="7183" spans="13:13" x14ac:dyDescent="0.25">
      <c r="M7183" s="237"/>
    </row>
    <row r="7184" spans="13:13" x14ac:dyDescent="0.25">
      <c r="M7184" s="237"/>
    </row>
    <row r="7185" spans="13:13" x14ac:dyDescent="0.25">
      <c r="M7185" s="237"/>
    </row>
    <row r="7186" spans="13:13" x14ac:dyDescent="0.25">
      <c r="M7186" s="237"/>
    </row>
    <row r="7187" spans="13:13" x14ac:dyDescent="0.25">
      <c r="M7187" s="237"/>
    </row>
    <row r="7188" spans="13:13" x14ac:dyDescent="0.25">
      <c r="M7188" s="237"/>
    </row>
    <row r="7189" spans="13:13" x14ac:dyDescent="0.25">
      <c r="M7189" s="237"/>
    </row>
    <row r="7190" spans="13:13" x14ac:dyDescent="0.25">
      <c r="M7190" s="237"/>
    </row>
    <row r="7191" spans="13:13" x14ac:dyDescent="0.25">
      <c r="M7191" s="237"/>
    </row>
    <row r="7192" spans="13:13" x14ac:dyDescent="0.25">
      <c r="M7192" s="237"/>
    </row>
    <row r="7193" spans="13:13" x14ac:dyDescent="0.25">
      <c r="M7193" s="237"/>
    </row>
    <row r="7194" spans="13:13" x14ac:dyDescent="0.25">
      <c r="M7194" s="237"/>
    </row>
    <row r="7195" spans="13:13" x14ac:dyDescent="0.25">
      <c r="M7195" s="237"/>
    </row>
    <row r="7196" spans="13:13" x14ac:dyDescent="0.25">
      <c r="M7196" s="237"/>
    </row>
    <row r="7197" spans="13:13" x14ac:dyDescent="0.25">
      <c r="M7197" s="237"/>
    </row>
    <row r="7198" spans="13:13" x14ac:dyDescent="0.25">
      <c r="M7198" s="237"/>
    </row>
    <row r="7199" spans="13:13" x14ac:dyDescent="0.25">
      <c r="M7199" s="237"/>
    </row>
    <row r="7200" spans="13:13" x14ac:dyDescent="0.25">
      <c r="M7200" s="237"/>
    </row>
    <row r="7201" spans="13:13" x14ac:dyDescent="0.25">
      <c r="M7201" s="237"/>
    </row>
    <row r="7202" spans="13:13" x14ac:dyDescent="0.25">
      <c r="M7202" s="237"/>
    </row>
    <row r="7203" spans="13:13" x14ac:dyDescent="0.25">
      <c r="M7203" s="237"/>
    </row>
    <row r="7204" spans="13:13" x14ac:dyDescent="0.25">
      <c r="M7204" s="237"/>
    </row>
    <row r="7205" spans="13:13" x14ac:dyDescent="0.25">
      <c r="M7205" s="237"/>
    </row>
    <row r="7206" spans="13:13" x14ac:dyDescent="0.25">
      <c r="M7206" s="237"/>
    </row>
    <row r="7207" spans="13:13" x14ac:dyDescent="0.25">
      <c r="M7207" s="237"/>
    </row>
    <row r="7208" spans="13:13" x14ac:dyDescent="0.25">
      <c r="M7208" s="237"/>
    </row>
    <row r="7209" spans="13:13" x14ac:dyDescent="0.25">
      <c r="M7209" s="237"/>
    </row>
    <row r="7210" spans="13:13" x14ac:dyDescent="0.25">
      <c r="M7210" s="237"/>
    </row>
    <row r="7211" spans="13:13" x14ac:dyDescent="0.25">
      <c r="M7211" s="237"/>
    </row>
    <row r="7212" spans="13:13" x14ac:dyDescent="0.25">
      <c r="M7212" s="237"/>
    </row>
    <row r="7213" spans="13:13" x14ac:dyDescent="0.25">
      <c r="M7213" s="237"/>
    </row>
    <row r="7214" spans="13:13" x14ac:dyDescent="0.25">
      <c r="M7214" s="237"/>
    </row>
    <row r="7215" spans="13:13" x14ac:dyDescent="0.25">
      <c r="M7215" s="237"/>
    </row>
    <row r="7216" spans="13:13" x14ac:dyDescent="0.25">
      <c r="M7216" s="237"/>
    </row>
    <row r="7217" spans="13:13" x14ac:dyDescent="0.25">
      <c r="M7217" s="237"/>
    </row>
    <row r="7218" spans="13:13" x14ac:dyDescent="0.25">
      <c r="M7218" s="237"/>
    </row>
    <row r="7219" spans="13:13" x14ac:dyDescent="0.25">
      <c r="M7219" s="237"/>
    </row>
    <row r="7220" spans="13:13" x14ac:dyDescent="0.25">
      <c r="M7220" s="237"/>
    </row>
    <row r="7221" spans="13:13" x14ac:dyDescent="0.25">
      <c r="M7221" s="237"/>
    </row>
    <row r="7222" spans="13:13" x14ac:dyDescent="0.25">
      <c r="M7222" s="237"/>
    </row>
    <row r="7223" spans="13:13" x14ac:dyDescent="0.25">
      <c r="M7223" s="237"/>
    </row>
    <row r="7224" spans="13:13" x14ac:dyDescent="0.25">
      <c r="M7224" s="237"/>
    </row>
    <row r="7225" spans="13:13" x14ac:dyDescent="0.25">
      <c r="M7225" s="237"/>
    </row>
    <row r="7226" spans="13:13" x14ac:dyDescent="0.25">
      <c r="M7226" s="237"/>
    </row>
    <row r="7227" spans="13:13" x14ac:dyDescent="0.25">
      <c r="M7227" s="237"/>
    </row>
    <row r="7228" spans="13:13" x14ac:dyDescent="0.25">
      <c r="M7228" s="237"/>
    </row>
    <row r="7229" spans="13:13" x14ac:dyDescent="0.25">
      <c r="M7229" s="237"/>
    </row>
    <row r="7230" spans="13:13" x14ac:dyDescent="0.25">
      <c r="M7230" s="237"/>
    </row>
    <row r="7231" spans="13:13" x14ac:dyDescent="0.25">
      <c r="M7231" s="237"/>
    </row>
    <row r="7232" spans="13:13" x14ac:dyDescent="0.25">
      <c r="M7232" s="237"/>
    </row>
    <row r="7233" spans="13:13" x14ac:dyDescent="0.25">
      <c r="M7233" s="237"/>
    </row>
    <row r="7234" spans="13:13" x14ac:dyDescent="0.25">
      <c r="M7234" s="237"/>
    </row>
    <row r="7235" spans="13:13" x14ac:dyDescent="0.25">
      <c r="M7235" s="237"/>
    </row>
    <row r="7236" spans="13:13" x14ac:dyDescent="0.25">
      <c r="M7236" s="237"/>
    </row>
    <row r="7237" spans="13:13" x14ac:dyDescent="0.25">
      <c r="M7237" s="237"/>
    </row>
    <row r="7238" spans="13:13" x14ac:dyDescent="0.25">
      <c r="M7238" s="237"/>
    </row>
    <row r="7239" spans="13:13" x14ac:dyDescent="0.25">
      <c r="M7239" s="237"/>
    </row>
    <row r="7240" spans="13:13" x14ac:dyDescent="0.25">
      <c r="M7240" s="237"/>
    </row>
    <row r="7241" spans="13:13" x14ac:dyDescent="0.25">
      <c r="M7241" s="237"/>
    </row>
    <row r="7242" spans="13:13" x14ac:dyDescent="0.25">
      <c r="M7242" s="237"/>
    </row>
    <row r="7243" spans="13:13" x14ac:dyDescent="0.25">
      <c r="M7243" s="237"/>
    </row>
    <row r="7244" spans="13:13" x14ac:dyDescent="0.25">
      <c r="M7244" s="237"/>
    </row>
    <row r="7245" spans="13:13" x14ac:dyDescent="0.25">
      <c r="M7245" s="237"/>
    </row>
    <row r="7246" spans="13:13" x14ac:dyDescent="0.25">
      <c r="M7246" s="237"/>
    </row>
    <row r="7247" spans="13:13" x14ac:dyDescent="0.25">
      <c r="M7247" s="237"/>
    </row>
    <row r="7248" spans="13:13" x14ac:dyDescent="0.25">
      <c r="M7248" s="237"/>
    </row>
    <row r="7249" spans="13:13" x14ac:dyDescent="0.25">
      <c r="M7249" s="237"/>
    </row>
    <row r="7250" spans="13:13" x14ac:dyDescent="0.25">
      <c r="M7250" s="237"/>
    </row>
    <row r="7251" spans="13:13" x14ac:dyDescent="0.25">
      <c r="M7251" s="237"/>
    </row>
    <row r="7252" spans="13:13" x14ac:dyDescent="0.25">
      <c r="M7252" s="237"/>
    </row>
    <row r="7253" spans="13:13" x14ac:dyDescent="0.25">
      <c r="M7253" s="237"/>
    </row>
    <row r="7254" spans="13:13" x14ac:dyDescent="0.25">
      <c r="M7254" s="237"/>
    </row>
    <row r="7255" spans="13:13" x14ac:dyDescent="0.25">
      <c r="M7255" s="237"/>
    </row>
    <row r="7256" spans="13:13" x14ac:dyDescent="0.25">
      <c r="M7256" s="237"/>
    </row>
    <row r="7257" spans="13:13" x14ac:dyDescent="0.25">
      <c r="M7257" s="237"/>
    </row>
    <row r="7258" spans="13:13" x14ac:dyDescent="0.25">
      <c r="M7258" s="237"/>
    </row>
    <row r="7259" spans="13:13" x14ac:dyDescent="0.25">
      <c r="M7259" s="237"/>
    </row>
    <row r="7260" spans="13:13" x14ac:dyDescent="0.25">
      <c r="M7260" s="237"/>
    </row>
    <row r="7261" spans="13:13" x14ac:dyDescent="0.25">
      <c r="M7261" s="237"/>
    </row>
    <row r="7262" spans="13:13" x14ac:dyDescent="0.25">
      <c r="M7262" s="237"/>
    </row>
    <row r="7263" spans="13:13" x14ac:dyDescent="0.25">
      <c r="M7263" s="237"/>
    </row>
    <row r="7264" spans="13:13" x14ac:dyDescent="0.25">
      <c r="M7264" s="237"/>
    </row>
    <row r="7265" spans="13:13" x14ac:dyDescent="0.25">
      <c r="M7265" s="237"/>
    </row>
    <row r="7266" spans="13:13" x14ac:dyDescent="0.25">
      <c r="M7266" s="237"/>
    </row>
    <row r="7267" spans="13:13" x14ac:dyDescent="0.25">
      <c r="M7267" s="237"/>
    </row>
    <row r="7268" spans="13:13" x14ac:dyDescent="0.25">
      <c r="M7268" s="237"/>
    </row>
    <row r="7269" spans="13:13" x14ac:dyDescent="0.25">
      <c r="M7269" s="237"/>
    </row>
    <row r="7270" spans="13:13" x14ac:dyDescent="0.25">
      <c r="M7270" s="237"/>
    </row>
    <row r="7271" spans="13:13" x14ac:dyDescent="0.25">
      <c r="M7271" s="237"/>
    </row>
    <row r="7272" spans="13:13" x14ac:dyDescent="0.25">
      <c r="M7272" s="237"/>
    </row>
    <row r="7273" spans="13:13" x14ac:dyDescent="0.25">
      <c r="M7273" s="237"/>
    </row>
    <row r="7274" spans="13:13" x14ac:dyDescent="0.25">
      <c r="M7274" s="237"/>
    </row>
    <row r="7275" spans="13:13" x14ac:dyDescent="0.25">
      <c r="M7275" s="237"/>
    </row>
    <row r="7276" spans="13:13" x14ac:dyDescent="0.25">
      <c r="M7276" s="237"/>
    </row>
    <row r="7277" spans="13:13" x14ac:dyDescent="0.25">
      <c r="M7277" s="237"/>
    </row>
    <row r="7278" spans="13:13" x14ac:dyDescent="0.25">
      <c r="M7278" s="237"/>
    </row>
    <row r="7279" spans="13:13" x14ac:dyDescent="0.25">
      <c r="M7279" s="237"/>
    </row>
    <row r="7280" spans="13:13" x14ac:dyDescent="0.25">
      <c r="M7280" s="237"/>
    </row>
    <row r="7281" spans="13:13" x14ac:dyDescent="0.25">
      <c r="M7281" s="237"/>
    </row>
    <row r="7282" spans="13:13" x14ac:dyDescent="0.25">
      <c r="M7282" s="237"/>
    </row>
    <row r="7283" spans="13:13" x14ac:dyDescent="0.25">
      <c r="M7283" s="237"/>
    </row>
    <row r="7284" spans="13:13" x14ac:dyDescent="0.25">
      <c r="M7284" s="237"/>
    </row>
    <row r="7285" spans="13:13" x14ac:dyDescent="0.25">
      <c r="M7285" s="237"/>
    </row>
    <row r="7286" spans="13:13" x14ac:dyDescent="0.25">
      <c r="M7286" s="237"/>
    </row>
    <row r="7287" spans="13:13" x14ac:dyDescent="0.25">
      <c r="M7287" s="237"/>
    </row>
    <row r="7288" spans="13:13" x14ac:dyDescent="0.25">
      <c r="M7288" s="237"/>
    </row>
    <row r="7289" spans="13:13" x14ac:dyDescent="0.25">
      <c r="M7289" s="237"/>
    </row>
    <row r="7290" spans="13:13" x14ac:dyDescent="0.25">
      <c r="M7290" s="237"/>
    </row>
    <row r="7291" spans="13:13" x14ac:dyDescent="0.25">
      <c r="M7291" s="237"/>
    </row>
    <row r="7292" spans="13:13" x14ac:dyDescent="0.25">
      <c r="M7292" s="237"/>
    </row>
    <row r="7293" spans="13:13" x14ac:dyDescent="0.25">
      <c r="M7293" s="237"/>
    </row>
    <row r="7294" spans="13:13" x14ac:dyDescent="0.25">
      <c r="M7294" s="237"/>
    </row>
    <row r="7295" spans="13:13" x14ac:dyDescent="0.25">
      <c r="M7295" s="237"/>
    </row>
    <row r="7296" spans="13:13" x14ac:dyDescent="0.25">
      <c r="M7296" s="237"/>
    </row>
    <row r="7297" spans="13:13" x14ac:dyDescent="0.25">
      <c r="M7297" s="237"/>
    </row>
    <row r="7298" spans="13:13" x14ac:dyDescent="0.25">
      <c r="M7298" s="237"/>
    </row>
    <row r="7299" spans="13:13" x14ac:dyDescent="0.25">
      <c r="M7299" s="237"/>
    </row>
    <row r="7300" spans="13:13" x14ac:dyDescent="0.25">
      <c r="M7300" s="237"/>
    </row>
    <row r="7301" spans="13:13" x14ac:dyDescent="0.25">
      <c r="M7301" s="237"/>
    </row>
    <row r="7302" spans="13:13" x14ac:dyDescent="0.25">
      <c r="M7302" s="237"/>
    </row>
    <row r="7303" spans="13:13" x14ac:dyDescent="0.25">
      <c r="M7303" s="237"/>
    </row>
    <row r="7304" spans="13:13" x14ac:dyDescent="0.25">
      <c r="M7304" s="237"/>
    </row>
    <row r="7305" spans="13:13" x14ac:dyDescent="0.25">
      <c r="M7305" s="237"/>
    </row>
    <row r="7306" spans="13:13" x14ac:dyDescent="0.25">
      <c r="M7306" s="237"/>
    </row>
    <row r="7307" spans="13:13" x14ac:dyDescent="0.25">
      <c r="M7307" s="237"/>
    </row>
    <row r="7308" spans="13:13" x14ac:dyDescent="0.25">
      <c r="M7308" s="237"/>
    </row>
    <row r="7309" spans="13:13" x14ac:dyDescent="0.25">
      <c r="M7309" s="237"/>
    </row>
    <row r="7310" spans="13:13" x14ac:dyDescent="0.25">
      <c r="M7310" s="237"/>
    </row>
    <row r="7311" spans="13:13" x14ac:dyDescent="0.25">
      <c r="M7311" s="237"/>
    </row>
    <row r="7312" spans="13:13" x14ac:dyDescent="0.25">
      <c r="M7312" s="237"/>
    </row>
    <row r="7313" spans="13:13" x14ac:dyDescent="0.25">
      <c r="M7313" s="237"/>
    </row>
    <row r="7314" spans="13:13" x14ac:dyDescent="0.25">
      <c r="M7314" s="237"/>
    </row>
    <row r="7315" spans="13:13" x14ac:dyDescent="0.25">
      <c r="M7315" s="237"/>
    </row>
    <row r="7316" spans="13:13" x14ac:dyDescent="0.25">
      <c r="M7316" s="237"/>
    </row>
    <row r="7317" spans="13:13" x14ac:dyDescent="0.25">
      <c r="M7317" s="237"/>
    </row>
    <row r="7318" spans="13:13" x14ac:dyDescent="0.25">
      <c r="M7318" s="237"/>
    </row>
    <row r="7319" spans="13:13" x14ac:dyDescent="0.25">
      <c r="M7319" s="237"/>
    </row>
    <row r="7320" spans="13:13" x14ac:dyDescent="0.25">
      <c r="M7320" s="237"/>
    </row>
    <row r="7321" spans="13:13" x14ac:dyDescent="0.25">
      <c r="M7321" s="237"/>
    </row>
    <row r="7322" spans="13:13" x14ac:dyDescent="0.25">
      <c r="M7322" s="237"/>
    </row>
    <row r="7323" spans="13:13" x14ac:dyDescent="0.25">
      <c r="M7323" s="237"/>
    </row>
    <row r="7324" spans="13:13" x14ac:dyDescent="0.25">
      <c r="M7324" s="237"/>
    </row>
    <row r="7325" spans="13:13" x14ac:dyDescent="0.25">
      <c r="M7325" s="237"/>
    </row>
    <row r="7326" spans="13:13" x14ac:dyDescent="0.25">
      <c r="M7326" s="237"/>
    </row>
    <row r="7327" spans="13:13" x14ac:dyDescent="0.25">
      <c r="M7327" s="237"/>
    </row>
    <row r="7328" spans="13:13" x14ac:dyDescent="0.25">
      <c r="M7328" s="237"/>
    </row>
    <row r="7329" spans="13:13" x14ac:dyDescent="0.25">
      <c r="M7329" s="237"/>
    </row>
    <row r="7330" spans="13:13" x14ac:dyDescent="0.25">
      <c r="M7330" s="237"/>
    </row>
    <row r="7331" spans="13:13" x14ac:dyDescent="0.25">
      <c r="M7331" s="237"/>
    </row>
    <row r="7332" spans="13:13" x14ac:dyDescent="0.25">
      <c r="M7332" s="237"/>
    </row>
    <row r="7333" spans="13:13" x14ac:dyDescent="0.25">
      <c r="M7333" s="237"/>
    </row>
    <row r="7334" spans="13:13" x14ac:dyDescent="0.25">
      <c r="M7334" s="237"/>
    </row>
    <row r="7335" spans="13:13" x14ac:dyDescent="0.25">
      <c r="M7335" s="237"/>
    </row>
    <row r="7336" spans="13:13" x14ac:dyDescent="0.25">
      <c r="M7336" s="237"/>
    </row>
    <row r="7337" spans="13:13" x14ac:dyDescent="0.25">
      <c r="M7337" s="237"/>
    </row>
    <row r="7338" spans="13:13" x14ac:dyDescent="0.25">
      <c r="M7338" s="237"/>
    </row>
    <row r="7339" spans="13:13" x14ac:dyDescent="0.25">
      <c r="M7339" s="237"/>
    </row>
    <row r="7340" spans="13:13" x14ac:dyDescent="0.25">
      <c r="M7340" s="237"/>
    </row>
    <row r="7341" spans="13:13" x14ac:dyDescent="0.25">
      <c r="M7341" s="237"/>
    </row>
    <row r="7342" spans="13:13" x14ac:dyDescent="0.25">
      <c r="M7342" s="237"/>
    </row>
    <row r="7343" spans="13:13" x14ac:dyDescent="0.25">
      <c r="M7343" s="237"/>
    </row>
    <row r="7344" spans="13:13" x14ac:dyDescent="0.25">
      <c r="M7344" s="237"/>
    </row>
    <row r="7345" spans="13:13" x14ac:dyDescent="0.25">
      <c r="M7345" s="237"/>
    </row>
    <row r="7346" spans="13:13" x14ac:dyDescent="0.25">
      <c r="M7346" s="237"/>
    </row>
    <row r="7347" spans="13:13" x14ac:dyDescent="0.25">
      <c r="M7347" s="237"/>
    </row>
    <row r="7348" spans="13:13" x14ac:dyDescent="0.25">
      <c r="M7348" s="237"/>
    </row>
    <row r="7349" spans="13:13" x14ac:dyDescent="0.25">
      <c r="M7349" s="237"/>
    </row>
    <row r="7350" spans="13:13" x14ac:dyDescent="0.25">
      <c r="M7350" s="237"/>
    </row>
    <row r="7351" spans="13:13" x14ac:dyDescent="0.25">
      <c r="M7351" s="237"/>
    </row>
    <row r="7352" spans="13:13" x14ac:dyDescent="0.25">
      <c r="M7352" s="237"/>
    </row>
    <row r="7353" spans="13:13" x14ac:dyDescent="0.25">
      <c r="M7353" s="237"/>
    </row>
    <row r="7354" spans="13:13" x14ac:dyDescent="0.25">
      <c r="M7354" s="237"/>
    </row>
    <row r="7355" spans="13:13" x14ac:dyDescent="0.25">
      <c r="M7355" s="237"/>
    </row>
    <row r="7356" spans="13:13" x14ac:dyDescent="0.25">
      <c r="M7356" s="237"/>
    </row>
    <row r="7357" spans="13:13" x14ac:dyDescent="0.25">
      <c r="M7357" s="237"/>
    </row>
    <row r="7358" spans="13:13" x14ac:dyDescent="0.25">
      <c r="M7358" s="237"/>
    </row>
    <row r="7359" spans="13:13" x14ac:dyDescent="0.25">
      <c r="M7359" s="237"/>
    </row>
    <row r="7360" spans="13:13" x14ac:dyDescent="0.25">
      <c r="M7360" s="237"/>
    </row>
    <row r="7361" spans="13:13" x14ac:dyDescent="0.25">
      <c r="M7361" s="237"/>
    </row>
    <row r="7362" spans="13:13" x14ac:dyDescent="0.25">
      <c r="M7362" s="237"/>
    </row>
    <row r="7363" spans="13:13" x14ac:dyDescent="0.25">
      <c r="M7363" s="237"/>
    </row>
    <row r="7364" spans="13:13" x14ac:dyDescent="0.25">
      <c r="M7364" s="237"/>
    </row>
    <row r="7365" spans="13:13" x14ac:dyDescent="0.25">
      <c r="M7365" s="237"/>
    </row>
    <row r="7366" spans="13:13" x14ac:dyDescent="0.25">
      <c r="M7366" s="237"/>
    </row>
    <row r="7367" spans="13:13" x14ac:dyDescent="0.25">
      <c r="M7367" s="237"/>
    </row>
    <row r="7368" spans="13:13" x14ac:dyDescent="0.25">
      <c r="M7368" s="237"/>
    </row>
    <row r="7369" spans="13:13" x14ac:dyDescent="0.25">
      <c r="M7369" s="237"/>
    </row>
    <row r="7370" spans="13:13" x14ac:dyDescent="0.25">
      <c r="M7370" s="237"/>
    </row>
    <row r="7371" spans="13:13" x14ac:dyDescent="0.25">
      <c r="M7371" s="237"/>
    </row>
    <row r="7372" spans="13:13" x14ac:dyDescent="0.25">
      <c r="M7372" s="237"/>
    </row>
    <row r="7373" spans="13:13" x14ac:dyDescent="0.25">
      <c r="M7373" s="237"/>
    </row>
    <row r="7374" spans="13:13" x14ac:dyDescent="0.25">
      <c r="M7374" s="237"/>
    </row>
    <row r="7375" spans="13:13" x14ac:dyDescent="0.25">
      <c r="M7375" s="237"/>
    </row>
    <row r="7376" spans="13:13" x14ac:dyDescent="0.25">
      <c r="M7376" s="237"/>
    </row>
    <row r="7377" spans="13:13" x14ac:dyDescent="0.25">
      <c r="M7377" s="237"/>
    </row>
    <row r="7378" spans="13:13" x14ac:dyDescent="0.25">
      <c r="M7378" s="237"/>
    </row>
    <row r="7379" spans="13:13" x14ac:dyDescent="0.25">
      <c r="M7379" s="237"/>
    </row>
    <row r="7380" spans="13:13" x14ac:dyDescent="0.25">
      <c r="M7380" s="237"/>
    </row>
    <row r="7381" spans="13:13" x14ac:dyDescent="0.25">
      <c r="M7381" s="237"/>
    </row>
    <row r="7382" spans="13:13" x14ac:dyDescent="0.25">
      <c r="M7382" s="237"/>
    </row>
    <row r="7383" spans="13:13" x14ac:dyDescent="0.25">
      <c r="M7383" s="237"/>
    </row>
    <row r="7384" spans="13:13" x14ac:dyDescent="0.25">
      <c r="M7384" s="237"/>
    </row>
    <row r="7385" spans="13:13" x14ac:dyDescent="0.25">
      <c r="M7385" s="237"/>
    </row>
    <row r="7386" spans="13:13" x14ac:dyDescent="0.25">
      <c r="M7386" s="237"/>
    </row>
    <row r="7387" spans="13:13" x14ac:dyDescent="0.25">
      <c r="M7387" s="237"/>
    </row>
    <row r="7388" spans="13:13" x14ac:dyDescent="0.25">
      <c r="M7388" s="237"/>
    </row>
    <row r="7389" spans="13:13" x14ac:dyDescent="0.25">
      <c r="M7389" s="237"/>
    </row>
    <row r="7390" spans="13:13" x14ac:dyDescent="0.25">
      <c r="M7390" s="237"/>
    </row>
    <row r="7391" spans="13:13" x14ac:dyDescent="0.25">
      <c r="M7391" s="237"/>
    </row>
    <row r="7392" spans="13:13" x14ac:dyDescent="0.25">
      <c r="M7392" s="237"/>
    </row>
    <row r="7393" spans="13:13" x14ac:dyDescent="0.25">
      <c r="M7393" s="237"/>
    </row>
    <row r="7394" spans="13:13" x14ac:dyDescent="0.25">
      <c r="M7394" s="237"/>
    </row>
    <row r="7395" spans="13:13" x14ac:dyDescent="0.25">
      <c r="M7395" s="237"/>
    </row>
    <row r="7396" spans="13:13" x14ac:dyDescent="0.25">
      <c r="M7396" s="237"/>
    </row>
    <row r="7397" spans="13:13" x14ac:dyDescent="0.25">
      <c r="M7397" s="237"/>
    </row>
    <row r="7398" spans="13:13" x14ac:dyDescent="0.25">
      <c r="M7398" s="237"/>
    </row>
    <row r="7399" spans="13:13" x14ac:dyDescent="0.25">
      <c r="M7399" s="237"/>
    </row>
    <row r="7400" spans="13:13" x14ac:dyDescent="0.25">
      <c r="M7400" s="237"/>
    </row>
    <row r="7401" spans="13:13" x14ac:dyDescent="0.25">
      <c r="M7401" s="237"/>
    </row>
    <row r="7402" spans="13:13" x14ac:dyDescent="0.25">
      <c r="M7402" s="237"/>
    </row>
    <row r="7403" spans="13:13" x14ac:dyDescent="0.25">
      <c r="M7403" s="237"/>
    </row>
    <row r="7404" spans="13:13" x14ac:dyDescent="0.25">
      <c r="M7404" s="237"/>
    </row>
    <row r="7405" spans="13:13" x14ac:dyDescent="0.25">
      <c r="M7405" s="237"/>
    </row>
    <row r="7406" spans="13:13" x14ac:dyDescent="0.25">
      <c r="M7406" s="237"/>
    </row>
    <row r="7407" spans="13:13" x14ac:dyDescent="0.25">
      <c r="M7407" s="237"/>
    </row>
    <row r="7408" spans="13:13" x14ac:dyDescent="0.25">
      <c r="M7408" s="237"/>
    </row>
    <row r="7409" spans="13:13" x14ac:dyDescent="0.25">
      <c r="M7409" s="237"/>
    </row>
    <row r="7410" spans="13:13" x14ac:dyDescent="0.25">
      <c r="M7410" s="237"/>
    </row>
    <row r="7411" spans="13:13" x14ac:dyDescent="0.25">
      <c r="M7411" s="237"/>
    </row>
    <row r="7412" spans="13:13" x14ac:dyDescent="0.25">
      <c r="M7412" s="237"/>
    </row>
    <row r="7413" spans="13:13" x14ac:dyDescent="0.25">
      <c r="M7413" s="237"/>
    </row>
    <row r="7414" spans="13:13" x14ac:dyDescent="0.25">
      <c r="M7414" s="237"/>
    </row>
    <row r="7415" spans="13:13" x14ac:dyDescent="0.25">
      <c r="M7415" s="237"/>
    </row>
    <row r="7416" spans="13:13" x14ac:dyDescent="0.25">
      <c r="M7416" s="237"/>
    </row>
    <row r="7417" spans="13:13" x14ac:dyDescent="0.25">
      <c r="M7417" s="237"/>
    </row>
    <row r="7418" spans="13:13" x14ac:dyDescent="0.25">
      <c r="M7418" s="237"/>
    </row>
    <row r="7419" spans="13:13" x14ac:dyDescent="0.25">
      <c r="M7419" s="237"/>
    </row>
    <row r="7420" spans="13:13" x14ac:dyDescent="0.25">
      <c r="M7420" s="237"/>
    </row>
    <row r="7421" spans="13:13" x14ac:dyDescent="0.25">
      <c r="M7421" s="237"/>
    </row>
    <row r="7422" spans="13:13" x14ac:dyDescent="0.25">
      <c r="M7422" s="237"/>
    </row>
    <row r="7423" spans="13:13" x14ac:dyDescent="0.25">
      <c r="M7423" s="237"/>
    </row>
    <row r="7424" spans="13:13" x14ac:dyDescent="0.25">
      <c r="M7424" s="237"/>
    </row>
    <row r="7425" spans="13:13" x14ac:dyDescent="0.25">
      <c r="M7425" s="237"/>
    </row>
    <row r="7426" spans="13:13" x14ac:dyDescent="0.25">
      <c r="M7426" s="237"/>
    </row>
    <row r="7427" spans="13:13" x14ac:dyDescent="0.25">
      <c r="M7427" s="237"/>
    </row>
    <row r="7428" spans="13:13" x14ac:dyDescent="0.25">
      <c r="M7428" s="237"/>
    </row>
    <row r="7429" spans="13:13" x14ac:dyDescent="0.25">
      <c r="M7429" s="237"/>
    </row>
    <row r="7430" spans="13:13" x14ac:dyDescent="0.25">
      <c r="M7430" s="237"/>
    </row>
    <row r="7431" spans="13:13" x14ac:dyDescent="0.25">
      <c r="M7431" s="237"/>
    </row>
    <row r="7432" spans="13:13" x14ac:dyDescent="0.25">
      <c r="M7432" s="237"/>
    </row>
    <row r="7433" spans="13:13" x14ac:dyDescent="0.25">
      <c r="M7433" s="237"/>
    </row>
    <row r="7434" spans="13:13" x14ac:dyDescent="0.25">
      <c r="M7434" s="237"/>
    </row>
    <row r="7435" spans="13:13" x14ac:dyDescent="0.25">
      <c r="M7435" s="237"/>
    </row>
    <row r="7436" spans="13:13" x14ac:dyDescent="0.25">
      <c r="M7436" s="237"/>
    </row>
    <row r="7437" spans="13:13" x14ac:dyDescent="0.25">
      <c r="M7437" s="237"/>
    </row>
    <row r="7438" spans="13:13" x14ac:dyDescent="0.25">
      <c r="M7438" s="237"/>
    </row>
    <row r="7439" spans="13:13" x14ac:dyDescent="0.25">
      <c r="M7439" s="237"/>
    </row>
    <row r="7440" spans="13:13" x14ac:dyDescent="0.25">
      <c r="M7440" s="237"/>
    </row>
    <row r="7441" spans="13:13" x14ac:dyDescent="0.25">
      <c r="M7441" s="237"/>
    </row>
    <row r="7442" spans="13:13" x14ac:dyDescent="0.25">
      <c r="M7442" s="237"/>
    </row>
    <row r="7443" spans="13:13" x14ac:dyDescent="0.25">
      <c r="M7443" s="237"/>
    </row>
    <row r="7444" spans="13:13" x14ac:dyDescent="0.25">
      <c r="M7444" s="237"/>
    </row>
    <row r="7445" spans="13:13" x14ac:dyDescent="0.25">
      <c r="M7445" s="237"/>
    </row>
    <row r="7446" spans="13:13" x14ac:dyDescent="0.25">
      <c r="M7446" s="237"/>
    </row>
    <row r="7447" spans="13:13" x14ac:dyDescent="0.25">
      <c r="M7447" s="237"/>
    </row>
    <row r="7448" spans="13:13" x14ac:dyDescent="0.25">
      <c r="M7448" s="237"/>
    </row>
    <row r="7449" spans="13:13" x14ac:dyDescent="0.25">
      <c r="M7449" s="237"/>
    </row>
    <row r="7450" spans="13:13" x14ac:dyDescent="0.25">
      <c r="M7450" s="237"/>
    </row>
    <row r="7451" spans="13:13" x14ac:dyDescent="0.25">
      <c r="M7451" s="237"/>
    </row>
    <row r="7452" spans="13:13" x14ac:dyDescent="0.25">
      <c r="M7452" s="237"/>
    </row>
    <row r="7453" spans="13:13" x14ac:dyDescent="0.25">
      <c r="M7453" s="237"/>
    </row>
    <row r="7454" spans="13:13" x14ac:dyDescent="0.25">
      <c r="M7454" s="237"/>
    </row>
    <row r="7455" spans="13:13" x14ac:dyDescent="0.25">
      <c r="M7455" s="237"/>
    </row>
    <row r="7456" spans="13:13" x14ac:dyDescent="0.25">
      <c r="M7456" s="237"/>
    </row>
    <row r="7457" spans="13:13" x14ac:dyDescent="0.25">
      <c r="M7457" s="237"/>
    </row>
    <row r="7458" spans="13:13" x14ac:dyDescent="0.25">
      <c r="M7458" s="237"/>
    </row>
    <row r="7459" spans="13:13" x14ac:dyDescent="0.25">
      <c r="M7459" s="237"/>
    </row>
    <row r="7460" spans="13:13" x14ac:dyDescent="0.25">
      <c r="M7460" s="237"/>
    </row>
    <row r="7461" spans="13:13" x14ac:dyDescent="0.25">
      <c r="M7461" s="237"/>
    </row>
    <row r="7462" spans="13:13" x14ac:dyDescent="0.25">
      <c r="M7462" s="237"/>
    </row>
    <row r="7463" spans="13:13" x14ac:dyDescent="0.25">
      <c r="M7463" s="237"/>
    </row>
    <row r="7464" spans="13:13" x14ac:dyDescent="0.25">
      <c r="M7464" s="237"/>
    </row>
    <row r="7465" spans="13:13" x14ac:dyDescent="0.25">
      <c r="M7465" s="237"/>
    </row>
    <row r="7466" spans="13:13" x14ac:dyDescent="0.25">
      <c r="M7466" s="237"/>
    </row>
    <row r="7467" spans="13:13" x14ac:dyDescent="0.25">
      <c r="M7467" s="237"/>
    </row>
    <row r="7468" spans="13:13" x14ac:dyDescent="0.25">
      <c r="M7468" s="237"/>
    </row>
    <row r="7469" spans="13:13" x14ac:dyDescent="0.25">
      <c r="M7469" s="237"/>
    </row>
    <row r="7470" spans="13:13" x14ac:dyDescent="0.25">
      <c r="M7470" s="237"/>
    </row>
    <row r="7471" spans="13:13" x14ac:dyDescent="0.25">
      <c r="M7471" s="237"/>
    </row>
    <row r="7472" spans="13:13" x14ac:dyDescent="0.25">
      <c r="M7472" s="237"/>
    </row>
    <row r="7473" spans="13:13" x14ac:dyDescent="0.25">
      <c r="M7473" s="237"/>
    </row>
    <row r="7474" spans="13:13" x14ac:dyDescent="0.25">
      <c r="M7474" s="237"/>
    </row>
    <row r="7475" spans="13:13" x14ac:dyDescent="0.25">
      <c r="M7475" s="237"/>
    </row>
    <row r="7476" spans="13:13" x14ac:dyDescent="0.25">
      <c r="M7476" s="237"/>
    </row>
    <row r="7477" spans="13:13" x14ac:dyDescent="0.25">
      <c r="M7477" s="237"/>
    </row>
    <row r="7478" spans="13:13" x14ac:dyDescent="0.25">
      <c r="M7478" s="237"/>
    </row>
    <row r="7479" spans="13:13" x14ac:dyDescent="0.25">
      <c r="M7479" s="237"/>
    </row>
    <row r="7480" spans="13:13" x14ac:dyDescent="0.25">
      <c r="M7480" s="237"/>
    </row>
    <row r="7481" spans="13:13" x14ac:dyDescent="0.25">
      <c r="M7481" s="237"/>
    </row>
    <row r="7482" spans="13:13" x14ac:dyDescent="0.25">
      <c r="M7482" s="237"/>
    </row>
    <row r="7483" spans="13:13" x14ac:dyDescent="0.25">
      <c r="M7483" s="237"/>
    </row>
    <row r="7484" spans="13:13" x14ac:dyDescent="0.25">
      <c r="M7484" s="237"/>
    </row>
    <row r="7485" spans="13:13" x14ac:dyDescent="0.25">
      <c r="M7485" s="237"/>
    </row>
    <row r="7486" spans="13:13" x14ac:dyDescent="0.25">
      <c r="M7486" s="237"/>
    </row>
    <row r="7487" spans="13:13" x14ac:dyDescent="0.25">
      <c r="M7487" s="237"/>
    </row>
    <row r="7488" spans="13:13" x14ac:dyDescent="0.25">
      <c r="M7488" s="237"/>
    </row>
    <row r="7489" spans="13:13" x14ac:dyDescent="0.25">
      <c r="M7489" s="237"/>
    </row>
    <row r="7490" spans="13:13" x14ac:dyDescent="0.25">
      <c r="M7490" s="237"/>
    </row>
    <row r="7491" spans="13:13" x14ac:dyDescent="0.25">
      <c r="M7491" s="237"/>
    </row>
    <row r="7492" spans="13:13" x14ac:dyDescent="0.25">
      <c r="M7492" s="237"/>
    </row>
    <row r="7493" spans="13:13" x14ac:dyDescent="0.25">
      <c r="M7493" s="237"/>
    </row>
    <row r="7494" spans="13:13" x14ac:dyDescent="0.25">
      <c r="M7494" s="237"/>
    </row>
    <row r="7495" spans="13:13" x14ac:dyDescent="0.25">
      <c r="M7495" s="237"/>
    </row>
    <row r="7496" spans="13:13" x14ac:dyDescent="0.25">
      <c r="M7496" s="237"/>
    </row>
    <row r="7497" spans="13:13" x14ac:dyDescent="0.25">
      <c r="M7497" s="237"/>
    </row>
    <row r="7498" spans="13:13" x14ac:dyDescent="0.25">
      <c r="M7498" s="237"/>
    </row>
    <row r="7499" spans="13:13" x14ac:dyDescent="0.25">
      <c r="M7499" s="237"/>
    </row>
    <row r="7500" spans="13:13" x14ac:dyDescent="0.25">
      <c r="M7500" s="237"/>
    </row>
    <row r="7501" spans="13:13" x14ac:dyDescent="0.25">
      <c r="M7501" s="237"/>
    </row>
    <row r="7502" spans="13:13" x14ac:dyDescent="0.25">
      <c r="M7502" s="237"/>
    </row>
    <row r="7503" spans="13:13" x14ac:dyDescent="0.25">
      <c r="M7503" s="237"/>
    </row>
    <row r="7504" spans="13:13" x14ac:dyDescent="0.25">
      <c r="M7504" s="237"/>
    </row>
    <row r="7505" spans="13:13" x14ac:dyDescent="0.25">
      <c r="M7505" s="237"/>
    </row>
    <row r="7506" spans="13:13" x14ac:dyDescent="0.25">
      <c r="M7506" s="237"/>
    </row>
    <row r="7507" spans="13:13" x14ac:dyDescent="0.25">
      <c r="M7507" s="237"/>
    </row>
    <row r="7508" spans="13:13" x14ac:dyDescent="0.25">
      <c r="M7508" s="237"/>
    </row>
    <row r="7509" spans="13:13" x14ac:dyDescent="0.25">
      <c r="M7509" s="237"/>
    </row>
    <row r="7510" spans="13:13" x14ac:dyDescent="0.25">
      <c r="M7510" s="237"/>
    </row>
    <row r="7511" spans="13:13" x14ac:dyDescent="0.25">
      <c r="M7511" s="237"/>
    </row>
    <row r="7512" spans="13:13" x14ac:dyDescent="0.25">
      <c r="M7512" s="237"/>
    </row>
    <row r="7513" spans="13:13" x14ac:dyDescent="0.25">
      <c r="M7513" s="237"/>
    </row>
    <row r="7514" spans="13:13" x14ac:dyDescent="0.25">
      <c r="M7514" s="237"/>
    </row>
    <row r="7515" spans="13:13" x14ac:dyDescent="0.25">
      <c r="M7515" s="237"/>
    </row>
    <row r="7516" spans="13:13" x14ac:dyDescent="0.25">
      <c r="M7516" s="237"/>
    </row>
    <row r="7517" spans="13:13" x14ac:dyDescent="0.25">
      <c r="M7517" s="237"/>
    </row>
    <row r="7518" spans="13:13" x14ac:dyDescent="0.25">
      <c r="M7518" s="237"/>
    </row>
    <row r="7519" spans="13:13" x14ac:dyDescent="0.25">
      <c r="M7519" s="237"/>
    </row>
    <row r="7520" spans="13:13" x14ac:dyDescent="0.25">
      <c r="M7520" s="237"/>
    </row>
    <row r="7521" spans="13:13" x14ac:dyDescent="0.25">
      <c r="M7521" s="237"/>
    </row>
    <row r="7522" spans="13:13" x14ac:dyDescent="0.25">
      <c r="M7522" s="237"/>
    </row>
    <row r="7523" spans="13:13" x14ac:dyDescent="0.25">
      <c r="M7523" s="237"/>
    </row>
    <row r="7524" spans="13:13" x14ac:dyDescent="0.25">
      <c r="M7524" s="237"/>
    </row>
    <row r="7525" spans="13:13" x14ac:dyDescent="0.25">
      <c r="M7525" s="237"/>
    </row>
    <row r="7526" spans="13:13" x14ac:dyDescent="0.25">
      <c r="M7526" s="237"/>
    </row>
    <row r="7527" spans="13:13" x14ac:dyDescent="0.25">
      <c r="M7527" s="237"/>
    </row>
    <row r="7528" spans="13:13" x14ac:dyDescent="0.25">
      <c r="M7528" s="237"/>
    </row>
    <row r="7529" spans="13:13" x14ac:dyDescent="0.25">
      <c r="M7529" s="237"/>
    </row>
    <row r="7530" spans="13:13" x14ac:dyDescent="0.25">
      <c r="M7530" s="237"/>
    </row>
    <row r="7531" spans="13:13" x14ac:dyDescent="0.25">
      <c r="M7531" s="237"/>
    </row>
    <row r="7532" spans="13:13" x14ac:dyDescent="0.25">
      <c r="M7532" s="237"/>
    </row>
    <row r="7533" spans="13:13" x14ac:dyDescent="0.25">
      <c r="M7533" s="237"/>
    </row>
    <row r="7534" spans="13:13" x14ac:dyDescent="0.25">
      <c r="M7534" s="237"/>
    </row>
    <row r="7535" spans="13:13" x14ac:dyDescent="0.25">
      <c r="M7535" s="237"/>
    </row>
    <row r="7536" spans="13:13" x14ac:dyDescent="0.25">
      <c r="M7536" s="237"/>
    </row>
    <row r="7537" spans="13:13" x14ac:dyDescent="0.25">
      <c r="M7537" s="237"/>
    </row>
  </sheetData>
  <autoFilter ref="B6:R6644" xr:uid="{00000000-0009-0000-0000-000000000000}">
    <sortState xmlns:xlrd2="http://schemas.microsoft.com/office/spreadsheetml/2017/richdata2" ref="B8:R6081">
      <sortCondition ref="B6:B5942"/>
    </sortState>
  </autoFilter>
  <customSheetViews>
    <customSheetView guid="{CCDC99D9-ED7F-4E00-BF84-F4E2C60547DA}" scale="80" showAutoFilter="1" hiddenColumns="1">
      <pane ySplit="5" topLeftCell="A5754" activePane="bottomLeft" state="frozen"/>
      <selection pane="bottomLeft" activeCell="D5758" sqref="D5758"/>
      <pageMargins left="0.7" right="0.7" top="0.75" bottom="0.75" header="0.3" footer="0.3"/>
      <pageSetup paperSize="9" orientation="portrait" r:id="rId1"/>
      <autoFilter ref="B6:R6644" xr:uid="{00000000-0009-0000-0000-000000000000}">
        <sortState xmlns:xlrd2="http://schemas.microsoft.com/office/spreadsheetml/2017/richdata2" ref="B8:R6081">
          <sortCondition ref="B6:B5942"/>
        </sortState>
      </autoFilter>
    </customSheetView>
    <customSheetView guid="{FED60004-C791-4ADD-AF07-891C513D4177}" scale="55" showAutoFilter="1" hiddenColumns="1" topLeftCell="B1">
      <pane ySplit="5" topLeftCell="A6" activePane="bottomLeft" state="frozen"/>
      <selection pane="bottomLeft" activeCell="C6801" sqref="C6801"/>
      <pageMargins left="0.7" right="0.7" top="0.75" bottom="0.75" header="0.3" footer="0.3"/>
      <pageSetup paperSize="9" orientation="portrait" r:id="rId2"/>
      <autoFilter ref="B6:R6644" xr:uid="{C4B7AB09-63ED-49C7-A11D-68FB2531F0DF}">
        <sortState xmlns:xlrd2="http://schemas.microsoft.com/office/spreadsheetml/2017/richdata2" ref="B8:R6081">
          <sortCondition ref="B6:B5942"/>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3"/>
      <autoFilter ref="B6:R5942" xr:uid="{40F63E83-E9AF-478F-9601-51690C638286}">
        <sortState xmlns:xlrd2="http://schemas.microsoft.com/office/spreadsheetml/2017/richdata2" ref="B303:R4852">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4"/>
      <autoFilter ref="B6:R6078" xr:uid="{E1A401EE-2A27-4398-B402-70F4A0E6A991}">
        <filterColumn colId="16">
          <filters blank="1"/>
        </filterColumn>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5"/>
      <autoFilter ref="B6:R6080" xr:uid="{45A63202-6C4C-44CB-9D8F-EB500F1A035B}">
        <filterColumn colId="11">
          <filters>
            <filter val="MONEDA"/>
          </filters>
        </filterColumn>
        <sortState xmlns:xlrd2="http://schemas.microsoft.com/office/spreadsheetml/2017/richdata2" ref="B8:R6064">
          <sortCondition ref="B6:B5931"/>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6"/>
      <autoFilter ref="B6:R6080" xr:uid="{AF7B302E-FC30-4248-9CAD-BC72F1A6A8C4}">
        <sortState xmlns:xlrd2="http://schemas.microsoft.com/office/spreadsheetml/2017/richdata2" ref="B8:R6064">
          <sortCondition ref="B6:B5931"/>
        </sortState>
      </autoFilter>
    </customSheetView>
  </customSheetViews>
  <mergeCells count="1">
    <mergeCell ref="B3:R4"/>
  </mergeCells>
  <conditionalFormatting sqref="B7:B439">
    <cfRule type="duplicateValues" dxfId="68" priority="167"/>
    <cfRule type="duplicateValues" dxfId="67" priority="168"/>
  </conditionalFormatting>
  <conditionalFormatting sqref="B462:B475">
    <cfRule type="duplicateValues" dxfId="66" priority="50"/>
    <cfRule type="duplicateValues" dxfId="65" priority="51"/>
  </conditionalFormatting>
  <conditionalFormatting sqref="B476:B749">
    <cfRule type="duplicateValues" dxfId="64" priority="67"/>
    <cfRule type="duplicateValues" dxfId="63" priority="66"/>
  </conditionalFormatting>
  <conditionalFormatting sqref="B774:B984">
    <cfRule type="duplicateValues" dxfId="62" priority="55"/>
    <cfRule type="duplicateValues" dxfId="61" priority="54"/>
  </conditionalFormatting>
  <conditionalFormatting sqref="B987:B1037">
    <cfRule type="duplicateValues" dxfId="60" priority="48"/>
    <cfRule type="duplicateValues" dxfId="59" priority="49"/>
  </conditionalFormatting>
  <conditionalFormatting sqref="B1039:B1320">
    <cfRule type="duplicateValues" dxfId="58" priority="140"/>
    <cfRule type="duplicateValues" dxfId="57" priority="139"/>
  </conditionalFormatting>
  <conditionalFormatting sqref="B1615">
    <cfRule type="duplicateValues" dxfId="56" priority="20"/>
    <cfRule type="duplicateValues" dxfId="55" priority="19"/>
    <cfRule type="duplicateValues" dxfId="54" priority="21"/>
  </conditionalFormatting>
  <conditionalFormatting sqref="B1628">
    <cfRule type="duplicateValues" dxfId="53" priority="27"/>
    <cfRule type="duplicateValues" dxfId="52" priority="26"/>
    <cfRule type="duplicateValues" dxfId="51" priority="25"/>
  </conditionalFormatting>
  <conditionalFormatting sqref="B1629:B1630 B1322:B1614 B1632:B1672 B1616:B1627">
    <cfRule type="duplicateValues" dxfId="50" priority="47"/>
    <cfRule type="duplicateValues" dxfId="49" priority="46"/>
  </conditionalFormatting>
  <conditionalFormatting sqref="B1631">
    <cfRule type="duplicateValues" dxfId="48" priority="24"/>
    <cfRule type="duplicateValues" dxfId="47" priority="22"/>
    <cfRule type="duplicateValues" dxfId="46" priority="23"/>
  </conditionalFormatting>
  <conditionalFormatting sqref="B1674:B1747 B1750:B2257">
    <cfRule type="duplicateValues" dxfId="45" priority="150"/>
    <cfRule type="duplicateValues" dxfId="44" priority="151"/>
  </conditionalFormatting>
  <conditionalFormatting sqref="B2258:B3040">
    <cfRule type="duplicateValues" dxfId="43" priority="42"/>
    <cfRule type="duplicateValues" dxfId="42" priority="43"/>
  </conditionalFormatting>
  <conditionalFormatting sqref="B3041">
    <cfRule type="duplicateValues" dxfId="41" priority="45"/>
    <cfRule type="duplicateValues" dxfId="40" priority="44"/>
  </conditionalFormatting>
  <conditionalFormatting sqref="B3454:B3621 B3042:B3452 B3624 B3630:B4052">
    <cfRule type="duplicateValues" dxfId="39" priority="169"/>
    <cfRule type="duplicateValues" dxfId="38" priority="170"/>
  </conditionalFormatting>
  <conditionalFormatting sqref="B3622">
    <cfRule type="duplicateValues" dxfId="37" priority="16"/>
    <cfRule type="duplicateValues" dxfId="36" priority="18"/>
    <cfRule type="duplicateValues" dxfId="35" priority="17"/>
  </conditionalFormatting>
  <conditionalFormatting sqref="B3623">
    <cfRule type="duplicateValues" dxfId="34" priority="15"/>
    <cfRule type="duplicateValues" dxfId="33" priority="14"/>
    <cfRule type="duplicateValues" dxfId="32" priority="13"/>
  </conditionalFormatting>
  <conditionalFormatting sqref="B3624 B3454:B3621 B1750:B3452 B7:B1614 B1629:B1630 B1632:B1747 B1616:B1627 B3630:B5675">
    <cfRule type="duplicateValues" dxfId="31" priority="181"/>
  </conditionalFormatting>
  <conditionalFormatting sqref="B3625">
    <cfRule type="duplicateValues" dxfId="30" priority="10"/>
    <cfRule type="duplicateValues" dxfId="29" priority="11"/>
    <cfRule type="duplicateValues" dxfId="28" priority="12"/>
  </conditionalFormatting>
  <conditionalFormatting sqref="B3626">
    <cfRule type="duplicateValues" dxfId="27" priority="9"/>
    <cfRule type="duplicateValues" dxfId="26" priority="8"/>
    <cfRule type="duplicateValues" dxfId="25" priority="7"/>
  </conditionalFormatting>
  <conditionalFormatting sqref="B3627:B3628">
    <cfRule type="duplicateValues" dxfId="24" priority="4"/>
    <cfRule type="duplicateValues" dxfId="23" priority="6"/>
    <cfRule type="duplicateValues" dxfId="22" priority="5"/>
  </conditionalFormatting>
  <conditionalFormatting sqref="B4053:B4122">
    <cfRule type="duplicateValues" dxfId="21" priority="62"/>
    <cfRule type="duplicateValues" dxfId="20" priority="63"/>
  </conditionalFormatting>
  <conditionalFormatting sqref="B4123:B4635">
    <cfRule type="duplicateValues" dxfId="19" priority="152"/>
    <cfRule type="duplicateValues" dxfId="18" priority="153"/>
  </conditionalFormatting>
  <conditionalFormatting sqref="B4636:B4940">
    <cfRule type="duplicateValues" dxfId="17" priority="141"/>
    <cfRule type="duplicateValues" dxfId="16" priority="142"/>
  </conditionalFormatting>
  <conditionalFormatting sqref="B4941:B5217">
    <cfRule type="duplicateValues" dxfId="15" priority="71"/>
    <cfRule type="duplicateValues" dxfId="14" priority="72"/>
  </conditionalFormatting>
  <conditionalFormatting sqref="B5218:B5559">
    <cfRule type="duplicateValues" dxfId="13" priority="40"/>
    <cfRule type="duplicateValues" dxfId="12" priority="41"/>
  </conditionalFormatting>
  <conditionalFormatting sqref="B5560:B5632">
    <cfRule type="duplicateValues" dxfId="11" priority="38"/>
    <cfRule type="duplicateValues" dxfId="10" priority="39"/>
  </conditionalFormatting>
  <conditionalFormatting sqref="B5633:B5655">
    <cfRule type="duplicateValues" dxfId="9" priority="37"/>
    <cfRule type="duplicateValues" dxfId="8" priority="36"/>
  </conditionalFormatting>
  <conditionalFormatting sqref="B5656:B5658">
    <cfRule type="duplicateValues" dxfId="7" priority="34"/>
    <cfRule type="duplicateValues" dxfId="6" priority="35"/>
  </conditionalFormatting>
  <conditionalFormatting sqref="B5659:B5665">
    <cfRule type="duplicateValues" dxfId="5" priority="33"/>
    <cfRule type="duplicateValues" dxfId="4" priority="32"/>
  </conditionalFormatting>
  <conditionalFormatting sqref="B5666">
    <cfRule type="duplicateValues" dxfId="3" priority="29"/>
    <cfRule type="duplicateValues" dxfId="2" priority="28"/>
  </conditionalFormatting>
  <conditionalFormatting sqref="B566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EQUIVALENCIAS!$N$5:$N$6</xm:f>
          </x14:formula1>
          <xm:sqref>C6045 C6043 D1:D6694 D6696:D1048576</xm:sqref>
        </x14:dataValidation>
        <x14:dataValidation type="list" allowBlank="1" showInputMessage="1" showErrorMessage="1" xr:uid="{00000000-0002-0000-0000-000001000000}">
          <x14:formula1>
            <xm:f>EQUIVALENCIAS!$J$5:$J$7</xm:f>
          </x14:formula1>
          <xm:sqref>N6042 G1:G6154 G6156:G6694 G6696:G1048576</xm:sqref>
        </x14:dataValidation>
        <x14:dataValidation type="list" allowBlank="1" showInputMessage="1" showErrorMessage="1" xr:uid="{00000000-0002-0000-0000-000002000000}">
          <x14:formula1>
            <xm:f>EQUIVALENCIAS!$P$5:$P$6</xm:f>
          </x14:formula1>
          <xm:sqref>L6032:M6034 K6047:K6048 P59:P60 O6366:O1048576 O6271:O6364 O1:O6269</xm:sqref>
        </x14:dataValidation>
        <x14:dataValidation type="list" allowBlank="1" showInputMessage="1" showErrorMessage="1" xr:uid="{00000000-0002-0000-0000-000003000000}">
          <x14:formula1>
            <xm:f>EQUIVALENCIAS!$R$5:$R$15</xm:f>
          </x14:formula1>
          <xm:sqref>Q1:Q5116 Q5118:Q6116 Q6118:Q1048576</xm:sqref>
        </x14:dataValidation>
        <x14:dataValidation type="list" allowBlank="1" showInputMessage="1" showErrorMessage="1" xr:uid="{00000000-0002-0000-0000-000006000000}">
          <x14:formula1>
            <xm:f>EQUIVALENCIAS!$L$5:$L$7</xm:f>
          </x14:formula1>
          <xm:sqref>H439:H3104 H7:H437 H3106:H6694 H6696:H371425</xm:sqref>
        </x14:dataValidation>
        <x14:dataValidation type="list" allowBlank="1" showInputMessage="1" showErrorMessage="1" xr:uid="{00000000-0002-0000-0000-000004000000}">
          <x14:formula1>
            <xm:f>EQUIVALENCIAS!$G$5:$G$14</xm:f>
          </x14:formula1>
          <xm:sqref>E1:E6694 E6696:E1048576</xm:sqref>
        </x14:dataValidation>
        <x14:dataValidation type="list" allowBlank="1" showInputMessage="1" showErrorMessage="1" xr:uid="{00000000-0002-0000-0000-000005000000}">
          <x14:formula1>
            <xm:f>EQUIVALENCIAS!$B$5:$B$70</xm:f>
          </x14:formula1>
          <xm:sqref>F1:F6694 F6696:F1048576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25" workbookViewId="0">
      <selection activeCell="E23" sqref="E23"/>
    </sheetView>
  </sheetViews>
  <sheetFormatPr baseColWidth="10" defaultRowHeight="15" x14ac:dyDescent="0.25"/>
  <cols>
    <col min="1" max="1" width="11.42578125" style="71"/>
    <col min="2" max="2" width="57.85546875" customWidth="1"/>
    <col min="4" max="4" width="7.42578125" customWidth="1"/>
    <col min="5" max="5" width="11.42578125" style="104"/>
    <col min="6" max="6" width="11.42578125" style="71"/>
    <col min="7" max="7" width="24.85546875" customWidth="1"/>
    <col min="9" max="9" width="11.42578125" style="71"/>
    <col min="10" max="10" width="12.85546875" customWidth="1"/>
    <col min="20" max="40" width="11.42578125" style="71"/>
  </cols>
  <sheetData>
    <row r="1" spans="1:51" x14ac:dyDescent="0.25">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25">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5.75" thickBot="1" x14ac:dyDescent="0.3">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75" customHeight="1" thickBot="1" x14ac:dyDescent="0.3">
      <c r="B4" s="132" t="s">
        <v>8120</v>
      </c>
      <c r="C4" s="134" t="s">
        <v>8121</v>
      </c>
      <c r="D4" s="134" t="s">
        <v>8249</v>
      </c>
      <c r="E4" s="168" t="s">
        <v>8122</v>
      </c>
      <c r="G4" s="107" t="s">
        <v>8123</v>
      </c>
      <c r="H4" s="106" t="s">
        <v>8124</v>
      </c>
      <c r="J4" s="112" t="s">
        <v>8125</v>
      </c>
      <c r="K4" s="71"/>
      <c r="L4" s="112" t="s">
        <v>8126</v>
      </c>
      <c r="M4" s="71"/>
      <c r="N4" s="112" t="s">
        <v>8127</v>
      </c>
      <c r="O4" s="71"/>
      <c r="P4" s="112" t="s">
        <v>8128</v>
      </c>
      <c r="Q4" s="71"/>
      <c r="R4" s="117" t="s">
        <v>12</v>
      </c>
      <c r="S4" s="105" t="s">
        <v>8124</v>
      </c>
    </row>
    <row r="5" spans="1:51" s="125" customFormat="1" ht="15.75" customHeight="1" x14ac:dyDescent="0.25">
      <c r="A5" s="119"/>
      <c r="B5" s="155" t="s">
        <v>8241</v>
      </c>
      <c r="C5" s="136">
        <v>10100</v>
      </c>
      <c r="D5" s="169">
        <v>1</v>
      </c>
      <c r="E5" s="180">
        <v>10101</v>
      </c>
      <c r="F5" s="119"/>
      <c r="G5" s="120" t="s">
        <v>54</v>
      </c>
      <c r="H5" s="121">
        <v>10100</v>
      </c>
      <c r="I5" s="119"/>
      <c r="J5" s="122" t="s">
        <v>35</v>
      </c>
      <c r="K5" s="119"/>
      <c r="L5" s="122" t="s">
        <v>36</v>
      </c>
      <c r="M5" s="119"/>
      <c r="N5" s="122" t="s">
        <v>29</v>
      </c>
      <c r="O5" s="119"/>
      <c r="P5" s="122" t="s">
        <v>387</v>
      </c>
      <c r="Q5" s="119"/>
      <c r="R5" s="123" t="s">
        <v>8129</v>
      </c>
      <c r="S5" s="124" t="s">
        <v>8130</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5" customHeight="1" x14ac:dyDescent="0.25">
      <c r="A6" s="119"/>
      <c r="B6" s="155" t="s">
        <v>8192</v>
      </c>
      <c r="C6" s="136">
        <v>10100</v>
      </c>
      <c r="D6" s="169">
        <v>2</v>
      </c>
      <c r="E6" s="180">
        <v>10102</v>
      </c>
      <c r="F6" s="119"/>
      <c r="G6" s="120" t="s">
        <v>1096</v>
      </c>
      <c r="H6" s="121">
        <v>10200</v>
      </c>
      <c r="I6" s="119"/>
      <c r="J6" s="126" t="s">
        <v>28</v>
      </c>
      <c r="K6" s="119"/>
      <c r="L6" s="126" t="s">
        <v>12</v>
      </c>
      <c r="M6" s="119"/>
      <c r="N6" s="126" t="s">
        <v>8152</v>
      </c>
      <c r="O6" s="119"/>
      <c r="P6" s="126" t="s">
        <v>38</v>
      </c>
      <c r="Q6" s="119"/>
      <c r="R6" s="127" t="s">
        <v>1486</v>
      </c>
      <c r="S6" s="128" t="s">
        <v>8131</v>
      </c>
      <c r="T6" s="119"/>
      <c r="U6" s="119"/>
      <c r="V6" s="119"/>
      <c r="W6" s="119"/>
      <c r="X6" s="119"/>
      <c r="Y6" s="119"/>
      <c r="Z6" s="119"/>
      <c r="AA6" s="119"/>
      <c r="AB6" s="119"/>
      <c r="AC6" s="119"/>
      <c r="AD6" s="119"/>
      <c r="AE6" s="119"/>
      <c r="AF6" s="119"/>
      <c r="AG6" s="119"/>
      <c r="AH6" s="119"/>
      <c r="AI6" s="119"/>
      <c r="AJ6" s="119"/>
      <c r="AK6" s="119"/>
      <c r="AL6" s="119"/>
      <c r="AM6" s="119"/>
      <c r="AN6" s="119"/>
    </row>
    <row r="7" spans="1:51" x14ac:dyDescent="0.25">
      <c r="B7" s="155" t="s">
        <v>8200</v>
      </c>
      <c r="C7" s="137">
        <v>10100</v>
      </c>
      <c r="D7" s="170">
        <v>3</v>
      </c>
      <c r="E7" s="181">
        <v>10103</v>
      </c>
      <c r="G7" s="108" t="s">
        <v>151</v>
      </c>
      <c r="H7" s="109">
        <v>10300</v>
      </c>
      <c r="J7" s="72" t="s">
        <v>503</v>
      </c>
      <c r="K7" s="71"/>
      <c r="L7" s="72" t="s">
        <v>4630</v>
      </c>
      <c r="M7" s="71"/>
      <c r="N7" s="71"/>
      <c r="O7" s="71"/>
      <c r="P7" s="71"/>
      <c r="Q7" s="71"/>
      <c r="R7" s="73" t="s">
        <v>8132</v>
      </c>
      <c r="S7" s="115" t="s">
        <v>8133</v>
      </c>
    </row>
    <row r="8" spans="1:51" x14ac:dyDescent="0.25">
      <c r="B8" s="152" t="s">
        <v>8195</v>
      </c>
      <c r="C8" s="137">
        <v>10100</v>
      </c>
      <c r="D8" s="170">
        <v>4</v>
      </c>
      <c r="E8" s="181">
        <v>10104</v>
      </c>
      <c r="G8" s="108" t="s">
        <v>428</v>
      </c>
      <c r="H8" s="109">
        <v>10400</v>
      </c>
      <c r="J8" s="71"/>
      <c r="K8" s="71"/>
      <c r="L8" s="71"/>
      <c r="M8" s="71"/>
      <c r="N8" s="71"/>
      <c r="O8" s="71"/>
      <c r="P8" s="71"/>
      <c r="Q8" s="71"/>
      <c r="R8" s="73" t="s">
        <v>8134</v>
      </c>
      <c r="S8" s="115" t="s">
        <v>8135</v>
      </c>
    </row>
    <row r="9" spans="1:51" x14ac:dyDescent="0.25">
      <c r="B9" s="152" t="s">
        <v>8198</v>
      </c>
      <c r="C9" s="137">
        <v>10100</v>
      </c>
      <c r="D9" s="170">
        <v>5</v>
      </c>
      <c r="E9" s="181">
        <v>10105</v>
      </c>
      <c r="G9" s="108" t="s">
        <v>8230</v>
      </c>
      <c r="H9" s="109">
        <v>10500</v>
      </c>
      <c r="J9" s="71"/>
      <c r="K9" s="71"/>
      <c r="L9" s="71"/>
      <c r="M9" s="71"/>
      <c r="N9" s="71"/>
      <c r="O9" s="71"/>
      <c r="P9" s="71"/>
      <c r="Q9" s="71"/>
      <c r="R9" s="73" t="s">
        <v>8136</v>
      </c>
      <c r="S9" s="115" t="s">
        <v>8137</v>
      </c>
    </row>
    <row r="10" spans="1:51" x14ac:dyDescent="0.25">
      <c r="B10" s="152" t="s">
        <v>1198</v>
      </c>
      <c r="C10" s="137">
        <v>10100</v>
      </c>
      <c r="D10" s="170">
        <v>6</v>
      </c>
      <c r="E10" s="181">
        <v>10106</v>
      </c>
      <c r="G10" s="108" t="s">
        <v>8231</v>
      </c>
      <c r="H10" s="109">
        <v>10600</v>
      </c>
      <c r="J10" s="71"/>
      <c r="K10" s="71"/>
      <c r="L10" s="71"/>
      <c r="M10" s="71"/>
      <c r="N10" s="71"/>
      <c r="O10" s="71"/>
      <c r="P10" s="71"/>
      <c r="Q10" s="71"/>
      <c r="R10" s="73" t="s">
        <v>7606</v>
      </c>
      <c r="S10" s="115" t="s">
        <v>8138</v>
      </c>
    </row>
    <row r="11" spans="1:51" x14ac:dyDescent="0.25">
      <c r="B11" s="152" t="s">
        <v>53</v>
      </c>
      <c r="C11" s="137">
        <v>10100</v>
      </c>
      <c r="D11" s="170">
        <v>7</v>
      </c>
      <c r="E11" s="181">
        <v>10107</v>
      </c>
      <c r="G11" s="108" t="s">
        <v>734</v>
      </c>
      <c r="H11" s="109">
        <v>10700</v>
      </c>
      <c r="J11" s="71"/>
      <c r="K11" s="71"/>
      <c r="L11" s="71"/>
      <c r="M11" s="71"/>
      <c r="N11" s="71"/>
      <c r="O11" s="71"/>
      <c r="P11" s="71"/>
      <c r="Q11" s="71"/>
      <c r="R11" s="73" t="s">
        <v>8139</v>
      </c>
      <c r="S11" s="115" t="s">
        <v>8140</v>
      </c>
    </row>
    <row r="12" spans="1:51" x14ac:dyDescent="0.25">
      <c r="B12" s="152" t="s">
        <v>74</v>
      </c>
      <c r="C12" s="137">
        <v>10100</v>
      </c>
      <c r="D12" s="170">
        <v>8</v>
      </c>
      <c r="E12" s="181">
        <v>10108</v>
      </c>
      <c r="G12" s="108" t="s">
        <v>8232</v>
      </c>
      <c r="H12" s="109">
        <v>10800</v>
      </c>
      <c r="J12" s="71"/>
      <c r="K12" s="71"/>
      <c r="L12" s="71"/>
      <c r="M12" s="71"/>
      <c r="N12" s="71"/>
      <c r="O12" s="71"/>
      <c r="P12" s="71"/>
      <c r="Q12" s="71"/>
      <c r="R12" s="73" t="s">
        <v>8141</v>
      </c>
      <c r="S12" s="115" t="s">
        <v>8142</v>
      </c>
    </row>
    <row r="13" spans="1:51" x14ac:dyDescent="0.25">
      <c r="B13" s="152" t="s">
        <v>163</v>
      </c>
      <c r="C13" s="137">
        <v>10100</v>
      </c>
      <c r="D13" s="170">
        <v>9</v>
      </c>
      <c r="E13" s="181">
        <v>10109</v>
      </c>
      <c r="G13" s="74" t="s">
        <v>8240</v>
      </c>
      <c r="H13" s="109">
        <v>10900</v>
      </c>
      <c r="J13" s="71"/>
      <c r="K13" s="71"/>
      <c r="L13" s="71"/>
      <c r="M13" s="71"/>
      <c r="N13" s="71"/>
      <c r="O13" s="71"/>
      <c r="P13" s="71"/>
      <c r="Q13" s="71"/>
      <c r="R13" s="73" t="s">
        <v>1442</v>
      </c>
      <c r="S13" s="115" t="s">
        <v>8143</v>
      </c>
    </row>
    <row r="14" spans="1:51" ht="15.75" thickBot="1" x14ac:dyDescent="0.3">
      <c r="B14" s="152" t="s">
        <v>235</v>
      </c>
      <c r="C14" s="137">
        <v>10100</v>
      </c>
      <c r="D14" s="170">
        <v>10</v>
      </c>
      <c r="E14" s="181">
        <v>10110</v>
      </c>
      <c r="G14" s="110" t="s">
        <v>8233</v>
      </c>
      <c r="H14" s="111">
        <v>99000</v>
      </c>
      <c r="J14" s="71"/>
      <c r="K14" s="71"/>
      <c r="L14" s="71"/>
      <c r="M14" s="71"/>
      <c r="N14" s="71"/>
      <c r="O14" s="71"/>
      <c r="P14" s="71"/>
      <c r="Q14" s="71"/>
      <c r="R14" s="76" t="s">
        <v>8144</v>
      </c>
      <c r="S14" s="116" t="s">
        <v>8145</v>
      </c>
    </row>
    <row r="15" spans="1:51" ht="15.75" thickBot="1" x14ac:dyDescent="0.3">
      <c r="B15" s="152" t="s">
        <v>1030</v>
      </c>
      <c r="C15" s="137">
        <v>10100</v>
      </c>
      <c r="D15" s="170">
        <v>11</v>
      </c>
      <c r="E15" s="181">
        <v>10111</v>
      </c>
      <c r="G15" s="71"/>
      <c r="H15" s="71"/>
      <c r="J15" s="71"/>
      <c r="K15" s="71"/>
      <c r="L15" s="71"/>
      <c r="M15" s="71"/>
      <c r="N15" s="71"/>
      <c r="O15" s="71"/>
      <c r="P15" s="71"/>
      <c r="Q15" s="71"/>
      <c r="R15" s="75" t="s">
        <v>8146</v>
      </c>
      <c r="S15" s="114" t="s">
        <v>8147</v>
      </c>
    </row>
    <row r="16" spans="1:51" ht="15.75" thickBot="1" x14ac:dyDescent="0.3">
      <c r="B16" s="155" t="s">
        <v>8189</v>
      </c>
      <c r="C16" s="137">
        <v>10100</v>
      </c>
      <c r="D16" s="170">
        <v>12</v>
      </c>
      <c r="E16" s="181">
        <v>10112</v>
      </c>
      <c r="G16" s="71"/>
      <c r="H16" s="71"/>
      <c r="J16" s="71"/>
      <c r="K16" s="71"/>
      <c r="L16" s="71"/>
      <c r="M16" s="71"/>
      <c r="N16" s="71"/>
      <c r="O16" s="71"/>
      <c r="P16" s="71"/>
      <c r="Q16" s="71"/>
      <c r="R16" s="75" t="s">
        <v>11167</v>
      </c>
      <c r="S16" s="114" t="s">
        <v>11168</v>
      </c>
    </row>
    <row r="17" spans="2:19" x14ac:dyDescent="0.25">
      <c r="B17" s="152" t="s">
        <v>8197</v>
      </c>
      <c r="C17" s="137">
        <v>10100</v>
      </c>
      <c r="D17" s="170">
        <v>13</v>
      </c>
      <c r="E17" s="181">
        <v>10113</v>
      </c>
      <c r="G17" s="71"/>
      <c r="H17" s="71"/>
      <c r="J17" s="71"/>
      <c r="K17" s="71"/>
      <c r="L17" s="71"/>
      <c r="M17" s="71"/>
      <c r="N17" s="71"/>
      <c r="O17" s="71"/>
      <c r="P17" s="71"/>
      <c r="Q17" s="71"/>
      <c r="R17" s="71"/>
      <c r="S17" s="71"/>
    </row>
    <row r="18" spans="2:19" x14ac:dyDescent="0.25">
      <c r="B18" s="152" t="s">
        <v>8193</v>
      </c>
      <c r="C18" s="137">
        <v>10100</v>
      </c>
      <c r="D18" s="170">
        <v>14</v>
      </c>
      <c r="E18" s="181">
        <v>10114</v>
      </c>
      <c r="G18" s="71"/>
      <c r="H18" s="71"/>
      <c r="J18" s="71"/>
      <c r="K18" s="71"/>
      <c r="L18" s="71"/>
      <c r="M18" s="71"/>
      <c r="N18" s="71"/>
      <c r="O18" s="71"/>
      <c r="P18" s="71"/>
      <c r="Q18" s="71"/>
      <c r="R18" s="71"/>
      <c r="S18" s="71"/>
    </row>
    <row r="19" spans="2:19" x14ac:dyDescent="0.25">
      <c r="B19" s="152" t="s">
        <v>2832</v>
      </c>
      <c r="C19" s="137">
        <v>10100</v>
      </c>
      <c r="D19" s="170">
        <v>15</v>
      </c>
      <c r="E19" s="181">
        <v>10115</v>
      </c>
      <c r="G19" s="71"/>
      <c r="H19" s="71"/>
      <c r="J19" s="71"/>
      <c r="K19" s="71"/>
      <c r="L19" s="71"/>
      <c r="M19" s="71"/>
      <c r="N19" s="71"/>
      <c r="O19" s="71"/>
      <c r="P19" s="71"/>
      <c r="Q19" s="71"/>
      <c r="R19" s="71"/>
      <c r="S19" s="71"/>
    </row>
    <row r="20" spans="2:19" x14ac:dyDescent="0.25">
      <c r="B20" s="155" t="s">
        <v>3711</v>
      </c>
      <c r="C20" s="137">
        <v>10100</v>
      </c>
      <c r="D20" s="170">
        <v>16</v>
      </c>
      <c r="E20" s="181">
        <v>10116</v>
      </c>
      <c r="G20" s="71"/>
      <c r="H20" s="71"/>
      <c r="J20" s="71"/>
      <c r="K20" s="71"/>
      <c r="L20" s="71"/>
      <c r="M20" s="71"/>
      <c r="N20" s="71"/>
      <c r="O20" s="71"/>
      <c r="P20" s="71"/>
      <c r="Q20" s="71"/>
      <c r="R20" s="71"/>
      <c r="S20" s="71"/>
    </row>
    <row r="21" spans="2:19" x14ac:dyDescent="0.25">
      <c r="B21" s="152" t="s">
        <v>8194</v>
      </c>
      <c r="C21" s="137">
        <v>10100</v>
      </c>
      <c r="D21" s="170">
        <v>17</v>
      </c>
      <c r="E21" s="181">
        <v>10117</v>
      </c>
      <c r="G21" s="71"/>
      <c r="H21" s="71"/>
      <c r="J21" s="71"/>
      <c r="K21" s="71"/>
      <c r="L21" s="71"/>
      <c r="M21" s="71"/>
      <c r="N21" s="71"/>
      <c r="O21" s="71"/>
      <c r="P21" s="71"/>
      <c r="Q21" s="71"/>
      <c r="R21" s="71"/>
      <c r="S21" s="71"/>
    </row>
    <row r="22" spans="2:19" x14ac:dyDescent="0.25">
      <c r="B22" s="152" t="s">
        <v>8196</v>
      </c>
      <c r="C22" s="137">
        <v>10100</v>
      </c>
      <c r="D22" s="170">
        <v>18</v>
      </c>
      <c r="E22" s="181">
        <v>10118</v>
      </c>
      <c r="G22" s="71"/>
      <c r="H22" s="71"/>
      <c r="J22" s="71"/>
      <c r="K22" s="71"/>
      <c r="L22" s="71"/>
      <c r="M22" s="71"/>
      <c r="N22" s="71"/>
      <c r="O22" s="71"/>
      <c r="P22" s="71"/>
      <c r="Q22" s="71"/>
      <c r="R22" s="71"/>
      <c r="S22" s="71"/>
    </row>
    <row r="23" spans="2:19" x14ac:dyDescent="0.25">
      <c r="B23" s="155" t="s">
        <v>8190</v>
      </c>
      <c r="C23" s="137">
        <v>10100</v>
      </c>
      <c r="D23" s="170">
        <v>19</v>
      </c>
      <c r="E23" s="181">
        <v>10119</v>
      </c>
      <c r="G23" s="71"/>
      <c r="H23" s="71"/>
      <c r="J23" s="71"/>
      <c r="K23" s="71"/>
      <c r="L23" s="71"/>
      <c r="M23" s="71"/>
      <c r="N23" s="71"/>
      <c r="O23" s="71"/>
      <c r="P23" s="71"/>
      <c r="Q23" s="71"/>
      <c r="R23" s="71"/>
      <c r="S23" s="71"/>
    </row>
    <row r="24" spans="2:19" x14ac:dyDescent="0.25">
      <c r="B24" s="155" t="s">
        <v>8191</v>
      </c>
      <c r="C24" s="137">
        <v>10100</v>
      </c>
      <c r="D24" s="170">
        <v>20</v>
      </c>
      <c r="E24" s="181">
        <v>10120</v>
      </c>
      <c r="G24" s="71"/>
      <c r="H24" s="71"/>
      <c r="J24" s="71"/>
      <c r="K24" s="71"/>
      <c r="L24" s="71"/>
      <c r="M24" s="71"/>
      <c r="N24" s="71"/>
      <c r="O24" s="71"/>
      <c r="P24" s="71"/>
      <c r="Q24" s="71"/>
      <c r="R24" s="71"/>
      <c r="S24" s="71"/>
    </row>
    <row r="25" spans="2:19" x14ac:dyDescent="0.25">
      <c r="B25" s="155" t="s">
        <v>8199</v>
      </c>
      <c r="C25" s="137">
        <v>10100</v>
      </c>
      <c r="D25" s="170">
        <v>21</v>
      </c>
      <c r="E25" s="181">
        <v>10121</v>
      </c>
      <c r="G25" s="71"/>
      <c r="H25" s="71"/>
      <c r="J25" s="71"/>
      <c r="K25" s="71"/>
      <c r="L25" s="71"/>
      <c r="M25" s="71"/>
      <c r="N25" s="71"/>
      <c r="O25" s="71"/>
      <c r="P25" s="71"/>
      <c r="Q25" s="71"/>
      <c r="R25" s="71"/>
      <c r="S25" s="71"/>
    </row>
    <row r="26" spans="2:19" ht="26.25" customHeight="1" x14ac:dyDescent="0.25">
      <c r="B26" s="135" t="s">
        <v>8242</v>
      </c>
      <c r="C26" s="137">
        <v>10100</v>
      </c>
      <c r="D26" s="137">
        <v>22</v>
      </c>
      <c r="E26" s="181">
        <v>10122</v>
      </c>
      <c r="G26" s="71"/>
      <c r="H26" s="71"/>
      <c r="J26" s="71"/>
      <c r="K26" s="71"/>
      <c r="L26" s="71"/>
      <c r="M26" s="71"/>
      <c r="N26" s="71"/>
      <c r="O26" s="71"/>
      <c r="P26" s="71"/>
      <c r="Q26" s="71"/>
      <c r="R26" s="71"/>
      <c r="S26" s="71"/>
    </row>
    <row r="27" spans="2:19" x14ac:dyDescent="0.25">
      <c r="B27" s="142" t="s">
        <v>184</v>
      </c>
      <c r="C27" s="141">
        <v>10200</v>
      </c>
      <c r="D27" s="171">
        <v>1</v>
      </c>
      <c r="E27" s="158">
        <v>10201</v>
      </c>
      <c r="G27" s="71"/>
      <c r="H27" s="71"/>
      <c r="J27" s="71"/>
      <c r="K27" s="71"/>
      <c r="L27" s="71"/>
      <c r="M27" s="71"/>
      <c r="N27" s="71"/>
      <c r="O27" s="71"/>
      <c r="P27" s="71"/>
      <c r="Q27" s="71"/>
      <c r="R27" s="71"/>
      <c r="S27" s="71"/>
    </row>
    <row r="28" spans="2:19" x14ac:dyDescent="0.25">
      <c r="B28" s="142" t="s">
        <v>1095</v>
      </c>
      <c r="C28" s="141">
        <v>10200</v>
      </c>
      <c r="D28" s="171">
        <v>2</v>
      </c>
      <c r="E28" s="158">
        <v>10202</v>
      </c>
      <c r="G28" s="71"/>
      <c r="H28" s="71"/>
      <c r="J28" s="71"/>
      <c r="K28" s="71"/>
      <c r="L28" s="71"/>
      <c r="M28" s="71"/>
      <c r="N28" s="71"/>
      <c r="O28" s="71"/>
      <c r="P28" s="71"/>
      <c r="Q28" s="71"/>
      <c r="R28" s="71"/>
      <c r="S28" s="71"/>
    </row>
    <row r="29" spans="2:19" x14ac:dyDescent="0.25">
      <c r="B29" s="142" t="s">
        <v>8206</v>
      </c>
      <c r="C29" s="141">
        <v>10200</v>
      </c>
      <c r="D29" s="171">
        <v>3</v>
      </c>
      <c r="E29" s="158">
        <v>10203</v>
      </c>
      <c r="G29" s="71"/>
      <c r="H29" s="71"/>
      <c r="J29" s="71"/>
      <c r="K29" s="71"/>
      <c r="L29" s="71"/>
      <c r="M29" s="71"/>
      <c r="N29" s="71"/>
      <c r="O29" s="71"/>
      <c r="P29" s="71"/>
      <c r="Q29" s="71"/>
      <c r="R29" s="71"/>
      <c r="S29" s="71"/>
    </row>
    <row r="30" spans="2:19" x14ac:dyDescent="0.25">
      <c r="B30" s="142" t="s">
        <v>8207</v>
      </c>
      <c r="C30" s="141">
        <v>10200</v>
      </c>
      <c r="D30" s="171">
        <v>4</v>
      </c>
      <c r="E30" s="158">
        <v>10204</v>
      </c>
      <c r="G30" s="71"/>
      <c r="H30" s="71"/>
      <c r="J30" s="71"/>
      <c r="K30" s="71"/>
      <c r="L30" s="71"/>
      <c r="M30" s="71"/>
      <c r="N30" s="71"/>
      <c r="O30" s="71"/>
      <c r="P30" s="71"/>
      <c r="Q30" s="71"/>
      <c r="R30" s="71"/>
      <c r="S30" s="71"/>
    </row>
    <row r="31" spans="2:19" x14ac:dyDescent="0.25">
      <c r="B31" s="142" t="s">
        <v>8209</v>
      </c>
      <c r="C31" s="141">
        <v>10200</v>
      </c>
      <c r="D31" s="171">
        <v>5</v>
      </c>
      <c r="E31" s="158">
        <v>10205</v>
      </c>
      <c r="G31" s="71"/>
      <c r="H31" s="71"/>
      <c r="J31" s="71"/>
      <c r="K31" s="71"/>
      <c r="L31" s="71"/>
      <c r="M31" s="71"/>
      <c r="N31" s="71"/>
      <c r="O31" s="71"/>
      <c r="P31" s="71"/>
      <c r="Q31" s="71"/>
      <c r="R31" s="71"/>
      <c r="S31" s="71"/>
    </row>
    <row r="32" spans="2:19" x14ac:dyDescent="0.25">
      <c r="B32" s="143" t="s">
        <v>8205</v>
      </c>
      <c r="C32" s="141">
        <v>10200</v>
      </c>
      <c r="D32" s="171">
        <v>6</v>
      </c>
      <c r="E32" s="158">
        <v>10206</v>
      </c>
      <c r="G32" s="71"/>
      <c r="H32" s="71"/>
      <c r="J32" s="71"/>
      <c r="K32" s="71"/>
      <c r="L32" s="71"/>
      <c r="M32" s="71"/>
      <c r="N32" s="71"/>
      <c r="O32" s="71"/>
      <c r="P32" s="71"/>
      <c r="Q32" s="71"/>
      <c r="R32" s="71"/>
      <c r="S32" s="71"/>
    </row>
    <row r="33" spans="2:19" x14ac:dyDescent="0.25">
      <c r="B33" s="143" t="s">
        <v>8202</v>
      </c>
      <c r="C33" s="141">
        <v>10200</v>
      </c>
      <c r="D33" s="171">
        <v>7</v>
      </c>
      <c r="E33" s="158">
        <v>10207</v>
      </c>
      <c r="G33" s="71"/>
      <c r="H33" s="71"/>
      <c r="J33" s="71"/>
      <c r="K33" s="71"/>
      <c r="L33" s="71"/>
      <c r="M33" s="71"/>
      <c r="N33" s="71"/>
      <c r="O33" s="71"/>
      <c r="P33" s="71"/>
      <c r="Q33" s="71"/>
      <c r="R33" s="71"/>
      <c r="S33" s="71"/>
    </row>
    <row r="34" spans="2:19" x14ac:dyDescent="0.25">
      <c r="B34" s="143" t="s">
        <v>8201</v>
      </c>
      <c r="C34" s="141">
        <v>10200</v>
      </c>
      <c r="D34" s="171">
        <v>8</v>
      </c>
      <c r="E34" s="158">
        <v>10208</v>
      </c>
      <c r="G34" s="71"/>
      <c r="H34" s="71"/>
      <c r="J34" s="71"/>
      <c r="K34" s="71"/>
      <c r="L34" s="71"/>
      <c r="M34" s="71"/>
      <c r="N34" s="71"/>
      <c r="O34" s="71"/>
      <c r="P34" s="71"/>
      <c r="Q34" s="71"/>
      <c r="R34" s="71"/>
      <c r="S34" s="71"/>
    </row>
    <row r="35" spans="2:19" x14ac:dyDescent="0.25">
      <c r="B35" s="142" t="s">
        <v>8148</v>
      </c>
      <c r="C35" s="141">
        <v>10200</v>
      </c>
      <c r="D35" s="171">
        <v>9</v>
      </c>
      <c r="E35" s="158">
        <v>10209</v>
      </c>
      <c r="G35" s="71"/>
      <c r="H35" s="71"/>
      <c r="J35" s="71"/>
      <c r="K35" s="71"/>
      <c r="L35" s="71"/>
      <c r="M35" s="71"/>
      <c r="N35" s="71"/>
      <c r="O35" s="71"/>
      <c r="P35" s="71"/>
      <c r="Q35" s="71"/>
      <c r="R35" s="71"/>
      <c r="S35" s="71"/>
    </row>
    <row r="36" spans="2:19" x14ac:dyDescent="0.25">
      <c r="B36" s="142" t="s">
        <v>8208</v>
      </c>
      <c r="C36" s="141">
        <v>10200</v>
      </c>
      <c r="D36" s="171">
        <v>10</v>
      </c>
      <c r="E36" s="158">
        <v>10210</v>
      </c>
      <c r="G36" s="71"/>
      <c r="H36" s="71"/>
      <c r="J36" s="71"/>
      <c r="K36" s="71"/>
      <c r="L36" s="71"/>
      <c r="M36" s="71"/>
      <c r="N36" s="71"/>
      <c r="O36" s="71"/>
      <c r="P36" s="71"/>
      <c r="Q36" s="71"/>
      <c r="R36" s="71"/>
      <c r="S36" s="71"/>
    </row>
    <row r="37" spans="2:19" x14ac:dyDescent="0.25">
      <c r="B37" s="143" t="s">
        <v>8204</v>
      </c>
      <c r="C37" s="141">
        <v>10200</v>
      </c>
      <c r="D37" s="171">
        <v>11</v>
      </c>
      <c r="E37" s="158">
        <v>10211</v>
      </c>
      <c r="G37" s="71"/>
      <c r="H37" s="71"/>
      <c r="J37" s="71"/>
      <c r="K37" s="71"/>
      <c r="L37" s="71"/>
      <c r="M37" s="71"/>
      <c r="N37" s="71"/>
      <c r="O37" s="71"/>
      <c r="P37" s="71"/>
      <c r="Q37" s="71"/>
      <c r="R37" s="71"/>
      <c r="S37" s="71"/>
    </row>
    <row r="38" spans="2:19" x14ac:dyDescent="0.25">
      <c r="B38" s="142" t="s">
        <v>8243</v>
      </c>
      <c r="C38" s="141">
        <v>10200</v>
      </c>
      <c r="D38" s="171">
        <v>12</v>
      </c>
      <c r="E38" s="158">
        <v>10212</v>
      </c>
      <c r="G38" s="71"/>
      <c r="H38" s="71"/>
      <c r="J38" s="71"/>
      <c r="K38" s="71"/>
      <c r="L38" s="71"/>
      <c r="M38" s="71"/>
      <c r="N38" s="71"/>
      <c r="O38" s="71"/>
      <c r="P38" s="71"/>
      <c r="Q38" s="71"/>
      <c r="R38" s="71"/>
      <c r="S38" s="71"/>
    </row>
    <row r="39" spans="2:19" x14ac:dyDescent="0.25">
      <c r="B39" s="143" t="s">
        <v>8203</v>
      </c>
      <c r="C39" s="141">
        <v>10200</v>
      </c>
      <c r="D39" s="171">
        <v>13</v>
      </c>
      <c r="E39" s="158">
        <v>10213</v>
      </c>
      <c r="G39" s="71"/>
      <c r="H39" s="71"/>
      <c r="J39" s="71"/>
      <c r="K39" s="71"/>
      <c r="L39" s="71"/>
      <c r="M39" s="71"/>
      <c r="N39" s="71"/>
      <c r="O39" s="71"/>
      <c r="P39" s="71"/>
      <c r="Q39" s="71"/>
      <c r="R39" s="71"/>
      <c r="S39" s="71"/>
    </row>
    <row r="40" spans="2:19" x14ac:dyDescent="0.25">
      <c r="B40" s="146" t="s">
        <v>544</v>
      </c>
      <c r="C40" s="147">
        <v>10300</v>
      </c>
      <c r="D40" s="173">
        <v>1</v>
      </c>
      <c r="E40" s="159">
        <v>10301</v>
      </c>
      <c r="G40" s="71"/>
      <c r="H40" s="71"/>
      <c r="J40" s="71"/>
      <c r="K40" s="71"/>
      <c r="L40" s="71"/>
      <c r="M40" s="71"/>
      <c r="N40" s="71"/>
      <c r="O40" s="71"/>
      <c r="P40" s="71"/>
      <c r="Q40" s="71"/>
      <c r="R40" s="71"/>
      <c r="S40" s="71"/>
    </row>
    <row r="41" spans="2:19" x14ac:dyDescent="0.25">
      <c r="B41" s="146" t="s">
        <v>8229</v>
      </c>
      <c r="C41" s="147">
        <v>10300</v>
      </c>
      <c r="D41" s="173">
        <v>2</v>
      </c>
      <c r="E41" s="159">
        <v>10302</v>
      </c>
      <c r="G41" s="71"/>
      <c r="H41" s="71"/>
      <c r="J41" s="71"/>
      <c r="K41" s="71"/>
      <c r="L41" s="71"/>
      <c r="M41" s="71"/>
      <c r="N41" s="71"/>
      <c r="O41" s="71"/>
      <c r="P41" s="71"/>
      <c r="Q41" s="71"/>
      <c r="R41" s="71"/>
      <c r="S41" s="71"/>
    </row>
    <row r="42" spans="2:19" x14ac:dyDescent="0.25">
      <c r="B42" s="146" t="s">
        <v>150</v>
      </c>
      <c r="C42" s="147">
        <v>10300</v>
      </c>
      <c r="D42" s="173">
        <v>3</v>
      </c>
      <c r="E42" s="159">
        <v>10303</v>
      </c>
      <c r="G42" s="71"/>
      <c r="H42" s="71"/>
      <c r="J42" s="71"/>
      <c r="K42" s="71"/>
      <c r="L42" s="71"/>
      <c r="M42" s="71"/>
      <c r="N42" s="71"/>
      <c r="O42" s="71"/>
      <c r="P42" s="71"/>
      <c r="Q42" s="71"/>
      <c r="R42" s="71"/>
      <c r="S42" s="71"/>
    </row>
    <row r="43" spans="2:19" x14ac:dyDescent="0.25">
      <c r="B43" s="146" t="s">
        <v>8214</v>
      </c>
      <c r="C43" s="147">
        <v>10300</v>
      </c>
      <c r="D43" s="173">
        <v>4</v>
      </c>
      <c r="E43" s="159">
        <v>10304</v>
      </c>
      <c r="G43" s="71"/>
      <c r="H43" s="71"/>
      <c r="J43" s="71"/>
      <c r="K43" s="71"/>
      <c r="L43" s="71"/>
      <c r="M43" s="71"/>
      <c r="N43" s="71"/>
      <c r="O43" s="71"/>
      <c r="P43" s="71"/>
      <c r="Q43" s="71"/>
      <c r="R43" s="71"/>
      <c r="S43" s="71"/>
    </row>
    <row r="44" spans="2:19" x14ac:dyDescent="0.25">
      <c r="B44" s="146" t="s">
        <v>8215</v>
      </c>
      <c r="C44" s="147">
        <v>10300</v>
      </c>
      <c r="D44" s="173">
        <v>5</v>
      </c>
      <c r="E44" s="159">
        <v>10305</v>
      </c>
      <c r="G44" s="71"/>
      <c r="H44" s="71"/>
      <c r="J44" s="71"/>
      <c r="K44" s="71"/>
      <c r="L44" s="71"/>
      <c r="M44" s="71"/>
      <c r="N44" s="71"/>
      <c r="O44" s="71"/>
      <c r="P44" s="71"/>
      <c r="Q44" s="71"/>
      <c r="R44" s="71"/>
      <c r="S44" s="71"/>
    </row>
    <row r="45" spans="2:19" x14ac:dyDescent="0.25">
      <c r="B45" s="148" t="s">
        <v>8211</v>
      </c>
      <c r="C45" s="147">
        <v>10300</v>
      </c>
      <c r="D45" s="173">
        <v>6</v>
      </c>
      <c r="E45" s="159">
        <v>10306</v>
      </c>
      <c r="G45" s="71"/>
      <c r="H45" s="71"/>
      <c r="J45" s="71"/>
      <c r="K45" s="71"/>
      <c r="L45" s="71"/>
      <c r="M45" s="71"/>
      <c r="N45" s="71"/>
      <c r="O45" s="71"/>
      <c r="P45" s="71"/>
      <c r="Q45" s="71"/>
      <c r="R45" s="71"/>
      <c r="S45" s="71"/>
    </row>
    <row r="46" spans="2:19" x14ac:dyDescent="0.25">
      <c r="B46" s="146" t="s">
        <v>924</v>
      </c>
      <c r="C46" s="147">
        <v>10300</v>
      </c>
      <c r="D46" s="173">
        <v>7</v>
      </c>
      <c r="E46" s="159">
        <v>10307</v>
      </c>
      <c r="G46" s="71"/>
      <c r="H46" s="71"/>
      <c r="J46" s="71"/>
      <c r="K46" s="71"/>
      <c r="L46" s="71"/>
      <c r="M46" s="71"/>
      <c r="N46" s="71"/>
      <c r="O46" s="71"/>
      <c r="P46" s="71"/>
      <c r="Q46" s="71"/>
      <c r="R46" s="71"/>
      <c r="S46" s="71"/>
    </row>
    <row r="47" spans="2:19" x14ac:dyDescent="0.25">
      <c r="B47" s="146" t="s">
        <v>8212</v>
      </c>
      <c r="C47" s="147">
        <v>10300</v>
      </c>
      <c r="D47" s="173">
        <v>8</v>
      </c>
      <c r="E47" s="159">
        <v>10308</v>
      </c>
      <c r="G47" s="71"/>
      <c r="H47" s="71"/>
      <c r="J47" s="71"/>
      <c r="K47" s="71"/>
      <c r="L47" s="71"/>
      <c r="M47" s="71"/>
      <c r="N47" s="71"/>
      <c r="O47" s="71"/>
      <c r="P47" s="71"/>
      <c r="Q47" s="71"/>
      <c r="R47" s="71"/>
      <c r="S47" s="71"/>
    </row>
    <row r="48" spans="2:19" x14ac:dyDescent="0.25">
      <c r="B48" s="146" t="s">
        <v>8213</v>
      </c>
      <c r="C48" s="147">
        <v>10300</v>
      </c>
      <c r="D48" s="173">
        <v>9</v>
      </c>
      <c r="E48" s="159">
        <v>10309</v>
      </c>
      <c r="G48" s="71"/>
      <c r="H48" s="71"/>
      <c r="J48" s="71"/>
      <c r="K48" s="71"/>
      <c r="L48" s="71"/>
      <c r="M48" s="71"/>
      <c r="N48" s="71"/>
      <c r="O48" s="71"/>
      <c r="P48" s="71"/>
      <c r="Q48" s="71"/>
      <c r="R48" s="71"/>
      <c r="S48" s="71"/>
    </row>
    <row r="49" spans="2:19" x14ac:dyDescent="0.25">
      <c r="B49" s="146" t="s">
        <v>8210</v>
      </c>
      <c r="C49" s="147">
        <v>10300</v>
      </c>
      <c r="D49" s="173">
        <v>10</v>
      </c>
      <c r="E49" s="159">
        <v>10310</v>
      </c>
      <c r="G49" s="71"/>
      <c r="H49" s="71"/>
      <c r="J49" s="71"/>
      <c r="K49" s="71"/>
      <c r="L49" s="71"/>
      <c r="M49" s="71"/>
      <c r="N49" s="71"/>
      <c r="O49" s="71"/>
      <c r="P49" s="71"/>
      <c r="Q49" s="71"/>
      <c r="R49" s="71"/>
      <c r="S49" s="71"/>
    </row>
    <row r="50" spans="2:19" x14ac:dyDescent="0.25">
      <c r="B50" s="149" t="s">
        <v>8216</v>
      </c>
      <c r="C50" s="147">
        <v>10300</v>
      </c>
      <c r="D50" s="173">
        <v>11</v>
      </c>
      <c r="E50" s="159">
        <v>10311</v>
      </c>
      <c r="G50" s="71"/>
      <c r="H50" s="71"/>
      <c r="J50" s="71"/>
      <c r="K50" s="71"/>
      <c r="L50" s="71"/>
      <c r="M50" s="71"/>
      <c r="N50" s="71"/>
      <c r="O50" s="71"/>
      <c r="P50" s="71"/>
      <c r="Q50" s="71"/>
      <c r="R50" s="71"/>
      <c r="S50" s="71"/>
    </row>
    <row r="51" spans="2:19" x14ac:dyDescent="0.25">
      <c r="B51" s="150" t="s">
        <v>8217</v>
      </c>
      <c r="C51" s="140">
        <v>10400</v>
      </c>
      <c r="D51" s="174">
        <v>1</v>
      </c>
      <c r="E51" s="160">
        <v>10401</v>
      </c>
      <c r="G51" s="71"/>
      <c r="H51" s="71"/>
      <c r="J51" s="71"/>
      <c r="K51" s="71"/>
      <c r="L51" s="71"/>
      <c r="M51" s="71"/>
      <c r="N51" s="71"/>
      <c r="O51" s="71"/>
      <c r="P51" s="71"/>
      <c r="Q51" s="71"/>
      <c r="R51" s="71"/>
      <c r="S51" s="71"/>
    </row>
    <row r="52" spans="2:19" x14ac:dyDescent="0.25">
      <c r="B52" s="151" t="s">
        <v>8221</v>
      </c>
      <c r="C52" s="139">
        <v>10500</v>
      </c>
      <c r="D52" s="175">
        <v>1</v>
      </c>
      <c r="E52" s="161">
        <v>10501</v>
      </c>
      <c r="G52" s="71"/>
      <c r="H52" s="71"/>
      <c r="J52" s="71"/>
      <c r="K52" s="71"/>
      <c r="L52" s="71"/>
      <c r="M52" s="71"/>
      <c r="N52" s="71"/>
      <c r="O52" s="71"/>
      <c r="P52" s="71"/>
      <c r="Q52" s="71"/>
      <c r="R52" s="71"/>
      <c r="S52" s="71"/>
    </row>
    <row r="53" spans="2:19" x14ac:dyDescent="0.25">
      <c r="B53" s="151" t="s">
        <v>8218</v>
      </c>
      <c r="C53" s="139">
        <v>10500</v>
      </c>
      <c r="D53" s="175">
        <v>2</v>
      </c>
      <c r="E53" s="161">
        <v>10502</v>
      </c>
      <c r="G53" s="71"/>
      <c r="H53" s="71"/>
      <c r="J53" s="71"/>
      <c r="K53" s="71"/>
      <c r="L53" s="71"/>
      <c r="M53" s="71"/>
      <c r="N53" s="71"/>
      <c r="O53" s="71"/>
      <c r="P53" s="71"/>
      <c r="Q53" s="71"/>
      <c r="R53" s="71"/>
      <c r="S53" s="71"/>
    </row>
    <row r="54" spans="2:19" x14ac:dyDescent="0.25">
      <c r="B54" s="151" t="s">
        <v>8220</v>
      </c>
      <c r="C54" s="139">
        <v>10500</v>
      </c>
      <c r="D54" s="175">
        <v>3</v>
      </c>
      <c r="E54" s="161">
        <v>10503</v>
      </c>
      <c r="G54" s="71"/>
      <c r="H54" s="71"/>
      <c r="J54" s="71"/>
      <c r="K54" s="71"/>
      <c r="L54" s="71"/>
      <c r="M54" s="71"/>
      <c r="N54" s="71"/>
      <c r="O54" s="71"/>
      <c r="P54" s="71"/>
      <c r="Q54" s="71"/>
      <c r="R54" s="71"/>
      <c r="S54" s="71"/>
    </row>
    <row r="55" spans="2:19" x14ac:dyDescent="0.25">
      <c r="B55" s="151" t="s">
        <v>8219</v>
      </c>
      <c r="C55" s="139">
        <v>10500</v>
      </c>
      <c r="D55" s="175">
        <v>4</v>
      </c>
      <c r="E55" s="161">
        <v>10504</v>
      </c>
      <c r="G55" s="71"/>
      <c r="H55" s="71"/>
      <c r="J55" s="71"/>
      <c r="K55" s="71"/>
      <c r="L55" s="71"/>
      <c r="M55" s="71"/>
      <c r="N55" s="71"/>
      <c r="O55" s="71"/>
      <c r="P55" s="71"/>
      <c r="Q55" s="71"/>
      <c r="R55" s="71"/>
      <c r="S55" s="71"/>
    </row>
    <row r="56" spans="2:19" x14ac:dyDescent="0.25">
      <c r="B56" s="151" t="s">
        <v>8244</v>
      </c>
      <c r="C56" s="139">
        <v>10500</v>
      </c>
      <c r="D56" s="175">
        <v>5</v>
      </c>
      <c r="E56" s="161">
        <v>10505</v>
      </c>
      <c r="G56" s="71"/>
      <c r="H56" s="71"/>
      <c r="J56" s="71"/>
      <c r="K56" s="71"/>
      <c r="L56" s="71"/>
      <c r="M56" s="71"/>
      <c r="N56" s="71"/>
      <c r="O56" s="71"/>
      <c r="P56" s="71"/>
      <c r="Q56" s="71"/>
      <c r="R56" s="71"/>
      <c r="S56" s="71"/>
    </row>
    <row r="57" spans="2:19" x14ac:dyDescent="0.25">
      <c r="B57" s="153" t="s">
        <v>8368</v>
      </c>
      <c r="C57" s="176">
        <v>10600</v>
      </c>
      <c r="D57" s="177">
        <v>1</v>
      </c>
      <c r="E57" s="162">
        <v>10601</v>
      </c>
      <c r="G57" s="71"/>
      <c r="H57" s="71"/>
      <c r="J57" s="71"/>
      <c r="K57" s="71"/>
      <c r="L57" s="71"/>
      <c r="M57" s="71"/>
      <c r="N57" s="71"/>
      <c r="O57" s="71"/>
      <c r="P57" s="71"/>
      <c r="Q57" s="71"/>
      <c r="R57" s="71"/>
      <c r="S57" s="71"/>
    </row>
    <row r="58" spans="2:19" x14ac:dyDescent="0.25">
      <c r="B58" s="153" t="s">
        <v>8245</v>
      </c>
      <c r="C58" s="176">
        <v>10600</v>
      </c>
      <c r="D58" s="177">
        <v>2</v>
      </c>
      <c r="E58" s="162">
        <v>10602</v>
      </c>
      <c r="G58" s="71"/>
      <c r="H58" s="71"/>
      <c r="J58" s="71"/>
      <c r="K58" s="71"/>
      <c r="L58" s="71"/>
      <c r="M58" s="71"/>
      <c r="N58" s="71"/>
      <c r="O58" s="71"/>
      <c r="P58" s="71"/>
      <c r="Q58" s="71"/>
      <c r="R58" s="71"/>
      <c r="S58" s="71"/>
    </row>
    <row r="59" spans="2:19" x14ac:dyDescent="0.25">
      <c r="B59" s="153" t="s">
        <v>8246</v>
      </c>
      <c r="C59" s="176">
        <v>10600</v>
      </c>
      <c r="D59" s="177">
        <v>3</v>
      </c>
      <c r="E59" s="162">
        <v>10603</v>
      </c>
      <c r="G59" s="71"/>
      <c r="H59" s="71"/>
      <c r="J59" s="71"/>
      <c r="K59" s="71"/>
      <c r="L59" s="71"/>
      <c r="M59" s="71"/>
      <c r="N59" s="71"/>
      <c r="O59" s="71"/>
      <c r="P59" s="71"/>
      <c r="Q59" s="71"/>
      <c r="R59" s="71"/>
      <c r="S59" s="71"/>
    </row>
    <row r="60" spans="2:19" x14ac:dyDescent="0.25">
      <c r="B60" s="153" t="s">
        <v>8247</v>
      </c>
      <c r="C60" s="176">
        <v>10600</v>
      </c>
      <c r="D60" s="177">
        <v>4</v>
      </c>
      <c r="E60" s="162">
        <v>10604</v>
      </c>
      <c r="G60" s="71"/>
      <c r="H60" s="71"/>
      <c r="J60" s="71"/>
      <c r="K60" s="71"/>
      <c r="L60" s="71"/>
      <c r="M60" s="71"/>
      <c r="N60" s="71"/>
      <c r="O60" s="71"/>
      <c r="P60" s="71"/>
      <c r="Q60" s="71"/>
      <c r="R60" s="71"/>
      <c r="S60" s="71"/>
    </row>
    <row r="61" spans="2:19" x14ac:dyDescent="0.25">
      <c r="B61" s="154" t="s">
        <v>8222</v>
      </c>
      <c r="C61" s="176">
        <v>10600</v>
      </c>
      <c r="D61" s="177">
        <v>5</v>
      </c>
      <c r="E61" s="162">
        <v>10605</v>
      </c>
      <c r="G61" s="71"/>
      <c r="H61" s="71"/>
      <c r="J61" s="71"/>
      <c r="K61" s="71"/>
      <c r="L61" s="71"/>
      <c r="M61" s="71"/>
      <c r="N61" s="71"/>
      <c r="O61" s="71"/>
      <c r="P61" s="71"/>
      <c r="Q61" s="71"/>
      <c r="R61" s="71"/>
      <c r="S61" s="71"/>
    </row>
    <row r="62" spans="2:19" x14ac:dyDescent="0.25">
      <c r="B62" s="129" t="s">
        <v>8223</v>
      </c>
      <c r="C62" s="156">
        <v>10700</v>
      </c>
      <c r="D62" s="178">
        <v>1</v>
      </c>
      <c r="E62" s="163">
        <v>10701</v>
      </c>
      <c r="G62" s="71"/>
      <c r="H62" s="71"/>
      <c r="J62" s="71"/>
      <c r="K62" s="71"/>
      <c r="L62" s="71"/>
      <c r="M62" s="71"/>
      <c r="N62" s="71"/>
      <c r="O62" s="71"/>
      <c r="P62" s="71"/>
      <c r="Q62" s="71"/>
      <c r="R62" s="71"/>
      <c r="S62" s="71"/>
    </row>
    <row r="63" spans="2:19" x14ac:dyDescent="0.25">
      <c r="B63" s="130" t="s">
        <v>8225</v>
      </c>
      <c r="C63" s="156">
        <v>10700</v>
      </c>
      <c r="D63" s="178">
        <v>2</v>
      </c>
      <c r="E63" s="163">
        <v>10702</v>
      </c>
      <c r="G63" s="71"/>
      <c r="H63" s="71"/>
      <c r="J63" s="71"/>
      <c r="K63" s="71"/>
      <c r="L63" s="71"/>
      <c r="M63" s="71"/>
      <c r="N63" s="71"/>
      <c r="O63" s="71"/>
      <c r="P63" s="71"/>
      <c r="Q63" s="71"/>
      <c r="R63" s="71"/>
      <c r="S63" s="71"/>
    </row>
    <row r="64" spans="2:19" x14ac:dyDescent="0.25">
      <c r="B64" s="130" t="s">
        <v>8226</v>
      </c>
      <c r="C64" s="156">
        <v>10700</v>
      </c>
      <c r="D64" s="178">
        <v>3</v>
      </c>
      <c r="E64" s="163">
        <v>10703</v>
      </c>
      <c r="G64" s="71"/>
      <c r="H64" s="71"/>
      <c r="J64" s="71"/>
      <c r="K64" s="71"/>
      <c r="L64" s="71"/>
      <c r="M64" s="71"/>
      <c r="N64" s="71"/>
      <c r="O64" s="71"/>
      <c r="P64" s="71"/>
      <c r="Q64" s="71"/>
      <c r="R64" s="71"/>
      <c r="S64" s="71"/>
    </row>
    <row r="65" spans="1:256" x14ac:dyDescent="0.25">
      <c r="B65" s="131" t="s">
        <v>8248</v>
      </c>
      <c r="C65" s="156">
        <v>10700</v>
      </c>
      <c r="D65" s="178">
        <v>4</v>
      </c>
      <c r="E65" s="163">
        <v>10704</v>
      </c>
      <c r="G65" s="71"/>
      <c r="H65" s="71"/>
      <c r="J65" s="71"/>
      <c r="K65" s="71"/>
      <c r="L65" s="71"/>
      <c r="M65" s="71"/>
      <c r="N65" s="71"/>
      <c r="O65" s="71"/>
      <c r="P65" s="71"/>
      <c r="Q65" s="71"/>
      <c r="R65" s="71"/>
      <c r="S65" s="71"/>
    </row>
    <row r="66" spans="1:256" x14ac:dyDescent="0.25">
      <c r="B66" s="129" t="s">
        <v>8224</v>
      </c>
      <c r="C66" s="156">
        <v>10700</v>
      </c>
      <c r="D66" s="178">
        <v>5</v>
      </c>
      <c r="E66" s="163">
        <v>10705</v>
      </c>
      <c r="G66" s="71"/>
      <c r="H66" s="71"/>
      <c r="J66" s="71"/>
      <c r="K66" s="71"/>
      <c r="L66" s="71"/>
      <c r="M66" s="71"/>
      <c r="N66" s="71"/>
      <c r="O66" s="71"/>
      <c r="P66" s="71"/>
      <c r="Q66" s="71"/>
      <c r="R66" s="71"/>
      <c r="S66" s="71"/>
    </row>
    <row r="67" spans="1:256" s="118" customFormat="1" x14ac:dyDescent="0.25">
      <c r="A67" s="71"/>
      <c r="B67" s="157" t="s">
        <v>8227</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25">
      <c r="B68" s="145" t="s">
        <v>8228</v>
      </c>
      <c r="C68" s="144">
        <v>10900</v>
      </c>
      <c r="D68" s="172">
        <v>1</v>
      </c>
      <c r="E68" s="165">
        <v>10901</v>
      </c>
      <c r="G68" s="71"/>
      <c r="H68" s="71"/>
      <c r="J68" s="71"/>
      <c r="K68" s="71"/>
      <c r="L68" s="71"/>
      <c r="M68" s="71"/>
      <c r="N68" s="71"/>
      <c r="O68" s="71"/>
      <c r="P68" s="71"/>
      <c r="Q68" s="71"/>
      <c r="R68" s="71"/>
      <c r="S68" s="71"/>
    </row>
    <row r="69" spans="1:256" x14ac:dyDescent="0.25">
      <c r="B69" s="145" t="s">
        <v>8239</v>
      </c>
      <c r="C69" s="144">
        <v>10900</v>
      </c>
      <c r="D69" s="172">
        <v>2</v>
      </c>
      <c r="E69" s="165">
        <v>10902</v>
      </c>
      <c r="G69" s="71"/>
      <c r="H69" s="71"/>
      <c r="J69" s="71"/>
      <c r="K69" s="71"/>
      <c r="L69" s="71"/>
      <c r="M69" s="71"/>
      <c r="N69" s="71"/>
      <c r="O69" s="71"/>
      <c r="P69" s="71"/>
      <c r="Q69" s="71"/>
      <c r="R69" s="71"/>
      <c r="S69" s="71"/>
    </row>
    <row r="70" spans="1:256" x14ac:dyDescent="0.25">
      <c r="B70" s="80" t="s">
        <v>8233</v>
      </c>
      <c r="C70" s="133">
        <v>99000</v>
      </c>
      <c r="D70" s="167">
        <v>0</v>
      </c>
      <c r="E70" s="166">
        <v>99000</v>
      </c>
      <c r="G70" s="71"/>
      <c r="H70" s="71"/>
      <c r="J70" s="71"/>
      <c r="K70" s="71"/>
      <c r="L70" s="71"/>
      <c r="M70" s="71"/>
      <c r="N70" s="71"/>
      <c r="O70" s="71"/>
      <c r="P70" s="71"/>
      <c r="Q70" s="71"/>
      <c r="R70" s="71"/>
      <c r="S70" s="71"/>
    </row>
    <row r="71" spans="1:256" x14ac:dyDescent="0.25">
      <c r="B71" s="71"/>
      <c r="C71" s="71"/>
      <c r="D71" s="71"/>
      <c r="E71" s="96"/>
      <c r="G71" s="71"/>
      <c r="H71" s="71"/>
      <c r="J71" s="71"/>
      <c r="K71" s="71"/>
      <c r="L71" s="71"/>
      <c r="M71" s="71"/>
      <c r="N71" s="71"/>
      <c r="O71" s="71"/>
      <c r="P71" s="71"/>
      <c r="Q71" s="71"/>
      <c r="R71" s="71"/>
      <c r="S71" s="71"/>
    </row>
    <row r="72" spans="1:256" x14ac:dyDescent="0.25">
      <c r="B72" s="71"/>
      <c r="C72" s="71"/>
      <c r="D72" s="71"/>
      <c r="E72" s="96"/>
      <c r="G72" s="71"/>
      <c r="H72" s="71"/>
      <c r="J72" s="71"/>
      <c r="K72" s="71"/>
      <c r="L72" s="71"/>
      <c r="M72" s="71"/>
      <c r="N72" s="71"/>
      <c r="O72" s="71"/>
      <c r="P72" s="71"/>
      <c r="Q72" s="71"/>
      <c r="R72" s="71"/>
      <c r="S72" s="71"/>
    </row>
    <row r="73" spans="1:256" x14ac:dyDescent="0.25">
      <c r="B73" s="71"/>
      <c r="C73" s="71"/>
      <c r="D73" s="71"/>
      <c r="E73" s="96"/>
      <c r="G73" s="71"/>
      <c r="H73" s="71"/>
      <c r="J73" s="71"/>
      <c r="K73" s="71"/>
      <c r="L73" s="71"/>
      <c r="M73" s="71"/>
      <c r="N73" s="71"/>
      <c r="O73" s="71"/>
      <c r="P73" s="71"/>
      <c r="Q73" s="71"/>
      <c r="R73" s="71"/>
      <c r="S73" s="71"/>
    </row>
    <row r="74" spans="1:256" x14ac:dyDescent="0.25">
      <c r="B74" s="71"/>
      <c r="C74" s="71"/>
      <c r="D74" s="71"/>
      <c r="E74" s="96"/>
      <c r="G74" s="71"/>
      <c r="H74" s="71"/>
      <c r="J74" s="71"/>
      <c r="K74" s="71"/>
      <c r="L74" s="71"/>
      <c r="M74" s="71"/>
      <c r="N74" s="71"/>
      <c r="O74" s="71"/>
      <c r="P74" s="71"/>
      <c r="Q74" s="71"/>
      <c r="R74" s="71"/>
      <c r="S74" s="71"/>
    </row>
    <row r="75" spans="1:256" x14ac:dyDescent="0.25">
      <c r="B75" s="71"/>
      <c r="C75" s="71"/>
      <c r="D75" s="71"/>
      <c r="E75" s="96"/>
      <c r="G75" s="71"/>
      <c r="H75" s="71"/>
      <c r="J75" s="71"/>
      <c r="K75" s="71"/>
      <c r="L75" s="71"/>
      <c r="M75" s="71"/>
      <c r="N75" s="71"/>
      <c r="O75" s="71"/>
      <c r="P75" s="71"/>
      <c r="Q75" s="71"/>
      <c r="R75" s="71"/>
      <c r="S75" s="71"/>
    </row>
    <row r="76" spans="1:256" x14ac:dyDescent="0.25">
      <c r="B76" s="71"/>
      <c r="C76" s="71"/>
      <c r="D76" s="71"/>
      <c r="E76" s="96"/>
      <c r="G76" s="71"/>
      <c r="H76" s="71"/>
      <c r="J76" s="71"/>
      <c r="K76" s="71"/>
      <c r="L76" s="71"/>
      <c r="M76" s="71"/>
      <c r="N76" s="71"/>
      <c r="O76" s="71"/>
      <c r="P76" s="71"/>
      <c r="Q76" s="71"/>
      <c r="R76" s="71"/>
      <c r="S76" s="71"/>
    </row>
    <row r="77" spans="1:256" x14ac:dyDescent="0.25">
      <c r="B77" s="71"/>
      <c r="C77" s="71"/>
      <c r="D77" s="71"/>
      <c r="E77" s="96"/>
      <c r="G77" s="71"/>
      <c r="H77" s="71"/>
      <c r="J77" s="71"/>
      <c r="K77" s="71"/>
      <c r="L77" s="71"/>
      <c r="M77" s="71"/>
      <c r="N77" s="71"/>
      <c r="O77" s="71"/>
      <c r="P77" s="71"/>
      <c r="Q77" s="71"/>
      <c r="R77" s="71"/>
      <c r="S77" s="71"/>
    </row>
    <row r="78" spans="1:256" x14ac:dyDescent="0.25">
      <c r="B78" s="71"/>
      <c r="C78" s="71"/>
      <c r="D78" s="71"/>
      <c r="E78" s="96"/>
      <c r="G78" s="71"/>
      <c r="H78" s="71"/>
      <c r="J78" s="71"/>
      <c r="K78" s="71"/>
      <c r="L78" s="71"/>
      <c r="M78" s="71"/>
      <c r="N78" s="71"/>
      <c r="O78" s="71"/>
      <c r="P78" s="71"/>
      <c r="Q78" s="71"/>
      <c r="R78" s="71"/>
      <c r="S78" s="71"/>
    </row>
    <row r="79" spans="1:256" x14ac:dyDescent="0.25">
      <c r="B79" s="71"/>
      <c r="C79" s="71"/>
      <c r="D79" s="71"/>
      <c r="E79" s="96"/>
      <c r="G79" s="71"/>
      <c r="H79" s="71"/>
      <c r="J79" s="71"/>
      <c r="K79" s="71"/>
      <c r="L79" s="71"/>
      <c r="M79" s="71"/>
      <c r="N79" s="71"/>
      <c r="O79" s="71"/>
      <c r="P79" s="71"/>
      <c r="Q79" s="71"/>
      <c r="R79" s="71"/>
      <c r="S79" s="71"/>
    </row>
    <row r="80" spans="1:256" x14ac:dyDescent="0.25">
      <c r="B80" s="71"/>
      <c r="C80" s="71"/>
      <c r="D80" s="71"/>
      <c r="E80" s="96"/>
      <c r="G80" s="71"/>
      <c r="H80" s="71"/>
      <c r="J80" s="71"/>
      <c r="K80" s="71"/>
      <c r="L80" s="71"/>
      <c r="M80" s="71"/>
      <c r="N80" s="71"/>
      <c r="O80" s="71"/>
      <c r="P80" s="71"/>
      <c r="Q80" s="71"/>
      <c r="R80" s="71"/>
      <c r="S80" s="71"/>
    </row>
    <row r="81" spans="2:19" x14ac:dyDescent="0.25">
      <c r="B81" s="71"/>
      <c r="C81" s="71"/>
      <c r="D81" s="71"/>
      <c r="E81" s="96"/>
      <c r="G81" s="71"/>
      <c r="H81" s="71"/>
      <c r="J81" s="71"/>
      <c r="K81" s="71"/>
      <c r="L81" s="71"/>
      <c r="M81" s="71"/>
      <c r="N81" s="71"/>
      <c r="O81" s="71"/>
      <c r="P81" s="71"/>
      <c r="Q81" s="71"/>
      <c r="R81" s="71"/>
      <c r="S81" s="71"/>
    </row>
    <row r="82" spans="2:19" x14ac:dyDescent="0.25">
      <c r="B82" s="71"/>
      <c r="C82" s="71"/>
      <c r="D82" s="71"/>
      <c r="E82" s="96"/>
      <c r="G82" s="71"/>
      <c r="H82" s="71"/>
      <c r="J82" s="71"/>
      <c r="K82" s="71"/>
      <c r="L82" s="71"/>
      <c r="M82" s="71"/>
      <c r="N82" s="71"/>
      <c r="O82" s="71"/>
      <c r="P82" s="71"/>
      <c r="Q82" s="71"/>
      <c r="R82" s="71"/>
      <c r="S82" s="71"/>
    </row>
    <row r="83" spans="2:19" x14ac:dyDescent="0.25">
      <c r="B83" s="71"/>
      <c r="C83" s="71"/>
      <c r="D83" s="71"/>
      <c r="E83" s="96"/>
      <c r="G83" s="71"/>
      <c r="H83" s="71"/>
      <c r="J83" s="71"/>
      <c r="K83" s="71"/>
      <c r="L83" s="71"/>
      <c r="M83" s="71"/>
      <c r="N83" s="71"/>
      <c r="O83" s="71"/>
      <c r="P83" s="71"/>
      <c r="Q83" s="71"/>
      <c r="R83" s="71"/>
      <c r="S83" s="71"/>
    </row>
    <row r="84" spans="2:19" x14ac:dyDescent="0.25">
      <c r="B84" s="71"/>
      <c r="C84" s="71"/>
      <c r="D84" s="71"/>
      <c r="E84" s="96"/>
      <c r="G84" s="71"/>
      <c r="H84" s="71"/>
      <c r="J84" s="71"/>
      <c r="K84" s="71"/>
      <c r="L84" s="71"/>
      <c r="M84" s="71"/>
      <c r="N84" s="71"/>
      <c r="O84" s="71"/>
      <c r="P84" s="71"/>
      <c r="Q84" s="71"/>
      <c r="R84" s="71"/>
      <c r="S84" s="71"/>
    </row>
    <row r="85" spans="2:19" x14ac:dyDescent="0.25">
      <c r="B85" s="71"/>
      <c r="C85" s="71"/>
      <c r="D85" s="71"/>
      <c r="E85" s="96"/>
      <c r="G85" s="71"/>
      <c r="H85" s="71"/>
      <c r="J85" s="71"/>
      <c r="K85" s="71"/>
      <c r="L85" s="71"/>
      <c r="M85" s="71"/>
      <c r="N85" s="71"/>
      <c r="O85" s="71"/>
      <c r="P85" s="71"/>
      <c r="Q85" s="71"/>
      <c r="R85" s="71"/>
      <c r="S85" s="71"/>
    </row>
    <row r="86" spans="2:19" x14ac:dyDescent="0.25">
      <c r="B86" s="71"/>
      <c r="C86" s="71"/>
      <c r="D86" s="71"/>
      <c r="E86" s="96"/>
      <c r="G86" s="71"/>
      <c r="H86" s="71"/>
      <c r="J86" s="71"/>
      <c r="K86" s="71"/>
      <c r="L86" s="71"/>
      <c r="M86" s="71"/>
      <c r="N86" s="71"/>
      <c r="O86" s="71"/>
      <c r="P86" s="71"/>
      <c r="Q86" s="71"/>
      <c r="R86" s="71"/>
      <c r="S86" s="71"/>
    </row>
    <row r="87" spans="2:19" x14ac:dyDescent="0.25">
      <c r="B87" s="71"/>
      <c r="C87" s="71"/>
      <c r="D87" s="71"/>
      <c r="E87" s="96"/>
      <c r="G87" s="71"/>
      <c r="H87" s="71"/>
      <c r="J87" s="71"/>
      <c r="K87" s="71"/>
      <c r="L87" s="71"/>
      <c r="M87" s="71"/>
      <c r="N87" s="71"/>
      <c r="O87" s="71"/>
      <c r="P87" s="71"/>
      <c r="Q87" s="71"/>
      <c r="R87" s="71"/>
      <c r="S87" s="71"/>
    </row>
    <row r="88" spans="2:19" x14ac:dyDescent="0.25">
      <c r="B88" s="71"/>
      <c r="C88" s="71"/>
      <c r="D88" s="71"/>
      <c r="E88" s="96"/>
      <c r="G88" s="71"/>
      <c r="H88" s="71"/>
      <c r="J88" s="71"/>
      <c r="K88" s="71"/>
      <c r="L88" s="71"/>
      <c r="M88" s="71"/>
      <c r="N88" s="71"/>
      <c r="O88" s="71"/>
      <c r="P88" s="71"/>
      <c r="Q88" s="71"/>
      <c r="R88" s="71"/>
      <c r="S88" s="71"/>
    </row>
    <row r="89" spans="2:19" x14ac:dyDescent="0.25">
      <c r="B89" s="71"/>
      <c r="C89" s="71"/>
      <c r="D89" s="71"/>
      <c r="E89" s="96"/>
      <c r="G89" s="71"/>
      <c r="H89" s="71"/>
      <c r="J89" s="71"/>
      <c r="K89" s="71"/>
      <c r="L89" s="71"/>
      <c r="M89" s="71"/>
      <c r="N89" s="71"/>
      <c r="O89" s="71"/>
      <c r="P89" s="71"/>
      <c r="Q89" s="71"/>
      <c r="R89" s="71"/>
      <c r="S89" s="71"/>
    </row>
    <row r="90" spans="2:19" x14ac:dyDescent="0.25">
      <c r="B90" s="71"/>
      <c r="C90" s="71"/>
      <c r="D90" s="71"/>
      <c r="E90" s="96"/>
      <c r="G90" s="71"/>
      <c r="H90" s="71"/>
      <c r="J90" s="71"/>
      <c r="K90" s="71"/>
      <c r="L90" s="71"/>
      <c r="M90" s="71"/>
      <c r="N90" s="71"/>
      <c r="O90" s="71"/>
      <c r="P90" s="71"/>
      <c r="Q90" s="71"/>
      <c r="R90" s="71"/>
      <c r="S90" s="71"/>
    </row>
    <row r="91" spans="2:19" x14ac:dyDescent="0.25">
      <c r="B91" s="71"/>
      <c r="C91" s="71"/>
      <c r="D91" s="71"/>
      <c r="E91" s="96"/>
      <c r="G91" s="71"/>
      <c r="H91" s="71"/>
      <c r="J91" s="71"/>
      <c r="K91" s="71"/>
      <c r="L91" s="71"/>
      <c r="M91" s="71"/>
      <c r="N91" s="71"/>
      <c r="O91" s="71"/>
      <c r="P91" s="71"/>
      <c r="Q91" s="71"/>
      <c r="R91" s="71"/>
      <c r="S91" s="71"/>
    </row>
    <row r="92" spans="2:19" x14ac:dyDescent="0.25">
      <c r="B92" s="71"/>
      <c r="C92" s="71"/>
      <c r="D92" s="71"/>
      <c r="E92" s="96"/>
      <c r="G92" s="71"/>
      <c r="H92" s="71"/>
      <c r="J92" s="71"/>
      <c r="K92" s="71"/>
      <c r="L92" s="71"/>
      <c r="M92" s="71"/>
      <c r="N92" s="71"/>
      <c r="O92" s="71"/>
      <c r="P92" s="71"/>
      <c r="Q92" s="71"/>
      <c r="R92" s="71"/>
      <c r="S92" s="71"/>
    </row>
    <row r="93" spans="2:19" x14ac:dyDescent="0.25">
      <c r="B93" s="71"/>
      <c r="C93" s="71"/>
      <c r="D93" s="71"/>
      <c r="E93" s="96"/>
      <c r="G93" s="71"/>
      <c r="H93" s="71"/>
      <c r="J93" s="71"/>
      <c r="K93" s="71"/>
      <c r="L93" s="71"/>
      <c r="M93" s="71"/>
      <c r="N93" s="71"/>
      <c r="O93" s="71"/>
      <c r="P93" s="71"/>
      <c r="Q93" s="71"/>
      <c r="R93" s="71"/>
      <c r="S93" s="71"/>
    </row>
    <row r="94" spans="2:19" x14ac:dyDescent="0.25">
      <c r="B94" s="71"/>
      <c r="C94" s="71"/>
      <c r="D94" s="71"/>
      <c r="E94" s="96"/>
      <c r="G94" s="71"/>
      <c r="H94" s="71"/>
      <c r="J94" s="71"/>
      <c r="K94" s="71"/>
      <c r="L94" s="71"/>
      <c r="M94" s="71"/>
      <c r="N94" s="71"/>
      <c r="O94" s="71"/>
      <c r="P94" s="71"/>
      <c r="Q94" s="71"/>
      <c r="R94" s="71"/>
      <c r="S94" s="71"/>
    </row>
    <row r="95" spans="2:19" x14ac:dyDescent="0.25">
      <c r="B95" s="71"/>
      <c r="C95" s="71"/>
      <c r="D95" s="71"/>
      <c r="E95" s="96"/>
      <c r="G95" s="71"/>
      <c r="H95" s="71"/>
      <c r="J95" s="71"/>
      <c r="K95" s="71"/>
      <c r="L95" s="71"/>
      <c r="M95" s="71"/>
      <c r="N95" s="71"/>
      <c r="O95" s="71"/>
      <c r="P95" s="71"/>
      <c r="Q95" s="71"/>
      <c r="R95" s="71"/>
      <c r="S95" s="71"/>
    </row>
    <row r="96" spans="2:19" x14ac:dyDescent="0.25">
      <c r="B96" s="71"/>
      <c r="C96" s="71"/>
      <c r="D96" s="71"/>
      <c r="E96" s="96"/>
      <c r="G96" s="71"/>
      <c r="H96" s="71"/>
      <c r="J96" s="71"/>
      <c r="K96" s="71"/>
      <c r="L96" s="71"/>
      <c r="M96" s="71"/>
      <c r="N96" s="71"/>
      <c r="O96" s="71"/>
      <c r="P96" s="71"/>
      <c r="Q96" s="71"/>
      <c r="R96" s="71"/>
      <c r="S96" s="71"/>
    </row>
    <row r="97" spans="2:19" x14ac:dyDescent="0.25">
      <c r="B97" s="71"/>
      <c r="C97" s="71"/>
      <c r="D97" s="71"/>
      <c r="E97" s="96"/>
      <c r="G97" s="71"/>
      <c r="H97" s="71"/>
      <c r="J97" s="71"/>
      <c r="K97" s="71"/>
      <c r="L97" s="71"/>
      <c r="M97" s="71"/>
      <c r="N97" s="71"/>
      <c r="O97" s="71"/>
      <c r="P97" s="71"/>
      <c r="Q97" s="71"/>
      <c r="R97" s="71"/>
      <c r="S97" s="71"/>
    </row>
    <row r="98" spans="2:19" x14ac:dyDescent="0.25">
      <c r="B98" s="71"/>
      <c r="C98" s="71"/>
      <c r="D98" s="71"/>
      <c r="E98" s="96"/>
      <c r="G98" s="71"/>
      <c r="H98" s="71"/>
      <c r="J98" s="71"/>
      <c r="K98" s="71"/>
      <c r="L98" s="71"/>
      <c r="M98" s="71"/>
      <c r="N98" s="71"/>
      <c r="O98" s="71"/>
      <c r="P98" s="71"/>
      <c r="Q98" s="71"/>
      <c r="R98" s="71"/>
      <c r="S98" s="71"/>
    </row>
    <row r="99" spans="2:19" x14ac:dyDescent="0.25">
      <c r="B99" s="71"/>
      <c r="C99" s="71"/>
      <c r="D99" s="71"/>
      <c r="E99" s="96"/>
      <c r="G99" s="71"/>
      <c r="H99" s="71"/>
      <c r="J99" s="71"/>
      <c r="K99" s="71"/>
      <c r="L99" s="71"/>
      <c r="M99" s="71"/>
      <c r="N99" s="71"/>
      <c r="O99" s="71"/>
      <c r="P99" s="71"/>
      <c r="Q99" s="71"/>
      <c r="R99" s="71"/>
      <c r="S99" s="71"/>
    </row>
    <row r="100" spans="2:19" x14ac:dyDescent="0.25">
      <c r="B100" s="71"/>
      <c r="C100" s="71"/>
      <c r="D100" s="71"/>
      <c r="E100" s="96"/>
      <c r="G100" s="71"/>
      <c r="H100" s="71"/>
      <c r="J100" s="71"/>
      <c r="K100" s="71"/>
      <c r="L100" s="71"/>
      <c r="M100" s="71"/>
      <c r="N100" s="71"/>
      <c r="O100" s="71"/>
      <c r="P100" s="71"/>
      <c r="Q100" s="71"/>
      <c r="R100" s="71"/>
      <c r="S100" s="71"/>
    </row>
    <row r="101" spans="2:19" x14ac:dyDescent="0.25">
      <c r="B101" s="71"/>
      <c r="C101" s="71"/>
      <c r="D101" s="71"/>
      <c r="E101" s="96"/>
      <c r="G101" s="71"/>
      <c r="H101" s="71"/>
      <c r="J101" s="71"/>
      <c r="K101" s="71"/>
      <c r="L101" s="71"/>
      <c r="M101" s="71"/>
      <c r="N101" s="71"/>
      <c r="O101" s="71"/>
      <c r="P101" s="71"/>
      <c r="Q101" s="71"/>
      <c r="R101" s="71"/>
      <c r="S101" s="71"/>
    </row>
    <row r="102" spans="2:19" x14ac:dyDescent="0.25">
      <c r="B102" s="71"/>
      <c r="C102" s="71"/>
      <c r="D102" s="71"/>
      <c r="E102" s="96"/>
      <c r="G102" s="71"/>
      <c r="H102" s="71"/>
      <c r="J102" s="71"/>
      <c r="K102" s="71"/>
      <c r="L102" s="71"/>
      <c r="M102" s="71"/>
      <c r="N102" s="71"/>
      <c r="O102" s="71"/>
      <c r="P102" s="71"/>
      <c r="Q102" s="71"/>
      <c r="R102" s="71"/>
      <c r="S102" s="71"/>
    </row>
    <row r="103" spans="2:19" x14ac:dyDescent="0.25">
      <c r="B103" s="71"/>
      <c r="C103" s="71"/>
      <c r="D103" s="71"/>
      <c r="E103" s="96"/>
      <c r="G103" s="71"/>
      <c r="H103" s="71"/>
      <c r="J103" s="71"/>
      <c r="K103" s="71"/>
      <c r="L103" s="71"/>
      <c r="M103" s="71"/>
      <c r="N103" s="71"/>
      <c r="O103" s="71"/>
      <c r="P103" s="71"/>
      <c r="Q103" s="71"/>
      <c r="R103" s="71"/>
      <c r="S103" s="71"/>
    </row>
    <row r="104" spans="2:19" x14ac:dyDescent="0.25">
      <c r="B104" s="71"/>
      <c r="C104" s="71"/>
      <c r="D104" s="71"/>
      <c r="E104" s="96"/>
      <c r="G104" s="71"/>
      <c r="H104" s="71"/>
      <c r="J104" s="71"/>
      <c r="K104" s="71"/>
      <c r="L104" s="71"/>
      <c r="M104" s="71"/>
      <c r="N104" s="71"/>
      <c r="O104" s="71"/>
      <c r="P104" s="71"/>
      <c r="Q104" s="71"/>
      <c r="R104" s="71"/>
      <c r="S104" s="71"/>
    </row>
    <row r="105" spans="2:19" x14ac:dyDescent="0.25">
      <c r="B105" s="71"/>
      <c r="C105" s="71"/>
      <c r="D105" s="71"/>
      <c r="E105" s="96"/>
      <c r="G105" s="71"/>
      <c r="H105" s="71"/>
      <c r="J105" s="71"/>
      <c r="K105" s="71"/>
      <c r="L105" s="71"/>
      <c r="M105" s="71"/>
      <c r="N105" s="71"/>
      <c r="O105" s="71"/>
      <c r="P105" s="71"/>
      <c r="Q105" s="71"/>
      <c r="R105" s="71"/>
      <c r="S105" s="71"/>
    </row>
    <row r="106" spans="2:19" x14ac:dyDescent="0.25">
      <c r="B106" s="71"/>
      <c r="C106" s="71"/>
      <c r="D106" s="71"/>
      <c r="E106" s="96"/>
      <c r="G106" s="71"/>
      <c r="H106" s="71"/>
      <c r="J106" s="71"/>
      <c r="K106" s="71"/>
      <c r="L106" s="71"/>
      <c r="M106" s="71"/>
      <c r="N106" s="71"/>
      <c r="O106" s="71"/>
      <c r="P106" s="71"/>
      <c r="Q106" s="71"/>
      <c r="R106" s="71"/>
      <c r="S106" s="71"/>
    </row>
    <row r="107" spans="2:19" x14ac:dyDescent="0.25">
      <c r="B107" s="71"/>
      <c r="C107" s="71"/>
      <c r="D107" s="71"/>
      <c r="E107" s="96"/>
      <c r="G107" s="71"/>
      <c r="H107" s="71"/>
      <c r="J107" s="71"/>
      <c r="K107" s="71"/>
      <c r="L107" s="71"/>
      <c r="M107" s="71"/>
      <c r="N107" s="71"/>
      <c r="O107" s="71"/>
      <c r="P107" s="71"/>
      <c r="Q107" s="71"/>
      <c r="R107" s="71"/>
      <c r="S107" s="71"/>
    </row>
    <row r="108" spans="2:19" x14ac:dyDescent="0.25">
      <c r="B108" s="71"/>
      <c r="C108" s="71"/>
      <c r="D108" s="71"/>
      <c r="E108" s="96"/>
      <c r="G108" s="71"/>
      <c r="H108" s="71"/>
      <c r="J108" s="71"/>
      <c r="K108" s="71"/>
      <c r="L108" s="71"/>
      <c r="M108" s="71"/>
      <c r="N108" s="71"/>
      <c r="O108" s="71"/>
      <c r="P108" s="71"/>
      <c r="Q108" s="71"/>
      <c r="R108" s="71"/>
      <c r="S108" s="71"/>
    </row>
    <row r="109" spans="2:19" x14ac:dyDescent="0.25">
      <c r="B109" s="71"/>
      <c r="C109" s="71"/>
      <c r="D109" s="71"/>
      <c r="E109" s="96"/>
      <c r="G109" s="71"/>
      <c r="H109" s="71"/>
      <c r="J109" s="71"/>
      <c r="K109" s="71"/>
      <c r="L109" s="71"/>
      <c r="M109" s="71"/>
      <c r="N109" s="71"/>
      <c r="O109" s="71"/>
      <c r="P109" s="71"/>
      <c r="Q109" s="71"/>
      <c r="R109" s="71"/>
      <c r="S109" s="71"/>
    </row>
    <row r="110" spans="2:19" x14ac:dyDescent="0.25">
      <c r="B110" s="71"/>
      <c r="C110" s="71"/>
      <c r="D110" s="71"/>
      <c r="E110" s="96"/>
      <c r="G110" s="71"/>
      <c r="H110" s="71"/>
      <c r="J110" s="71"/>
      <c r="K110" s="71"/>
      <c r="L110" s="71"/>
      <c r="M110" s="71"/>
      <c r="N110" s="71"/>
      <c r="O110" s="71"/>
      <c r="P110" s="71"/>
      <c r="Q110" s="71"/>
      <c r="R110" s="71"/>
      <c r="S110" s="71"/>
    </row>
    <row r="111" spans="2:19" x14ac:dyDescent="0.25">
      <c r="B111" s="71"/>
      <c r="C111" s="71"/>
      <c r="D111" s="71"/>
      <c r="E111" s="96"/>
      <c r="G111" s="71"/>
      <c r="H111" s="71"/>
      <c r="J111" s="71"/>
      <c r="K111" s="71"/>
      <c r="L111" s="71"/>
      <c r="M111" s="71"/>
      <c r="N111" s="71"/>
      <c r="O111" s="71"/>
      <c r="P111" s="71"/>
      <c r="Q111" s="71"/>
      <c r="R111" s="71"/>
      <c r="S111" s="71"/>
    </row>
    <row r="112" spans="2:19" x14ac:dyDescent="0.25">
      <c r="B112" s="71"/>
      <c r="C112" s="71"/>
      <c r="D112" s="71"/>
      <c r="E112" s="96"/>
      <c r="G112" s="71"/>
      <c r="H112" s="71"/>
      <c r="J112" s="71"/>
      <c r="K112" s="71"/>
      <c r="L112" s="71"/>
      <c r="M112" s="71"/>
      <c r="N112" s="71"/>
      <c r="O112" s="71"/>
      <c r="P112" s="71"/>
      <c r="Q112" s="71"/>
      <c r="R112" s="71"/>
      <c r="S112" s="71"/>
    </row>
    <row r="113" spans="2:19" x14ac:dyDescent="0.25">
      <c r="B113" s="71"/>
      <c r="C113" s="71"/>
      <c r="D113" s="71"/>
      <c r="E113" s="96"/>
      <c r="G113" s="71"/>
      <c r="H113" s="71"/>
      <c r="J113" s="71"/>
      <c r="K113" s="71"/>
      <c r="L113" s="71"/>
      <c r="M113" s="71"/>
      <c r="N113" s="71"/>
      <c r="O113" s="71"/>
      <c r="P113" s="71"/>
      <c r="Q113" s="71"/>
      <c r="R113" s="71"/>
      <c r="S113" s="71"/>
    </row>
    <row r="114" spans="2:19" x14ac:dyDescent="0.25">
      <c r="B114" s="71"/>
      <c r="C114" s="71"/>
      <c r="D114" s="71"/>
      <c r="E114" s="96"/>
      <c r="G114" s="71"/>
      <c r="H114" s="71"/>
      <c r="J114" s="71"/>
      <c r="K114" s="71"/>
      <c r="L114" s="71"/>
      <c r="M114" s="71"/>
      <c r="N114" s="71"/>
      <c r="O114" s="71"/>
      <c r="P114" s="71"/>
      <c r="Q114" s="71"/>
      <c r="R114" s="71"/>
      <c r="S114" s="71"/>
    </row>
    <row r="115" spans="2:19" x14ac:dyDescent="0.25">
      <c r="B115" s="71"/>
      <c r="C115" s="71"/>
      <c r="D115" s="71"/>
      <c r="E115" s="96"/>
      <c r="G115" s="71"/>
      <c r="H115" s="71"/>
      <c r="J115" s="71"/>
      <c r="K115" s="71"/>
      <c r="L115" s="71"/>
      <c r="M115" s="71"/>
      <c r="N115" s="71"/>
      <c r="O115" s="71"/>
      <c r="P115" s="71"/>
      <c r="Q115" s="71"/>
      <c r="R115" s="71"/>
      <c r="S115" s="71"/>
    </row>
    <row r="116" spans="2:19" x14ac:dyDescent="0.25">
      <c r="B116" s="71"/>
      <c r="C116" s="71"/>
      <c r="D116" s="71"/>
      <c r="E116" s="96"/>
      <c r="G116" s="71"/>
      <c r="H116" s="71"/>
      <c r="J116" s="71"/>
      <c r="K116" s="71"/>
      <c r="L116" s="71"/>
      <c r="M116" s="71"/>
      <c r="N116" s="71"/>
      <c r="O116" s="71"/>
      <c r="P116" s="71"/>
      <c r="Q116" s="71"/>
      <c r="R116" s="71"/>
      <c r="S116" s="71"/>
    </row>
    <row r="117" spans="2:19" x14ac:dyDescent="0.25">
      <c r="B117" s="71"/>
      <c r="C117" s="71"/>
      <c r="D117" s="71"/>
      <c r="E117" s="96"/>
      <c r="G117" s="71"/>
      <c r="H117" s="71"/>
      <c r="J117" s="71"/>
      <c r="K117" s="71"/>
      <c r="L117" s="71"/>
      <c r="M117" s="71"/>
      <c r="N117" s="71"/>
      <c r="O117" s="71"/>
      <c r="P117" s="71"/>
      <c r="Q117" s="71"/>
      <c r="R117" s="71"/>
      <c r="S117" s="71"/>
    </row>
    <row r="118" spans="2:19" x14ac:dyDescent="0.25">
      <c r="B118" s="71"/>
      <c r="C118" s="71"/>
      <c r="D118" s="71"/>
      <c r="E118" s="96"/>
      <c r="G118" s="71"/>
      <c r="H118" s="71"/>
      <c r="J118" s="71"/>
      <c r="K118" s="71"/>
      <c r="L118" s="71"/>
      <c r="M118" s="71"/>
      <c r="N118" s="71"/>
      <c r="O118" s="71"/>
      <c r="P118" s="71"/>
      <c r="Q118" s="71"/>
      <c r="R118" s="71"/>
      <c r="S118" s="71"/>
    </row>
    <row r="119" spans="2:19" x14ac:dyDescent="0.25">
      <c r="B119" s="71"/>
      <c r="C119" s="71"/>
      <c r="D119" s="71"/>
      <c r="E119" s="96"/>
      <c r="G119" s="71"/>
      <c r="H119" s="71"/>
      <c r="J119" s="71"/>
      <c r="K119" s="71"/>
      <c r="L119" s="71"/>
      <c r="M119" s="71"/>
      <c r="N119" s="71"/>
      <c r="O119" s="71"/>
      <c r="P119" s="71"/>
      <c r="Q119" s="71"/>
      <c r="R119" s="71"/>
      <c r="S119" s="71"/>
    </row>
    <row r="120" spans="2:19" x14ac:dyDescent="0.25">
      <c r="B120" s="71"/>
      <c r="C120" s="71"/>
      <c r="D120" s="71"/>
      <c r="E120" s="96"/>
      <c r="G120" s="71"/>
      <c r="H120" s="71"/>
      <c r="J120" s="71"/>
      <c r="K120" s="71"/>
      <c r="L120" s="71"/>
      <c r="M120" s="71"/>
      <c r="N120" s="71"/>
      <c r="O120" s="71"/>
      <c r="P120" s="71"/>
      <c r="Q120" s="71"/>
      <c r="R120" s="71"/>
      <c r="S120" s="71"/>
    </row>
    <row r="121" spans="2:19" x14ac:dyDescent="0.25">
      <c r="B121" s="71"/>
      <c r="C121" s="71"/>
      <c r="D121" s="71"/>
      <c r="E121" s="96"/>
      <c r="G121" s="71"/>
      <c r="H121" s="71"/>
      <c r="J121" s="71"/>
      <c r="K121" s="71"/>
      <c r="L121" s="71"/>
      <c r="M121" s="71"/>
      <c r="N121" s="71"/>
      <c r="O121" s="71"/>
      <c r="P121" s="71"/>
      <c r="Q121" s="71"/>
      <c r="R121" s="71"/>
      <c r="S121" s="71"/>
    </row>
    <row r="122" spans="2:19" x14ac:dyDescent="0.25">
      <c r="B122" s="71"/>
      <c r="C122" s="71"/>
      <c r="D122" s="71"/>
      <c r="E122" s="96"/>
      <c r="G122" s="71"/>
      <c r="H122" s="71"/>
      <c r="J122" s="71"/>
      <c r="K122" s="71"/>
      <c r="L122" s="71"/>
      <c r="M122" s="71"/>
      <c r="N122" s="71"/>
      <c r="O122" s="71"/>
      <c r="P122" s="71"/>
      <c r="Q122" s="71"/>
      <c r="R122" s="71"/>
      <c r="S122" s="71"/>
    </row>
    <row r="123" spans="2:19" x14ac:dyDescent="0.25">
      <c r="B123" s="71"/>
      <c r="C123" s="71"/>
      <c r="D123" s="71"/>
      <c r="E123" s="96"/>
      <c r="G123" s="71"/>
      <c r="H123" s="71"/>
      <c r="J123" s="71"/>
      <c r="K123" s="71"/>
      <c r="L123" s="71"/>
      <c r="M123" s="71"/>
      <c r="N123" s="71"/>
      <c r="O123" s="71"/>
      <c r="P123" s="71"/>
      <c r="Q123" s="71"/>
      <c r="R123" s="71"/>
      <c r="S123" s="71"/>
    </row>
    <row r="124" spans="2:19" x14ac:dyDescent="0.25">
      <c r="B124" s="71"/>
      <c r="C124" s="71"/>
      <c r="D124" s="71"/>
      <c r="E124" s="96"/>
      <c r="G124" s="71"/>
      <c r="H124" s="71"/>
      <c r="J124" s="71"/>
      <c r="K124" s="71"/>
      <c r="L124" s="71"/>
      <c r="M124" s="71"/>
      <c r="N124" s="71"/>
      <c r="O124" s="71"/>
      <c r="P124" s="71"/>
      <c r="Q124" s="71"/>
      <c r="R124" s="71"/>
      <c r="S124" s="71"/>
    </row>
    <row r="125" spans="2:19" x14ac:dyDescent="0.25">
      <c r="B125" s="71"/>
      <c r="C125" s="71"/>
      <c r="D125" s="71"/>
      <c r="E125" s="96"/>
      <c r="G125" s="71"/>
      <c r="H125" s="71"/>
      <c r="J125" s="71"/>
      <c r="K125" s="71"/>
      <c r="L125" s="71"/>
      <c r="M125" s="71"/>
      <c r="N125" s="71"/>
      <c r="O125" s="71"/>
      <c r="P125" s="71"/>
      <c r="Q125" s="71"/>
      <c r="R125" s="71"/>
      <c r="S125" s="71"/>
    </row>
    <row r="126" spans="2:19" x14ac:dyDescent="0.25">
      <c r="B126" s="71"/>
      <c r="C126" s="71"/>
      <c r="D126" s="71"/>
      <c r="E126" s="96"/>
      <c r="G126" s="71"/>
      <c r="H126" s="71"/>
      <c r="J126" s="71"/>
      <c r="K126" s="71"/>
      <c r="L126" s="71"/>
      <c r="M126" s="71"/>
      <c r="N126" s="71"/>
      <c r="O126" s="71"/>
      <c r="P126" s="71"/>
      <c r="Q126" s="71"/>
      <c r="R126" s="71"/>
      <c r="S126" s="71"/>
    </row>
    <row r="127" spans="2:19" x14ac:dyDescent="0.25">
      <c r="B127" s="71"/>
      <c r="C127" s="71"/>
      <c r="D127" s="71"/>
      <c r="E127" s="96"/>
      <c r="G127" s="71"/>
      <c r="H127" s="71"/>
      <c r="J127" s="71"/>
      <c r="K127" s="71"/>
      <c r="L127" s="71"/>
      <c r="M127" s="71"/>
      <c r="N127" s="71"/>
      <c r="O127" s="71"/>
      <c r="P127" s="71"/>
      <c r="Q127" s="71"/>
      <c r="R127" s="71"/>
      <c r="S127" s="71"/>
    </row>
    <row r="128" spans="2:19" x14ac:dyDescent="0.25">
      <c r="B128" s="71"/>
      <c r="C128" s="71"/>
      <c r="D128" s="71"/>
      <c r="E128" s="96"/>
      <c r="G128" s="71"/>
      <c r="H128" s="71"/>
      <c r="J128" s="71"/>
      <c r="K128" s="71"/>
      <c r="L128" s="71"/>
      <c r="M128" s="71"/>
      <c r="N128" s="71"/>
      <c r="O128" s="71"/>
      <c r="P128" s="71"/>
      <c r="Q128" s="71"/>
      <c r="R128" s="71"/>
      <c r="S128" s="71"/>
    </row>
    <row r="129" spans="2:19" x14ac:dyDescent="0.25">
      <c r="B129" s="71"/>
      <c r="C129" s="71"/>
      <c r="D129" s="71"/>
      <c r="E129" s="96"/>
      <c r="G129" s="71"/>
      <c r="H129" s="71"/>
      <c r="J129" s="71"/>
      <c r="K129" s="71"/>
      <c r="L129" s="71"/>
      <c r="M129" s="71"/>
      <c r="N129" s="71"/>
      <c r="O129" s="71"/>
      <c r="P129" s="71"/>
      <c r="Q129" s="71"/>
      <c r="R129" s="71"/>
      <c r="S129" s="71"/>
    </row>
    <row r="130" spans="2:19" x14ac:dyDescent="0.25">
      <c r="B130" s="71"/>
      <c r="C130" s="71"/>
      <c r="D130" s="71"/>
      <c r="E130" s="96"/>
      <c r="G130" s="71"/>
      <c r="H130" s="71"/>
      <c r="J130" s="71"/>
      <c r="K130" s="71"/>
      <c r="L130" s="71"/>
      <c r="M130" s="71"/>
      <c r="N130" s="71"/>
      <c r="O130" s="71"/>
      <c r="P130" s="71"/>
      <c r="Q130" s="71"/>
      <c r="R130" s="71"/>
      <c r="S130" s="71"/>
    </row>
    <row r="131" spans="2:19" x14ac:dyDescent="0.25">
      <c r="B131" s="71"/>
      <c r="C131" s="71"/>
      <c r="D131" s="71"/>
      <c r="E131" s="96"/>
      <c r="G131" s="71"/>
      <c r="H131" s="71"/>
      <c r="J131" s="71"/>
      <c r="K131" s="71"/>
      <c r="L131" s="71"/>
      <c r="M131" s="71"/>
      <c r="N131" s="71"/>
      <c r="O131" s="71"/>
      <c r="P131" s="71"/>
      <c r="Q131" s="71"/>
      <c r="R131" s="71"/>
      <c r="S131" s="71"/>
    </row>
    <row r="132" spans="2:19" x14ac:dyDescent="0.25">
      <c r="B132" s="71"/>
      <c r="C132" s="71"/>
      <c r="D132" s="71"/>
      <c r="E132" s="96"/>
      <c r="G132" s="71"/>
      <c r="H132" s="71"/>
      <c r="J132" s="71"/>
      <c r="K132" s="71"/>
      <c r="L132" s="71"/>
      <c r="M132" s="71"/>
      <c r="N132" s="71"/>
      <c r="O132" s="71"/>
      <c r="P132" s="71"/>
      <c r="Q132" s="71"/>
      <c r="R132" s="71"/>
      <c r="S132" s="71"/>
    </row>
    <row r="133" spans="2:19" x14ac:dyDescent="0.25">
      <c r="B133" s="71"/>
      <c r="C133" s="71"/>
      <c r="D133" s="71"/>
      <c r="E133" s="96"/>
      <c r="G133" s="71"/>
      <c r="H133" s="71"/>
      <c r="J133" s="71"/>
      <c r="K133" s="71"/>
      <c r="L133" s="71"/>
      <c r="M133" s="71"/>
      <c r="N133" s="71"/>
      <c r="O133" s="71"/>
      <c r="P133" s="71"/>
      <c r="Q133" s="71"/>
      <c r="R133" s="71"/>
      <c r="S133" s="71"/>
    </row>
    <row r="134" spans="2:19" x14ac:dyDescent="0.25">
      <c r="B134" s="71"/>
      <c r="C134" s="71"/>
      <c r="D134" s="71"/>
      <c r="E134" s="96"/>
      <c r="G134" s="71"/>
      <c r="H134" s="71"/>
      <c r="J134" s="71"/>
      <c r="K134" s="71"/>
      <c r="L134" s="71"/>
      <c r="M134" s="71"/>
      <c r="N134" s="71"/>
      <c r="O134" s="71"/>
      <c r="P134" s="71"/>
      <c r="Q134" s="71"/>
      <c r="R134" s="71"/>
      <c r="S134" s="71"/>
    </row>
    <row r="135" spans="2:19" x14ac:dyDescent="0.25">
      <c r="B135" s="71"/>
      <c r="C135" s="71"/>
      <c r="D135" s="71"/>
      <c r="E135" s="96"/>
      <c r="G135" s="71"/>
      <c r="H135" s="71"/>
      <c r="J135" s="71"/>
      <c r="K135" s="71"/>
      <c r="L135" s="71"/>
      <c r="M135" s="71"/>
      <c r="N135" s="71"/>
      <c r="O135" s="71"/>
      <c r="P135" s="71"/>
      <c r="Q135" s="71"/>
      <c r="R135" s="71"/>
      <c r="S135" s="71"/>
    </row>
    <row r="136" spans="2:19" x14ac:dyDescent="0.25">
      <c r="B136" s="71"/>
      <c r="C136" s="71"/>
      <c r="D136" s="71"/>
      <c r="E136" s="96"/>
      <c r="G136" s="71"/>
      <c r="H136" s="71"/>
      <c r="J136" s="71"/>
      <c r="K136" s="71"/>
      <c r="L136" s="71"/>
      <c r="M136" s="71"/>
      <c r="N136" s="71"/>
      <c r="O136" s="71"/>
      <c r="P136" s="71"/>
      <c r="Q136" s="71"/>
      <c r="R136" s="71"/>
      <c r="S136" s="71"/>
    </row>
    <row r="137" spans="2:19" x14ac:dyDescent="0.25">
      <c r="B137" s="71"/>
      <c r="C137" s="71"/>
      <c r="D137" s="71"/>
      <c r="E137" s="96"/>
      <c r="G137" s="71"/>
      <c r="H137" s="71"/>
      <c r="J137" s="71"/>
      <c r="K137" s="71"/>
      <c r="L137" s="71"/>
      <c r="M137" s="71"/>
      <c r="N137" s="71"/>
      <c r="O137" s="71"/>
      <c r="P137" s="71"/>
      <c r="Q137" s="71"/>
      <c r="R137" s="71"/>
      <c r="S137" s="71"/>
    </row>
    <row r="138" spans="2:19" x14ac:dyDescent="0.25">
      <c r="B138" s="71"/>
      <c r="C138" s="71"/>
      <c r="D138" s="71"/>
      <c r="E138" s="96"/>
      <c r="G138" s="71"/>
      <c r="H138" s="71"/>
      <c r="J138" s="71"/>
      <c r="K138" s="71"/>
      <c r="L138" s="71"/>
      <c r="M138" s="71"/>
      <c r="N138" s="71"/>
      <c r="O138" s="71"/>
      <c r="P138" s="71"/>
      <c r="Q138" s="71"/>
      <c r="R138" s="71"/>
      <c r="S138" s="71"/>
    </row>
  </sheetData>
  <customSheetViews>
    <customSheetView guid="{CCDC99D9-ED7F-4E00-BF84-F4E2C60547DA}" topLeftCell="A25">
      <selection activeCell="E23" sqref="E23"/>
      <pageMargins left="0.7" right="0.7" top="0.75" bottom="0.75" header="0.3" footer="0.3"/>
      <pageSetup paperSize="9" orientation="portrait" horizontalDpi="200" verticalDpi="200" r:id="rId1"/>
    </customSheetView>
    <customSheetView guid="{FED60004-C791-4ADD-AF07-891C513D4177}" topLeftCell="A3">
      <selection activeCell="G5" sqref="G5"/>
      <pageMargins left="0.7" right="0.7" top="0.75" bottom="0.75" header="0.3" footer="0.3"/>
      <pageSetup paperSize="9" orientation="portrait" horizontalDpi="200" verticalDpi="200" r:id="rId2"/>
    </customSheetView>
    <customSheetView guid="{3DC6AFD1-B20D-4FF4-98DB-10ED1B549922}">
      <selection activeCell="B17" sqref="B17"/>
      <pageMargins left="0.7" right="0.7" top="0.75" bottom="0.75" header="0.3" footer="0.3"/>
      <pageSetup paperSize="9" orientation="portrait" horizontalDpi="200" verticalDpi="200" r:id="rId3"/>
    </customSheetView>
    <customSheetView guid="{A0A22685-29C8-428F-A33A-0E82799624E9}">
      <selection activeCell="B18" sqref="B18"/>
      <pageMargins left="0.7" right="0.7" top="0.75" bottom="0.75" header="0.3" footer="0.3"/>
      <pageSetup paperSize="9" orientation="portrait" horizontalDpi="200" verticalDpi="200" r:id="rId4"/>
    </customSheetView>
    <customSheetView guid="{11C35935-AB07-47B7-953F-9E6A80B0500A}">
      <selection activeCell="E23" sqref="E23"/>
      <pageMargins left="0.7" right="0.7" top="0.75" bottom="0.75" header="0.3" footer="0.3"/>
      <pageSetup paperSize="9" orientation="portrait" horizontalDpi="200" verticalDpi="200" r:id="rId5"/>
    </customSheetView>
    <customSheetView guid="{4059AA6B-1A1C-40BD-A7AD-14CCCB4B9816}">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5" x14ac:dyDescent="0.25"/>
  <sheetData>
    <row r="2" spans="2:8" x14ac:dyDescent="0.25">
      <c r="B2" s="306"/>
      <c r="C2" t="s">
        <v>9836</v>
      </c>
      <c r="F2" s="118" t="s">
        <v>9876</v>
      </c>
      <c r="G2" s="118" t="s">
        <v>9875</v>
      </c>
      <c r="H2" s="118"/>
    </row>
    <row r="3" spans="2:8" x14ac:dyDescent="0.25">
      <c r="B3" s="292"/>
      <c r="C3" t="s">
        <v>9839</v>
      </c>
    </row>
    <row r="5" spans="2:8" x14ac:dyDescent="0.25">
      <c r="B5" s="324"/>
      <c r="C5" t="s">
        <v>9874</v>
      </c>
    </row>
    <row r="7" spans="2:8" x14ac:dyDescent="0.25">
      <c r="B7" s="332"/>
      <c r="C7" t="s">
        <v>10050</v>
      </c>
    </row>
    <row r="27" spans="3:3" x14ac:dyDescent="0.25">
      <c r="C27" t="s">
        <v>9873</v>
      </c>
    </row>
  </sheetData>
  <customSheetViews>
    <customSheetView guid="{CCDC99D9-ED7F-4E00-BF84-F4E2C60547DA}">
      <selection activeCell="E12" sqref="E12"/>
      <pageMargins left="0.7" right="0.7" top="0.75" bottom="0.75" header="0.3" footer="0.3"/>
    </customSheetView>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644" count="6601">
    <row newVal="6" oldVal="5647"/>
    <row newVal="7" oldVal="5648"/>
    <row newVal="8" oldVal="5649"/>
    <row newVal="9" oldVal="5650"/>
    <row newVal="10" oldVal="590"/>
    <row newVal="11" oldVal="591"/>
    <row newVal="12" oldVal="814"/>
    <row newVal="13" oldVal="972"/>
    <row newVal="14" oldVal="978"/>
    <row newVal="15" oldVal="979"/>
    <row newVal="16" oldVal="1033"/>
    <row newVal="17" oldVal="5455"/>
    <row newVal="18" oldVal="4779"/>
    <row newVal="19" oldVal="4780"/>
    <row newVal="20" oldVal="4781"/>
    <row newVal="21" oldVal="4782"/>
    <row newVal="22" oldVal="4783"/>
    <row newVal="23" oldVal="5569"/>
    <row newVal="24" oldVal="4890"/>
    <row newVal="25" oldVal="4892"/>
    <row newVal="26" oldVal="4893"/>
    <row newVal="27" oldVal="5691"/>
    <row newVal="28" oldVal="6"/>
    <row newVal="29" oldVal="5583"/>
    <row newVal="30" oldVal="5589"/>
    <row newVal="31" oldVal="5986"/>
    <row newVal="32" oldVal="5590"/>
    <row newVal="33" oldVal="5668"/>
    <row newVal="34" oldVal="5987"/>
    <row newVal="35" oldVal="5591"/>
    <row newVal="36" oldVal="5988"/>
    <row newVal="37" oldVal="5592"/>
    <row newVal="38" oldVal="5584"/>
    <row newVal="39" oldVal="5989"/>
    <row newVal="40" oldVal="5990"/>
    <row newVal="41" oldVal="5991"/>
    <row newVal="42" oldVal="6050"/>
    <row newVal="43" oldVal="8"/>
    <row newVal="44" oldVal="9"/>
    <row newVal="45" oldVal="10"/>
    <row newVal="46" oldVal="6054"/>
    <row newVal="47" oldVal="6055"/>
    <row newVal="48" oldVal="6056"/>
    <row newVal="49" oldVal="6057"/>
    <row newVal="50" oldVal="689"/>
    <row newVal="51" oldVal="690"/>
    <row newVal="52" oldVal="947"/>
    <row newVal="53" oldVal="1110"/>
    <row newVal="54" oldVal="1117"/>
    <row newVal="55" oldVal="1118"/>
    <row newVal="56" oldVal="1173"/>
    <row newVal="57" oldVal="5857"/>
    <row newVal="58" oldVal="5115"/>
    <row newVal="59" oldVal="5116"/>
    <row newVal="60" oldVal="5117"/>
    <row newVal="61" oldVal="5118"/>
    <row newVal="62" oldVal="5119"/>
    <row newVal="63" oldVal="5970"/>
    <row newVal="64" oldVal="5249"/>
    <row newVal="65" oldVal="5251"/>
    <row newVal="66" oldVal="5252"/>
    <row newVal="67" oldVal="5253"/>
    <row newVal="68" oldVal="5984"/>
    <row newVal="69" oldVal="5996"/>
    <row newVal="70" oldVal="5997"/>
    <row newVal="71" oldVal="6075"/>
    <row newVal="72" oldVal="5998"/>
    <row newVal="73" oldVal="5999"/>
    <row newVal="74" oldVal="5985"/>
    <row newVal="75" oldVal="6156"/>
    <row newVal="76" oldVal="5643"/>
    <row newVal="77" oldVal="7"/>
    <row newVal="78" oldVal="11"/>
    <row newVal="79" oldVal="12"/>
    <row newVal="80" oldVal="6158"/>
    <row newVal="81" oldVal="6159"/>
    <row newVal="82" oldVal="6161"/>
    <row newVal="83" oldVal="6162"/>
    <row newVal="84" oldVal="6163"/>
    <row newVal="85" oldVal="6164"/>
    <row newVal="86" oldVal="6165"/>
    <row newVal="87" oldVal="6166"/>
    <row newVal="88" oldVal="6167"/>
    <row newVal="89" oldVal="6168"/>
    <row newVal="90" oldVal="6169"/>
    <row newVal="91" oldVal="6170"/>
    <row newVal="92" oldVal="6171"/>
    <row newVal="93" oldVal="6172"/>
    <row newVal="94" oldVal="6173"/>
    <row newVal="95" oldVal="6174"/>
    <row newVal="96" oldVal="6175"/>
    <row newVal="97" oldVal="6176"/>
    <row newVal="98" oldVal="6177"/>
    <row newVal="99" oldVal="13"/>
    <row newVal="100" oldVal="14"/>
    <row newVal="101" oldVal="6178"/>
    <row newVal="102" oldVal="6179"/>
    <row newVal="103" oldVal="6180"/>
    <row newVal="104" oldVal="6181"/>
    <row newVal="105" oldVal="6182"/>
    <row newVal="106" oldVal="6183"/>
    <row newVal="107" oldVal="6184"/>
    <row newVal="108" oldVal="618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69"/>
    <row newVal="137" oldVal="5670"/>
    <row newVal="138" oldVal="42"/>
    <row newVal="139" oldVal="43"/>
    <row newVal="140" oldVal="44"/>
    <row newVal="141" oldVal="45"/>
    <row newVal="142" oldVal="46"/>
    <row newVal="143" oldVal="47"/>
    <row newVal="144" oldVal="5339"/>
    <row newVal="145" oldVal="5340"/>
    <row newVal="146" oldVal="5341"/>
    <row newVal="147" oldVal="5342"/>
    <row newVal="148" oldVal="5343"/>
    <row newVal="149" oldVal="5344"/>
    <row newVal="150" oldVal="5345"/>
    <row newVal="151" oldVal="5346"/>
    <row newVal="152" oldVal="5347"/>
    <row newVal="153" oldVal="5348"/>
    <row newVal="154" oldVal="5318"/>
    <row newVal="155" oldVal="5319"/>
    <row newVal="156" oldVal="5320"/>
    <row newVal="157" oldVal="5321"/>
    <row newVal="158" oldVal="560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76"/>
    <row newVal="184" oldVal="6077"/>
    <row newVal="185" oldVal="72"/>
    <row newVal="186" oldVal="73"/>
    <row newVal="187" oldVal="74"/>
    <row newVal="188" oldVal="75"/>
    <row newVal="189" oldVal="76"/>
    <row newVal="190" oldVal="5740"/>
    <row newVal="191" oldVal="5741"/>
    <row newVal="192" oldVal="5742"/>
    <row newVal="193" oldVal="5743"/>
    <row newVal="194" oldVal="5744"/>
    <row newVal="195" oldVal="5745"/>
    <row newVal="196" oldVal="5746"/>
    <row newVal="197" oldVal="5747"/>
    <row newVal="198" oldVal="5748"/>
    <row newVal="199" oldVal="5749"/>
    <row newVal="200" oldVal="5720"/>
    <row newVal="201" oldVal="5331"/>
    <row newVal="202" oldVal="5721"/>
    <row newVal="203" oldVal="5332"/>
    <row newVal="204" oldVal="5333"/>
    <row newVal="205" oldVal="5722"/>
    <row newVal="206" oldVal="5723"/>
    <row newVal="207" oldVal="600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12"/>
    <row newVal="249" oldVal="5322"/>
    <row newVal="250" oldVal="5313"/>
    <row newVal="251" oldVal="5314"/>
    <row newVal="252" oldVal="5315"/>
    <row newVal="253" oldVal="117"/>
    <row newVal="254" oldVal="118"/>
    <row newVal="255" oldVal="119"/>
    <row newVal="256" oldVal="5732"/>
    <row newVal="257" oldVal="120"/>
    <row newVal="258" oldVal="5733"/>
    <row newVal="259" oldVal="5734"/>
    <row newVal="260" oldVal="121"/>
    <row newVal="261" oldVal="122"/>
    <row newVal="263" oldVal="123"/>
    <row newVal="265" oldVal="5334"/>
    <row newVal="266" oldVal="124"/>
    <row newVal="267" oldVal="5330"/>
    <row newVal="268" oldVal="125"/>
    <row newVal="269" oldVal="5335"/>
    <row newVal="270" oldVal="126"/>
    <row newVal="271" oldVal="5336"/>
    <row newVal="272" oldVal="5337"/>
    <row newVal="273" oldVal="127"/>
    <row newVal="274" oldVal="5323"/>
    <row newVal="275" oldVal="5324"/>
    <row newVal="276" oldVal="532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5" oldVal="156"/>
    <row newVal="306" oldVal="157"/>
    <row newVal="307" oldVal="158"/>
    <row newVal="308" oldVal="159"/>
    <row newVal="309" oldVal="160"/>
    <row newVal="310" oldVal="161"/>
    <row newVal="311" oldVal="162"/>
    <row newVal="312" oldVal="163"/>
    <row newVal="313" oldVal="5714"/>
    <row newVal="314" oldVal="5724"/>
    <row newVal="315" oldVal="5715"/>
    <row newVal="316" oldVal="5716"/>
    <row newVal="317" oldVal="5717"/>
    <row newVal="318" oldVal="164"/>
    <row newVal="319" oldVal="165"/>
    <row newVal="320" oldVal="166"/>
    <row newVal="321" oldVal="167"/>
    <row newVal="322" oldVal="168"/>
    <row newVal="323" oldVal="169"/>
    <row newVal="324" oldVal="170"/>
    <row newVal="325" oldVal="171"/>
    <row newVal="326" oldVal="172"/>
    <row newVal="327" oldVal="173"/>
    <row newVal="328" oldVal="5735"/>
    <row newVal="329" oldVal="174"/>
    <row newVal="330" oldVal="5731"/>
    <row newVal="331" oldVal="175"/>
    <row newVal="332" oldVal="5736"/>
    <row newVal="333" oldVal="176"/>
    <row newVal="334" oldVal="5737"/>
    <row newVal="335" oldVal="6186"/>
    <row newVal="336" oldVal="6187"/>
    <row newVal="337" oldVal="6188"/>
    <row newVal="338" oldVal="6189"/>
    <row newVal="339" oldVal="6190"/>
    <row newVal="340" oldVal="6191"/>
    <row newVal="341" oldVal="6192"/>
    <row newVal="342" oldVal="5349"/>
    <row newVal="343" oldVal="5350"/>
    <row newVal="344" oldVal="5351"/>
    <row newVal="345" oldVal="5352"/>
    <row newVal="346" oldVal="5353"/>
    <row newVal="347" oldVal="5354"/>
    <row newVal="348" oldVal="6193"/>
    <row newVal="349" oldVal="6194"/>
    <row newVal="350" oldVal="6195"/>
    <row newVal="351" oldVal="6196"/>
    <row newVal="352" oldVal="6197"/>
    <row newVal="353" oldVal="6198"/>
    <row newVal="354" oldVal="6199"/>
    <row newVal="355" oldVal="6200"/>
    <row newVal="356" oldVal="6201"/>
    <row newVal="357" oldVal="6202"/>
    <row newVal="358" oldVal="5738"/>
    <row newVal="359" oldVal="177"/>
    <row newVal="360" oldVal="5725"/>
    <row newVal="361" oldVal="5726"/>
    <row newVal="362" oldVal="5727"/>
    <row newVal="363" oldVal="178"/>
    <row newVal="364" oldVal="179"/>
    <row newVal="365" oldVal="180"/>
    <row newVal="366" oldVal="181"/>
    <row newVal="367" oldVal="182"/>
    <row newVal="368" oldVal="183"/>
    <row newVal="369" oldVal="184"/>
    <row newVal="370" oldVal="185"/>
    <row newVal="371" oldVal="186"/>
    <row newVal="372" oldVal="187"/>
    <row newVal="373" oldVal="188"/>
    <row newVal="374" oldVal="189"/>
    <row newVal="375" oldVal="190"/>
    <row newVal="376" oldVal="191"/>
    <row newVal="377" oldVal="192"/>
    <row newVal="378" oldVal="193"/>
    <row newVal="379" oldVal="195"/>
    <row newVal="380" oldVal="196"/>
    <row newVal="381" oldVal="5310"/>
    <row newVal="382" oldVal="6203"/>
    <row newVal="383" oldVal="194"/>
    <row newVal="384" oldVal="6204"/>
    <row newVal="385" oldVal="6205"/>
    <row newVal="386" oldVal="197"/>
    <row newVal="387" oldVal="198"/>
    <row newVal="388" oldVal="6206"/>
    <row newVal="389" oldVal="6207"/>
    <row newVal="390" oldVal="6208"/>
    <row newVal="391" oldVal="6209"/>
    <row newVal="392" oldVal="6210"/>
    <row newVal="393" oldVal="6211"/>
    <row newVal="394" oldVal="6212"/>
    <row newVal="395" oldVal="6213"/>
    <row newVal="396" oldVal="6214"/>
    <row newVal="397" oldVal="6215"/>
    <row newVal="398" oldVal="199"/>
    <row newVal="399" oldVal="6216"/>
    <row newVal="400" oldVal="6217"/>
    <row newVal="401" oldVal="200"/>
    <row newVal="402" oldVal="201"/>
    <row newVal="403" oldVal="202"/>
    <row newVal="404" oldVal="203"/>
    <row newVal="405" oldVal="204"/>
    <row newVal="406" oldVal="205"/>
    <row newVal="407" oldVal="206"/>
    <row newVal="408" oldVal="207"/>
    <row newVal="409" oldVal="208"/>
    <row newVal="410" oldVal="209"/>
    <row newVal="411" oldVal="210"/>
    <row newVal="412" oldVal="211"/>
    <row newVal="413" oldVal="212"/>
    <row newVal="414" oldVal="213"/>
    <row newVal="415" oldVal="214"/>
    <row newVal="416" oldVal="215"/>
    <row newVal="417" oldVal="216"/>
    <row newVal="418" oldVal="217"/>
    <row newVal="419" oldVal="218"/>
    <row newVal="420" oldVal="219"/>
    <row newVal="421" oldVal="220"/>
    <row newVal="422" oldVal="221"/>
    <row newVal="423" oldVal="222"/>
    <row newVal="424" oldVal="5638"/>
    <row newVal="425" oldVal="5639"/>
    <row newVal="426" oldVal="6218"/>
    <row newVal="427" oldVal="5656"/>
    <row newVal="428" oldVal="5657"/>
    <row newVal="429" oldVal="5662"/>
    <row newVal="430" oldVal="5658"/>
    <row newVal="431" oldVal="5659"/>
    <row newVal="432" oldVal="6219"/>
    <row newVal="433" oldVal="5661"/>
    <row newVal="434" oldVal="6220"/>
    <row newVal="435" oldVal="6221"/>
    <row newVal="436" oldVal="6222"/>
    <row newVal="437" oldVal="6223"/>
    <row newVal="438" oldVal="6224"/>
    <row newVal="439" oldVal="6225"/>
    <row newVal="440" oldVal="6226"/>
    <row newVal="441" oldVal="6227"/>
    <row newVal="442" oldVal="6228"/>
    <row newVal="443" oldVal="6229"/>
    <row newVal="444" oldVal="6230"/>
    <row newVal="445" oldVal="6231"/>
    <row newVal="446" oldVal="6232"/>
    <row newVal="447" oldVal="6233"/>
    <row newVal="448" oldVal="6234"/>
    <row newVal="449" oldVal="6235"/>
    <row newVal="450" oldVal="6236"/>
    <row newVal="451" oldVal="6237"/>
    <row newVal="452" oldVal="6238"/>
    <row newVal="453" oldVal="6239"/>
    <row newVal="454" oldVal="5666"/>
    <row newVal="455" oldVal="223"/>
    <row newVal="456" oldVal="224"/>
    <row newVal="457" oldVal="225"/>
    <row newVal="458" oldVal="226"/>
    <row newVal="459" oldVal="227"/>
    <row newVal="460" oldVal="228"/>
    <row newVal="461" oldVal="229"/>
    <row newVal="462" oldVal="230"/>
    <row newVal="463" oldVal="231"/>
    <row newVal="464" oldVal="232"/>
    <row newVal="465" oldVal="233"/>
    <row newVal="466" oldVal="234"/>
    <row newVal="467" oldVal="235"/>
    <row newVal="468" oldVal="5750"/>
    <row newVal="469" oldVal="5751"/>
    <row newVal="470" oldVal="5752"/>
    <row newVal="471" oldVal="5753"/>
    <row newVal="472" oldVal="5754"/>
    <row newVal="473" oldVal="5755"/>
    <row newVal="474" oldVal="236"/>
    <row newVal="475" oldVal="237"/>
    <row newVal="476" oldVal="238"/>
    <row newVal="477" oldVal="239"/>
    <row newVal="478" oldVal="240"/>
    <row newVal="479" oldVal="241"/>
    <row newVal="480" oldVal="6240"/>
    <row newVal="481" oldVal="6241"/>
    <row newVal="482" oldVal="6242"/>
    <row newVal="483" oldVal="6243"/>
    <row newVal="484" oldVal="6244"/>
    <row newVal="485" oldVal="6245"/>
    <row newVal="486" oldVal="242"/>
    <row newVal="487" oldVal="243"/>
    <row newVal="488" oldVal="244"/>
    <row newVal="489" oldVal="245"/>
    <row newVal="490" oldVal="246"/>
    <row newVal="491" oldVal="247"/>
    <row newVal="492" oldVal="5644"/>
    <row newVal="493" oldVal="5645"/>
    <row newVal="494" oldVal="5608"/>
    <row newVal="495" oldVal="5607"/>
    <row newVal="496" oldVal="248"/>
    <row newVal="497" oldVal="249"/>
    <row newVal="498" oldVal="250"/>
    <row newVal="499" oldVal="251"/>
    <row newVal="500" oldVal="252"/>
    <row newVal="501" oldVal="253"/>
    <row newVal="502" oldVal="254"/>
    <row newVal="503" oldVal="255"/>
    <row newVal="504" oldVal="256"/>
    <row newVal="505" oldVal="258"/>
    <row newVal="506" oldVal="259"/>
    <row newVal="507" oldVal="5712"/>
    <row newVal="508" oldVal="257"/>
    <row newVal="509" oldVal="260"/>
    <row newVal="510" oldVal="261"/>
    <row newVal="511" oldVal="263"/>
    <row newVal="512" oldVal="265"/>
    <row newVal="513" oldVal="266"/>
    <row newVal="514" oldVal="267"/>
    <row newVal="515" oldVal="268"/>
    <row newVal="516" oldVal="269"/>
    <row newVal="517" oldVal="270"/>
    <row newVal="518" oldVal="271"/>
    <row newVal="519" oldVal="272"/>
    <row newVal="520" oldVal="273"/>
    <row newVal="521" oldVal="274"/>
    <row newVal="522" oldVal="275"/>
    <row newVal="523" oldVal="276"/>
    <row newVal="524" oldVal="277"/>
    <row newVal="525" oldVal="278"/>
    <row newVal="526" oldVal="279"/>
    <row newVal="527" oldVal="280"/>
    <row newVal="528" oldVal="5646"/>
    <row newVal="529" oldVal="281"/>
    <row newVal="530" oldVal="282"/>
    <row newVal="531" oldVal="283"/>
    <row newVal="532" oldVal="284"/>
    <row newVal="533" oldVal="285"/>
    <row newVal="534" oldVal="286"/>
    <row newVal="535" oldVal="287"/>
    <row newVal="536" oldVal="6045"/>
    <row newVal="537" oldVal="6046"/>
    <row newVal="538" oldVal="6063"/>
    <row newVal="539" oldVal="6064"/>
    <row newVal="540" oldVal="6069"/>
    <row newVal="541" oldVal="6065"/>
    <row newVal="542" oldVal="6066"/>
    <row newVal="543" oldVal="6068"/>
    <row newVal="544" oldVal="6073"/>
    <row newVal="545" oldVal="288"/>
    <row newVal="546" oldVal="289"/>
    <row newVal="547" oldVal="290"/>
    <row newVal="548" oldVal="291"/>
    <row newVal="549" oldVal="292"/>
    <row newVal="550" oldVal="293"/>
    <row newVal="551" oldVal="294"/>
    <row newVal="552" oldVal="295"/>
    <row newVal="553" oldVal="296"/>
    <row newVal="554" oldVal="297"/>
    <row newVal="555" oldVal="298"/>
    <row newVal="556" oldVal="299"/>
    <row newVal="557" oldVal="300"/>
    <row newVal="558" oldVal="301"/>
    <row newVal="559" oldVal="302"/>
    <row newVal="560" oldVal="303"/>
    <row newVal="561" oldVal="304"/>
    <row newVal="562" oldVal="305"/>
    <row newVal="563" oldVal="306"/>
    <row newVal="564" oldVal="307"/>
    <row newVal="565" oldVal="308"/>
    <row newVal="566" oldVal="309"/>
    <row newVal="567" oldVal="310"/>
    <row newVal="568" oldVal="311"/>
    <row newVal="569" oldVal="312"/>
    <row newVal="570" oldVal="313"/>
    <row newVal="571" oldVal="314"/>
    <row newVal="572" oldVal="315"/>
    <row newVal="573" oldVal="316"/>
    <row newVal="574" oldVal="317"/>
    <row newVal="575" oldVal="318"/>
    <row newVal="576" oldVal="6051"/>
    <row newVal="577" oldVal="6052"/>
    <row newVal="578" oldVal="6015"/>
    <row newVal="579" oldVal="6014"/>
    <row newVal="580" oldVal="319"/>
    <row newVal="581" oldVal="5355"/>
    <row newVal="582" oldVal="5356"/>
    <row newVal="583" oldVal="320"/>
    <row newVal="584" oldVal="321"/>
    <row newVal="585" oldVal="322"/>
    <row newVal="586" oldVal="323"/>
    <row newVal="587" oldVal="324"/>
    <row newVal="588" oldVal="325"/>
    <row newVal="589" oldVal="326"/>
    <row newVal="590" oldVal="327"/>
    <row newVal="591" oldVal="328"/>
    <row newVal="592" oldVal="329"/>
    <row newVal="593" oldVal="330"/>
    <row newVal="594" oldVal="331"/>
    <row newVal="595" oldVal="332"/>
    <row newVal="596" oldVal="333"/>
    <row newVal="597" oldVal="334"/>
    <row newVal="598" oldVal="335"/>
    <row newVal="599" oldVal="336"/>
    <row newVal="600" oldVal="337"/>
    <row newVal="601" oldVal="338"/>
    <row newVal="602" oldVal="339"/>
    <row newVal="603" oldVal="340"/>
    <row newVal="604" oldVal="341"/>
    <row newVal="605" oldVal="342"/>
    <row newVal="606" oldVal="343"/>
    <row newVal="607" oldVal="344"/>
    <row newVal="608" oldVal="345"/>
    <row newVal="609" oldVal="346"/>
    <row newVal="610" oldVal="347"/>
    <row newVal="611" oldVal="348"/>
    <row newVal="612" oldVal="349"/>
    <row newVal="613" oldVal="350"/>
    <row newVal="614" oldVal="6053"/>
    <row newVal="615" oldVal="351"/>
    <row newVal="616" oldVal="352"/>
    <row newVal="617" oldVal="353"/>
    <row newVal="618" oldVal="354"/>
    <row newVal="619" oldVal="355"/>
    <row newVal="620" oldVal="356"/>
    <row newVal="621" oldVal="357"/>
    <row newVal="622" oldVal="6246"/>
    <row newVal="623" oldVal="5357"/>
    <row newVal="624" oldVal="358"/>
    <row newVal="625" oldVal="359"/>
    <row newVal="626" oldVal="360"/>
    <row newVal="627" oldVal="361"/>
    <row newVal="628" oldVal="362"/>
    <row newVal="629" oldVal="363"/>
    <row newVal="630" oldVal="364"/>
    <row newVal="631" oldVal="365"/>
    <row newVal="632" oldVal="366"/>
    <row newVal="633" oldVal="367"/>
    <row newVal="634" oldVal="368"/>
    <row newVal="635" oldVal="369"/>
    <row newVal="636" oldVal="370"/>
    <row newVal="637" oldVal="371"/>
    <row newVal="638" oldVal="6247"/>
    <row newVal="639" oldVal="6248"/>
    <row newVal="640" oldVal="372"/>
    <row newVal="641" oldVal="373"/>
    <row newVal="642" oldVal="374"/>
    <row newVal="643" oldVal="375"/>
    <row newVal="644" oldVal="376"/>
    <row newVal="645" oldVal="377"/>
    <row newVal="646" oldVal="378"/>
    <row newVal="647" oldVal="379"/>
    <row newVal="648" oldVal="380"/>
    <row newVal="649" oldVal="381"/>
    <row newVal="650" oldVal="382"/>
    <row newVal="651" oldVal="383"/>
    <row newVal="652" oldVal="384"/>
    <row newVal="653" oldVal="385"/>
    <row newVal="654" oldVal="386"/>
    <row newVal="655" oldVal="387"/>
    <row newVal="656" oldVal="388"/>
    <row newVal="657" oldVal="389"/>
    <row newVal="658" oldVal="390"/>
    <row newVal="659" oldVal="391"/>
    <row newVal="660" oldVal="392"/>
    <row newVal="661" oldVal="393"/>
    <row newVal="662" oldVal="394"/>
    <row newVal="663" oldVal="395"/>
    <row newVal="664" oldVal="396"/>
    <row newVal="665" oldVal="397"/>
    <row newVal="666" oldVal="398"/>
    <row newVal="667" oldVal="399"/>
    <row newVal="668" oldVal="400"/>
    <row newVal="669" oldVal="401"/>
    <row newVal="670" oldVal="402"/>
    <row newVal="671" oldVal="5756"/>
    <row newVal="672" oldVal="5757"/>
    <row newVal="673" oldVal="403"/>
    <row newVal="674" oldVal="404"/>
    <row newVal="675" oldVal="405"/>
    <row newVal="676" oldVal="406"/>
    <row newVal="677" oldVal="407"/>
    <row newVal="678" oldVal="408"/>
    <row newVal="679" oldVal="409"/>
    <row newVal="680" oldVal="410"/>
    <row newVal="681" oldVal="411"/>
    <row newVal="682" oldVal="412"/>
    <row newVal="683" oldVal="413"/>
    <row newVal="684" oldVal="414"/>
    <row newVal="685" oldVal="415"/>
    <row newVal="686" oldVal="416"/>
    <row newVal="687" oldVal="417"/>
    <row newVal="688" oldVal="418"/>
    <row newVal="689" oldVal="419"/>
    <row newVal="690" oldVal="420"/>
    <row newVal="691" oldVal="421"/>
    <row newVal="692" oldVal="422"/>
    <row newVal="693" oldVal="423"/>
    <row newVal="694" oldVal="424"/>
    <row newVal="695" oldVal="425"/>
    <row newVal="696" oldVal="426"/>
    <row newVal="697" oldVal="427"/>
    <row newVal="698" oldVal="428"/>
    <row newVal="699" oldVal="429"/>
    <row newVal="700" oldVal="430"/>
    <row newVal="701" oldVal="431"/>
    <row newVal="702" oldVal="432"/>
    <row newVal="703" oldVal="433"/>
    <row newVal="704" oldVal="434"/>
    <row newVal="705" oldVal="435"/>
    <row newVal="706" oldVal="436"/>
    <row newVal="707" oldVal="437"/>
    <row newVal="708" oldVal="438"/>
    <row newVal="709" oldVal="439"/>
    <row newVal="710" oldVal="440"/>
    <row newVal="711" oldVal="441"/>
    <row newVal="712" oldVal="5758"/>
    <row newVal="713" oldVal="442"/>
    <row newVal="714" oldVal="443"/>
    <row newVal="715" oldVal="444"/>
    <row newVal="716" oldVal="445"/>
    <row newVal="717" oldVal="446"/>
    <row newVal="718" oldVal="447"/>
    <row newVal="719" oldVal="448"/>
    <row newVal="720" oldVal="5358"/>
    <row newVal="721" oldVal="5359"/>
    <row newVal="722" oldVal="5360"/>
    <row newVal="723" oldVal="449"/>
    <row newVal="724" oldVal="5361"/>
    <row newVal="725" oldVal="5362"/>
    <row newVal="726" oldVal="5363"/>
    <row newVal="727" oldVal="5364"/>
    <row newVal="728" oldVal="5365"/>
    <row newVal="729" oldVal="5366"/>
    <row newVal="730" oldVal="450"/>
    <row newVal="731" oldVal="451"/>
    <row newVal="732" oldVal="452"/>
    <row newVal="733" oldVal="453"/>
    <row newVal="734" oldVal="454"/>
    <row newVal="735" oldVal="455"/>
    <row newVal="736" oldVal="456"/>
    <row newVal="737" oldVal="457"/>
    <row newVal="738" oldVal="458"/>
    <row newVal="739" oldVal="459"/>
    <row newVal="740" oldVal="460"/>
    <row newVal="741" oldVal="461"/>
    <row newVal="742" oldVal="462"/>
    <row newVal="743" oldVal="463"/>
    <row newVal="744" oldVal="464"/>
    <row newVal="745" oldVal="465"/>
    <row newVal="746" oldVal="466"/>
    <row newVal="747" oldVal="467"/>
    <row newVal="748" oldVal="468"/>
    <row newVal="749" oldVal="469"/>
    <row newVal="750" oldVal="470"/>
    <row newVal="751" oldVal="471"/>
    <row newVal="752" oldVal="472"/>
    <row newVal="753" oldVal="473"/>
    <row newVal="754" oldVal="474"/>
    <row newVal="755" oldVal="475"/>
    <row newVal="756" oldVal="476"/>
    <row newVal="757" oldVal="477"/>
    <row newVal="758" oldVal="478"/>
    <row newVal="759" oldVal="479"/>
    <row newVal="760" oldVal="480"/>
    <row newVal="761" oldVal="481"/>
    <row newVal="762" oldVal="482"/>
    <row newVal="763" oldVal="483"/>
    <row newVal="764" oldVal="484"/>
    <row newVal="765" oldVal="485"/>
    <row newVal="766" oldVal="486"/>
    <row newVal="767" oldVal="487"/>
    <row newVal="768" oldVal="488"/>
    <row newVal="769" oldVal="489"/>
    <row newVal="770" oldVal="490"/>
    <row newVal="771" oldVal="491"/>
    <row newVal="772" oldVal="492"/>
    <row newVal="773" oldVal="493"/>
    <row newVal="774" oldVal="494"/>
    <row newVal="775" oldVal="495"/>
    <row newVal="776" oldVal="496"/>
    <row newVal="777" oldVal="497"/>
    <row newVal="778" oldVal="498"/>
    <row newVal="779" oldVal="499"/>
    <row newVal="780" oldVal="500"/>
    <row newVal="781" oldVal="501"/>
    <row newVal="782" oldVal="502"/>
    <row newVal="783" oldVal="503"/>
    <row newVal="784" oldVal="504"/>
    <row newVal="785" oldVal="505"/>
    <row newVal="786" oldVal="506"/>
    <row newVal="787" oldVal="507"/>
    <row newVal="788" oldVal="508"/>
    <row newVal="789" oldVal="509"/>
    <row newVal="790" oldVal="510"/>
    <row newVal="791" oldVal="511"/>
    <row newVal="792" oldVal="512"/>
    <row newVal="793" oldVal="513"/>
    <row newVal="794" oldVal="514"/>
    <row newVal="795" oldVal="515"/>
    <row newVal="796" oldVal="516"/>
    <row newVal="797" oldVal="517"/>
    <row newVal="798" oldVal="518"/>
    <row newVal="799" oldVal="519"/>
    <row newVal="800" oldVal="520"/>
    <row newVal="801" oldVal="521"/>
    <row newVal="802" oldVal="522"/>
    <row newVal="803" oldVal="523"/>
    <row newVal="804" oldVal="524"/>
    <row newVal="805" oldVal="525"/>
    <row newVal="806" oldVal="526"/>
    <row newVal="807" oldVal="527"/>
    <row newVal="808" oldVal="528"/>
    <row newVal="809" oldVal="6249"/>
    <row newVal="810" oldVal="6250"/>
    <row newVal="811" oldVal="6251"/>
    <row newVal="812" oldVal="529"/>
    <row newVal="813" oldVal="530"/>
    <row newVal="814" oldVal="531"/>
    <row newVal="815" oldVal="532"/>
    <row newVal="816" oldVal="5595"/>
    <row newVal="817" oldVal="6252"/>
    <row newVal="818" oldVal="6253"/>
    <row newVal="819" oldVal="6254"/>
    <row newVal="820" oldVal="533"/>
    <row newVal="821" oldVal="534"/>
    <row newVal="822" oldVal="535"/>
    <row newVal="823" oldVal="5759"/>
    <row newVal="824" oldVal="5760"/>
    <row newVal="825" oldVal="5761"/>
    <row newVal="826" oldVal="536"/>
    <row newVal="829" oldVal="5762"/>
    <row newVal="830" oldVal="5763"/>
    <row newVal="831" oldVal="5764"/>
    <row newVal="832" oldVal="5765"/>
    <row newVal="833" oldVal="5766"/>
    <row newVal="834" oldVal="5596"/>
    <row newVal="835" oldVal="5767"/>
    <row newVal="836" oldVal="537"/>
    <row newVal="837" oldVal="6255"/>
    <row newVal="838" oldVal="5631"/>
    <row newVal="839" oldVal="5293"/>
    <row newVal="840" oldVal="538"/>
    <row newVal="841" oldVal="539"/>
    <row newVal="842" oldVal="540"/>
    <row newVal="843" oldVal="541"/>
    <row newVal="844" oldVal="542"/>
    <row newVal="845" oldVal="543"/>
    <row newVal="846" oldVal="544"/>
    <row newVal="847" oldVal="545"/>
    <row newVal="848" oldVal="546"/>
    <row newVal="849" oldVal="547"/>
    <row newVal="850" oldVal="548"/>
    <row newVal="851" oldVal="549"/>
    <row newVal="852" oldVal="5285"/>
    <row newVal="853" oldVal="550"/>
    <row newVal="854" oldVal="551"/>
    <row newVal="855" oldVal="552"/>
    <row newVal="856" oldVal="553"/>
    <row newVal="857" oldVal="554"/>
    <row newVal="858" oldVal="555"/>
    <row newVal="859" oldVal="556"/>
    <row newVal="860" oldVal="557"/>
    <row newVal="861" oldVal="558"/>
    <row newVal="862" oldVal="559"/>
    <row newVal="863" oldVal="560"/>
    <row newVal="864" oldVal="561"/>
    <row newVal="865" oldVal="562"/>
    <row newVal="866" oldVal="563"/>
    <row newVal="867" oldVal="5282"/>
    <row newVal="868" oldVal="5283"/>
    <row newVal="869" oldVal="5367"/>
    <row newVal="870" oldVal="5368"/>
    <row newVal="871" oldVal="5369"/>
    <row newVal="872" oldVal="564"/>
    <row newVal="873" oldVal="565"/>
    <row newVal="874" oldVal="566"/>
    <row newVal="875" oldVal="567"/>
    <row newVal="876" oldVal="568"/>
    <row newVal="877" oldVal="569"/>
    <row newVal="878" oldVal="570"/>
    <row newVal="879" oldVal="571"/>
    <row newVal="880" oldVal="572"/>
    <row newVal="881" oldVal="573"/>
    <row newVal="882" oldVal="574"/>
    <row newVal="883" oldVal="5294"/>
    <row newVal="884" oldVal="5968"/>
    <row newVal="885" oldVal="5370"/>
    <row newVal="886" oldVal="5371"/>
    <row newVal="887" oldVal="5372"/>
    <row newVal="888" oldVal="575"/>
    <row newVal="889" oldVal="5295"/>
    <row newVal="890" oldVal="5296"/>
    <row newVal="891" oldVal="6256"/>
    <row newVal="892" oldVal="5297"/>
    <row newVal="893" oldVal="5298"/>
    <row newVal="894" oldVal="576"/>
    <row newVal="895" oldVal="577"/>
    <row newVal="896" oldVal="578"/>
    <row newVal="897" oldVal="579"/>
    <row newVal="898" oldVal="580"/>
    <row newVal="899" oldVal="581"/>
    <row newVal="900" oldVal="584"/>
    <row newVal="901" oldVal="5284"/>
    <row newVal="902" oldVal="5576"/>
    <row newVal="903" oldVal="6257"/>
    <row newVal="904" oldVal="5577"/>
    <row newVal="905" oldVal="586"/>
    <row newVal="906" oldVal="587"/>
    <row newVal="907" oldVal="588"/>
    <row newVal="908" oldVal="589"/>
    <row newVal="909" oldVal="6258"/>
    <row newVal="910" oldVal="6259"/>
    <row newVal="911" oldVal="592"/>
    <row newVal="912" oldVal="593"/>
    <row newVal="913" oldVal="594"/>
    <row newVal="914" oldVal="595"/>
    <row newVal="915" oldVal="596"/>
    <row newVal="916" oldVal="597"/>
    <row newVal="917" oldVal="598"/>
    <row newVal="918" oldVal="599"/>
    <row newVal="919" oldVal="600"/>
    <row newVal="920" oldVal="6260"/>
    <row newVal="921" oldVal="601"/>
    <row newVal="922" oldVal="602"/>
    <row newVal="923" oldVal="582"/>
    <row newVal="924" oldVal="603"/>
    <row newVal="925" oldVal="585"/>
    <row newVal="926" oldVal="6261"/>
    <row newVal="927" oldVal="6262"/>
    <row newVal="928" oldVal="6263"/>
    <row newVal="929" oldVal="604"/>
    <row newVal="930" oldVal="634"/>
    <row newVal="931" oldVal="6264"/>
    <row newVal="932" oldVal="6265"/>
    <row newVal="933" oldVal="635"/>
    <row newVal="934" oldVal="636"/>
    <row newVal="935" oldVal="6266"/>
    <row newVal="936" oldVal="583"/>
    <row newVal="937" oldVal="605"/>
    <row newVal="938" oldVal="5299"/>
    <row newVal="939" oldVal="5300"/>
    <row newVal="940" oldVal="5301"/>
    <row newVal="941" oldVal="6267"/>
    <row newVal="942" oldVal="6268"/>
    <row newVal="943" oldVal="6269"/>
    <row newVal="944" oldVal="606"/>
    <row newVal="945" oldVal="607"/>
    <row newVal="946" oldVal="608"/>
    <row newVal="947" oldVal="609"/>
    <row newVal="950" oldVal="610"/>
    <row newVal="951" oldVal="611"/>
    <row newVal="952" oldVal="612"/>
    <row newVal="953" oldVal="613"/>
    <row newVal="954" oldVal="614"/>
    <row newVal="955" oldVal="615"/>
    <row newVal="956" oldVal="616"/>
    <row newVal="957" oldVal="617"/>
    <row newVal="958" oldVal="618"/>
    <row newVal="959" oldVal="619"/>
    <row newVal="960" oldVal="6002"/>
    <row newVal="961" oldVal="620"/>
    <row newVal="962" oldVal="621"/>
    <row newVal="963" oldVal="622"/>
    <row newVal="964" oldVal="623"/>
    <row newVal="965" oldVal="624"/>
    <row newVal="966" oldVal="625"/>
    <row newVal="967" oldVal="626"/>
    <row newVal="968" oldVal="627"/>
    <row newVal="969" oldVal="628"/>
    <row newVal="970" oldVal="629"/>
    <row newVal="971" oldVal="630"/>
    <row newVal="972" oldVal="631"/>
    <row newVal="973" oldVal="6003"/>
    <row newVal="974" oldVal="632"/>
    <row newVal="975" oldVal="5640"/>
    <row newVal="976" oldVal="633"/>
    <row newVal="977" oldVal="6038"/>
    <row newVal="978" oldVal="5695"/>
    <row newVal="979" oldVal="637"/>
    <row newVal="980" oldVal="638"/>
    <row newVal="981" oldVal="639"/>
    <row newVal="982" oldVal="640"/>
    <row newVal="983" oldVal="641"/>
    <row newVal="984" oldVal="642"/>
    <row newVal="985" oldVal="643"/>
    <row newVal="986" oldVal="644"/>
    <row newVal="987" oldVal="645"/>
    <row newVal="988" oldVal="646"/>
    <row newVal="989" oldVal="647"/>
    <row newVal="990" oldVal="648"/>
    <row newVal="991" oldVal="5687"/>
    <row newVal="992" oldVal="649"/>
    <row newVal="993" oldVal="650"/>
    <row newVal="994" oldVal="651"/>
    <row newVal="995" oldVal="652"/>
    <row newVal="996" oldVal="653"/>
    <row newVal="997" oldVal="654"/>
    <row newVal="998" oldVal="655"/>
    <row newVal="999" oldVal="656"/>
    <row newVal="1000" oldVal="657"/>
    <row newVal="1001" oldVal="658"/>
    <row newVal="1002" oldVal="659"/>
    <row newVal="1003" oldVal="660"/>
    <row newVal="1004" oldVal="661"/>
    <row newVal="1005" oldVal="662"/>
    <row newVal="1006" oldVal="5684"/>
    <row newVal="1007" oldVal="6108"/>
    <row newVal="1008" oldVal="6109"/>
    <row newVal="1009" oldVal="6110"/>
    <row newVal="1010" oldVal="5685"/>
    <row newVal="1011" oldVal="6270"/>
    <row newVal="1012" oldVal="6149"/>
    <row newVal="1013" oldVal="5768"/>
    <row newVal="1014" oldVal="5769"/>
    <row newVal="1015" oldVal="5770"/>
    <row newVal="1016" oldVal="5274"/>
    <row newVal="1017" oldVal="5276"/>
    <row newVal="1018" oldVal="5277"/>
    <row newVal="1019" oldVal="5278"/>
    <row newVal="1020" oldVal="5279"/>
    <row newVal="1021" oldVal="5614"/>
    <row newVal="1022" oldVal="5373"/>
    <row newVal="1023" oldVal="663"/>
    <row newVal="1024" oldVal="664"/>
    <row newVal="1025" oldVal="5280"/>
    <row newVal="1026" oldVal="5586"/>
    <row newVal="1027" oldVal="665"/>
    <row newVal="1028" oldVal="5275"/>
    <row newVal="1029" oldVal="666"/>
    <row newVal="1030" oldVal="5302"/>
    <row newVal="1031" oldVal="667"/>
    <row newVal="1032" oldVal="668"/>
    <row newVal="1033" oldVal="669"/>
    <row newVal="1034" oldVal="670"/>
    <row newVal="1035" oldVal="671"/>
    <row newVal="1036" oldVal="6099"/>
    <row newVal="1037" oldVal="672"/>
    <row newVal="1038" oldVal="673"/>
    <row newVal="1039" oldVal="5696"/>
    <row newVal="1040" oldVal="5771"/>
    <row newVal="1041" oldVal="5772"/>
    <row newVal="1042" oldVal="5773"/>
    <row newVal="1043" oldVal="5774"/>
    <row newVal="1044" oldVal="6116"/>
    <row newVal="1045" oldVal="674"/>
    <row newVal="1046" oldVal="5697"/>
    <row newVal="1047" oldVal="5698"/>
    <row newVal="1048" oldVal="5699"/>
    <row newVal="1049" oldVal="5700"/>
    <row newVal="1050" oldVal="6101"/>
    <row newVal="1051" oldVal="675"/>
    <row newVal="1052" oldVal="676"/>
    <row newVal="1053" oldVal="677"/>
    <row newVal="1054" oldVal="678"/>
    <row newVal="1055" oldVal="679"/>
    <row newVal="1056" oldVal="680"/>
    <row newVal="1057" oldVal="683"/>
    <row newVal="1058" oldVal="5686"/>
    <row newVal="1059" oldVal="5977"/>
    <row newVal="1060" oldVal="5978"/>
    <row newVal="1061" oldVal="685"/>
    <row newVal="1062" oldVal="686"/>
    <row newVal="1063" oldVal="687"/>
    <row newVal="1064" oldVal="688"/>
    <row newVal="1065" oldVal="691"/>
    <row newVal="1066" oldVal="692"/>
    <row newVal="1067" oldVal="693"/>
    <row newVal="1068" oldVal="694"/>
    <row newVal="1069" oldVal="695"/>
    <row newVal="1070" oldVal="696"/>
    <row newVal="1071" oldVal="697"/>
    <row newVal="1072" oldVal="698"/>
    <row newVal="1073" oldVal="699"/>
    <row newVal="1074" oldVal="700"/>
    <row newVal="1075" oldVal="701"/>
    <row newVal="1076" oldVal="681"/>
    <row newVal="1077" oldVal="702"/>
    <row newVal="1078" oldVal="684"/>
    <row newVal="1079" oldVal="703"/>
    <row newVal="1080" oldVal="682"/>
    <row newVal="1081" oldVal="704"/>
    <row newVal="1082" oldVal="5701"/>
    <row newVal="1083" oldVal="5702"/>
    <row newVal="1084" oldVal="5703"/>
    <row newVal="1085" oldVal="6118"/>
    <row newVal="1086" oldVal="6119"/>
    <row newVal="1087" oldVal="705"/>
    <row newVal="1088" oldVal="706"/>
    <row newVal="1089" oldVal="707"/>
    <row newVal="1090" oldVal="708"/>
    <row newVal="1091" oldVal="6271"/>
    <row newVal="1092" oldVal="6272"/>
    <row newVal="1093" oldVal="6273"/>
    <row newVal="1094" oldVal="6104"/>
    <row newVal="1095" oldVal="6105"/>
    <row newVal="1096" oldVal="5587"/>
    <row newVal="1097" oldVal="709"/>
    <row newVal="1098" oldVal="6274"/>
    <row newVal="1099" oldVal="6275"/>
    <row newVal="1100" oldVal="6276"/>
    <row newVal="1101" oldVal="6277"/>
    <row newVal="1102" oldVal="710"/>
    <row newVal="1103" oldVal="711"/>
    <row newVal="1104" oldVal="712"/>
    <row newVal="1105" oldVal="713"/>
    <row newVal="1106" oldVal="714"/>
    <row newVal="1107" oldVal="715"/>
    <row newVal="1108" oldVal="716"/>
    <row newVal="1109" oldVal="717"/>
    <row newVal="1110" oldVal="718"/>
    <row newVal="1111" oldVal="719"/>
    <row newVal="1112" oldVal="720"/>
    <row newVal="1113" oldVal="721"/>
    <row newVal="1114" oldVal="722"/>
    <row newVal="1115" oldVal="6278"/>
    <row newVal="1116" oldVal="6279"/>
    <row newVal="1117" oldVal="723"/>
    <row newVal="1118" oldVal="724"/>
    <row newVal="1119" oldVal="725"/>
    <row newVal="1120" oldVal="726"/>
    <row newVal="1121" oldVal="727"/>
    <row newVal="1122" oldVal="728"/>
    <row newVal="1123" oldVal="729"/>
    <row newVal="1124" oldVal="730"/>
    <row newVal="1125" oldVal="731"/>
    <row newVal="1126" oldVal="732"/>
    <row newVal="1127" oldVal="733"/>
    <row newVal="1128" oldVal="6047"/>
    <row newVal="1129" oldVal="734"/>
    <row newVal="1130" oldVal="735"/>
    <row newVal="1131" oldVal="736"/>
    <row newVal="1132" oldVal="737"/>
    <row newVal="1133" oldVal="738"/>
    <row newVal="1134" oldVal="739"/>
    <row newVal="1135" oldVal="740"/>
    <row newVal="1136" oldVal="741"/>
    <row newVal="1137" oldVal="742"/>
    <row newVal="1138" oldVal="6280"/>
    <row newVal="1139" oldVal="6281"/>
    <row newVal="1140" oldVal="743"/>
    <row newVal="1141" oldVal="5374"/>
    <row newVal="1142" oldVal="744"/>
    <row newVal="1143" oldVal="745"/>
    <row newVal="1144" oldVal="746"/>
    <row newVal="1145" oldVal="747"/>
    <row newVal="1146" oldVal="748"/>
    <row newVal="1147" oldVal="749"/>
    <row newVal="1148" oldVal="750"/>
    <row newVal="1149" oldVal="6282"/>
    <row newVal="1150" oldVal="751"/>
    <row newVal="1151" oldVal="752"/>
    <row newVal="1152" oldVal="753"/>
    <row newVal="1153" oldVal="754"/>
    <row newVal="1154" oldVal="755"/>
    <row newVal="1155" oldVal="756"/>
    <row newVal="1156" oldVal="757"/>
    <row newVal="1157" oldVal="758"/>
    <row newVal="1158" oldVal="759"/>
    <row newVal="1159" oldVal="760"/>
    <row newVal="1160" oldVal="761"/>
    <row newVal="1161" oldVal="762"/>
    <row newVal="1162" oldVal="763"/>
    <row newVal="1163" oldVal="764"/>
    <row newVal="1164" oldVal="765"/>
    <row newVal="1165" oldVal="766"/>
    <row newVal="1166" oldVal="767"/>
    <row newVal="1167" oldVal="768"/>
    <row newVal="1168" oldVal="5676"/>
    <row newVal="1169" oldVal="5678"/>
    <row newVal="1170" oldVal="5679"/>
    <row newVal="1171" oldVal="5680"/>
    <row newVal="1172" oldVal="5681"/>
    <row newVal="1173" oldVal="6021"/>
    <row newVal="1174" oldVal="5775"/>
    <row newVal="1175" oldVal="769"/>
    <row newVal="1176" oldVal="770"/>
    <row newVal="1177" oldVal="5682"/>
    <row newVal="1178" oldVal="5993"/>
    <row newVal="1179" oldVal="771"/>
    <row newVal="1180" oldVal="5677"/>
    <row newVal="1181" oldVal="772"/>
    <row newVal="1182" oldVal="5704"/>
    <row newVal="1183" oldVal="773"/>
    <row newVal="1184" oldVal="774"/>
    <row newVal="1185" oldVal="5622"/>
    <row newVal="1186" oldVal="6283"/>
    <row newVal="1187" oldVal="775"/>
    <row newVal="1188" oldVal="776"/>
    <row newVal="1189" oldVal="777"/>
    <row newVal="1190" oldVal="778"/>
    <row newVal="1191" oldVal="779"/>
    <row newVal="1192" oldVal="780"/>
    <row newVal="1193" oldVal="6284"/>
    <row newVal="1194" oldVal="781"/>
    <row newVal="1195" oldVal="782"/>
    <row newVal="1196" oldVal="783"/>
    <row newVal="1197" oldVal="784"/>
    <row newVal="1198" oldVal="785"/>
    <row newVal="1199" oldVal="786"/>
    <row newVal="1200" oldVal="787"/>
    <row newVal="1201" oldVal="788"/>
    <row newVal="1202" oldVal="789"/>
    <row newVal="1203" oldVal="790"/>
    <row newVal="1204" oldVal="791"/>
    <row newVal="1205" oldVal="792"/>
    <row newVal="1206" oldVal="793"/>
    <row newVal="1207" oldVal="794"/>
    <row newVal="1208" oldVal="795"/>
    <row newVal="1209" oldVal="796"/>
    <row newVal="1210" oldVal="797"/>
    <row newVal="1211" oldVal="798"/>
    <row newVal="1212" oldVal="799"/>
    <row newVal="1213" oldVal="800"/>
    <row newVal="1214" oldVal="6285"/>
    <row newVal="1215" oldVal="6286"/>
    <row newVal="1216" oldVal="6287"/>
    <row newVal="1217" oldVal="6288"/>
    <row newVal="1218" oldVal="6289"/>
    <row newVal="1219" oldVal="6290"/>
    <row newVal="1220" oldVal="801"/>
    <row newVal="1221" oldVal="802"/>
    <row newVal="1222" oldVal="803"/>
    <row newVal="1223" oldVal="804"/>
    <row newVal="1224" oldVal="805"/>
    <row newVal="1225" oldVal="806"/>
    <row newVal="1226" oldVal="807"/>
    <row newVal="1227" oldVal="808"/>
    <row newVal="1228" oldVal="5616"/>
    <row newVal="1229" oldVal="809"/>
    <row newVal="1230" oldVal="810"/>
    <row newVal="1231" oldVal="6291"/>
    <row newVal="1232" oldVal="811"/>
    <row newVal="1233" oldVal="812"/>
    <row newVal="1234" oldVal="6292"/>
    <row newVal="1235" oldVal="6293"/>
    <row newVal="1236" oldVal="813"/>
    <row newVal="1237" oldVal="6294"/>
    <row newVal="1238" oldVal="6295"/>
    <row newVal="1239" oldVal="6296"/>
    <row newVal="1240" oldVal="6297"/>
    <row newVal="1241" oldVal="6298"/>
    <row newVal="1242" oldVal="5292"/>
    <row newVal="1243" oldVal="5309"/>
    <row newVal="1244" oldVal="815"/>
    <row newVal="1245" oldVal="816"/>
    <row newVal="1246" oldVal="817"/>
    <row newVal="1247" oldVal="818"/>
    <row newVal="1248" oldVal="5617"/>
    <row newVal="1249" oldVal="819"/>
    <row newVal="1250" oldVal="820"/>
    <row newVal="1251" oldVal="821"/>
    <row newVal="1252" oldVal="822"/>
    <row newVal="1253" oldVal="823"/>
    <row newVal="1254" oldVal="824"/>
    <row newVal="1255" oldVal="825"/>
    <row newVal="1256" oldVal="826"/>
    <row newVal="1257" oldVal="829"/>
    <row newVal="1258" oldVal="6299"/>
    <row newVal="1259" oldVal="5994"/>
    <row newVal="1260" oldVal="6300"/>
    <row newVal="1261" oldVal="830"/>
    <row newVal="1262" oldVal="831"/>
    <row newVal="1263" oldVal="5585"/>
    <row newVal="1264" oldVal="832"/>
    <row newVal="1265" oldVal="6301"/>
    <row newVal="1266" oldVal="833"/>
    <row newVal="1267" oldVal="834"/>
    <row newVal="1268" oldVal="835"/>
    <row newVal="1269" oldVal="6302"/>
    <row newVal="1270" oldVal="836"/>
    <row newVal="1271" oldVal="837"/>
    <row newVal="1272" oldVal="838"/>
    <row newVal="1273" oldVal="839"/>
    <row newVal="1274" oldVal="840"/>
    <row newVal="1275" oldVal="841"/>
    <row newVal="1276" oldVal="6303"/>
    <row newVal="1277" oldVal="842"/>
    <row newVal="1278" oldVal="843"/>
    <row newVal="1279" oldVal="5618"/>
    <row newVal="1280" oldVal="844"/>
    <row newVal="1281" oldVal="845"/>
    <row newVal="1282" oldVal="846"/>
    <row newVal="1283" oldVal="847"/>
    <row newVal="1284" oldVal="848"/>
    <row newVal="1285" oldVal="849"/>
    <row newVal="1286" oldVal="850"/>
    <row newVal="1287" oldVal="851"/>
    <row newVal="1288" oldVal="852"/>
    <row newVal="1289" oldVal="853"/>
    <row newVal="1290" oldVal="6304"/>
    <row newVal="1291" oldVal="854"/>
    <row newVal="1292" oldVal="6305"/>
    <row newVal="1293" oldVal="6306"/>
    <row newVal="1294" oldVal="855"/>
    <row newVal="1295" oldVal="856"/>
    <row newVal="1296" oldVal="857"/>
    <row newVal="1297" oldVal="858"/>
    <row newVal="1298" oldVal="859"/>
    <row newVal="1299" oldVal="860"/>
    <row newVal="1300" oldVal="861"/>
    <row newVal="1301" oldVal="862"/>
    <row newVal="1302" oldVal="863"/>
    <row newVal="1303" oldVal="864"/>
    <row newVal="1304" oldVal="865"/>
    <row newVal="1305" oldVal="5776"/>
    <row newVal="1306" oldVal="866"/>
    <row newVal="1307" oldVal="867"/>
    <row newVal="1308" oldVal="868"/>
    <row newVal="1309" oldVal="869"/>
    <row newVal="1310" oldVal="870"/>
    <row newVal="1311" oldVal="871"/>
    <row newVal="1312" oldVal="872"/>
    <row newVal="1313" oldVal="873"/>
    <row newVal="1314" oldVal="874"/>
    <row newVal="1315" oldVal="875"/>
    <row newVal="1316" oldVal="876"/>
    <row newVal="1317" oldVal="877"/>
    <row newVal="1318" oldVal="878"/>
    <row newVal="1319" oldVal="879"/>
    <row newVal="1320" oldVal="880"/>
    <row newVal="1321" oldVal="881"/>
    <row newVal="1322" oldVal="882"/>
    <row newVal="1323" oldVal="883"/>
    <row newVal="1324" oldVal="884"/>
    <row newVal="1325" oldVal="885"/>
    <row newVal="1326" oldVal="886"/>
    <row newVal="1327" oldVal="887"/>
    <row newVal="1328" oldVal="888"/>
    <row newVal="1329" oldVal="889"/>
    <row newVal="1330" oldVal="890"/>
    <row newVal="1331" oldVal="891"/>
    <row newVal="1332" oldVal="892"/>
    <row newVal="1333" oldVal="893"/>
    <row newVal="1334" oldVal="894"/>
    <row newVal="1335" oldVal="5619"/>
    <row newVal="1336" oldVal="895"/>
    <row newVal="1337" oldVal="896"/>
    <row newVal="1338" oldVal="897"/>
    <row newVal="1339" oldVal="898"/>
    <row newVal="1340" oldVal="899"/>
    <row newVal="1341" oldVal="900"/>
    <row newVal="1342" oldVal="6307"/>
    <row newVal="1343" oldVal="901"/>
    <row newVal="1344" oldVal="902"/>
    <row newVal="1345" oldVal="903"/>
    <row newVal="1346" oldVal="904"/>
    <row newVal="1347" oldVal="905"/>
    <row newVal="1348" oldVal="906"/>
    <row newVal="1349" oldVal="907"/>
    <row newVal="1350" oldVal="6029"/>
    <row newVal="1351" oldVal="908"/>
    <row newVal="1352" oldVal="909"/>
    <row newVal="1353" oldVal="910"/>
    <row newVal="1354" oldVal="911"/>
    <row newVal="1355" oldVal="912"/>
    <row newVal="1356" oldVal="913"/>
    <row newVal="1357" oldVal="914"/>
    <row newVal="1358" oldVal="915"/>
    <row newVal="1359" oldVal="916"/>
    <row newVal="1360" oldVal="917"/>
    <row newVal="1361" oldVal="918"/>
    <row newVal="1362" oldVal="919"/>
    <row newVal="1363" oldVal="920"/>
    <row newVal="1364" oldVal="921"/>
    <row newVal="1365" oldVal="922"/>
    <row newVal="1366" oldVal="923"/>
    <row newVal="1367" oldVal="924"/>
    <row newVal="1368" oldVal="925"/>
    <row newVal="1369" oldVal="926"/>
    <row newVal="1370" oldVal="927"/>
    <row newVal="1371" oldVal="928"/>
    <row newVal="1372" oldVal="929"/>
    <row newVal="1373" oldVal="930"/>
    <row newVal="1374" oldVal="931"/>
    <row newVal="1375" oldVal="932"/>
    <row newVal="1376" oldVal="933"/>
    <row newVal="1377" oldVal="934"/>
    <row newVal="1378" oldVal="935"/>
    <row newVal="1379" oldVal="936"/>
    <row newVal="1380" oldVal="937"/>
    <row newVal="1381" oldVal="938"/>
    <row newVal="1382" oldVal="939"/>
    <row newVal="1383" oldVal="940"/>
    <row newVal="1384" oldVal="941"/>
    <row newVal="1385" oldVal="6023"/>
    <row newVal="1386" oldVal="942"/>
    <row newVal="1387" oldVal="943"/>
    <row newVal="1388" oldVal="944"/>
    <row newVal="1389" oldVal="945"/>
    <row newVal="1390" oldVal="946"/>
    <row newVal="1391" oldVal="5694"/>
    <row newVal="1392" oldVal="5711"/>
    <row newVal="1393" oldVal="950"/>
    <row newVal="1394" oldVal="951"/>
    <row newVal="1395" oldVal="952"/>
    <row newVal="1396" oldVal="953"/>
    <row newVal="1397" oldVal="6024"/>
    <row newVal="1398" oldVal="954"/>
    <row newVal="1399" oldVal="6127"/>
    <row newVal="1400" oldVal="955"/>
    <row newVal="1401" oldVal="956"/>
    <row newVal="1402" oldVal="957"/>
    <row newVal="1403" oldVal="958"/>
    <row newVal="1404" oldVal="959"/>
    <row newVal="1405" oldVal="960"/>
    <row newVal="1406" oldVal="961"/>
    <row newVal="1407" oldVal="5376"/>
    <row newVal="1408" oldVal="962"/>
    <row newVal="1409" oldVal="963"/>
    <row newVal="1410" oldVal="964"/>
    <row newVal="1411" oldVal="965"/>
    <row newVal="1412" oldVal="5992"/>
    <row newVal="1413" oldVal="966"/>
    <row newVal="1414" oldVal="967"/>
    <row newVal="1415" oldVal="968"/>
    <row newVal="1416" oldVal="969"/>
    <row newVal="1417" oldVal="970"/>
    <row newVal="1418" oldVal="6308"/>
    <row newVal="1419" oldVal="5620"/>
    <row newVal="1420" oldVal="971"/>
    <row newVal="1421" oldVal="6309"/>
    <row newVal="1422" oldVal="5623"/>
    <row newVal="1423" oldVal="973"/>
    <row newVal="1424" oldVal="974"/>
    <row newVal="1425" oldVal="975"/>
    <row newVal="1426" oldVal="976"/>
    <row newVal="1427" oldVal="977"/>
    <row newVal="1428" oldVal="6025"/>
    <row newVal="1429" oldVal="6310"/>
    <row newVal="1430" oldVal="6311"/>
    <row newVal="1431" oldVal="980"/>
    <row newVal="1432" oldVal="981"/>
    <row newVal="1433" oldVal="982"/>
    <row newVal="1434" oldVal="983"/>
    <row newVal="1435" oldVal="984"/>
    <row newVal="1436" oldVal="985"/>
    <row newVal="1437" oldVal="986"/>
    <row newVal="1438" oldVal="987"/>
    <row newVal="1439" oldVal="988"/>
    <row newVal="1440" oldVal="989"/>
    <row newVal="1441" oldVal="990"/>
    <row newVal="1442" oldVal="991"/>
    <row newVal="1443" oldVal="992"/>
    <row newVal="1444" oldVal="993"/>
    <row newVal="1445" oldVal="994"/>
    <row newVal="1446" oldVal="995"/>
    <row newVal="1447" oldVal="996"/>
    <row newVal="1448" oldVal="997"/>
    <row newVal="1449" oldVal="998"/>
    <row newVal="1450" oldVal="999"/>
    <row newVal="1451" oldVal="1000"/>
    <row newVal="1452" oldVal="1001"/>
    <row newVal="1453" oldVal="1002"/>
    <row newVal="1454" oldVal="1003"/>
    <row newVal="1455" oldVal="1004"/>
    <row newVal="1456" oldVal="5621"/>
    <row newVal="1457" oldVal="6312"/>
    <row newVal="1458" oldVal="1005"/>
    <row newVal="1459" oldVal="1006"/>
    <row newVal="1460" oldVal="1007"/>
    <row newVal="1461" oldVal="1008"/>
    <row newVal="1462" oldVal="1009"/>
    <row newVal="1463" oldVal="6313"/>
    <row newVal="1464" oldVal="6314"/>
    <row newVal="1465" oldVal="6315"/>
    <row newVal="1466" oldVal="5377"/>
    <row newVal="1467" oldVal="5378"/>
    <row newVal="1468" oldVal="1010"/>
    <row newVal="1469" oldVal="1011"/>
    <row newVal="1470" oldVal="1012"/>
    <row newVal="1471" oldVal="6316"/>
    <row newVal="1472" oldVal="6317"/>
    <row newVal="1473" oldVal="6318"/>
    <row newVal="1474" oldVal="6319"/>
    <row newVal="1475" oldVal="6320"/>
    <row newVal="1476" oldVal="6321"/>
    <row newVal="1477" oldVal="6322"/>
    <row newVal="1478" oldVal="6323"/>
    <row newVal="1479" oldVal="6324"/>
    <row newVal="1480" oldVal="6325"/>
    <row newVal="1481" oldVal="6326"/>
    <row newVal="1482" oldVal="6327"/>
    <row newVal="1483" oldVal="6328"/>
    <row newVal="1484" oldVal="1013"/>
    <row newVal="1485" oldVal="1014"/>
    <row newVal="1486" oldVal="5597"/>
    <row newVal="1487" oldVal="6329"/>
    <row newVal="1488" oldVal="6330"/>
    <row newVal="1489" oldVal="6331"/>
    <row newVal="1490" oldVal="6332"/>
    <row newVal="1491" oldVal="6333"/>
    <row newVal="1492" oldVal="6334"/>
    <row newVal="1493" oldVal="6335"/>
    <row newVal="1494" oldVal="1015"/>
    <row newVal="1495" oldVal="6336"/>
    <row newVal="1496" oldVal="5651"/>
    <row newVal="1497" oldVal="6337"/>
    <row newVal="1498" oldVal="6338"/>
    <row newVal="1499" oldVal="6339"/>
    <row newVal="1500" oldVal="6341"/>
    <row newVal="1501" oldVal="6342"/>
    <row newVal="1502" oldVal="1016"/>
    <row newVal="1503" oldVal="1017"/>
    <row newVal="1504" oldVal="1018"/>
    <row newVal="1505" oldVal="1019"/>
    <row newVal="1506" oldVal="1020"/>
    <row newVal="1507" oldVal="1021"/>
    <row newVal="1508" oldVal="1022"/>
    <row newVal="1509" oldVal="1023"/>
    <row newVal="1510" oldVal="6343"/>
    <row newVal="1511" oldVal="1024"/>
    <row newVal="1512" oldVal="6344"/>
    <row newVal="1513" oldVal="1025"/>
    <row newVal="1514" oldVal="6345"/>
    <row newVal="1515" oldVal="6346"/>
    <row newVal="1516" oldVal="6347"/>
    <row newVal="1517" oldVal="6348"/>
    <row newVal="1518" oldVal="6349"/>
    <row newVal="1519" oldVal="6350"/>
    <row newVal="1520" oldVal="6351"/>
    <row newVal="1521" oldVal="6352"/>
    <row newVal="1522" oldVal="5629"/>
    <row newVal="1523" oldVal="1026"/>
    <row newVal="1524" oldVal="1027"/>
    <row newVal="1525" oldVal="1028"/>
    <row newVal="1526" oldVal="1029"/>
    <row newVal="1527" oldVal="6026"/>
    <row newVal="1528" oldVal="1030"/>
    <row newVal="1529" oldVal="1031"/>
    <row newVal="1530" oldVal="6353"/>
    <row newVal="1531" oldVal="5632"/>
    <row newVal="1532" oldVal="6354"/>
    <row newVal="1533" oldVal="6355"/>
    <row newVal="1534" oldVal="6356"/>
    <row newVal="1535" oldVal="6357"/>
    <row newVal="1536" oldVal="6358"/>
    <row newVal="1537" oldVal="6359"/>
    <row newVal="1538" oldVal="6360"/>
    <row newVal="1539" oldVal="6361"/>
    <row newVal="1540" oldVal="6362"/>
    <row newVal="1541" oldVal="6363"/>
    <row newVal="1542" oldVal="6364"/>
    <row newVal="1543" oldVal="6365"/>
    <row newVal="1544" oldVal="1032"/>
    <row newVal="1545" oldVal="6366"/>
    <row newVal="1546" oldVal="6367"/>
    <row newVal="1547" oldVal="5593"/>
    <row newVal="1548" oldVal="5594"/>
    <row newVal="1549" oldVal="6368"/>
    <row newVal="1550" oldVal="5375"/>
    <row newVal="1551" oldVal="6369"/>
    <row newVal="1552" oldVal="5317"/>
    <row newVal="1553" oldVal="1034"/>
    <row newVal="1554" oldVal="1035"/>
    <row newVal="1555" oldVal="1036"/>
    <row newVal="1556" oldVal="1037"/>
    <row newVal="1557" oldVal="1038"/>
    <row newVal="1558" oldVal="1039"/>
    <row newVal="1559" oldVal="1040"/>
    <row newVal="1560" oldVal="1041"/>
    <row newVal="1561" oldVal="1042"/>
    <row newVal="1562" oldVal="1043"/>
    <row newVal="1563" oldVal="1044"/>
    <row newVal="1564" oldVal="1045"/>
    <row newVal="1565" oldVal="1046"/>
    <row newVal="1566" oldVal="1047"/>
    <row newVal="1567" oldVal="6370"/>
    <row newVal="1568" oldVal="1048"/>
    <row newVal="1569" oldVal="1049"/>
    <row newVal="1570" oldVal="1050"/>
    <row newVal="1571" oldVal="1051"/>
    <row newVal="1572" oldVal="1052"/>
    <row newVal="1573" oldVal="1053"/>
    <row newVal="1574" oldVal="1054"/>
    <row newVal="1575" oldVal="1055"/>
    <row newVal="1576" oldVal="1056"/>
    <row newVal="1577" oldVal="1057"/>
    <row newVal="1578" oldVal="1058"/>
    <row newVal="1579" oldVal="1059"/>
    <row newVal="1580" oldVal="1060"/>
    <row newVal="1581" oldVal="1061"/>
    <row newVal="1582" oldVal="1062"/>
    <row newVal="1583" oldVal="1063"/>
    <row newVal="1584" oldVal="1064"/>
    <row newVal="1585" oldVal="1065"/>
    <row newVal="1586" oldVal="1066"/>
    <row newVal="1587" oldVal="1067"/>
    <row newVal="1588" oldVal="1068"/>
    <row newVal="1589" oldVal="1069"/>
    <row newVal="1590" oldVal="1070"/>
    <row newVal="1591" oldVal="1071"/>
    <row newVal="1592" oldVal="1072"/>
    <row newVal="1593" oldVal="1073"/>
    <row newVal="1594" oldVal="1074"/>
    <row newVal="1595" oldVal="1075"/>
    <row newVal="1596" oldVal="1076"/>
    <row newVal="1597" oldVal="1077"/>
    <row newVal="1598" oldVal="1078"/>
    <row newVal="1599" oldVal="1079"/>
    <row newVal="1600" oldVal="1080"/>
    <row newVal="1601" oldVal="1081"/>
    <row newVal="1602" oldVal="1082"/>
    <row newVal="1603" oldVal="1083"/>
    <row newVal="1604" oldVal="1084"/>
    <row newVal="1605" oldVal="1085"/>
    <row newVal="1606" oldVal="1086"/>
    <row newVal="1607" oldVal="1087"/>
    <row newVal="1608" oldVal="1088"/>
    <row newVal="1609" oldVal="1089"/>
    <row newVal="1610" oldVal="1090"/>
    <row newVal="1611" oldVal="1091"/>
    <row newVal="1612" oldVal="1092"/>
    <row newVal="1613" oldVal="1093"/>
    <row newVal="1614" oldVal="1094"/>
    <row newVal="1615" oldVal="1095"/>
    <row newVal="1616" oldVal="1096"/>
    <row newVal="1617" oldVal="1097"/>
    <row newVal="1618" oldVal="1098"/>
    <row newVal="1619" oldVal="5778"/>
    <row newVal="1620" oldVal="1099"/>
    <row newVal="1621" oldVal="1100"/>
    <row newVal="1622" oldVal="1101"/>
    <row newVal="1623" oldVal="1102"/>
    <row newVal="1624" oldVal="1103"/>
    <row newVal="1625" oldVal="1104"/>
    <row newVal="1626" oldVal="1105"/>
    <row newVal="1627" oldVal="1106"/>
    <row newVal="1628" oldVal="1107"/>
    <row newVal="1629" oldVal="1108"/>
    <row newVal="1630" oldVal="6027"/>
    <row newVal="1631" oldVal="1109"/>
    <row newVal="1632" oldVal="6030"/>
    <row newVal="1633" oldVal="1111"/>
    <row newVal="1634" oldVal="1112"/>
    <row newVal="1635" oldVal="1113"/>
    <row newVal="1636" oldVal="1114"/>
    <row newVal="1637" oldVal="1115"/>
    <row newVal="1638" oldVal="1116"/>
    <row newVal="1639" oldVal="1119"/>
    <row newVal="1640" oldVal="1120"/>
    <row newVal="1641" oldVal="1121"/>
    <row newVal="1642" oldVal="1122"/>
    <row newVal="1643" oldVal="1123"/>
    <row newVal="1644" oldVal="1124"/>
    <row newVal="1645" oldVal="1125"/>
    <row newVal="1646" oldVal="1126"/>
    <row newVal="1647" oldVal="1127"/>
    <row newVal="1648" oldVal="1128"/>
    <row newVal="1649" oldVal="1129"/>
    <row newVal="1650" oldVal="1130"/>
    <row newVal="1651" oldVal="1131"/>
    <row newVal="1652" oldVal="1132"/>
    <row newVal="1653" oldVal="1133"/>
    <row newVal="1654" oldVal="1134"/>
    <row newVal="1655" oldVal="1135"/>
    <row newVal="1656" oldVal="1136"/>
    <row newVal="1657" oldVal="1137"/>
    <row newVal="1658" oldVal="1138"/>
    <row newVal="1659" oldVal="1139"/>
    <row newVal="1660" oldVal="1140"/>
    <row newVal="1661" oldVal="1141"/>
    <row newVal="1662" oldVal="1142"/>
    <row newVal="1663" oldVal="1143"/>
    <row newVal="1664" oldVal="6028"/>
    <row newVal="1665" oldVal="1144"/>
    <row newVal="1666" oldVal="1145"/>
    <row newVal="1667" oldVal="1146"/>
    <row newVal="1668" oldVal="1147"/>
    <row newVal="1669" oldVal="1148"/>
    <row newVal="1670" oldVal="5779"/>
    <row newVal="1671" oldVal="5780"/>
    <row newVal="1672" oldVal="1149"/>
    <row newVal="1673" oldVal="1150"/>
    <row newVal="1674" oldVal="1151"/>
    <row newVal="1675" oldVal="1152"/>
    <row newVal="1676" oldVal="1153"/>
    <row newVal="1677" oldVal="6004"/>
    <row newVal="1678" oldVal="1154"/>
    <row newVal="1679" oldVal="6058"/>
    <row newVal="1680" oldVal="1155"/>
    <row newVal="1681" oldVal="1156"/>
    <row newVal="1682" oldVal="1157"/>
    <row newVal="1683" oldVal="1158"/>
    <row newVal="1684" oldVal="1159"/>
    <row newVal="1685" oldVal="1160"/>
    <row newVal="1686" oldVal="1161"/>
    <row newVal="1687" oldVal="1162"/>
    <row newVal="1688" oldVal="1163"/>
    <row newVal="1689" oldVal="1164"/>
    <row newVal="1690" oldVal="6036"/>
    <row newVal="1691" oldVal="1165"/>
    <row newVal="1692" oldVal="1166"/>
    <row newVal="1693" oldVal="1167"/>
    <row newVal="1694" oldVal="1168"/>
    <row newVal="1695" oldVal="1169"/>
    <row newVal="1696" oldVal="1170"/>
    <row newVal="1697" oldVal="1171"/>
    <row newVal="1698" oldVal="6039"/>
    <row newVal="1699" oldVal="1172"/>
    <row newVal="1700" oldVal="6000"/>
    <row newVal="1701" oldVal="6001"/>
    <row newVal="1702" oldVal="5777"/>
    <row newVal="1703" oldVal="5719"/>
    <row newVal="1704" oldVal="1174"/>
    <row newVal="1705" oldVal="1175"/>
    <row newVal="1706" oldVal="1176"/>
    <row newVal="1707" oldVal="1177"/>
    <row newVal="1708" oldVal="1178"/>
    <row newVal="1709" oldVal="1179"/>
    <row newVal="1710" oldVal="1180"/>
    <row newVal="1711" oldVal="1181"/>
    <row newVal="1712" oldVal="1182"/>
    <row newVal="1713" oldVal="1183"/>
    <row newVal="1714" oldVal="1184"/>
    <row newVal="1715" oldVal="1185"/>
    <row newVal="1716" oldVal="1186"/>
    <row newVal="1717" oldVal="1187"/>
    <row newVal="1718" oldVal="1188"/>
    <row newVal="1719" oldVal="1189"/>
    <row newVal="1720" oldVal="1190"/>
    <row newVal="1721" oldVal="1191"/>
    <row newVal="1722" oldVal="1192"/>
    <row newVal="1723" oldVal="1193"/>
    <row newVal="1724" oldVal="1194"/>
    <row newVal="1725" oldVal="1195"/>
    <row newVal="1726" oldVal="1196"/>
    <row newVal="1727" oldVal="1197"/>
    <row newVal="1728" oldVal="1198"/>
    <row newVal="1729" oldVal="1199"/>
    <row newVal="1730" oldVal="1200"/>
    <row newVal="1731" oldVal="5379"/>
    <row newVal="1732" oldVal="5380"/>
    <row newVal="1733" oldVal="1201"/>
    <row newVal="1734" oldVal="1202"/>
    <row newVal="1735" oldVal="1203"/>
    <row newVal="1736" oldVal="1204"/>
    <row newVal="1737" oldVal="1205"/>
    <row newVal="1738" oldVal="1206"/>
    <row newVal="1739" oldVal="1207"/>
    <row newVal="1740" oldVal="1208"/>
    <row newVal="1741" oldVal="1209"/>
    <row newVal="1742" oldVal="1210"/>
    <row newVal="1743" oldVal="1211"/>
    <row newVal="1744" oldVal="1212"/>
    <row newVal="1745" oldVal="1213"/>
    <row newVal="1746" oldVal="1214"/>
    <row newVal="1747" oldVal="1215"/>
    <row newVal="1748" oldVal="1216"/>
    <row newVal="1749" oldVal="1217"/>
    <row newVal="1750" oldVal="1218"/>
    <row newVal="1751" oldVal="1219"/>
    <row newVal="1752" oldVal="1220"/>
    <row newVal="1753" oldVal="1221"/>
    <row newVal="1754" oldVal="1222"/>
    <row newVal="1755" oldVal="1223"/>
    <row newVal="1756" oldVal="1224"/>
    <row newVal="1757" oldVal="1225"/>
    <row newVal="1758" oldVal="1226"/>
    <row newVal="1759" oldVal="1227"/>
    <row newVal="1760" oldVal="1228"/>
    <row newVal="1761" oldVal="1229"/>
    <row newVal="1762" oldVal="1230"/>
    <row newVal="1763" oldVal="1231"/>
    <row newVal="1764" oldVal="1232"/>
    <row newVal="1765" oldVal="1233"/>
    <row newVal="1766" oldVal="1234"/>
    <row newVal="1767" oldVal="1235"/>
    <row newVal="1768" oldVal="1236"/>
    <row newVal="1769" oldVal="1237"/>
    <row newVal="1770" oldVal="1238"/>
    <row newVal="1771" oldVal="1239"/>
    <row newVal="1772" oldVal="1240"/>
    <row newVal="1773" oldVal="1241"/>
    <row newVal="1774" oldVal="1242"/>
    <row newVal="1775" oldVal="1243"/>
    <row newVal="1776" oldVal="1244"/>
    <row newVal="1777" oldVal="1245"/>
    <row newVal="1778" oldVal="1246"/>
    <row newVal="1779" oldVal="1247"/>
    <row newVal="1780" oldVal="1248"/>
    <row newVal="1781" oldVal="1249"/>
    <row newVal="1782" oldVal="1250"/>
    <row newVal="1783" oldVal="1251"/>
    <row newVal="1784" oldVal="1252"/>
    <row newVal="1785" oldVal="1253"/>
    <row newVal="1786" oldVal="1254"/>
    <row newVal="1787" oldVal="1255"/>
    <row newVal="1788" oldVal="1256"/>
    <row newVal="1789" oldVal="1257"/>
    <row newVal="1790" oldVal="1258"/>
    <row newVal="1791" oldVal="1259"/>
    <row newVal="1792" oldVal="1260"/>
    <row newVal="1793" oldVal="1261"/>
    <row newVal="1794" oldVal="1262"/>
    <row newVal="1795" oldVal="1263"/>
    <row newVal="1796" oldVal="1264"/>
    <row newVal="1797" oldVal="1265"/>
    <row newVal="1798" oldVal="1266"/>
    <row newVal="1799" oldVal="1267"/>
    <row newVal="1800" oldVal="1268"/>
    <row newVal="1801" oldVal="1269"/>
    <row newVal="1802" oldVal="1270"/>
    <row newVal="1803" oldVal="1271"/>
    <row newVal="1804" oldVal="1272"/>
    <row newVal="1805" oldVal="1273"/>
    <row newVal="1806" oldVal="1274"/>
    <row newVal="1807" oldVal="1275"/>
    <row newVal="1808" oldVal="1276"/>
    <row newVal="1809" oldVal="1277"/>
    <row newVal="1810" oldVal="1278"/>
    <row newVal="1811" oldVal="1279"/>
    <row newVal="1812" oldVal="1280"/>
    <row newVal="1813" oldVal="1281"/>
    <row newVal="1814" oldVal="1282"/>
    <row newVal="1815" oldVal="1283"/>
    <row newVal="1816" oldVal="1284"/>
    <row newVal="1817" oldVal="1285"/>
    <row newVal="1818" oldVal="1286"/>
    <row newVal="1819" oldVal="1287"/>
    <row newVal="1820" oldVal="1288"/>
    <row newVal="1821" oldVal="1289"/>
    <row newVal="1822" oldVal="1290"/>
    <row newVal="1823" oldVal="1291"/>
    <row newVal="1824" oldVal="1292"/>
    <row newVal="1825" oldVal="1293"/>
    <row newVal="1826" oldVal="1294"/>
    <row newVal="1827" oldVal="1295"/>
    <row newVal="1828" oldVal="1296"/>
    <row newVal="1829" oldVal="1297"/>
    <row newVal="1830" oldVal="1298"/>
    <row newVal="1831" oldVal="1299"/>
    <row newVal="1832" oldVal="1300"/>
    <row newVal="1833" oldVal="1301"/>
    <row newVal="1834" oldVal="1302"/>
    <row newVal="1835" oldVal="1303"/>
    <row newVal="1836" oldVal="1304"/>
    <row newVal="1837" oldVal="1305"/>
    <row newVal="1838" oldVal="1306"/>
    <row newVal="1839" oldVal="1307"/>
    <row newVal="1840" oldVal="1308"/>
    <row newVal="1841" oldVal="1309"/>
    <row newVal="1842" oldVal="1310"/>
    <row newVal="1843" oldVal="1311"/>
    <row newVal="1844" oldVal="1312"/>
    <row newVal="1845" oldVal="1313"/>
    <row newVal="1846" oldVal="1314"/>
    <row newVal="1847" oldVal="1315"/>
    <row newVal="1848" oldVal="1316"/>
    <row newVal="1849" oldVal="1317"/>
    <row newVal="1850" oldVal="1318"/>
    <row newVal="1851" oldVal="1319"/>
    <row newVal="1852" oldVal="1320"/>
    <row newVal="1853" oldVal="6371"/>
    <row newVal="1854" oldVal="1321"/>
    <row newVal="1855" oldVal="1322"/>
    <row newVal="1856" oldVal="6372"/>
    <row newVal="1857" oldVal="1323"/>
    <row newVal="1858" oldVal="1324"/>
    <row newVal="1859" oldVal="1325"/>
    <row newVal="1860" oldVal="1326"/>
    <row newVal="1861" oldVal="1327"/>
    <row newVal="1862" oldVal="1328"/>
    <row newVal="1863" oldVal="1329"/>
    <row newVal="1864" oldVal="1330"/>
    <row newVal="1865" oldVal="1331"/>
    <row newVal="1866" oldVal="1332"/>
    <row newVal="1867" oldVal="1333"/>
    <row newVal="1868" oldVal="1334"/>
    <row newVal="1869" oldVal="1335"/>
    <row newVal="1870" oldVal="1336"/>
    <row newVal="1871" oldVal="1337"/>
    <row newVal="1872" oldVal="1338"/>
    <row newVal="1873" oldVal="1339"/>
    <row newVal="1874" oldVal="1340"/>
    <row newVal="1875" oldVal="1341"/>
    <row newVal="1876" oldVal="1342"/>
    <row newVal="1877" oldVal="1343"/>
    <row newVal="1878" oldVal="1344"/>
    <row newVal="1879" oldVal="1345"/>
    <row newVal="1880" oldVal="1346"/>
    <row newVal="1881" oldVal="1347"/>
    <row newVal="1882" oldVal="1348"/>
    <row newVal="1883" oldVal="1349"/>
    <row newVal="1884" oldVal="1350"/>
    <row newVal="1885" oldVal="5781"/>
    <row newVal="1886" oldVal="5782"/>
    <row newVal="1887" oldVal="1351"/>
    <row newVal="1888" oldVal="1352"/>
    <row newVal="1889" oldVal="1353"/>
    <row newVal="1890" oldVal="1354"/>
    <row newVal="1891" oldVal="1355"/>
    <row newVal="1892" oldVal="1356"/>
    <row newVal="1893" oldVal="1357"/>
    <row newVal="1894" oldVal="1358"/>
    <row newVal="1895" oldVal="1359"/>
    <row newVal="1896" oldVal="1360"/>
    <row newVal="1897" oldVal="1361"/>
    <row newVal="1898" oldVal="1362"/>
    <row newVal="1899" oldVal="1363"/>
    <row newVal="1900" oldVal="1364"/>
    <row newVal="1901" oldVal="1365"/>
    <row newVal="1902" oldVal="1366"/>
    <row newVal="1903" oldVal="5381"/>
    <row newVal="1904" oldVal="5382"/>
    <row newVal="1905" oldVal="5598"/>
    <row newVal="1906" oldVal="5383"/>
    <row newVal="1907" oldVal="5384"/>
    <row newVal="1908" oldVal="5385"/>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6081"/>
    <row newVal="1921" oldVal="6082"/>
    <row newVal="1922" oldVal="6083"/>
    <row newVal="1923" oldVal="6084"/>
    <row newVal="1924" oldVal="6085"/>
    <row newVal="1925" oldVal="6086"/>
    <row newVal="1926" oldVal="6087"/>
    <row newVal="1927" oldVal="6088"/>
    <row newVal="1928" oldVal="6089"/>
    <row newVal="1929" oldVal="6090"/>
    <row newVal="1930" oldVal="6091"/>
    <row newVal="1931" oldVal="6093"/>
    <row newVal="1932" oldVal="1378"/>
    <row newVal="1933" oldVal="1379"/>
    <row newVal="1934" oldVal="1380"/>
    <row newVal="1935" oldVal="1381"/>
    <row newVal="1936" oldVal="1382"/>
    <row newVal="1937" oldVal="1383"/>
    <row newVal="1938" oldVal="1384"/>
    <row newVal="1939" oldVal="1385"/>
    <row newVal="1940" oldVal="1386"/>
    <row newVal="1941" oldVal="1387"/>
    <row newVal="1942" oldVal="1388"/>
    <row newVal="1943" oldVal="1389"/>
    <row newVal="1944" oldVal="1390"/>
    <row newVal="1945" oldVal="1391"/>
    <row newVal="1946" oldVal="1392"/>
    <row newVal="1947" oldVal="1393"/>
    <row newVal="1948" oldVal="1394"/>
    <row newVal="1949" oldVal="1395"/>
    <row newVal="1950" oldVal="1396"/>
    <row newVal="1951" oldVal="1397"/>
    <row newVal="1952" oldVal="1398"/>
    <row newVal="1953" oldVal="1399"/>
    <row newVal="1954" oldVal="1400"/>
    <row newVal="1955" oldVal="1401"/>
    <row newVal="1956" oldVal="1402"/>
    <row newVal="1957" oldVal="1403"/>
    <row newVal="1958" oldVal="1404"/>
    <row newVal="1959" oldVal="1405"/>
    <row newVal="1960" oldVal="1406"/>
    <row newVal="1961" oldVal="1407"/>
    <row newVal="1962" oldVal="1408"/>
    <row newVal="1963" oldVal="1409"/>
    <row newVal="1964" oldVal="1410"/>
    <row newVal="1965" oldVal="1411"/>
    <row newVal="1966" oldVal="1412"/>
    <row newVal="1967" oldVal="1413"/>
    <row newVal="1968" oldVal="1414"/>
    <row newVal="1969" oldVal="1415"/>
    <row newVal="1970" oldVal="1416"/>
    <row newVal="1971" oldVal="1417"/>
    <row newVal="1972" oldVal="1418"/>
    <row newVal="1973" oldVal="1419"/>
    <row newVal="1974" oldVal="1420"/>
    <row newVal="1975" oldVal="1421"/>
    <row newVal="1976" oldVal="1422"/>
    <row newVal="1977" oldVal="1423"/>
    <row newVal="1978" oldVal="6373"/>
    <row newVal="1979" oldVal="1424"/>
    <row newVal="1980" oldVal="1425"/>
    <row newVal="1981" oldVal="1426"/>
    <row newVal="1982" oldVal="1427"/>
    <row newVal="1983" oldVal="1428"/>
    <row newVal="1984" oldVal="1429"/>
    <row newVal="1985" oldVal="1430"/>
    <row newVal="1986" oldVal="1431"/>
    <row newVal="1987" oldVal="1432"/>
    <row newVal="1988" oldVal="1433"/>
    <row newVal="1989" oldVal="1434"/>
    <row newVal="1990" oldVal="1435"/>
    <row newVal="1991" oldVal="1436"/>
    <row newVal="1992" oldVal="1437"/>
    <row newVal="1993" oldVal="1438"/>
    <row newVal="1994" oldVal="1439"/>
    <row newVal="1995" oldVal="1440"/>
    <row newVal="1996" oldVal="1441"/>
    <row newVal="1997" oldVal="1442"/>
    <row newVal="1998" oldVal="1443"/>
    <row newVal="1999" oldVal="1444"/>
    <row newVal="2000" oldVal="1445"/>
    <row newVal="2001" oldVal="1446"/>
    <row newVal="2002" oldVal="1447"/>
    <row newVal="2003" oldVal="1448"/>
    <row newVal="2004" oldVal="1449"/>
    <row newVal="2005" oldVal="1450"/>
    <row newVal="2006" oldVal="1451"/>
    <row newVal="2007" oldVal="1452"/>
    <row newVal="2008" oldVal="1453"/>
    <row newVal="2009" oldVal="1454"/>
    <row newVal="2010" oldVal="1455"/>
    <row newVal="2011" oldVal="1456"/>
    <row newVal="2012" oldVal="1457"/>
    <row newVal="2013" oldVal="1458"/>
    <row newVal="2014" oldVal="1459"/>
    <row newVal="2015" oldVal="1460"/>
    <row newVal="2016" oldVal="1461"/>
    <row newVal="2017" oldVal="1463"/>
    <row newVal="2018" oldVal="1464"/>
    <row newVal="2019" oldVal="1465"/>
    <row newVal="2020" oldVal="1466"/>
    <row newVal="2021" oldVal="1467"/>
    <row newVal="2022" oldVal="1468"/>
    <row newVal="2023" oldVal="1469"/>
    <row newVal="2024" oldVal="1470"/>
    <row newVal="2025" oldVal="1471"/>
    <row newVal="2026" oldVal="1472"/>
    <row newVal="2027" oldVal="1473"/>
    <row newVal="2028" oldVal="1474"/>
    <row newVal="2029" oldVal="5386"/>
    <row newVal="2030" oldVal="1475"/>
    <row newVal="2031" oldVal="6374"/>
    <row newVal="2032" oldVal="1476"/>
    <row newVal="2033" oldVal="1477"/>
    <row newVal="2034" oldVal="1479"/>
    <row newVal="2035" oldVal="1478"/>
    <row newVal="2036" oldVal="1462"/>
    <row newVal="2037" oldVal="1480"/>
    <row newVal="2038" oldVal="1481"/>
    <row newVal="2039" oldVal="1482"/>
    <row newVal="2040" oldVal="1483"/>
    <row newVal="2041" oldVal="1484"/>
    <row newVal="2042" oldVal="1485"/>
    <row newVal="2043" oldVal="1486"/>
    <row newVal="2044" oldVal="1487"/>
    <row newVal="2045" oldVal="1488"/>
    <row newVal="2046" oldVal="1489"/>
    <row newVal="2047" oldVal="1490"/>
    <row newVal="2048" oldVal="1491"/>
    <row newVal="2049" oldVal="1492"/>
    <row newVal="2050" oldVal="1493"/>
    <row newVal="2051" oldVal="1494"/>
    <row newVal="2052" oldVal="1495"/>
    <row newVal="2053" oldVal="1496"/>
    <row newVal="2054" oldVal="1497"/>
    <row newVal="2055" oldVal="1498"/>
    <row newVal="2056" oldVal="1499"/>
    <row newVal="2057" oldVal="1500"/>
    <row newVal="2058" oldVal="1501"/>
    <row newVal="2059" oldVal="1502"/>
    <row newVal="2060" oldVal="1503"/>
    <row newVal="2061" oldVal="1504"/>
    <row newVal="2062" oldVal="1505"/>
    <row newVal="2063" oldVal="1506"/>
    <row newVal="2064" oldVal="1507"/>
    <row newVal="2065" oldVal="1508"/>
    <row newVal="2066" oldVal="1509"/>
    <row newVal="2067" oldVal="1510"/>
    <row newVal="2068" oldVal="1511"/>
    <row newVal="2069" oldVal="1512"/>
    <row newVal="2070" oldVal="1513"/>
    <row newVal="2071" oldVal="1514"/>
    <row newVal="2072" oldVal="1515"/>
    <row newVal="2073" oldVal="1516"/>
    <row newVal="2074" oldVal="1517"/>
    <row newVal="2075" oldVal="1518"/>
    <row newVal="2076" oldVal="5783"/>
    <row newVal="2077" oldVal="5784"/>
    <row newVal="2078" oldVal="6005"/>
    <row newVal="2079" oldVal="5785"/>
    <row newVal="2080" oldVal="5786"/>
    <row newVal="2081" oldVal="5787"/>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1531"/>
    <row newVal="2095" oldVal="1532"/>
    <row newVal="2096" oldVal="1533"/>
    <row newVal="2097" oldVal="1534"/>
    <row newVal="2098" oldVal="1535"/>
    <row newVal="2099" oldVal="1536"/>
    <row newVal="2100" oldVal="1537"/>
    <row newVal="2101" oldVal="1538"/>
    <row newVal="2102" oldVal="1539"/>
    <row newVal="2103" oldVal="1540"/>
    <row newVal="2104" oldVal="1541"/>
    <row newVal="2105" oldVal="1542"/>
    <row newVal="2106" oldVal="1543"/>
    <row newVal="2107" oldVal="1544"/>
    <row newVal="2108" oldVal="1545"/>
    <row newVal="2109" oldVal="1546"/>
    <row newVal="2110" oldVal="1547"/>
    <row newVal="2111" oldVal="5633"/>
    <row newVal="2112" oldVal="1548"/>
    <row newVal="2113" oldVal="1549"/>
    <row newVal="2114" oldVal="1550"/>
    <row newVal="2115" oldVal="1551"/>
    <row newVal="2116" oldVal="1552"/>
    <row newVal="2117" oldVal="1553"/>
    <row newVal="2118" oldVal="1554"/>
    <row newVal="2119" oldVal="1555"/>
    <row newVal="2120" oldVal="1556"/>
    <row newVal="2121" oldVal="1557"/>
    <row newVal="2122" oldVal="1558"/>
    <row newVal="2123" oldVal="1559"/>
    <row newVal="2124" oldVal="1560"/>
    <row newVal="2125" oldVal="1561"/>
    <row newVal="2126" oldVal="1562"/>
    <row newVal="2127" oldVal="1563"/>
    <row newVal="2128" oldVal="1564"/>
    <row newVal="2129" oldVal="1565"/>
    <row newVal="2130" oldVal="1566"/>
    <row newVal="2131" oldVal="1567"/>
    <row newVal="2132" oldVal="1568"/>
    <row newVal="2133" oldVal="1569"/>
    <row newVal="2134" oldVal="1570"/>
    <row newVal="2135" oldVal="1571"/>
    <row newVal="2136" oldVal="1572"/>
    <row newVal="2137" oldVal="1573"/>
    <row newVal="2138" oldVal="1574"/>
    <row newVal="2139" oldVal="1575"/>
    <row newVal="2140" oldVal="1576"/>
    <row newVal="2141" oldVal="1577"/>
    <row newVal="2142" oldVal="1578"/>
    <row newVal="2143" oldVal="1579"/>
    <row newVal="2144" oldVal="1580"/>
    <row newVal="2145" oldVal="1581"/>
    <row newVal="2146" oldVal="1582"/>
    <row newVal="2147" oldVal="1583"/>
    <row newVal="2148" oldVal="1584"/>
    <row newVal="2149" oldVal="1585"/>
    <row newVal="2150" oldVal="1586"/>
    <row newVal="2151" oldVal="1587"/>
    <row newVal="2152" oldVal="1588"/>
    <row newVal="2153" oldVal="1589"/>
    <row newVal="2154" oldVal="1590"/>
    <row newVal="2155" oldVal="1591"/>
    <row newVal="2156" oldVal="1592"/>
    <row newVal="2157" oldVal="1593"/>
    <row newVal="2158" oldVal="1594"/>
    <row newVal="2159" oldVal="6375"/>
    <row newVal="2160" oldVal="1595"/>
    <row newVal="2161" oldVal="1596"/>
    <row newVal="2162" oldVal="1597"/>
    <row newVal="2163" oldVal="1598"/>
    <row newVal="2164" oldVal="1599"/>
    <row newVal="2165" oldVal="1600"/>
    <row newVal="2166" oldVal="6376"/>
    <row newVal="2167" oldVal="1601"/>
    <row newVal="2168" oldVal="1602"/>
    <row newVal="2169" oldVal="1603"/>
    <row newVal="2170" oldVal="6377"/>
    <row newVal="2171" oldVal="6378"/>
    <row newVal="2172" oldVal="1604"/>
    <row newVal="2173" oldVal="6379"/>
    <row newVal="2174" oldVal="6380"/>
    <row newVal="2175" oldVal="6381"/>
    <row newVal="2176" oldVal="1605"/>
    <row newVal="2177" oldVal="6382"/>
    <row newVal="2178" oldVal="1606"/>
    <row newVal="2179" oldVal="1607"/>
    <row newVal="2180" oldVal="1608"/>
    <row newVal="2181" oldVal="1609"/>
    <row newVal="2182" oldVal="1610"/>
    <row newVal="2183" oldVal="1611"/>
    <row newVal="2184" oldVal="1612"/>
    <row newVal="2185" oldVal="1613"/>
    <row newVal="2186" oldVal="1615"/>
    <row newVal="2187" oldVal="1616"/>
    <row newVal="2188" oldVal="1617"/>
    <row newVal="2189" oldVal="1618"/>
    <row newVal="2190" oldVal="1619"/>
    <row newVal="2191" oldVal="1620"/>
    <row newVal="2192" oldVal="6383"/>
    <row newVal="2193" oldVal="5671"/>
    <row newVal="2194" oldVal="6384"/>
    <row newVal="2195" oldVal="5672"/>
    <row newVal="2196" oldVal="6385"/>
    <row newVal="2197" oldVal="5673"/>
    <row newVal="2198" oldVal="1621"/>
    <row newVal="2199" oldVal="1622"/>
    <row newVal="2200" oldVal="1623"/>
    <row newVal="2201" oldVal="1624"/>
    <row newVal="2202" oldVal="1625"/>
    <row newVal="2203" oldVal="1626"/>
    <row newVal="2204" oldVal="5788"/>
    <row newVal="2205" oldVal="1627"/>
    <row newVal="2206" oldVal="6386"/>
    <row newVal="2207" oldVal="1628"/>
    <row newVal="2208" oldVal="1629"/>
    <row newVal="2209" oldVal="1631"/>
    <row newVal="2210" oldVal="1630"/>
    <row newVal="2211" oldVal="1614"/>
    <row newVal="2212" oldVal="1632"/>
    <row newVal="2213" oldVal="1633"/>
    <row newVal="2214" oldVal="1634"/>
    <row newVal="2215" oldVal="1635"/>
    <row newVal="2216" oldVal="1636"/>
    <row newVal="2217" oldVal="1637"/>
    <row newVal="2218" oldVal="1638"/>
    <row newVal="2219" oldVal="1639"/>
    <row newVal="2220" oldVal="1640"/>
    <row newVal="2221" oldVal="1641"/>
    <row newVal="2222" oldVal="1642"/>
    <row newVal="2223" oldVal="1643"/>
    <row newVal="2224" oldVal="1644"/>
    <row newVal="2225" oldVal="1645"/>
    <row newVal="2226" oldVal="1646"/>
    <row newVal="2227" oldVal="1647"/>
    <row newVal="2228" oldVal="1648"/>
    <row newVal="2229" oldVal="1649"/>
    <row newVal="2230" oldVal="1650"/>
    <row newVal="2231" oldVal="1651"/>
    <row newVal="2232" oldVal="1652"/>
    <row newVal="2233" oldVal="1653"/>
    <row newVal="2234" oldVal="1654"/>
    <row newVal="2235" oldVal="1655"/>
    <row newVal="2236" oldVal="1656"/>
    <row newVal="2237" oldVal="1657"/>
    <row newVal="2238" oldVal="1658"/>
    <row newVal="2239" oldVal="1659"/>
    <row newVal="2240" oldVal="1660"/>
    <row newVal="2241" oldVal="1661"/>
    <row newVal="2242" oldVal="1662"/>
    <row newVal="2243" oldVal="1663"/>
    <row newVal="2244" oldVal="1664"/>
    <row newVal="2245" oldVal="1665"/>
    <row newVal="2246" oldVal="1666"/>
    <row newVal="2247" oldVal="1667"/>
    <row newVal="2248" oldVal="1668"/>
    <row newVal="2249" oldVal="1669"/>
    <row newVal="2250" oldVal="1670"/>
    <row newVal="2251" oldVal="1671"/>
    <row newVal="2252" oldVal="1672"/>
    <row newVal="2253" oldVal="1673"/>
    <row newVal="2254" oldVal="1674"/>
    <row newVal="2255" oldVal="6387"/>
    <row newVal="2256" oldVal="1675"/>
    <row newVal="2257" oldVal="1676"/>
    <row newVal="2258" oldVal="1677"/>
    <row newVal="2259" oldVal="1678"/>
    <row newVal="2260" oldVal="1679"/>
    <row newVal="2261" oldVal="1680"/>
    <row newVal="2262" oldVal="1681"/>
    <row newVal="2263" oldVal="1682"/>
    <row newVal="2264" oldVal="1683"/>
    <row newVal="2265" oldVal="1684"/>
    <row newVal="2266" oldVal="1685"/>
    <row newVal="2267" oldVal="1686"/>
    <row newVal="2268" oldVal="1687"/>
    <row newVal="2269" oldVal="1688"/>
    <row newVal="2270" oldVal="1689"/>
    <row newVal="2271" oldVal="1690"/>
    <row newVal="2272" oldVal="1691"/>
    <row newVal="2273" oldVal="1692"/>
    <row newVal="2274" oldVal="1693"/>
    <row newVal="2275" oldVal="1694"/>
    <row newVal="2276" oldVal="1695"/>
    <row newVal="2277" oldVal="1696"/>
    <row newVal="2278" oldVal="1697"/>
    <row newVal="2279" oldVal="1698"/>
    <row newVal="2280" oldVal="1699"/>
    <row newVal="2281" oldVal="1700"/>
    <row newVal="2282" oldVal="1701"/>
    <row newVal="2283" oldVal="1702"/>
    <row newVal="2284" oldVal="1703"/>
    <row newVal="2285" oldVal="1704"/>
    <row newVal="2286" oldVal="1705"/>
    <row newVal="2287" oldVal="6040"/>
    <row newVal="2288" oldVal="1706"/>
    <row newVal="2289" oldVal="6388"/>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1722"/>
    <row newVal="2306" oldVal="1723"/>
    <row newVal="2307" oldVal="1724"/>
    <row newVal="2308" oldVal="1725"/>
    <row newVal="2309" oldVal="1726"/>
    <row newVal="2310" oldVal="1727"/>
    <row newVal="2311" oldVal="1728"/>
    <row newVal="2312" oldVal="1729"/>
    <row newVal="2313" oldVal="1730"/>
    <row newVal="2314" oldVal="1731"/>
    <row newVal="2315" oldVal="1732"/>
    <row newVal="2316" oldVal="1733"/>
    <row newVal="2317" oldVal="1734"/>
    <row newVal="2318" oldVal="1735"/>
    <row newVal="2319" oldVal="1736"/>
    <row newVal="2320" oldVal="5387"/>
    <row newVal="2321" oldVal="1737"/>
    <row newVal="2322" oldVal="1738"/>
    <row newVal="2323" oldVal="1739"/>
    <row newVal="2324" oldVal="1740"/>
    <row newVal="2325" oldVal="1741"/>
    <row newVal="2326" oldVal="1742"/>
    <row newVal="2327" oldVal="1743"/>
    <row newVal="2328" oldVal="1744"/>
    <row newVal="2329" oldVal="1745"/>
    <row newVal="2330" oldVal="1746"/>
    <row newVal="2331" oldVal="1747"/>
    <row newVal="2332" oldVal="1748"/>
    <row newVal="2333" oldVal="1749"/>
    <row newVal="2334" oldVal="1750"/>
    <row newVal="2335" oldVal="1751"/>
    <row newVal="2336" oldVal="1752"/>
    <row newVal="2337" oldVal="1753"/>
    <row newVal="2338" oldVal="1754"/>
    <row newVal="2339" oldVal="1755"/>
    <row newVal="2340" oldVal="1756"/>
    <row newVal="2341" oldVal="1757"/>
    <row newVal="2342" oldVal="1758"/>
    <row newVal="2343" oldVal="1759"/>
    <row newVal="2344" oldVal="6389"/>
    <row newVal="2345" oldVal="6390"/>
    <row newVal="2346" oldVal="6391"/>
    <row newVal="2347" oldVal="6392"/>
    <row newVal="2348" oldVal="6393"/>
    <row newVal="2349" oldVal="6394"/>
    <row newVal="2350" oldVal="6395"/>
    <row newVal="2351" oldVal="6396"/>
    <row newVal="2352" oldVal="1760"/>
    <row newVal="2353" oldVal="1761"/>
    <row newVal="2354" oldVal="6397"/>
    <row newVal="2355" oldVal="6398"/>
    <row newVal="2356" oldVal="1762"/>
    <row newVal="2357" oldVal="1763"/>
    <row newVal="2358" oldVal="1764"/>
    <row newVal="2359" oldVal="1765"/>
    <row newVal="2360" oldVal="1766"/>
    <row newVal="2361" oldVal="6399"/>
    <row newVal="2362" oldVal="6400"/>
    <row newVal="2363" oldVal="1767"/>
    <row newVal="2364" oldVal="1768"/>
    <row newVal="2365" oldVal="1769"/>
    <row newVal="2366" oldVal="1770"/>
    <row newVal="2367" oldVal="1771"/>
    <row newVal="2368" oldVal="1772"/>
    <row newVal="2369" oldVal="1773"/>
    <row newVal="2370" oldVal="1774"/>
    <row newVal="2371" oldVal="1775"/>
    <row newVal="2372" oldVal="1776"/>
    <row newVal="2373" oldVal="1777"/>
    <row newVal="2374" oldVal="6078"/>
    <row newVal="2375" oldVal="6079"/>
    <row newVal="2376" oldVal="6080"/>
    <row newVal="2377" oldVal="1778"/>
    <row newVal="2378" oldVal="1779"/>
    <row newVal="2379" oldVal="1780"/>
    <row newVal="2380" oldVal="1781"/>
    <row newVal="2381" oldVal="1782"/>
    <row newVal="2382" oldVal="1783"/>
    <row newVal="2383" oldVal="1784"/>
    <row newVal="2384" oldVal="1785"/>
    <row newVal="2385" oldVal="1786"/>
    <row newVal="2386" oldVal="6401"/>
    <row newVal="2387" oldVal="6402"/>
    <row newVal="2388" oldVal="6403"/>
    <row newVal="2389" oldVal="6404"/>
    <row newVal="2390" oldVal="6405"/>
    <row newVal="2391" oldVal="6406"/>
    <row newVal="2392" oldVal="6407"/>
    <row newVal="2393" oldVal="6411"/>
    <row newVal="2394" oldVal="6412"/>
    <row newVal="2395" oldVal="6413"/>
    <row newVal="2396" oldVal="6414"/>
    <row newVal="2397" oldVal="1787"/>
    <row newVal="2398" oldVal="1788"/>
    <row newVal="2399" oldVal="5604"/>
    <row newVal="2400" oldVal="1789"/>
    <row newVal="2401" oldVal="1790"/>
    <row newVal="2402" oldVal="1791"/>
    <row newVal="2403" oldVal="6121"/>
    <row newVal="2404" oldVal="6122"/>
    <row newVal="2405" oldVal="6123"/>
    <row newVal="2406" oldVal="6415"/>
    <row newVal="2407" oldVal="6416"/>
    <row newVal="2408" oldVal="6417"/>
    <row newVal="2409" oldVal="6418"/>
    <row newVal="2410" oldVal="6419"/>
    <row newVal="2411" oldVal="6151"/>
    <row newVal="2412" oldVal="6420"/>
    <row newVal="2413" oldVal="6421"/>
    <row newVal="2414" oldVal="6422"/>
    <row newVal="2415" oldVal="6423"/>
    <row newVal="2416" oldVal="1792"/>
    <row newVal="2417" oldVal="1793"/>
    <row newVal="2418" oldVal="5388"/>
    <row newVal="2419" oldVal="6114"/>
    <row newVal="2420" oldVal="6115"/>
    <row newVal="2421" oldVal="1794"/>
    <row newVal="2422" oldVal="1795"/>
    <row newVal="2423" oldVal="1796"/>
    <row newVal="2424" oldVal="1797"/>
    <row newVal="2425" oldVal="1798"/>
    <row newVal="2426" oldVal="1799"/>
    <row newVal="2427" oldVal="1800"/>
    <row newVal="2428" oldVal="1801"/>
    <row newVal="2429" oldVal="1802"/>
    <row newVal="2430" oldVal="1803"/>
    <row newVal="2431" oldVal="1804"/>
    <row newVal="2432" oldVal="1805"/>
    <row newVal="2433" oldVal="1806"/>
    <row newVal="2434" oldVal="1807"/>
    <row newVal="2435" oldVal="1808"/>
    <row newVal="2436" oldVal="1809"/>
    <row newVal="2437" oldVal="1810"/>
    <row newVal="2438" oldVal="1811"/>
    <row newVal="2439" oldVal="1812"/>
    <row newVal="2440" oldVal="1813"/>
    <row newVal="2441" oldVal="1814"/>
    <row newVal="2442" oldVal="1815"/>
    <row newVal="2443" oldVal="1816"/>
    <row newVal="2444" oldVal="1817"/>
    <row newVal="2445" oldVal="1818"/>
    <row newVal="2446" oldVal="1819"/>
    <row newVal="2447" oldVal="1820"/>
    <row newVal="2448" oldVal="1821"/>
    <row newVal="2449" oldVal="1822"/>
    <row newVal="2450" oldVal="6424"/>
    <row newVal="2451" oldVal="5281"/>
    <row newVal="2452" oldVal="6425"/>
    <row newVal="2453" oldVal="1823"/>
    <row newVal="2454" oldVal="5389"/>
    <row newVal="2455" oldVal="1824"/>
    <row newVal="2456" oldVal="1825"/>
    <row newVal="2457" oldVal="1826"/>
    <row newVal="2458" oldVal="1827"/>
    <row newVal="2459" oldVal="1828"/>
    <row newVal="2460" oldVal="1829"/>
    <row newVal="2461" oldVal="1830"/>
    <row newVal="2462" oldVal="1831"/>
    <row newVal="2463" oldVal="6426"/>
    <row newVal="2464" oldVal="6427"/>
    <row newVal="2465" oldVal="6428"/>
    <row newVal="2466" oldVal="6429"/>
    <row newVal="2467" oldVal="5390"/>
    <row newVal="2468" oldVal="5391"/>
    <row newVal="2469" oldVal="5392"/>
    <row newVal="2470" oldVal="5393"/>
    <row newVal="2471" oldVal="5394"/>
    <row newVal="2472" oldVal="5395"/>
    <row newVal="2473" oldVal="5396"/>
    <row newVal="2474" oldVal="5397"/>
    <row newVal="2475" oldVal="5398"/>
    <row newVal="2476" oldVal="5399"/>
    <row newVal="2477" oldVal="5400"/>
    <row newVal="2478" oldVal="5401"/>
    <row newVal="2479" oldVal="5402"/>
    <row newVal="2480" oldVal="5403"/>
    <row newVal="2481" oldVal="5404"/>
    <row newVal="2482" oldVal="1832"/>
    <row newVal="2483" oldVal="1833"/>
    <row newVal="2484" oldVal="1834"/>
    <row newVal="2485" oldVal="1835"/>
    <row newVal="2486" oldVal="1836"/>
    <row newVal="2487" oldVal="5405"/>
    <row newVal="2488" oldVal="5406"/>
    <row newVal="2489" oldVal="5407"/>
    <row newVal="2490" oldVal="1837"/>
    <row newVal="2491" oldVal="1838"/>
    <row newVal="2492" oldVal="1839"/>
    <row newVal="2493" oldVal="1840"/>
    <row newVal="2494" oldVal="1841"/>
    <row newVal="2495" oldVal="1842"/>
    <row newVal="2496" oldVal="1843"/>
    <row newVal="2497" oldVal="1844"/>
    <row newVal="2498" oldVal="5303"/>
    <row newVal="2499" oldVal="1845"/>
    <row newVal="2500" oldVal="1846"/>
    <row newVal="2501" oldVal="1847"/>
    <row newVal="2502" oldVal="1848"/>
    <row newVal="2503" oldVal="1849"/>
    <row newVal="2504" oldVal="1850"/>
    <row newVal="2505" oldVal="1851"/>
    <row newVal="2506" oldVal="1852"/>
    <row newVal="2507" oldVal="1853"/>
    <row newVal="2508" oldVal="1854"/>
    <row newVal="2509" oldVal="1855"/>
    <row newVal="2510" oldVal="1856"/>
    <row newVal="2511" oldVal="5408"/>
    <row newVal="2512" oldVal="1857"/>
    <row newVal="2513" oldVal="1858"/>
    <row newVal="2514" oldVal="1859"/>
    <row newVal="2515" oldVal="5613"/>
    <row newVal="2516" oldVal="1860"/>
    <row newVal="2517" oldVal="1861"/>
    <row newVal="2518" oldVal="1862"/>
    <row newVal="2519" oldVal="1863"/>
    <row newVal="2520" oldVal="1864"/>
    <row newVal="2521" oldVal="6430"/>
    <row newVal="2522" oldVal="1865"/>
    <row newVal="2523" oldVal="1866"/>
    <row newVal="2524" oldVal="1867"/>
    <row newVal="2525" oldVal="1868"/>
    <row newVal="2526" oldVal="1869"/>
    <row newVal="2527" oldVal="1870"/>
    <row newVal="2528" oldVal="1871"/>
    <row newVal="2529" oldVal="1872"/>
    <row newVal="2530" oldVal="1873"/>
    <row newVal="2531" oldVal="1874"/>
    <row newVal="2532" oldVal="1875"/>
    <row newVal="2533" oldVal="1876"/>
    <row newVal="2534" oldVal="1877"/>
    <row newVal="2535" oldVal="6431"/>
    <row newVal="2536" oldVal="1878"/>
    <row newVal="2537" oldVal="1879"/>
    <row newVal="2538" oldVal="1880"/>
    <row newVal="2539" oldVal="1881"/>
    <row newVal="2540" oldVal="1882"/>
    <row newVal="2541" oldVal="1883"/>
    <row newVal="2542" oldVal="1884"/>
    <row newVal="2543" oldVal="1885"/>
    <row newVal="2544" oldVal="1886"/>
    <row newVal="2545" oldVal="1887"/>
    <row newVal="2546" oldVal="1888"/>
    <row newVal="2547" oldVal="1889"/>
    <row newVal="2548" oldVal="1890"/>
    <row newVal="2549" oldVal="5409"/>
    <row newVal="2550" oldVal="1891"/>
    <row newVal="2551" oldVal="1892"/>
    <row newVal="2552" oldVal="1893"/>
    <row newVal="2553" oldVal="1894"/>
    <row newVal="2554" oldVal="1895"/>
    <row newVal="2555" oldVal="1896"/>
    <row newVal="2556" oldVal="5789"/>
    <row newVal="2557" oldVal="1897"/>
    <row newVal="2558" oldVal="1898"/>
    <row newVal="2559" oldVal="1899"/>
    <row newVal="2560" oldVal="1900"/>
    <row newVal="2561" oldVal="1901"/>
    <row newVal="2562" oldVal="1902"/>
    <row newVal="2563" oldVal="1903"/>
    <row newVal="2564" oldVal="1904"/>
    <row newVal="2565" oldVal="1905"/>
    <row newVal="2566" oldVal="1906"/>
    <row newVal="2567" oldVal="1907"/>
    <row newVal="2568" oldVal="1908"/>
    <row newVal="2569" oldVal="1909"/>
    <row newVal="2570" oldVal="1910"/>
    <row newVal="2571" oldVal="1911"/>
    <row newVal="2572" oldVal="1912"/>
    <row newVal="2573" oldVal="1913"/>
    <row newVal="2574" oldVal="1914"/>
    <row newVal="2575" oldVal="1915"/>
    <row newVal="2576" oldVal="1916"/>
    <row newVal="2577" oldVal="1917"/>
    <row newVal="2578" oldVal="1918"/>
    <row newVal="2579" oldVal="5410"/>
    <row newVal="2580" oldVal="5411"/>
    <row newVal="2581" oldVal="1919"/>
    <row newVal="2582" oldVal="1920"/>
    <row newVal="2583" oldVal="1921"/>
    <row newVal="2584" oldVal="1922"/>
    <row newVal="2585" oldVal="1923"/>
    <row newVal="2586" oldVal="1924"/>
    <row newVal="2587" oldVal="1925"/>
    <row newVal="2588" oldVal="1926"/>
    <row newVal="2589" oldVal="1927"/>
    <row newVal="2590" oldVal="1928"/>
    <row newVal="2591" oldVal="1929"/>
    <row newVal="2592" oldVal="1930"/>
    <row newVal="2593" oldVal="1931"/>
    <row newVal="2594" oldVal="6432"/>
    <row newVal="2595" oldVal="1932"/>
    <row newVal="2596" oldVal="1933"/>
    <row newVal="2597" oldVal="1934"/>
    <row newVal="2598" oldVal="1935"/>
    <row newVal="2599" oldVal="1936"/>
    <row newVal="2600" oldVal="5605"/>
    <row newVal="2601" oldVal="1937"/>
    <row newVal="2602" oldVal="1938"/>
    <row newVal="2603" oldVal="1939"/>
    <row newVal="2604" oldVal="1940"/>
    <row newVal="2605" oldVal="1941"/>
    <row newVal="2606" oldVal="1942"/>
    <row newVal="2607" oldVal="1943"/>
    <row newVal="2608" oldVal="1944"/>
    <row newVal="2609" oldVal="1945"/>
    <row newVal="2610" oldVal="1946"/>
    <row newVal="2611" oldVal="1947"/>
    <row newVal="2612" oldVal="1948"/>
    <row newVal="2613" oldVal="1949"/>
    <row newVal="2614" oldVal="1950"/>
    <row newVal="2615" oldVal="1951"/>
    <row newVal="2616" oldVal="6011"/>
    <row newVal="2617" oldVal="1952"/>
    <row newVal="2618" oldVal="1953"/>
    <row newVal="2619" oldVal="1954"/>
    <row newVal="2620" oldVal="1955"/>
    <row newVal="2621" oldVal="1956"/>
    <row newVal="2622" oldVal="5790"/>
    <row newVal="2623" oldVal="1957"/>
    <row newVal="2624" oldVal="1958"/>
    <row newVal="2625" oldVal="1959"/>
    <row newVal="2626" oldVal="1960"/>
    <row newVal="2627" oldVal="1961"/>
    <row newVal="2628" oldVal="1962"/>
    <row newVal="2629" oldVal="1963"/>
    <row newVal="2630" oldVal="1964"/>
    <row newVal="2631" oldVal="1965"/>
    <row newVal="2632" oldVal="1966"/>
    <row newVal="2633" oldVal="1967"/>
    <row newVal="2634" oldVal="1968"/>
    <row newVal="2635" oldVal="5286"/>
    <row newVal="2636" oldVal="1969"/>
    <row newVal="2637" oldVal="1970"/>
    <row newVal="2638" oldVal="1971"/>
    <row newVal="2639" oldVal="1972"/>
    <row newVal="2640" oldVal="1973"/>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683"/>
    <row newVal="2654" oldVal="1986"/>
    <row newVal="2655" oldVal="5791"/>
    <row newVal="2656" oldVal="1987"/>
    <row newVal="2657" oldVal="1988"/>
    <row newVal="2658" oldVal="1989"/>
    <row newVal="2659" oldVal="1990"/>
    <row newVal="2660" oldVal="1991"/>
    <row newVal="2661" oldVal="1992"/>
    <row newVal="2662" oldVal="1993"/>
    <row newVal="2663" oldVal="1994"/>
    <row newVal="2664" oldVal="5792"/>
    <row newVal="2665" oldVal="5793"/>
    <row newVal="2666" oldVal="5794"/>
    <row newVal="2667" oldVal="5795"/>
    <row newVal="2668" oldVal="5796"/>
    <row newVal="2669" oldVal="5797"/>
    <row newVal="2670" oldVal="5798"/>
    <row newVal="2671" oldVal="5799"/>
    <row newVal="2672" oldVal="5800"/>
    <row newVal="2673" oldVal="5801"/>
    <row newVal="2674" oldVal="5802"/>
    <row newVal="2675" oldVal="5803"/>
    <row newVal="2676" oldVal="5804"/>
    <row newVal="2677" oldVal="5805"/>
    <row newVal="2678" oldVal="5806"/>
    <row newVal="2679" oldVal="1995"/>
    <row newVal="2680" oldVal="1996"/>
    <row newVal="2681" oldVal="5412"/>
    <row newVal="2682" oldVal="1997"/>
    <row newVal="2683" oldVal="1998"/>
    <row newVal="2684" oldVal="1999"/>
    <row newVal="2685" oldVal="5807"/>
    <row newVal="2686" oldVal="5808"/>
    <row newVal="2687" oldVal="5809"/>
    <row newVal="2688" oldVal="2000"/>
    <row newVal="2689" oldVal="2001"/>
    <row newVal="2690" oldVal="2002"/>
    <row newVal="2691" oldVal="2003"/>
    <row newVal="2692" oldVal="2004"/>
    <row newVal="2693" oldVal="2005"/>
    <row newVal="2694" oldVal="2006"/>
    <row newVal="2695" oldVal="2007"/>
    <row newVal="2696" oldVal="5705"/>
    <row newVal="2697" oldVal="2008"/>
    <row newVal="2698" oldVal="2009"/>
    <row newVal="2699" oldVal="2010"/>
    <row newVal="2700" oldVal="2011"/>
    <row newVal="2701" oldVal="2012"/>
    <row newVal="2702" oldVal="2013"/>
    <row newVal="2703" oldVal="2014"/>
    <row newVal="2704" oldVal="2015"/>
    <row newVal="2705" oldVal="2016"/>
    <row newVal="2706" oldVal="2017"/>
    <row newVal="2707" oldVal="2018"/>
    <row newVal="2708" oldVal="6433"/>
    <row newVal="2709" oldVal="5573"/>
    <row newVal="2710" oldVal="2019"/>
    <row newVal="2711" oldVal="5810"/>
    <row newVal="2712" oldVal="5413"/>
    <row newVal="2713" oldVal="5414"/>
    <row newVal="2714" oldVal="2020"/>
    <row newVal="2715" oldVal="2021"/>
    <row newVal="2716" oldVal="5572"/>
    <row newVal="2717" oldVal="2022"/>
    <row newVal="2718" oldVal="6020"/>
    <row newVal="2719" oldVal="5415"/>
    <row newVal="2720" oldVal="6434"/>
    <row newVal="2721" oldVal="2023"/>
    <row newVal="2722" oldVal="2024"/>
    <row newVal="2723" oldVal="2025"/>
    <row newVal="2724" oldVal="2026"/>
    <row newVal="2725" oldVal="2027"/>
    <row newVal="2726" oldVal="2028"/>
    <row newVal="2727" oldVal="2029"/>
    <row newVal="2728" oldVal="2030"/>
    <row newVal="2729" oldVal="2031"/>
    <row newVal="2730" oldVal="2032"/>
    <row newVal="2731" oldVal="2033"/>
    <row newVal="2732" oldVal="2034"/>
    <row newVal="2733" oldVal="2035"/>
    <row newVal="2734" oldVal="2036"/>
    <row newVal="2735" oldVal="2037"/>
    <row newVal="2736" oldVal="2038"/>
    <row newVal="2737" oldVal="2039"/>
    <row newVal="2738" oldVal="2040"/>
    <row newVal="2739" oldVal="2041"/>
    <row newVal="2740" oldVal="2042"/>
    <row newVal="2741" oldVal="2043"/>
    <row newVal="2742" oldVal="2044"/>
    <row newVal="2743" oldVal="2045"/>
    <row newVal="2744" oldVal="2046"/>
    <row newVal="2745" oldVal="2047"/>
    <row newVal="2746" oldVal="2048"/>
    <row newVal="2747" oldVal="2049"/>
    <row newVal="2748" oldVal="2050"/>
    <row newVal="2749" oldVal="2051"/>
    <row newVal="2750" oldVal="2052"/>
    <row newVal="2751" oldVal="2053"/>
    <row newVal="2752" oldVal="5811"/>
    <row newVal="2753" oldVal="2054"/>
    <row newVal="2754" oldVal="5416"/>
    <row newVal="2755" oldVal="5417"/>
    <row newVal="2756" oldVal="5418"/>
    <row newVal="2757" oldVal="5419"/>
    <row newVal="2758" oldVal="5420"/>
    <row newVal="2759" oldVal="5421"/>
    <row newVal="2760" oldVal="5422"/>
    <row newVal="2761" oldVal="5423"/>
    <row newVal="2762" oldVal="5424"/>
    <row newVal="2763" oldVal="5425"/>
    <row newVal="2764" oldVal="5426"/>
    <row newVal="2765" oldVal="5427"/>
    <row newVal="2766" oldVal="2055"/>
    <row newVal="2767" oldVal="2056"/>
    <row newVal="2768" oldVal="6435"/>
    <row newVal="2769" oldVal="5570"/>
    <row newVal="2770" oldVal="6436"/>
    <row newVal="2771" oldVal="5571"/>
    <row newVal="2772" oldVal="2057"/>
    <row newVal="2773" oldVal="2058"/>
    <row newVal="2774" oldVal="2059"/>
    <row newVal="2775" oldVal="2060"/>
    <row newVal="2776" oldVal="2061"/>
    <row newVal="2777" oldVal="2062"/>
    <row newVal="2778" oldVal="2063"/>
    <row newVal="2779" oldVal="2064"/>
    <row newVal="2780" oldVal="2065"/>
    <row newVal="2781" oldVal="2066"/>
    <row newVal="2782" oldVal="2067"/>
    <row newVal="2783" oldVal="2068"/>
    <row newVal="2784" oldVal="2069"/>
    <row newVal="2785" oldVal="2070"/>
    <row newVal="2786" oldVal="2071"/>
    <row newVal="2787" oldVal="2072"/>
    <row newVal="2788" oldVal="2073"/>
    <row newVal="2789" oldVal="2074"/>
    <row newVal="2790" oldVal="2075"/>
    <row newVal="2791" oldVal="2076"/>
    <row newVal="2792" oldVal="2077"/>
    <row newVal="2793" oldVal="2078"/>
    <row newVal="2794" oldVal="2079"/>
    <row newVal="2795" oldVal="2080"/>
    <row newVal="2796" oldVal="2081"/>
    <row newVal="2797" oldVal="2082"/>
    <row newVal="2798" oldVal="5812"/>
    <row newVal="2799" oldVal="5813"/>
    <row newVal="2800" oldVal="2083"/>
    <row newVal="2801" oldVal="2084"/>
    <row newVal="2802" oldVal="2085"/>
    <row newVal="2803" oldVal="2086"/>
    <row newVal="2804" oldVal="2087"/>
    <row newVal="2805" oldVal="2088"/>
    <row newVal="2806" oldVal="2089"/>
    <row newVal="2807" oldVal="2090"/>
    <row newVal="2808" oldVal="2091"/>
    <row newVal="2809" oldVal="2092"/>
    <row newVal="2810" oldVal="6437"/>
    <row newVal="2811" oldVal="2093"/>
    <row newVal="2812" oldVal="6438"/>
    <row newVal="2813" oldVal="2094"/>
    <row newVal="2814" oldVal="2095"/>
    <row newVal="2815" oldVal="2096"/>
    <row newVal="2816" oldVal="2097"/>
    <row newVal="2817" oldVal="2098"/>
    <row newVal="2818" oldVal="2099"/>
    <row newVal="2819" oldVal="2100"/>
    <row newVal="2820" oldVal="6012"/>
    <row newVal="2821" oldVal="2101"/>
    <row newVal="2822" oldVal="2295"/>
    <row newVal="2823" oldVal="2102"/>
    <row newVal="2824" oldVal="2103"/>
    <row newVal="2825" oldVal="6439"/>
    <row newVal="2826" oldVal="6440"/>
    <row newVal="2827" oldVal="2104"/>
    <row newVal="2828" oldVal="2105"/>
    <row newVal="2829" oldVal="2106"/>
    <row newVal="2830" oldVal="2107"/>
    <row newVal="2831" oldVal="2108"/>
    <row newVal="2832" oldVal="2109"/>
    <row newVal="2833" oldVal="2110"/>
    <row newVal="2834" oldVal="2111"/>
    <row newVal="2835" oldVal="2112"/>
    <row newVal="2836" oldVal="2113"/>
    <row newVal="2837" oldVal="2114"/>
    <row newVal="2838" oldVal="2115"/>
    <row newVal="2839" oldVal="2116"/>
    <row newVal="2840" oldVal="2117"/>
    <row newVal="2841" oldVal="2118"/>
    <row newVal="2842" oldVal="2119"/>
    <row newVal="2843" oldVal="2120"/>
    <row newVal="2844" oldVal="2121"/>
    <row newVal="2845" oldVal="2122"/>
    <row newVal="2846" oldVal="2123"/>
    <row newVal="2847" oldVal="2124"/>
    <row newVal="2848" oldVal="2125"/>
    <row newVal="2849" oldVal="2126"/>
    <row newVal="2850" oldVal="2127"/>
    <row newVal="2851" oldVal="2128"/>
    <row newVal="2852" oldVal="2129"/>
    <row newVal="2853" oldVal="2130"/>
    <row newVal="2854" oldVal="2131"/>
    <row newVal="2855" oldVal="2132"/>
    <row newVal="2856" oldVal="2133"/>
    <row newVal="2857" oldVal="2134"/>
    <row newVal="2858" oldVal="5688"/>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2152"/>
    <row newVal="2877" oldVal="2153"/>
    <row newVal="2878" oldVal="2154"/>
    <row newVal="2879" oldVal="2155"/>
    <row newVal="2880" oldVal="2156"/>
    <row newVal="2881" oldVal="2157"/>
    <row newVal="2882" oldVal="2158"/>
    <row newVal="2883" oldVal="2159"/>
    <row newVal="2884" oldVal="2160"/>
    <row newVal="2885" oldVal="2161"/>
    <row newVal="2886" oldVal="2162"/>
    <row newVal="2887" oldVal="2163"/>
    <row newVal="2888" oldVal="2164"/>
    <row newVal="2889" oldVal="2165"/>
    <row newVal="2890" oldVal="2166"/>
    <row newVal="2891" oldVal="2167"/>
    <row newVal="2892" oldVal="2168"/>
    <row newVal="2893" oldVal="2169"/>
    <row newVal="2894" oldVal="2170"/>
    <row newVal="2895" oldVal="2171"/>
    <row newVal="2896" oldVal="2172"/>
    <row newVal="2897" oldVal="2173"/>
    <row newVal="2898" oldVal="2174"/>
    <row newVal="2899" oldVal="2175"/>
    <row newVal="2900" oldVal="2176"/>
    <row newVal="2901" oldVal="2177"/>
    <row newVal="2902" oldVal="2178"/>
    <row newVal="2903" oldVal="2179"/>
    <row newVal="2904" oldVal="5814"/>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2197"/>
    <row newVal="2923" oldVal="2198"/>
    <row newVal="2924" oldVal="2199"/>
    <row newVal="2925" oldVal="2200"/>
    <row newVal="2926" oldVal="2201"/>
    <row newVal="2927" oldVal="2202"/>
    <row newVal="2928" oldVal="2203"/>
    <row newVal="2929" oldVal="2204"/>
    <row newVal="2930" oldVal="2205"/>
    <row newVal="2931" oldVal="5974"/>
    <row newVal="2932" oldVal="2206"/>
    <row newVal="2933" oldVal="2207"/>
    <row newVal="2934" oldVal="5815"/>
    <row newVal="2935" oldVal="5816"/>
    <row newVal="2936" oldVal="2208"/>
    <row newVal="2937" oldVal="2209"/>
    <row newVal="2938" oldVal="5973"/>
    <row newVal="2939" oldVal="2210"/>
    <row newVal="2940" oldVal="2211"/>
    <row newVal="2941" oldVal="5817"/>
    <row newVal="2942" oldVal="2212"/>
    <row newVal="2943" oldVal="2213"/>
    <row newVal="2944" oldVal="2214"/>
    <row newVal="2945" oldVal="2215"/>
    <row newVal="2946" oldVal="2216"/>
    <row newVal="2947" oldVal="2217"/>
    <row newVal="2948" oldVal="2218"/>
    <row newVal="2949" oldVal="2219"/>
    <row newVal="2950" oldVal="2220"/>
    <row newVal="2951" oldVal="2221"/>
    <row newVal="2952" oldVal="2222"/>
    <row newVal="2953" oldVal="2223"/>
    <row newVal="2954" oldVal="2224"/>
    <row newVal="2955" oldVal="2225"/>
    <row newVal="2956" oldVal="2226"/>
    <row newVal="2957" oldVal="2227"/>
    <row newVal="2958" oldVal="2228"/>
    <row newVal="2959" oldVal="2229"/>
    <row newVal="2960" oldVal="2230"/>
    <row newVal="2961" oldVal="2231"/>
    <row newVal="2962" oldVal="2232"/>
    <row newVal="2963" oldVal="2233"/>
    <row newVal="2964" oldVal="2234"/>
    <row newVal="2965" oldVal="2235"/>
    <row newVal="2966" oldVal="2236"/>
    <row newVal="2967" oldVal="2237"/>
    <row newVal="2968" oldVal="2238"/>
    <row newVal="2969" oldVal="2239"/>
    <row newVal="2970" oldVal="2240"/>
    <row newVal="2971" oldVal="2241"/>
    <row newVal="2972" oldVal="2242"/>
    <row newVal="2973" oldVal="2243"/>
    <row newVal="2974" oldVal="2244"/>
    <row newVal="2975" oldVal="5818"/>
    <row newVal="2976" oldVal="5819"/>
    <row newVal="2977" oldVal="5820"/>
    <row newVal="2978" oldVal="5821"/>
    <row newVal="2979" oldVal="5822"/>
    <row newVal="2980" oldVal="5823"/>
    <row newVal="2981" oldVal="5824"/>
    <row newVal="2982" oldVal="5825"/>
    <row newVal="2983" oldVal="5826"/>
    <row newVal="2984" oldVal="5827"/>
    <row newVal="2985" oldVal="5828"/>
    <row newVal="2986" oldVal="5829"/>
    <row newVal="2987" oldVal="2245"/>
    <row newVal="2988" oldVal="2246"/>
    <row newVal="2989" oldVal="5971"/>
    <row newVal="2990" oldVal="5972"/>
    <row newVal="2991" oldVal="2247"/>
    <row newVal="2992" oldVal="2248"/>
    <row newVal="2993" oldVal="2249"/>
    <row newVal="2994" oldVal="2250"/>
    <row newVal="2995" oldVal="2251"/>
    <row newVal="2996" oldVal="2252"/>
    <row newVal="2997" oldVal="2253"/>
    <row newVal="2998" oldVal="2254"/>
    <row newVal="2999" oldVal="2255"/>
    <row newVal="3000" oldVal="2256"/>
    <row newVal="3001" oldVal="2257"/>
    <row newVal="3002" oldVal="2258"/>
    <row newVal="3003" oldVal="2259"/>
    <row newVal="3004" oldVal="2260"/>
    <row newVal="3005" oldVal="2261"/>
    <row newVal="3006" oldVal="2262"/>
    <row newVal="3007" oldVal="2263"/>
    <row newVal="3008" oldVal="2264"/>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6"/>
    <row newVal="3040" oldVal="2297"/>
    <row newVal="3041" oldVal="2298"/>
    <row newVal="3042" oldVal="2299"/>
    <row newVal="3043" oldVal="2300"/>
    <row newVal="3044" oldVal="2301"/>
    <row newVal="3045" oldVal="2302"/>
    <row newVal="3046" oldVal="2303"/>
    <row newVal="3047" oldVal="2304"/>
    <row newVal="3048" oldVal="2305"/>
    <row newVal="3049" oldVal="2306"/>
    <row newVal="3050" oldVal="2307"/>
    <row newVal="3051" oldVal="2308"/>
    <row newVal="3052" oldVal="2309"/>
    <row newVal="3053" oldVal="2310"/>
    <row newVal="3054" oldVal="2311"/>
    <row newVal="3055" oldVal="2312"/>
    <row newVal="3056" oldVal="2313"/>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5493"/>
    <row newVal="3215" oldVal="5494"/>
    <row newVal="3216" oldVal="5495"/>
    <row newVal="3217" oldVal="5496"/>
    <row newVal="3218" oldVal="5497"/>
    <row newVal="3219" oldVal="5498"/>
    <row newVal="3220" oldVal="2471"/>
    <row newVal="3221" oldVal="2472"/>
    <row newVal="3222" oldVal="2473"/>
    <row newVal="3223" oldVal="2474"/>
    <row newVal="3224" oldVal="5291"/>
    <row newVal="3225" oldVal="5326"/>
    <row newVal="3226" oldVal="5327"/>
    <row newVal="3227" oldVal="5328"/>
    <row newVal="3228" oldVal="2475"/>
    <row newVal="3229" oldVal="2476"/>
    <row newVal="3230" oldVal="2477"/>
    <row newVal="3231" oldVal="2478"/>
    <row newVal="3232" oldVal="2479"/>
    <row newVal="3233" oldVal="2480"/>
    <row newVal="3234" oldVal="2481"/>
    <row newVal="3235" oldVal="2482"/>
    <row newVal="3236" oldVal="2483"/>
    <row newVal="3237" oldVal="2484"/>
    <row newVal="3238" oldVal="2485"/>
    <row newVal="3239" oldVal="2486"/>
    <row newVal="3240" oldVal="2487"/>
    <row newVal="3241" oldVal="2488"/>
    <row newVal="3242" oldVal="2489"/>
    <row newVal="3243" oldVal="2490"/>
    <row newVal="3244" oldVal="2491"/>
    <row newVal="3245" oldVal="2492"/>
    <row newVal="3246" oldVal="2493"/>
    <row newVal="3247" oldVal="2494"/>
    <row newVal="3248" oldVal="2495"/>
    <row newVal="3249" oldVal="5602"/>
    <row newVal="3250" oldVal="5603"/>
    <row newVal="3251" oldVal="2496"/>
    <row newVal="3252" oldVal="2497"/>
    <row newVal="3253" oldVal="2498"/>
    <row newVal="3254" oldVal="2499"/>
    <row newVal="3255" oldVal="2500"/>
    <row newVal="3256" oldVal="2501"/>
    <row newVal="3257" oldVal="2502"/>
    <row newVal="3258" oldVal="2503"/>
    <row newVal="3259" oldVal="5311"/>
    <row newVal="3260" oldVal="2504"/>
    <row newVal="3261" oldVal="2505"/>
    <row newVal="3262" oldVal="2506"/>
    <row newVal="3263" oldVal="2507"/>
    <row newVal="3264" oldVal="2508"/>
    <row newVal="3265" oldVal="2509"/>
    <row newVal="3266" oldVal="2510"/>
    <row newVal="3267" oldVal="2511"/>
    <row newVal="3268" oldVal="5429"/>
    <row newVal="3269" oldVal="2512"/>
    <row newVal="3270" oldVal="6441"/>
    <row newVal="3271" oldVal="2513"/>
    <row newVal="3272" oldVal="2514"/>
    <row newVal="3273" oldVal="2515"/>
    <row newVal="3274" oldVal="2516"/>
    <row newVal="3275" oldVal="2517"/>
    <row newVal="3276" oldVal="2518"/>
    <row newVal="3277" oldVal="2519"/>
    <row newVal="3278" oldVal="2520"/>
    <row newVal="3279" oldVal="2521"/>
    <row newVal="3280" oldVal="2522"/>
    <row newVal="3281" oldVal="2523"/>
    <row newVal="3282" oldVal="2524"/>
    <row newVal="3283" oldVal="2525"/>
    <row newVal="3284" oldVal="2526"/>
    <row newVal="3285" oldVal="2527"/>
    <row newVal="3286" oldVal="2528"/>
    <row newVal="3287" oldVal="2529"/>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1" oldVal="2593"/>
    <row newVal="3352" oldVal="2594"/>
    <row newVal="3353" oldVal="2595"/>
    <row newVal="3354" oldVal="2596"/>
    <row newVal="3355" oldVal="2597"/>
    <row newVal="3356" oldVal="2598"/>
    <row newVal="3357" oldVal="2599"/>
    <row newVal="3358" oldVal="2600"/>
    <row newVal="3359" oldVal="2601"/>
    <row newVal="3360" oldVal="2602"/>
    <row newVal="3361" oldVal="2603"/>
    <row newVal="3362" oldVal="6442"/>
    <row newVal="3363" oldVal="6443"/>
    <row newVal="3364" oldVal="2604"/>
    <row newVal="3365" oldVal="2605"/>
    <row newVal="3366" oldVal="2606"/>
    <row newVal="3367" oldVal="2607"/>
    <row newVal="3368" oldVal="2608"/>
    <row newVal="3369" oldVal="2609"/>
    <row newVal="3370" oldVal="2610"/>
    <row newVal="3371" oldVal="2611"/>
    <row newVal="3372" oldVal="2612"/>
    <row newVal="3373" oldVal="2613"/>
    <row newVal="3374" oldVal="2614"/>
    <row newVal="3375" oldVal="6444"/>
    <row newVal="3376" oldVal="2615"/>
    <row newVal="3377" oldVal="2616"/>
    <row newVal="3378" oldVal="2617"/>
    <row newVal="3379" oldVal="2618"/>
    <row newVal="3380" oldVal="2619"/>
    <row newVal="3381" oldVal="2620"/>
    <row newVal="3382" oldVal="2621"/>
    <row newVal="3383" oldVal="2622"/>
    <row newVal="3384" oldVal="2623"/>
    <row newVal="3385" oldVal="6445"/>
    <row newVal="3386" oldVal="6446"/>
    <row newVal="3387" oldVal="2624"/>
    <row newVal="3388" oldVal="2625"/>
    <row newVal="3389" oldVal="2626"/>
    <row newVal="3390" oldVal="2627"/>
    <row newVal="3391" oldVal="2628"/>
    <row newVal="3392" oldVal="2629"/>
    <row newVal="3393" oldVal="2630"/>
    <row newVal="3394" oldVal="2631"/>
    <row newVal="3395" oldVal="2632"/>
    <row newVal="3396" oldVal="2633"/>
    <row newVal="3397" oldVal="2634"/>
    <row newVal="3398" oldVal="2635"/>
    <row newVal="3399" oldVal="2636"/>
    <row newVal="3400" oldVal="2637"/>
    <row newVal="3401" oldVal="2638"/>
    <row newVal="3402" oldVal="2639"/>
    <row newVal="3403" oldVal="2640"/>
    <row newVal="3404" oldVal="2641"/>
    <row newVal="3405" oldVal="2642"/>
    <row newVal="3406" oldVal="2643"/>
    <row newVal="3407" oldVal="2644"/>
    <row newVal="3408" oldVal="2645"/>
    <row newVal="3409" oldVal="2646"/>
    <row newVal="3410" oldVal="2647"/>
    <row newVal="3411" oldVal="2648"/>
    <row newVal="3412" oldVal="2649"/>
    <row newVal="3413" oldVal="5428"/>
    <row newVal="3414" oldVal="6447"/>
    <row newVal="3415" oldVal="6448"/>
    <row newVal="3416" oldVal="6449"/>
    <row newVal="3417" oldVal="6450"/>
    <row newVal="3418" oldVal="2650"/>
    <row newVal="3419" oldVal="2651"/>
    <row newVal="3420" oldVal="2652"/>
    <row newVal="3421" oldVal="2653"/>
    <row newVal="3422" oldVal="2654"/>
    <row newVal="3423" oldVal="2655"/>
    <row newVal="3424" oldVal="2656"/>
    <row newVal="3425" oldVal="2657"/>
    <row newVal="3426" oldVal="2658"/>
    <row newVal="3427" oldVal="2659"/>
    <row newVal="3428" oldVal="2660"/>
    <row newVal="3429" oldVal="2661"/>
    <row newVal="3430" oldVal="2662"/>
    <row newVal="3431" oldVal="2663"/>
    <row newVal="3432" oldVal="2664"/>
    <row newVal="3433" oldVal="2665"/>
    <row newVal="3434" oldVal="2666"/>
    <row newVal="3435" oldVal="2667"/>
    <row newVal="3436" oldVal="2668"/>
    <row newVal="3437" oldVal="2669"/>
    <row newVal="3438" oldVal="2670"/>
    <row newVal="3439" oldVal="2671"/>
    <row newVal="3440" oldVal="2672"/>
    <row newVal="3441" oldVal="2673"/>
    <row newVal="3442" oldVal="2674"/>
    <row newVal="3443" oldVal="2675"/>
    <row newVal="3444" oldVal="2676"/>
    <row newVal="3445" oldVal="2677"/>
    <row newVal="3446" oldVal="2678"/>
    <row newVal="3450" oldVal="2679"/>
    <row newVal="3453" oldVal="2680"/>
    <row newVal="3454" oldVal="2681"/>
    <row newVal="3455" oldVal="2682"/>
    <row newVal="3456" oldVal="2683"/>
    <row newVal="3457" oldVal="2684"/>
    <row newVal="3458" oldVal="5895"/>
    <row newVal="3459" oldVal="5896"/>
    <row newVal="3460" oldVal="5897"/>
    <row newVal="3461" oldVal="5898"/>
    <row newVal="3462" oldVal="5899"/>
    <row newVal="3463" oldVal="5900"/>
    <row newVal="3464" oldVal="2685"/>
    <row newVal="3465" oldVal="2686"/>
    <row newVal="3466" oldVal="2687"/>
    <row newVal="3467" oldVal="2688"/>
    <row newVal="3468" oldVal="5693"/>
    <row newVal="3469" oldVal="5728"/>
    <row newVal="3470" oldVal="5729"/>
    <row newVal="3471" oldVal="5730"/>
    <row newVal="3472" oldVal="2689"/>
    <row newVal="3473" oldVal="2690"/>
    <row newVal="3474" oldVal="2691"/>
    <row newVal="3475" oldVal="2692"/>
    <row newVal="3476" oldVal="2693"/>
    <row newVal="3477" oldVal="2694"/>
    <row newVal="3478" oldVal="2695"/>
    <row newVal="3479" oldVal="2696"/>
    <row newVal="3480" oldVal="2697"/>
    <row newVal="3481" oldVal="2698"/>
    <row newVal="3482" oldVal="2699"/>
    <row newVal="3483" oldVal="2700"/>
    <row newVal="3484" oldVal="2701"/>
    <row newVal="3485" oldVal="2702"/>
    <row newVal="3486" oldVal="2703"/>
    <row newVal="3487" oldVal="2704"/>
    <row newVal="3488" oldVal="2705"/>
    <row newVal="3489" oldVal="2706"/>
    <row newVal="3490" oldVal="2707"/>
    <row newVal="3491" oldVal="2708"/>
    <row newVal="3492" oldVal="2709"/>
    <row newVal="3493" oldVal="6009"/>
    <row newVal="3494" oldVal="6010"/>
    <row newVal="3495" oldVal="2710"/>
    <row newVal="3496" oldVal="2711"/>
    <row newVal="3497" oldVal="2712"/>
    <row newVal="3498" oldVal="5430"/>
    <row newVal="3499" oldVal="5431"/>
    <row newVal="3500" oldVal="5432"/>
    <row newVal="3501" oldVal="5433"/>
    <row newVal="3502" oldVal="5434"/>
    <row newVal="3503" oldVal="5435"/>
    <row newVal="3504" oldVal="5436"/>
    <row newVal="3505" oldVal="5437"/>
    <row newVal="3506" oldVal="2713"/>
    <row newVal="3507" oldVal="2714"/>
    <row newVal="3508" oldVal="2715"/>
    <row newVal="3509" oldVal="2716"/>
    <row newVal="3510" oldVal="2717"/>
    <row newVal="3511" oldVal="5713"/>
    <row newVal="3512" oldVal="2718"/>
    <row newVal="3513" oldVal="2719"/>
    <row newVal="3514" oldVal="2720"/>
    <row newVal="3515" oldVal="2721"/>
    <row newVal="3516" oldVal="2722"/>
    <row newVal="3517" oldVal="2723"/>
    <row newVal="3518" oldVal="2724"/>
    <row newVal="3519" oldVal="2725"/>
    <row newVal="3520" oldVal="5831"/>
    <row newVal="3521" oldVal="2726"/>
    <row newVal="3522" oldVal="2727"/>
    <row newVal="3523" oldVal="2728"/>
    <row newVal="3524" oldVal="2729"/>
    <row newVal="3525" oldVal="2730"/>
    <row newVal="3526" oldVal="2731"/>
    <row newVal="3527" oldVal="2732"/>
    <row newVal="3528" oldVal="2733"/>
    <row newVal="3529" oldVal="2734"/>
    <row newVal="3530" oldVal="2735"/>
    <row newVal="3531" oldVal="2736"/>
    <row newVal="3532" oldVal="2737"/>
    <row newVal="3533" oldVal="2738"/>
    <row newVal="3534" oldVal="2739"/>
    <row newVal="3535" oldVal="2740"/>
    <row newVal="3536" oldVal="2741"/>
    <row newVal="3537" oldVal="2742"/>
    <row newVal="3538" oldVal="2743"/>
    <row newVal="3539" oldVal="2744"/>
    <row newVal="3540" oldVal="2745"/>
    <row newVal="3541" oldVal="2746"/>
    <row newVal="3542" oldVal="2747"/>
    <row newVal="3543" oldVal="2748"/>
    <row newVal="3544" oldVal="2749"/>
    <row newVal="3545" oldVal="2750"/>
    <row newVal="3546" oldVal="2751"/>
    <row newVal="3547" oldVal="2752"/>
    <row newVal="3548" oldVal="2753"/>
    <row newVal="3549" oldVal="2754"/>
    <row newVal="3550" oldVal="2755"/>
    <row newVal="3551" oldVal="2756"/>
    <row newVal="3552" oldVal="2757"/>
    <row newVal="3553" oldVal="2758"/>
    <row newVal="3554" oldVal="2759"/>
    <row newVal="3555" oldVal="2760"/>
    <row newVal="3556" oldVal="2761"/>
    <row newVal="3557" oldVal="2762"/>
    <row newVal="3558" oldVal="2763"/>
    <row newVal="3559" oldVal="2764"/>
    <row newVal="3560" oldVal="2765"/>
    <row newVal="3561" oldVal="2766"/>
    <row newVal="3562" oldVal="2767"/>
    <row newVal="3563" oldVal="2768"/>
    <row newVal="3564" oldVal="2769"/>
    <row newVal="3565" oldVal="2770"/>
    <row newVal="3566" oldVal="2771"/>
    <row newVal="3567" oldVal="2772"/>
    <row newVal="3568" oldVal="2773"/>
    <row newVal="3569" oldVal="2774"/>
    <row newVal="3570" oldVal="2775"/>
    <row newVal="3571" oldVal="2776"/>
    <row newVal="3572" oldVal="2777"/>
    <row newVal="3573" oldVal="2778"/>
    <row newVal="3574" oldVal="2779"/>
    <row newVal="3575" oldVal="2780"/>
    <row newVal="3576" oldVal="2781"/>
    <row newVal="3577" oldVal="2782"/>
    <row newVal="3578" oldVal="2783"/>
    <row newVal="3579" oldVal="2784"/>
    <row newVal="3580" oldVal="2785"/>
    <row newVal="3581" oldVal="2786"/>
    <row newVal="3582" oldVal="2787"/>
    <row newVal="3583" oldVal="2788"/>
    <row newVal="3584" oldVal="2789"/>
    <row newVal="3585" oldVal="2790"/>
    <row newVal="3586" oldVal="2791"/>
    <row newVal="3587" oldVal="2792"/>
    <row newVal="3588" oldVal="2793"/>
    <row newVal="3589" oldVal="2794"/>
    <row newVal="3590" oldVal="2795"/>
    <row newVal="3591" oldVal="2796"/>
    <row newVal="3592" oldVal="2797"/>
    <row newVal="3593" oldVal="2798"/>
    <row newVal="3594" oldVal="2799"/>
    <row newVal="3595" oldVal="2800"/>
    <row newVal="3596" oldVal="2801"/>
    <row newVal="3597" oldVal="2802"/>
    <row newVal="3598" oldVal="2803"/>
    <row newVal="3599" oldVal="2804"/>
    <row newVal="3600" oldVal="2805"/>
    <row newVal="3601" oldVal="2806"/>
    <row newVal="3602" oldVal="2807"/>
    <row newVal="3603" oldVal="2808"/>
    <row newVal="3604" oldVal="2809"/>
    <row newVal="3605" oldVal="2810"/>
    <row newVal="3606" oldVal="2811"/>
    <row newVal="3607" oldVal="2812"/>
    <row newVal="3608" oldVal="2813"/>
    <row newVal="3609" oldVal="2814"/>
    <row newVal="3610" oldVal="2815"/>
    <row newVal="3611" oldVal="2816"/>
    <row newVal="3612" oldVal="2817"/>
    <row newVal="3613" oldVal="2818"/>
    <row newVal="3614" oldVal="2819"/>
    <row newVal="3615" oldVal="2820"/>
    <row newVal="3616" oldVal="2821"/>
    <row newVal="3617" oldVal="2822"/>
    <row newVal="3618" oldVal="2823"/>
    <row newVal="3619" oldVal="2824"/>
    <row newVal="3620" oldVal="2825"/>
    <row newVal="3621" oldVal="2826"/>
    <row newVal="3622" oldVal="2827"/>
    <row newVal="3623" oldVal="2828"/>
    <row newVal="3624" oldVal="2829"/>
    <row newVal="3625" oldVal="2830"/>
    <row newVal="3626" oldVal="5579"/>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2848"/>
    <row newVal="3645" oldVal="2849"/>
    <row newVal="3646" oldVal="2850"/>
    <row newVal="3647" oldVal="2851"/>
    <row newVal="3648" oldVal="2852"/>
    <row newVal="3649" oldVal="2853"/>
    <row newVal="3650" oldVal="2854"/>
    <row newVal="3651" oldVal="2855"/>
    <row newVal="3652" oldVal="2856"/>
    <row newVal="3653" oldVal="2857"/>
    <row newVal="3654" oldVal="2858"/>
    <row newVal="3655" oldVal="5438"/>
    <row newVal="3656" oldVal="2859"/>
    <row newVal="3657" oldVal="6451"/>
    <row newVal="3658" oldVal="2860"/>
    <row newVal="3659" oldVal="2861"/>
    <row newVal="3660" oldVal="2862"/>
    <row newVal="3661" oldVal="2863"/>
    <row newVal="3662" oldVal="5830"/>
    <row newVal="3663" oldVal="2864"/>
    <row newVal="3664" oldVal="2865"/>
    <row newVal="3665" oldVal="2866"/>
    <row newVal="3666" oldVal="2867"/>
    <row newVal="3667" oldVal="2868"/>
    <row newVal="3668" oldVal="2869"/>
    <row newVal="3669" oldVal="2870"/>
    <row newVal="3670" oldVal="2871"/>
    <row newVal="3671" oldVal="2872"/>
    <row newVal="3672" oldVal="2873"/>
    <row newVal="3673" oldVal="2874"/>
    <row newVal="3674" oldVal="2875"/>
    <row newVal="3675" oldVal="2876"/>
    <row newVal="3676" oldVal="2877"/>
    <row newVal="3677" oldVal="2878"/>
    <row newVal="3678" oldVal="2879"/>
    <row newVal="3679" oldVal="2880"/>
    <row newVal="3680" oldVal="2881"/>
    <row newVal="3681" oldVal="2882"/>
    <row newVal="3682" oldVal="2883"/>
    <row newVal="3683" oldVal="2884"/>
    <row newVal="3684" oldVal="2885"/>
    <row newVal="3685" oldVal="2886"/>
    <row newVal="3686" oldVal="2887"/>
    <row newVal="3687" oldVal="2888"/>
    <row newVal="3688" oldVal="2889"/>
    <row newVal="3689" oldVal="2890"/>
    <row newVal="3690" oldVal="2891"/>
    <row newVal="3691" oldVal="2892"/>
    <row newVal="3692" oldVal="2893"/>
    <row newVal="3693" oldVal="2894"/>
    <row newVal="3694" oldVal="2895"/>
    <row newVal="3695" oldVal="2896"/>
    <row newVal="3696" oldVal="2897"/>
    <row newVal="3697" oldVal="2898"/>
    <row newVal="3698" oldVal="2899"/>
    <row newVal="3699" oldVal="2900"/>
    <row newVal="3700" oldVal="2901"/>
    <row newVal="3701" oldVal="2902"/>
    <row newVal="3702" oldVal="2903"/>
    <row newVal="3703" oldVal="2904"/>
    <row newVal="3704" oldVal="2905"/>
    <row newVal="3705" oldVal="2906"/>
    <row newVal="3706" oldVal="2907"/>
    <row newVal="3707" oldVal="2908"/>
    <row newVal="3708" oldVal="2909"/>
    <row newVal="3709" oldVal="2910"/>
    <row newVal="3710" oldVal="2911"/>
    <row newVal="3711" oldVal="2912"/>
    <row newVal="3712" oldVal="2913"/>
    <row newVal="3713" oldVal="5439"/>
    <row newVal="3714" oldVal="2914"/>
    <row newVal="3715" oldVal="2915"/>
    <row newVal="3716" oldVal="2916"/>
    <row newVal="3717" oldVal="2917"/>
    <row newVal="3718" oldVal="2918"/>
    <row newVal="3719" oldVal="2919"/>
    <row newVal="3720" oldVal="2920"/>
    <row newVal="3721" oldVal="2921"/>
    <row newVal="3722" oldVal="5440"/>
    <row newVal="3723" oldVal="2922"/>
    <row newVal="3724" oldVal="2923"/>
    <row newVal="3725" oldVal="2924"/>
    <row newVal="3726" oldVal="2925"/>
    <row newVal="3727" oldVal="2926"/>
    <row newVal="3728" oldVal="2927"/>
    <row newVal="3729" oldVal="5441"/>
    <row newVal="3730" oldVal="5442"/>
    <row newVal="3731" oldVal="2928"/>
    <row newVal="3732" oldVal="2929"/>
    <row newVal="3733" oldVal="2930"/>
    <row newVal="3734" oldVal="2931"/>
    <row newVal="3735" oldVal="2932"/>
    <row newVal="3736" oldVal="2933"/>
    <row newVal="3737" oldVal="2934"/>
    <row newVal="3738" oldVal="2935"/>
    <row newVal="3739" oldVal="2936"/>
    <row newVal="3740" oldVal="2937"/>
    <row newVal="3741" oldVal="2938"/>
    <row newVal="3742" oldVal="5832"/>
    <row newVal="3743" oldVal="5833"/>
    <row newVal="3744" oldVal="5834"/>
    <row newVal="3745" oldVal="5835"/>
    <row newVal="3746" oldVal="5836"/>
    <row newVal="3747" oldVal="5837"/>
    <row newVal="3748" oldVal="5838"/>
    <row newVal="3749" oldVal="5443"/>
    <row newVal="3750" oldVal="5839"/>
    <row newVal="3751" oldVal="2939"/>
    <row newVal="3752" oldVal="2940"/>
    <row newVal="3753" oldVal="2941"/>
    <row newVal="3754" oldVal="2942"/>
    <row newVal="3755" oldVal="2943"/>
    <row newVal="3756" oldVal="2944"/>
    <row newVal="3757" oldVal="2945"/>
    <row newVal="3758" oldVal="2946"/>
    <row newVal="3759" oldVal="2947"/>
    <row newVal="3760" oldVal="2948"/>
    <row newVal="3761" oldVal="3186"/>
    <row newVal="3762" oldVal="3187"/>
    <row newVal="3763" oldVal="2949"/>
    <row newVal="3764" oldVal="2950"/>
    <row newVal="3765" oldVal="2951"/>
    <row newVal="3766" oldVal="2952"/>
    <row newVal="3767" oldVal="2953"/>
    <row newVal="3768" oldVal="3193"/>
    <row newVal="3769" oldVal="3194"/>
    <row newVal="3770" oldVal="2954"/>
    <row newVal="3771" oldVal="2955"/>
    <row newVal="3772" oldVal="2956"/>
    <row newVal="3773" oldVal="2957"/>
    <row newVal="3774" oldVal="2958"/>
    <row newVal="3775" oldVal="2959"/>
    <row newVal="3776" oldVal="2960"/>
    <row newVal="3777" oldVal="2961"/>
    <row newVal="3778" oldVal="2962"/>
    <row newVal="3779" oldVal="5444"/>
    <row newVal="3780" oldVal="2963"/>
    <row newVal="3781" oldVal="2964"/>
    <row newVal="3782" oldVal="2965"/>
    <row newVal="3783" oldVal="2966"/>
    <row newVal="3784" oldVal="2967"/>
    <row newVal="3785" oldVal="2968"/>
    <row newVal="3786" oldVal="2969"/>
    <row newVal="3787" oldVal="2970"/>
    <row newVal="3788" oldVal="2971"/>
    <row newVal="3789" oldVal="2972"/>
    <row newVal="3790" oldVal="2973"/>
    <row newVal="3791" oldVal="2974"/>
    <row newVal="3792" oldVal="2975"/>
    <row newVal="3793" oldVal="2976"/>
    <row newVal="3794" oldVal="2977"/>
    <row newVal="3795" oldVal="2978"/>
    <row newVal="3796" oldVal="2979"/>
    <row newVal="3797" oldVal="2980"/>
    <row newVal="3798" oldVal="2981"/>
    <row newVal="3799" oldVal="2982"/>
    <row newVal="3800" oldVal="2983"/>
    <row newVal="3801" oldVal="2984"/>
    <row newVal="3802" oldVal="2985"/>
    <row newVal="3803" oldVal="6452"/>
    <row newVal="3804" oldVal="2986"/>
    <row newVal="3805" oldVal="2987"/>
    <row newVal="3806" oldVal="2988"/>
    <row newVal="3807" oldVal="2989"/>
    <row newVal="3808" oldVal="5445"/>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3003"/>
    <row newVal="3823" oldVal="3004"/>
    <row newVal="3824" oldVal="3005"/>
    <row newVal="3825" oldVal="3006"/>
    <row newVal="3826" oldVal="3007"/>
    <row newVal="3827" oldVal="3008"/>
    <row newVal="3828" oldVal="3009"/>
    <row newVal="3829" oldVal="3010"/>
    <row newVal="3830" oldVal="3011"/>
    <row newVal="3831" oldVal="3012"/>
    <row newVal="3832" oldVal="3013"/>
    <row newVal="3833" oldVal="3014"/>
    <row newVal="3834" oldVal="3015"/>
    <row newVal="3835" oldVal="3016"/>
    <row newVal="3836" oldVal="3017"/>
    <row newVal="3837" oldVal="3018"/>
    <row newVal="3838" oldVal="3019"/>
    <row newVal="3839" oldVal="3020"/>
    <row newVal="3840" oldVal="3021"/>
    <row newVal="3841" oldVal="3022"/>
    <row newVal="3842" oldVal="3023"/>
    <row newVal="3843" oldVal="3024"/>
    <row newVal="3844" oldVal="3025"/>
    <row newVal="3845" oldVal="3026"/>
    <row newVal="3846" oldVal="3027"/>
    <row newVal="3847" oldVal="3028"/>
    <row newVal="3848" oldVal="3029"/>
    <row newVal="3849" oldVal="3030"/>
    <row newVal="3850" oldVal="3031"/>
    <row newVal="3851" oldVal="3032"/>
    <row newVal="3852" oldVal="3033"/>
    <row newVal="3853" oldVal="3034"/>
    <row newVal="3854" oldVal="3035"/>
    <row newVal="3855" oldVal="3036"/>
    <row newVal="3856" oldVal="3037"/>
    <row newVal="3857" oldVal="3038"/>
    <row newVal="3858" oldVal="3039"/>
    <row newVal="3859" oldVal="3040"/>
    <row newVal="3860" oldVal="3041"/>
    <row newVal="3861" oldVal="3042"/>
    <row newVal="3862" oldVal="3043"/>
    <row newVal="3863" oldVal="3044"/>
    <row newVal="3864" oldVal="3045"/>
    <row newVal="3865" oldVal="3046"/>
    <row newVal="3866" oldVal="3047"/>
    <row newVal="3867" oldVal="3048"/>
    <row newVal="3868" oldVal="3049"/>
    <row newVal="3869" oldVal="3050"/>
    <row newVal="3870" oldVal="3051"/>
    <row newVal="3871" oldVal="3052"/>
    <row newVal="3872" oldVal="3053"/>
    <row newVal="3873" oldVal="3054"/>
    <row newVal="3874" oldVal="3055"/>
    <row newVal="3875" oldVal="3056"/>
    <row newVal="3876" oldVal="3057"/>
    <row newVal="3877" oldVal="3058"/>
    <row newVal="3878" oldVal="5980"/>
    <row newVal="3879" oldVal="3059"/>
    <row newVal="3880" oldVal="3060"/>
    <row newVal="3881" oldVal="3061"/>
    <row newVal="3882" oldVal="3062"/>
    <row newVal="3883" oldVal="3063"/>
    <row newVal="3884" oldVal="3064"/>
    <row newVal="3885" oldVal="3065"/>
    <row newVal="3886" oldVal="3066"/>
    <row newVal="3887" oldVal="3067"/>
    <row newVal="3888" oldVal="3068"/>
    <row newVal="3889" oldVal="3069"/>
    <row newVal="3890" oldVal="3070"/>
    <row newVal="3891" oldVal="3071"/>
    <row newVal="3892" oldVal="3072"/>
    <row newVal="3893" oldVal="3073"/>
    <row newVal="3894" oldVal="3074"/>
    <row newVal="3895" oldVal="6453"/>
    <row newVal="3896" oldVal="3317"/>
    <row newVal="3897" oldVal="3075"/>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5840"/>
    <row newVal="3910" oldVal="3087"/>
    <row newVal="3911" oldVal="3088"/>
    <row newVal="3912" oldVal="3089"/>
    <row newVal="3913" oldVal="3090"/>
    <row newVal="3914" oldVal="3091"/>
    <row newVal="3915" oldVal="3092"/>
    <row newVal="3916" oldVal="3093"/>
    <row newVal="3917" oldVal="3094"/>
    <row newVal="3918" oldVal="3095"/>
    <row newVal="3919" oldVal="3096"/>
    <row newVal="3920" oldVal="3097"/>
    <row newVal="3921" oldVal="3098"/>
    <row newVal="3922" oldVal="3099"/>
    <row newVal="3923" oldVal="3100"/>
    <row newVal="3924" oldVal="3101"/>
    <row newVal="3925" oldVal="3102"/>
    <row newVal="3926" oldVal="3103"/>
    <row newVal="3927" oldVal="3104"/>
    <row newVal="3928" oldVal="3105"/>
    <row newVal="3929" oldVal="3106"/>
    <row newVal="3930" oldVal="3107"/>
    <row newVal="3931" oldVal="3108"/>
    <row newVal="3932" oldVal="3109"/>
    <row newVal="3933" oldVal="3110"/>
    <row newVal="3934" oldVal="3111"/>
    <row newVal="3935" oldVal="3112"/>
    <row newVal="3936" oldVal="3113"/>
    <row newVal="3937" oldVal="3114"/>
    <row newVal="3938" oldVal="3115"/>
    <row newVal="3939" oldVal="3116"/>
    <row newVal="3940" oldVal="3117"/>
    <row newVal="3941" oldVal="3118"/>
    <row newVal="3942" oldVal="3119"/>
    <row newVal="3943" oldVal="3120"/>
    <row newVal="3944" oldVal="3121"/>
    <row newVal="3945" oldVal="3122"/>
    <row newVal="3946" oldVal="3123"/>
    <row newVal="3947" oldVal="3124"/>
    <row newVal="3948" oldVal="3125"/>
    <row newVal="3949" oldVal="3126"/>
    <row newVal="3950" oldVal="3127"/>
    <row newVal="3951" oldVal="3128"/>
    <row newVal="3952" oldVal="3129"/>
    <row newVal="3953" oldVal="3130"/>
    <row newVal="3954" oldVal="3131"/>
    <row newVal="3955" oldVal="3132"/>
    <row newVal="3956" oldVal="3133"/>
    <row newVal="3957" oldVal="3134"/>
    <row newVal="3958" oldVal="3135"/>
    <row newVal="3959" oldVal="3136"/>
    <row newVal="3960" oldVal="3137"/>
    <row newVal="3961" oldVal="3138"/>
    <row newVal="3962" oldVal="3139"/>
    <row newVal="3963" oldVal="3140"/>
    <row newVal="3964" oldVal="3141"/>
    <row newVal="3965" oldVal="3142"/>
    <row newVal="3966" oldVal="5841"/>
    <row newVal="3967" oldVal="3143"/>
    <row newVal="3968" oldVal="3144"/>
    <row newVal="3969" oldVal="3145"/>
    <row newVal="3970" oldVal="3146"/>
    <row newVal="3971" oldVal="3147"/>
    <row newVal="3972" oldVal="3148"/>
    <row newVal="3973" oldVal="3149"/>
    <row newVal="3974" oldVal="3150"/>
    <row newVal="3975" oldVal="5842"/>
    <row newVal="3976" oldVal="3151"/>
    <row newVal="3977" oldVal="3152"/>
    <row newVal="3978" oldVal="3153"/>
    <row newVal="3979" oldVal="3154"/>
    <row newVal="3980" oldVal="3155"/>
    <row newVal="3981" oldVal="3156"/>
    <row newVal="3982" oldVal="5843"/>
    <row newVal="3983" oldVal="5844"/>
    <row newVal="3984" oldVal="3157"/>
    <row newVal="3985" oldVal="3158"/>
    <row newVal="3986" oldVal="3159"/>
    <row newVal="3987" oldVal="3160"/>
    <row newVal="3988" oldVal="3161"/>
    <row newVal="3989" oldVal="3162"/>
    <row newVal="3990" oldVal="3163"/>
    <row newVal="3991" oldVal="3164"/>
    <row newVal="3992" oldVal="3165"/>
    <row newVal="3993" oldVal="3166"/>
    <row newVal="3994" oldVal="3167"/>
    <row newVal="3995" oldVal="3168"/>
    <row newVal="3996" oldVal="3169"/>
    <row newVal="3997" oldVal="3170"/>
    <row newVal="3998" oldVal="3171"/>
    <row newVal="3999" oldVal="3420"/>
    <row newVal="4000" oldVal="3421"/>
    <row newVal="4001" oldVal="3172"/>
    <row newVal="4002" oldVal="3173"/>
    <row newVal="4003" oldVal="3174"/>
    <row newVal="4004" oldVal="5845"/>
    <row newVal="4005" oldVal="3175"/>
    <row newVal="4006" oldVal="3176"/>
    <row newVal="4007" oldVal="3177"/>
    <row newVal="4008" oldVal="3178"/>
    <row newVal="4009" oldVal="3179"/>
    <row newVal="4010" oldVal="3180"/>
    <row newVal="4011" oldVal="3181"/>
    <row newVal="4012" oldVal="5606"/>
    <row newVal="4013" oldVal="3182"/>
    <row newVal="4014" oldVal="3183"/>
    <row newVal="4015" oldVal="6454"/>
    <row newVal="4016" oldVal="3184"/>
    <row newVal="4017" oldVal="3185"/>
    <row newVal="4018" oldVal="3188"/>
    <row newVal="4019" oldVal="3189"/>
    <row newVal="4020" oldVal="3190"/>
    <row newVal="4021" oldVal="3191"/>
    <row newVal="4022" oldVal="3192"/>
    <row newVal="4023" oldVal="3195"/>
    <row newVal="4024" oldVal="3196"/>
    <row newVal="4025" oldVal="3197"/>
    <row newVal="4026" oldVal="3198"/>
    <row newVal="4027" oldVal="3199"/>
    <row newVal="4028" oldVal="3200"/>
    <row newVal="4029" oldVal="3201"/>
    <row newVal="4030" oldVal="3202"/>
    <row newVal="4031" oldVal="3203"/>
    <row newVal="4032" oldVal="5846"/>
    <row newVal="4033" oldVal="3204"/>
    <row newVal="4034" oldVal="3205"/>
    <row newVal="4035" oldVal="3206"/>
    <row newVal="4036" oldVal="3207"/>
    <row newVal="4037" oldVal="3208"/>
    <row newVal="4038" oldVal="3209"/>
    <row newVal="4039" oldVal="3210"/>
    <row newVal="4040" oldVal="3211"/>
    <row newVal="4041" oldVal="3212"/>
    <row newVal="4042" oldVal="3213"/>
    <row newVal="4043" oldVal="5626"/>
    <row newVal="4044" oldVal="5627"/>
    <row newVal="4045" oldVal="3214"/>
    <row newVal="4046" oldVal="3215"/>
    <row newVal="4047" oldVal="3216"/>
    <row newVal="4048" oldVal="3217"/>
    <row newVal="4049" oldVal="3218"/>
    <row newVal="4050" oldVal="3219"/>
    <row newVal="4051" oldVal="3220"/>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847"/>
    <row newVal="4063" oldVal="3231"/>
    <row newVal="4064" oldVal="3232"/>
    <row newVal="4065" oldVal="3233"/>
    <row newVal="4066" oldVal="3234"/>
    <row newVal="4067" oldVal="3235"/>
    <row newVal="4068" oldVal="3236"/>
    <row newVal="4069" oldVal="3237"/>
    <row newVal="4070" oldVal="3238"/>
    <row newVal="4071" oldVal="6152"/>
    <row newVal="4072" oldVal="6455"/>
    <row newVal="4073" oldVal="3239"/>
    <row newVal="4074" oldVal="3240"/>
    <row newVal="4075" oldVal="3241"/>
    <row newVal="4076" oldVal="3242"/>
    <row newVal="4077" oldVal="3243"/>
    <row newVal="4078" oldVal="3244"/>
    <row newVal="4079" oldVal="3245"/>
    <row newVal="4080" oldVal="3246"/>
    <row newVal="4081" oldVal="3247"/>
    <row newVal="4082" oldVal="3248"/>
    <row newVal="4083" oldVal="3249"/>
    <row newVal="4084" oldVal="5446"/>
    <row newVal="4085" oldVal="3250"/>
    <row newVal="4086" oldVal="3251"/>
    <row newVal="4087" oldVal="3252"/>
    <row newVal="4088" oldVal="3253"/>
    <row newVal="4089" oldVal="3254"/>
    <row newVal="4090" oldVal="3255"/>
    <row newVal="4091" oldVal="3256"/>
    <row newVal="4092" oldVal="64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3267"/>
    <row newVal="4104" oldVal="3268"/>
    <row newVal="4105" oldVal="3269"/>
    <row newVal="4106" oldVal="3270"/>
    <row newVal="4107" oldVal="3271"/>
    <row newVal="4108" oldVal="3272"/>
    <row newVal="4109" oldVal="3273"/>
    <row newVal="4110" oldVal="3274"/>
    <row newVal="4111" oldVal="3275"/>
    <row newVal="4112" oldVal="3276"/>
    <row newVal="4113" oldVal="3277"/>
    <row newVal="4114" oldVal="3278"/>
    <row newVal="4115" oldVal="3279"/>
    <row newVal="4116" oldVal="3280"/>
    <row newVal="4117" oldVal="3281"/>
    <row newVal="4118" oldVal="3282"/>
    <row newVal="4119" oldVal="3283"/>
    <row newVal="4120" oldVal="3284"/>
    <row newVal="4121" oldVal="3285"/>
    <row newVal="4122" oldVal="3286"/>
    <row newVal="4123" oldVal="3287"/>
    <row newVal="4124" oldVal="3288"/>
    <row newVal="4125" oldVal="3289"/>
    <row newVal="4126" oldVal="3290"/>
    <row newVal="4127" oldVal="5615"/>
    <row newVal="4128" oldVal="3291"/>
    <row newVal="4129" oldVal="3292"/>
    <row newVal="4130" oldVal="3293"/>
    <row newVal="4131" oldVal="3294"/>
    <row newVal="4132" oldVal="3295"/>
    <row newVal="4133" oldVal="3296"/>
    <row newVal="4134" oldVal="3297"/>
    <row newVal="4135" oldVal="3298"/>
    <row newVal="4136" oldVal="3299"/>
    <row newVal="4137" oldVal="3300"/>
    <row newVal="4138" oldVal="3301"/>
    <row newVal="4139" oldVal="3302"/>
    <row newVal="4140" oldVal="3303"/>
    <row newVal="4141" oldVal="3304"/>
    <row newVal="4142" oldVal="3305"/>
    <row newVal="4143" oldVal="3306"/>
    <row newVal="4144" oldVal="3307"/>
    <row newVal="4145" oldVal="3308"/>
    <row newVal="4146" oldVal="3309"/>
    <row newVal="4147" oldVal="3310"/>
    <row newVal="4148" oldVal="3311"/>
    <row newVal="4149" oldVal="3312"/>
    <row newVal="4150" oldVal="3313"/>
    <row newVal="4151" oldVal="3314"/>
    <row newVal="4152" oldVal="3315"/>
    <row newVal="4153" oldVal="5447"/>
    <row newVal="4154" oldVal="3316"/>
    <row newVal="4155" oldVal="3318"/>
    <row newVal="4156" oldVal="3319"/>
    <row newVal="4157" oldVal="3320"/>
    <row newVal="4158" oldVal="3321"/>
    <row newVal="4159" oldVal="3322"/>
    <row newVal="4160" oldVal="3323"/>
    <row newVal="4161" oldVal="3324"/>
    <row newVal="4162" oldVal="5448"/>
    <row newVal="4163" oldVal="3325"/>
    <row newVal="4164" oldVal="3326"/>
    <row newVal="4165" oldVal="3327"/>
    <row newVal="4166" oldVal="3328"/>
    <row newVal="4167" oldVal="3329"/>
    <row newVal="4168" oldVal="3330"/>
    <row newVal="4169" oldVal="6457"/>
    <row newVal="4170" oldVal="3331"/>
    <row newVal="4171" oldVal="3332"/>
    <row newVal="4172" oldVal="3333"/>
    <row newVal="4173" oldVal="3334"/>
    <row newVal="4174" oldVal="3335"/>
    <row newVal="4175" oldVal="3336"/>
    <row newVal="4176" oldVal="6458"/>
    <row newVal="4177" oldVal="3337"/>
    <row newVal="4178" oldVal="5449"/>
    <row newVal="4179" oldVal="3338"/>
    <row newVal="4180" oldVal="3339"/>
    <row newVal="4181" oldVal="3340"/>
    <row newVal="4182" oldVal="3341"/>
    <row newVal="4183" oldVal="3342"/>
    <row newVal="4184" oldVal="3343"/>
    <row newVal="4185" oldVal="6459"/>
    <row newVal="4186" oldVal="3344"/>
    <row newVal="4187" oldVal="3345"/>
    <row newVal="4188" oldVal="3346"/>
    <row newVal="4189" oldVal="3347"/>
    <row newVal="4190" oldVal="3348"/>
    <row newVal="4191" oldVal="3349"/>
    <row newVal="4192" oldVal="3350"/>
    <row newVal="4193" oldVal="3351"/>
    <row newVal="4194" oldVal="3352"/>
    <row newVal="4195" oldVal="3353"/>
    <row newVal="4196" oldVal="3354"/>
    <row newVal="4197" oldVal="6460"/>
    <row newVal="4198" oldVal="3355"/>
    <row newVal="4199" oldVal="3356"/>
    <row newVal="4200" oldVal="3357"/>
    <row newVal="4201" oldVal="3358"/>
    <row newVal="4202" oldVal="3359"/>
    <row newVal="4203" oldVal="3360"/>
    <row newVal="4204" oldVal="3361"/>
    <row newVal="4205" oldVal="3362"/>
    <row newVal="4206" oldVal="3363"/>
    <row newVal="4207" oldVal="3364"/>
    <row newVal="4208" oldVal="3365"/>
    <row newVal="4209" oldVal="3366"/>
    <row newVal="4210" oldVal="3367"/>
    <row newVal="4211" oldVal="3368"/>
    <row newVal="4212" oldVal="3369"/>
    <row newVal="4213" oldVal="6461"/>
    <row newVal="4214" oldVal="3370"/>
    <row newVal="4215" oldVal="3371"/>
    <row newVal="4216" oldVal="3377"/>
    <row newVal="4217" oldVal="6462"/>
    <row newVal="4218" oldVal="3373"/>
    <row newVal="4219" oldVal="6463"/>
    <row newVal="4220" oldVal="3374"/>
    <row newVal="4221" oldVal="3372"/>
    <row newVal="4222" oldVal="3376"/>
    <row newVal="4223" oldVal="6464"/>
    <row newVal="4224" oldVal="3375"/>
    <row newVal="4225" oldVal="6465"/>
    <row newVal="4226" oldVal="6466"/>
    <row newVal="4227" oldVal="6467"/>
    <row newVal="4228" oldVal="6468"/>
    <row newVal="4229" oldVal="6469"/>
    <row newVal="4230" oldVal="6470"/>
    <row newVal="4231" oldVal="6471"/>
    <row newVal="4232" oldVal="6472"/>
    <row newVal="4233" oldVal="6473"/>
    <row newVal="4234" oldVal="3378"/>
    <row newVal="4235" oldVal="3379"/>
    <row newVal="4236" oldVal="3380"/>
    <row newVal="4237" oldVal="3381"/>
    <row newVal="4238" oldVal="3382"/>
    <row newVal="4239" oldVal="3383"/>
    <row newVal="4240" oldVal="3384"/>
    <row newVal="4241" oldVal="3385"/>
    <row newVal="4242" oldVal="3386"/>
    <row newVal="4243" oldVal="5451"/>
    <row newVal="4244" oldVal="3387"/>
    <row newVal="4245" oldVal="3388"/>
    <row newVal="4246" oldVal="3389"/>
    <row newVal="4247" oldVal="3390"/>
    <row newVal="4248" oldVal="3391"/>
    <row newVal="4249" oldVal="3392"/>
    <row newVal="4250" oldVal="3393"/>
    <row newVal="4251" oldVal="3394"/>
    <row newVal="4252" oldVal="3395"/>
    <row newVal="4253" oldVal="3396"/>
    <row newVal="4254" oldVal="3397"/>
    <row newVal="4255" oldVal="3398"/>
    <row newVal="4256" oldVal="3399"/>
    <row newVal="4257" oldVal="3400"/>
    <row newVal="4258" oldVal="3401"/>
    <row newVal="4259" oldVal="3402"/>
    <row newVal="4260" oldVal="3403"/>
    <row newVal="4261" oldVal="3404"/>
    <row newVal="4262" oldVal="3405"/>
    <row newVal="4263" oldVal="3406"/>
    <row newVal="4264" oldVal="3407"/>
    <row newVal="4265" oldVal="3408"/>
    <row newVal="4266" oldVal="3409"/>
    <row newVal="4267" oldVal="3410"/>
    <row newVal="4268" oldVal="3411"/>
    <row newVal="4269" oldVal="3412"/>
    <row newVal="4270" oldVal="3413"/>
    <row newVal="4271" oldVal="6474"/>
    <row newVal="4272" oldVal="6475"/>
    <row newVal="4273" oldVal="3414"/>
    <row newVal="4274" oldVal="3415"/>
    <row newVal="4275" oldVal="3416"/>
    <row newVal="4276" oldVal="6476"/>
    <row newVal="4277" oldVal="5450"/>
    <row newVal="4278" oldVal="6477"/>
    <row newVal="4279" oldVal="6478"/>
    <row newVal="4280" oldVal="6479"/>
    <row newVal="4281" oldVal="6480"/>
    <row newVal="4282" oldVal="6481"/>
    <row newVal="4283" oldVal="3417"/>
    <row newVal="4284" oldVal="3418"/>
    <row newVal="4285" oldVal="3419"/>
    <row newVal="4286" oldVal="3422"/>
    <row newVal="4287" oldVal="3423"/>
    <row newVal="4288" oldVal="3424"/>
    <row newVal="4289" oldVal="5452"/>
    <row newVal="4290" oldVal="5453"/>
    <row newVal="4291" oldVal="5454"/>
    <row newVal="4292" oldVal="6482"/>
    <row newVal="4293" oldVal="5456"/>
    <row newVal="4294" oldVal="5457"/>
    <row newVal="4295" oldVal="5458"/>
    <row newVal="4296" oldVal="5459"/>
    <row newVal="4297" oldVal="5460"/>
    <row newVal="4298" oldVal="5461"/>
    <row newVal="4299" oldVal="5462"/>
    <row newVal="4300" oldVal="3425"/>
    <row newVal="4301" oldVal="3426"/>
    <row newVal="4302" oldVal="3427"/>
    <row newVal="4303" oldVal="3428"/>
    <row newVal="4304" oldVal="3429"/>
    <row newVal="4305" oldVal="3430"/>
    <row newVal="4306" oldVal="3431"/>
    <row newVal="4307" oldVal="3432"/>
    <row newVal="4308" oldVal="6013"/>
    <row newVal="4309" oldVal="3433"/>
    <row newVal="4310" oldVal="3434"/>
    <row newVal="4311" oldVal="3435"/>
    <row newVal="4312" oldVal="3436"/>
    <row newVal="4313" oldVal="3437"/>
    <row newVal="4314" oldVal="3438"/>
    <row newVal="4315" oldVal="3439"/>
    <row newVal="4316" oldVal="3440"/>
    <row newVal="4317" oldVal="3441"/>
    <row newVal="4318" oldVal="3442"/>
    <row newVal="4319" oldVal="3443"/>
    <row newVal="4320" oldVal="3444"/>
    <row newVal="4321" oldVal="3445"/>
    <row newVal="4322" oldVal="3446"/>
    <row newVal="4323" oldVal="3450"/>
    <row newVal="4324" oldVal="3453"/>
    <row newVal="4325" oldVal="3454"/>
    <row newVal="4326" oldVal="3455"/>
    <row newVal="4327" oldVal="3456"/>
    <row newVal="4328" oldVal="3457"/>
    <row newVal="4329" oldVal="3458"/>
    <row newVal="4330" oldVal="3459"/>
    <row newVal="4331" oldVal="3460"/>
    <row newVal="4332" oldVal="3461"/>
    <row newVal="4333" oldVal="3462"/>
    <row newVal="4334" oldVal="3463"/>
    <row newVal="4335" oldVal="3464"/>
    <row newVal="4336" oldVal="3465"/>
    <row newVal="4337" oldVal="3466"/>
    <row newVal="4338" oldVal="6033"/>
    <row newVal="4339" oldVal="6034"/>
    <row newVal="4340" oldVal="3467"/>
    <row newVal="4341" oldVal="3468"/>
    <row newVal="4342" oldVal="3469"/>
    <row newVal="4343" oldVal="3470"/>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3485"/>
    <row newVal="4359" oldVal="3486"/>
    <row newVal="4360" oldVal="3487"/>
    <row newVal="4361" oldVal="3488"/>
    <row newVal="4362" oldVal="3489"/>
    <row newVal="4363" oldVal="3490"/>
    <row newVal="4364" oldVal="3491"/>
    <row newVal="4365" oldVal="3492"/>
    <row newVal="4366" oldVal="3493"/>
    <row newVal="4367" oldVal="3494"/>
    <row newVal="4368" oldVal="3495"/>
    <row newVal="4369" oldVal="3496"/>
    <row newVal="4370" oldVal="3497"/>
    <row newVal="4371" oldVal="3498"/>
    <row newVal="4372" oldVal="3499"/>
    <row newVal="4373" oldVal="3500"/>
    <row newVal="4374" oldVal="3501"/>
    <row newVal="4375" oldVal="3502"/>
    <row newVal="4376" oldVal="3503"/>
    <row newVal="4377" oldVal="5848"/>
    <row newVal="4378" oldVal="3504"/>
    <row newVal="4379" oldVal="3505"/>
    <row newVal="4380" oldVal="3506"/>
    <row newVal="4381" oldVal="3507"/>
    <row newVal="4382" oldVal="3508"/>
    <row newVal="4383" oldVal="3509"/>
    <row newVal="4384" oldVal="3510"/>
    <row newVal="4385" oldVal="3511"/>
    <row newVal="4386" oldVal="3512"/>
    <row newVal="4387" oldVal="3513"/>
    <row newVal="4388" oldVal="3514"/>
    <row newVal="4389" oldVal="3515"/>
    <row newVal="4390" oldVal="3516"/>
    <row newVal="4391" oldVal="3517"/>
    <row newVal="4392" oldVal="3518"/>
    <row newVal="4393" oldVal="3519"/>
    <row newVal="4394" oldVal="3520"/>
    <row newVal="4395" oldVal="3521"/>
    <row newVal="4396" oldVal="3522"/>
    <row newVal="4397" oldVal="3523"/>
    <row newVal="4398" oldVal="3524"/>
    <row newVal="4399" oldVal="3525"/>
    <row newVal="4400" oldVal="3526"/>
    <row newVal="4401" oldVal="3527"/>
    <row newVal="4402" oldVal="3528"/>
    <row newVal="4403" oldVal="3529"/>
    <row newVal="4404" oldVal="3530"/>
    <row newVal="4405" oldVal="3531"/>
    <row newVal="4406" oldVal="3532"/>
    <row newVal="4407" oldVal="3533"/>
    <row newVal="4408" oldVal="3534"/>
    <row newVal="4409" oldVal="3535"/>
    <row newVal="4410" oldVal="3536"/>
    <row newVal="4411" oldVal="3537"/>
    <row newVal="4412" oldVal="3538"/>
    <row newVal="4413" oldVal="3539"/>
    <row newVal="4414" oldVal="3540"/>
    <row newVal="4415" oldVal="3541"/>
    <row newVal="4416" oldVal="3542"/>
    <row newVal="4417" oldVal="3543"/>
    <row newVal="4418" oldVal="3544"/>
    <row newVal="4419" oldVal="6022"/>
    <row newVal="4420" oldVal="3545"/>
    <row newVal="4421" oldVal="3546"/>
    <row newVal="4422" oldVal="3547"/>
    <row newVal="4423" oldVal="3548"/>
    <row newVal="4424" oldVal="3549"/>
    <row newVal="4425" oldVal="3550"/>
    <row newVal="4426" oldVal="3551"/>
    <row newVal="4427" oldVal="3552"/>
    <row newVal="4428" oldVal="3553"/>
    <row newVal="4429" oldVal="3554"/>
    <row newVal="4430" oldVal="3555"/>
    <row newVal="4431" oldVal="3556"/>
    <row newVal="4432" oldVal="3557"/>
    <row newVal="4433" oldVal="3558"/>
    <row newVal="4434" oldVal="3559"/>
    <row newVal="4435" oldVal="3560"/>
    <row newVal="4436" oldVal="3561"/>
    <row newVal="4437" oldVal="3562"/>
    <row newVal="4438" oldVal="3563"/>
    <row newVal="4439" oldVal="3564"/>
    <row newVal="4440" oldVal="3565"/>
    <row newVal="4441" oldVal="3566"/>
    <row newVal="4442" oldVal="3567"/>
    <row newVal="4443" oldVal="3568"/>
    <row newVal="4444" oldVal="3569"/>
    <row newVal="4445" oldVal="5849"/>
    <row newVal="4446" oldVal="3570"/>
    <row newVal="4447" oldVal="3571"/>
    <row newVal="4448" oldVal="3572"/>
    <row newVal="4449" oldVal="3573"/>
    <row newVal="4450" oldVal="3574"/>
    <row newVal="4451" oldVal="3575"/>
    <row newVal="4452" oldVal="3576"/>
    <row newVal="4453" oldVal="3577"/>
    <row newVal="4454" oldVal="5850"/>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3588"/>
    <row newVal="4466" oldVal="3589"/>
    <row newVal="4467" oldVal="3590"/>
    <row newVal="4468" oldVal="5851"/>
    <row newVal="4469" oldVal="3591"/>
    <row newVal="4470" oldVal="3592"/>
    <row newVal="4471" oldVal="3593"/>
    <row newVal="4472" oldVal="3594"/>
    <row newVal="4473" oldVal="3595"/>
    <row newVal="4474" oldVal="3596"/>
    <row newVal="4475" oldVal="3597"/>
    <row newVal="4476" oldVal="3598"/>
    <row newVal="4477" oldVal="3599"/>
    <row newVal="4478" oldVal="3600"/>
    <row newVal="4479" oldVal="3601"/>
    <row newVal="4480" oldVal="3602"/>
    <row newVal="4481" oldVal="3603"/>
    <row newVal="4482" oldVal="3604"/>
    <row newVal="4483" oldVal="3605"/>
    <row newVal="4484" oldVal="3606"/>
    <row newVal="4485" oldVal="3607"/>
    <row newVal="4486" oldVal="3608"/>
    <row newVal="4487" oldVal="3609"/>
    <row newVal="4488" oldVal="3610"/>
    <row newVal="4489" oldVal="3611"/>
    <row newVal="4490" oldVal="3612"/>
    <row newVal="4491" oldVal="3613"/>
    <row newVal="4492" oldVal="3614"/>
    <row newVal="4493" oldVal="3615"/>
    <row newVal="4494" oldVal="3616"/>
    <row newVal="4495" oldVal="3617"/>
    <row newVal="4496" oldVal="3618"/>
    <row newVal="4497" oldVal="3619"/>
    <row newVal="4498" oldVal="3620"/>
    <row newVal="4499" oldVal="3621"/>
    <row newVal="4500" oldVal="3622"/>
    <row newVal="4501" oldVal="3623"/>
    <row newVal="4502" oldVal="3624"/>
    <row newVal="4503" oldVal="3630"/>
    <row newVal="4504" oldVal="3626"/>
    <row newVal="4505" oldVal="3627"/>
    <row newVal="4506" oldVal="3625"/>
    <row newVal="4507" oldVal="3629"/>
    <row newVal="4508" oldVal="3628"/>
    <row newVal="4509" oldVal="3631"/>
    <row newVal="4510" oldVal="3632"/>
    <row newVal="4511" oldVal="3633"/>
    <row newVal="4512" oldVal="3634"/>
    <row newVal="4513" oldVal="3635"/>
    <row newVal="4514" oldVal="3636"/>
    <row newVal="4515" oldVal="3637"/>
    <row newVal="4516" oldVal="3638"/>
    <row newVal="4517" oldVal="3639"/>
    <row newVal="4518" oldVal="5853"/>
    <row newVal="4519" oldVal="3640"/>
    <row newVal="4520" oldVal="3641"/>
    <row newVal="4521" oldVal="3642"/>
    <row newVal="4522" oldVal="3643"/>
    <row newVal="4523" oldVal="3644"/>
    <row newVal="4524" oldVal="3645"/>
    <row newVal="4525" oldVal="3646"/>
    <row newVal="4526" oldVal="3647"/>
    <row newVal="4527" oldVal="3648"/>
    <row newVal="4528" oldVal="3649"/>
    <row newVal="4529" oldVal="3650"/>
    <row newVal="4530" oldVal="3651"/>
    <row newVal="4531" oldVal="3652"/>
    <row newVal="4532" oldVal="3653"/>
    <row newVal="4533" oldVal="3654"/>
    <row newVal="4534" oldVal="3655"/>
    <row newVal="4535" oldVal="3656"/>
    <row newVal="4536" oldVal="3657"/>
    <row newVal="4537" oldVal="3658"/>
    <row newVal="4538" oldVal="3659"/>
    <row newVal="4539" oldVal="3660"/>
    <row newVal="4540" oldVal="3661"/>
    <row newVal="4541" oldVal="3662"/>
    <row newVal="4542" oldVal="3663"/>
    <row newVal="4543" oldVal="3664"/>
    <row newVal="4544" oldVal="3665"/>
    <row newVal="4545" oldVal="3666"/>
    <row newVal="4546" oldVal="3667"/>
    <row newVal="4547" oldVal="3668"/>
    <row newVal="4548" oldVal="3669"/>
    <row newVal="4549" oldVal="5852"/>
    <row newVal="4550" oldVal="3670"/>
    <row newVal="4551" oldVal="3671"/>
    <row newVal="4552" oldVal="3672"/>
    <row newVal="4553" oldVal="3673"/>
    <row newVal="4554" oldVal="3674"/>
    <row newVal="4555" oldVal="5464"/>
    <row newVal="4556" oldVal="5465"/>
    <row newVal="4557" oldVal="3675"/>
    <row newVal="4558" oldVal="5466"/>
    <row newVal="4559" oldVal="5467"/>
    <row newVal="4560" oldVal="5468"/>
    <row newVal="4561" oldVal="5469"/>
    <row newVal="4562" oldVal="5470"/>
    <row newVal="4563" oldVal="5471"/>
    <row newVal="4564" oldVal="5472"/>
    <row newVal="4565" oldVal="5473"/>
    <row newVal="4566" oldVal="5474"/>
    <row newVal="4567" oldVal="5475"/>
    <row newVal="4568" oldVal="5476"/>
    <row newVal="4569" oldVal="5477"/>
    <row newVal="4570" oldVal="5478"/>
    <row newVal="4571" oldVal="5479"/>
    <row newVal="4572" oldVal="5480"/>
    <row newVal="4573" oldVal="5481"/>
    <row newVal="4574" oldVal="5482"/>
    <row newVal="4575" oldVal="5483"/>
    <row newVal="4576" oldVal="5484"/>
    <row newVal="4577" oldVal="5485"/>
    <row newVal="4578" oldVal="5486"/>
    <row newVal="4579" oldVal="5487"/>
    <row newVal="4580" oldVal="5488"/>
    <row newVal="4581" oldVal="5489"/>
    <row newVal="4582" oldVal="5490"/>
    <row newVal="4583" oldVal="5491"/>
    <row newVal="4584" oldVal="5492"/>
    <row newVal="4585" oldVal="5854"/>
    <row newVal="4586" oldVal="5855"/>
    <row newVal="4587" oldVal="5463"/>
    <row newVal="4588" oldVal="5856"/>
    <row newVal="4589" oldVal="5858"/>
    <row newVal="4590" oldVal="5859"/>
    <row newVal="4591" oldVal="5860"/>
    <row newVal="4592" oldVal="5861"/>
    <row newVal="4593" oldVal="5862"/>
    <row newVal="4594" oldVal="5863"/>
    <row newVal="4595" oldVal="5864"/>
    <row newVal="4596" oldVal="3676"/>
    <row newVal="4597" oldVal="3677"/>
    <row newVal="4598" oldVal="3678"/>
    <row newVal="4599" oldVal="3679"/>
    <row newVal="4600" oldVal="3680"/>
    <row newVal="4601" oldVal="3681"/>
    <row newVal="4602" oldVal="3682"/>
    <row newVal="4603" oldVal="3683"/>
    <row newVal="4604" oldVal="3684"/>
    <row newVal="4605" oldVal="3685"/>
    <row newVal="4606" oldVal="3686"/>
    <row newVal="4607" oldVal="3687"/>
    <row newVal="4608" oldVal="3688"/>
    <row newVal="4609" oldVal="3689"/>
    <row newVal="4610" oldVal="3690"/>
    <row newVal="4611" oldVal="3691"/>
    <row newVal="4612" oldVal="3692"/>
    <row newVal="4613" oldVal="3693"/>
    <row newVal="4614" oldVal="3694"/>
    <row newVal="4615" oldVal="3695"/>
    <row newVal="4616" oldVal="3696"/>
    <row newVal="4617" oldVal="3697"/>
    <row newVal="4618" oldVal="3698"/>
    <row newVal="4619" oldVal="3699"/>
    <row newVal="4620" oldVal="3700"/>
    <row newVal="4621" oldVal="3701"/>
    <row newVal="4622" oldVal="3702"/>
    <row newVal="4623" oldVal="3703"/>
    <row newVal="4624" oldVal="3704"/>
    <row newVal="4625" oldVal="3705"/>
    <row newVal="4626" oldVal="3706"/>
    <row newVal="4627" oldVal="3707"/>
    <row newVal="4628" oldVal="3708"/>
    <row newVal="4629" oldVal="3709"/>
    <row newVal="4630" oldVal="3710"/>
    <row newVal="4631" oldVal="3711"/>
    <row newVal="4632" oldVal="3712"/>
    <row newVal="4633" oldVal="3713"/>
    <row newVal="4634" oldVal="3714"/>
    <row newVal="4635" oldVal="3715"/>
    <row newVal="4636" oldVal="3716"/>
    <row newVal="4637" oldVal="3717"/>
    <row newVal="4638" oldVal="3718"/>
    <row newVal="4639" oldVal="3719"/>
    <row newVal="4640" oldVal="3720"/>
    <row newVal="4641" oldVal="3721"/>
    <row newVal="4642" oldVal="3722"/>
    <row newVal="4643" oldVal="3723"/>
    <row newVal="4644" oldVal="3724"/>
    <row newVal="4645" oldVal="3725"/>
    <row newVal="4646" oldVal="3726"/>
    <row newVal="4647" oldVal="3727"/>
    <row newVal="4648" oldVal="3728"/>
    <row newVal="4649" oldVal="3729"/>
    <row newVal="4650" oldVal="3730"/>
    <row newVal="4651" oldVal="3731"/>
    <row newVal="4652" oldVal="3732"/>
    <row newVal="4653" oldVal="3733"/>
    <row newVal="4654" oldVal="3734"/>
    <row newVal="4655" oldVal="3735"/>
    <row newVal="4656" oldVal="3736"/>
    <row newVal="4657" oldVal="3737"/>
    <row newVal="4658" oldVal="3738"/>
    <row newVal="4659" oldVal="3739"/>
    <row newVal="4660" oldVal="3740"/>
    <row newVal="4661" oldVal="3741"/>
    <row newVal="4662" oldVal="3742"/>
    <row newVal="4663" oldVal="3743"/>
    <row newVal="4664" oldVal="3744"/>
    <row newVal="4665" oldVal="3745"/>
    <row newVal="4666" oldVal="3746"/>
    <row newVal="4667" oldVal="3747"/>
    <row newVal="4668" oldVal="3748"/>
    <row newVal="4669" oldVal="3749"/>
    <row newVal="4670" oldVal="3750"/>
    <row newVal="4671" oldVal="3751"/>
    <row newVal="4672" oldVal="3752"/>
    <row newVal="4673" oldVal="3753"/>
    <row newVal="4674" oldVal="3754"/>
    <row newVal="4675" oldVal="3755"/>
    <row newVal="4676" oldVal="3756"/>
    <row newVal="4677" oldVal="3757"/>
    <row newVal="4678" oldVal="3758"/>
    <row newVal="4679" oldVal="3759"/>
    <row newVal="4680" oldVal="3760"/>
    <row newVal="4681" oldVal="3761"/>
    <row newVal="4682" oldVal="3762"/>
    <row newVal="4683" oldVal="3763"/>
    <row newVal="4684" oldVal="3764"/>
    <row newVal="4685" oldVal="3765"/>
    <row newVal="4686" oldVal="3766"/>
    <row newVal="4687" oldVal="3767"/>
    <row newVal="4688" oldVal="3768"/>
    <row newVal="4689" oldVal="3769"/>
    <row newVal="4690" oldVal="3770"/>
    <row newVal="4691" oldVal="3771"/>
    <row newVal="4692" oldVal="3772"/>
    <row newVal="4693" oldVal="3773"/>
    <row newVal="4694" oldVal="3774"/>
    <row newVal="4695" oldVal="3775"/>
    <row newVal="4696" oldVal="3776"/>
    <row newVal="4697" oldVal="3777"/>
    <row newVal="4698" oldVal="3778"/>
    <row newVal="4699" oldVal="3779"/>
    <row newVal="4700" oldVal="3780"/>
    <row newVal="4701" oldVal="3781"/>
    <row newVal="4702" oldVal="3782"/>
    <row newVal="4703" oldVal="3783"/>
    <row newVal="4704" oldVal="3784"/>
    <row newVal="4705" oldVal="3785"/>
    <row newVal="4706" oldVal="3786"/>
    <row newVal="4707" oldVal="3787"/>
    <row newVal="4708" oldVal="5499"/>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3807"/>
    <row newVal="4729" oldVal="3808"/>
    <row newVal="4730" oldVal="3809"/>
    <row newVal="4731" oldVal="3810"/>
    <row newVal="4732" oldVal="3811"/>
    <row newVal="4733" oldVal="3812"/>
    <row newVal="4734" oldVal="3813"/>
    <row newVal="4735" oldVal="3814"/>
    <row newVal="4736" oldVal="3815"/>
    <row newVal="4737" oldVal="3816"/>
    <row newVal="4738" oldVal="3817"/>
    <row newVal="4739" oldVal="3818"/>
    <row newVal="4740" oldVal="3819"/>
    <row newVal="4741" oldVal="3820"/>
    <row newVal="4742" oldVal="3821"/>
    <row newVal="4743" oldVal="3822"/>
    <row newVal="4744" oldVal="3823"/>
    <row newVal="4745" oldVal="3824"/>
    <row newVal="4746" oldVal="3825"/>
    <row newVal="4747" oldVal="3826"/>
    <row newVal="4748" oldVal="3827"/>
    <row newVal="4749" oldVal="3828"/>
    <row newVal="4750" oldVal="3829"/>
    <row newVal="4751" oldVal="3830"/>
    <row newVal="4752" oldVal="3831"/>
    <row newVal="4753" oldVal="3832"/>
    <row newVal="4754" oldVal="3833"/>
    <row newVal="4755" oldVal="3834"/>
    <row newVal="4756" oldVal="3835"/>
    <row newVal="4757" oldVal="3836"/>
    <row newVal="4758" oldVal="3837"/>
    <row newVal="4759" oldVal="3838"/>
    <row newVal="4760" oldVal="3839"/>
    <row newVal="4761" oldVal="3840"/>
    <row newVal="4762" oldVal="3841"/>
    <row newVal="4763" oldVal="3842"/>
    <row newVal="4764" oldVal="3843"/>
    <row newVal="4765" oldVal="3844"/>
    <row newVal="4766" oldVal="3845"/>
    <row newVal="4767" oldVal="3846"/>
    <row newVal="4768" oldVal="6483"/>
    <row newVal="4769" oldVal="6484"/>
    <row newVal="4770" oldVal="6485"/>
    <row newVal="4771" oldVal="3847"/>
    <row newVal="4772" oldVal="3848"/>
    <row newVal="4773" oldVal="3849"/>
    <row newVal="4774" oldVal="3850"/>
    <row newVal="4775" oldVal="3851"/>
    <row newVal="4776" oldVal="3852"/>
    <row newVal="4777" oldVal="3853"/>
    <row newVal="4778" oldVal="3854"/>
    <row newVal="4779" oldVal="3855"/>
    <row newVal="4780" oldVal="5641"/>
    <row newVal="4781" oldVal="5642"/>
    <row newVal="4782" oldVal="3856"/>
    <row newVal="4783" oldVal="3857"/>
    <row newVal="4784" oldVal="3858"/>
    <row newVal="4785" oldVal="3859"/>
    <row newVal="4786" oldVal="3860"/>
    <row newVal="4787" oldVal="3861"/>
    <row newVal="4788" oldVal="3862"/>
    <row newVal="4789" oldVal="3863"/>
    <row newVal="4790" oldVal="3864"/>
    <row newVal="4791" oldVal="3865"/>
    <row newVal="4792" oldVal="3866"/>
    <row newVal="4793" oldVal="3867"/>
    <row newVal="4794" oldVal="3868"/>
    <row newVal="4795" oldVal="3869"/>
    <row newVal="4796" oldVal="3870"/>
    <row newVal="4797" oldVal="3871"/>
    <row newVal="4798" oldVal="3872"/>
    <row newVal="4799" oldVal="3873"/>
    <row newVal="4800" oldVal="3874"/>
    <row newVal="4801" oldVal="3875"/>
    <row newVal="4802" oldVal="3876"/>
    <row newVal="4803" oldVal="3877"/>
    <row newVal="4804" oldVal="3878"/>
    <row newVal="4805" oldVal="3879"/>
    <row newVal="4806" oldVal="3880"/>
    <row newVal="4807" oldVal="3881"/>
    <row newVal="4808" oldVal="3882"/>
    <row newVal="4809" oldVal="3883"/>
    <row newVal="4810" oldVal="3884"/>
    <row newVal="4811" oldVal="3885"/>
    <row newVal="4812" oldVal="3886"/>
    <row newVal="4813" oldVal="3887"/>
    <row newVal="4814" oldVal="3888"/>
    <row newVal="4815" oldVal="3889"/>
    <row newVal="4816" oldVal="3890"/>
    <row newVal="4817" oldVal="3891"/>
    <row newVal="4818" oldVal="3892"/>
    <row newVal="4819" oldVal="3893"/>
    <row newVal="4820" oldVal="3894"/>
    <row newVal="4821" oldVal="3895"/>
    <row newVal="4822" oldVal="6486"/>
    <row newVal="4823" oldVal="6487"/>
    <row newVal="4824" oldVal="6488"/>
    <row newVal="4825" oldVal="6489"/>
    <row newVal="4826" oldVal="6490"/>
    <row newVal="4827" oldVal="6491"/>
    <row newVal="4828" oldVal="6492"/>
    <row newVal="4829" oldVal="6493"/>
    <row newVal="4830" oldVal="6494"/>
    <row newVal="4831" oldVal="6495"/>
    <row newVal="4832" oldVal="6496"/>
    <row newVal="4833" oldVal="6497"/>
    <row newVal="4834" oldVal="6498"/>
    <row newVal="4835" oldVal="6499"/>
    <row newVal="4836" oldVal="6500"/>
    <row newVal="4837" oldVal="6501"/>
    <row newVal="4838" oldVal="6502"/>
    <row newVal="4839" oldVal="3896"/>
    <row newVal="4840" oldVal="3897"/>
    <row newVal="4841" oldVal="3898"/>
    <row newVal="4842" oldVal="3899"/>
    <row newVal="4843" oldVal="3900"/>
    <row newVal="4844" oldVal="6503"/>
    <row newVal="4845" oldVal="6504"/>
    <row newVal="4846" oldVal="6505"/>
    <row newVal="4847" oldVal="6506"/>
    <row newVal="4848" oldVal="6507"/>
    <row newVal="4849" oldVal="6508"/>
    <row newVal="4850" oldVal="6509"/>
    <row newVal="4851" oldVal="6510"/>
    <row newVal="4852" oldVal="6511"/>
    <row newVal="4853" oldVal="6512"/>
    <row newVal="4854" oldVal="6513"/>
    <row newVal="4855" oldVal="6514"/>
    <row newVal="4856" oldVal="6515"/>
    <row newVal="4857" oldVal="6516"/>
    <row newVal="4858" oldVal="5500"/>
    <row newVal="4859" oldVal="3901"/>
    <row newVal="4860" oldVal="3902"/>
    <row newVal="4861" oldVal="5501"/>
    <row newVal="4862" oldVal="3903"/>
    <row newVal="4863" oldVal="3904"/>
    <row newVal="4864" oldVal="3905"/>
    <row newVal="4865" oldVal="3906"/>
    <row newVal="4866" oldVal="3907"/>
    <row newVal="4867" oldVal="3908"/>
    <row newVal="4868" oldVal="3909"/>
    <row newVal="4869" oldVal="3910"/>
    <row newVal="4870" oldVal="3911"/>
    <row newVal="4871" oldVal="5502"/>
    <row newVal="4872" oldVal="3912"/>
    <row newVal="4873" oldVal="3913"/>
    <row newVal="4874" oldVal="3914"/>
    <row newVal="4875" oldVal="3915"/>
    <row newVal="4876" oldVal="3916"/>
    <row newVal="4877" oldVal="3917"/>
    <row newVal="4878" oldVal="5503"/>
    <row newVal="4879" oldVal="3918"/>
    <row newVal="4880" oldVal="3919"/>
    <row newVal="4881" oldVal="5504"/>
    <row newVal="4882" oldVal="5505"/>
    <row newVal="4883" oldVal="3920"/>
    <row newVal="4884" oldVal="3921"/>
    <row newVal="4885" oldVal="3922"/>
    <row newVal="4886" oldVal="3923"/>
    <row newVal="4887" oldVal="5506"/>
    <row newVal="4888" oldVal="3924"/>
    <row newVal="4889" oldVal="6517"/>
    <row newVal="4890" oldVal="6518"/>
    <row newVal="4891" oldVal="3925"/>
    <row newVal="4892" oldVal="3926"/>
    <row newVal="4893" oldVal="3927"/>
    <row newVal="4894" oldVal="3928"/>
    <row newVal="4895" oldVal="3929"/>
    <row newVal="4896" oldVal="3930"/>
    <row newVal="4897" oldVal="5866"/>
    <row newVal="4898" oldVal="5867"/>
    <row newVal="4899" oldVal="3931"/>
    <row newVal="4900" oldVal="5868"/>
    <row newVal="4901" oldVal="5869"/>
    <row newVal="4902" oldVal="5870"/>
    <row newVal="4903" oldVal="5871"/>
    <row newVal="4904" oldVal="5872"/>
    <row newVal="4905" oldVal="5873"/>
    <row newVal="4906" oldVal="5874"/>
    <row newVal="4907" oldVal="5875"/>
    <row newVal="4908" oldVal="5876"/>
    <row newVal="4909" oldVal="5877"/>
    <row newVal="4910" oldVal="5878"/>
    <row newVal="4911" oldVal="5879"/>
    <row newVal="4912" oldVal="5880"/>
    <row newVal="4913" oldVal="5881"/>
    <row newVal="4914" oldVal="5882"/>
    <row newVal="4915" oldVal="5883"/>
    <row newVal="4916" oldVal="5884"/>
    <row newVal="4917" oldVal="5885"/>
    <row newVal="4918" oldVal="5886"/>
    <row newVal="4919" oldVal="5887"/>
    <row newVal="4920" oldVal="5888"/>
    <row newVal="4921" oldVal="5889"/>
    <row newVal="4922" oldVal="5890"/>
    <row newVal="4923" oldVal="5891"/>
    <row newVal="4924" oldVal="5892"/>
    <row newVal="4925" oldVal="5893"/>
    <row newVal="4926" oldVal="5894"/>
    <row newVal="4927" oldVal="3932"/>
    <row newVal="4928" oldVal="3933"/>
    <row newVal="4929" oldVal="5865"/>
    <row newVal="4930" oldVal="3934"/>
    <row newVal="4931" oldVal="3935"/>
    <row newVal="4932" oldVal="3936"/>
    <row newVal="4933" oldVal="6519"/>
    <row newVal="4934" oldVal="3937"/>
    <row newVal="4935" oldVal="3938"/>
    <row newVal="4936" oldVal="3939"/>
    <row newVal="4937" oldVal="3940"/>
    <row newVal="4938" oldVal="3941"/>
    <row newVal="4939" oldVal="3942"/>
    <row newVal="4940" oldVal="3943"/>
    <row newVal="4941" oldVal="3944"/>
    <row newVal="4942" oldVal="3945"/>
    <row newVal="4943" oldVal="3946"/>
    <row newVal="4944" oldVal="3947"/>
    <row newVal="4945" oldVal="3948"/>
    <row newVal="4946" oldVal="3949"/>
    <row newVal="4947" oldVal="3950"/>
    <row newVal="4948" oldVal="3951"/>
    <row newVal="4949" oldVal="3952"/>
    <row newVal="4950" oldVal="3953"/>
    <row newVal="4951" oldVal="3954"/>
    <row newVal="4952" oldVal="3955"/>
    <row newVal="4953" oldVal="3956"/>
    <row newVal="4954" oldVal="3957"/>
    <row newVal="4955" oldVal="3958"/>
    <row newVal="4956" oldVal="3959"/>
    <row newVal="4957" oldVal="3960"/>
    <row newVal="4958" oldVal="3961"/>
    <row newVal="4959" oldVal="3962"/>
    <row newVal="4960" oldVal="3963"/>
    <row newVal="4961" oldVal="3964"/>
    <row newVal="4962" oldVal="3965"/>
    <row newVal="4963" oldVal="3966"/>
    <row newVal="4964" oldVal="3967"/>
    <row newVal="4965" oldVal="3968"/>
    <row newVal="4966" oldVal="3969"/>
    <row newVal="4967" oldVal="3970"/>
    <row newVal="4968" oldVal="3971"/>
    <row newVal="4969" oldVal="3972"/>
    <row newVal="4970" oldVal="3973"/>
    <row newVal="4971" oldVal="5580"/>
    <row newVal="4972" oldVal="5599"/>
    <row newVal="4973" oldVal="5581"/>
    <row newVal="4974" oldVal="5582"/>
    <row newVal="4975" oldVal="3974"/>
    <row newVal="4976" oldVal="3975"/>
    <row newVal="4977" oldVal="3976"/>
    <row newVal="4978" oldVal="3977"/>
    <row newVal="4979" oldVal="5634"/>
    <row newVal="4980" oldVal="5635"/>
    <row newVal="4981" oldVal="5636"/>
    <row newVal="4982" oldVal="5637"/>
    <row newVal="4983" oldVal="6520"/>
    <row newVal="4984" oldVal="5610"/>
    <row newVal="4985" oldVal="5611"/>
    <row newVal="4986" oldVal="5612"/>
    <row newVal="4987" oldVal="3978"/>
    <row newVal="4988" oldVal="3979"/>
    <row newVal="4989" oldVal="3980"/>
    <row newVal="4990" oldVal="3981"/>
    <row newVal="4991" oldVal="3982"/>
    <row newVal="4992" oldVal="3983"/>
    <row newVal="4993" oldVal="3984"/>
    <row newVal="4994" oldVal="3985"/>
    <row newVal="4995" oldVal="6521"/>
    <row newVal="4996" oldVal="6522"/>
    <row newVal="4997" oldVal="6523"/>
    <row newVal="4998" oldVal="3986"/>
    <row newVal="4999" oldVal="3987"/>
    <row newVal="5000" oldVal="3988"/>
    <row newVal="5001" oldVal="3989"/>
    <row newVal="5002" oldVal="3990"/>
    <row newVal="5003" oldVal="3991"/>
    <row newVal="5004" oldVal="3992"/>
    <row newVal="5005" oldVal="3993"/>
    <row newVal="5006" oldVal="3994"/>
    <row newVal="5007" oldVal="3995"/>
    <row newVal="5008" oldVal="3996"/>
    <row newVal="5009" oldVal="3997"/>
    <row newVal="5010" oldVal="3998"/>
    <row newVal="5011" oldVal="3999"/>
    <row newVal="5012" oldVal="4000"/>
    <row newVal="5013" oldVal="4001"/>
    <row newVal="5014" oldVal="4002"/>
    <row newVal="5015" oldVal="4003"/>
    <row newVal="5016" oldVal="4004"/>
    <row newVal="5017" oldVal="4005"/>
    <row newVal="5018" oldVal="4006"/>
    <row newVal="5019" oldVal="4007"/>
    <row newVal="5020" oldVal="4008"/>
    <row newVal="5021" oldVal="4009"/>
    <row newVal="5022" oldVal="4010"/>
    <row newVal="5023" oldVal="4011"/>
    <row newVal="5024" oldVal="4012"/>
    <row newVal="5025" oldVal="4013"/>
    <row newVal="5026" oldVal="4014"/>
    <row newVal="5027" oldVal="4015"/>
    <row newVal="5028" oldVal="4016"/>
    <row newVal="5029" oldVal="4017"/>
    <row newVal="5030" oldVal="4018"/>
    <row newVal="5031" oldVal="4019"/>
    <row newVal="5032" oldVal="4020"/>
    <row newVal="5033" oldVal="4021"/>
    <row newVal="5034" oldVal="4022"/>
    <row newVal="5035" oldVal="4023"/>
    <row newVal="5036" oldVal="4024"/>
    <row newVal="5037" oldVal="4025"/>
    <row newVal="5038" oldVal="4026"/>
    <row newVal="5039" oldVal="4027"/>
    <row newVal="5040" oldVal="4028"/>
    <row newVal="5041" oldVal="4029"/>
    <row newVal="5042" oldVal="4030"/>
    <row newVal="5043" oldVal="4031"/>
    <row newVal="5044" oldVal="4032"/>
    <row newVal="5045" oldVal="4033"/>
    <row newVal="5046" oldVal="4034"/>
    <row newVal="5047" oldVal="4035"/>
    <row newVal="5048" oldVal="4036"/>
    <row newVal="5049" oldVal="4037"/>
    <row newVal="5050" oldVal="4038"/>
    <row newVal="5051" oldVal="4039"/>
    <row newVal="5052" oldVal="4040"/>
    <row newVal="5053" oldVal="4041"/>
    <row newVal="5054" oldVal="4042"/>
    <row newVal="5055" oldVal="4043"/>
    <row newVal="5056" oldVal="4044"/>
    <row newVal="5057" oldVal="4045"/>
    <row newVal="5058" oldVal="4046"/>
    <row newVal="5059" oldVal="4047"/>
    <row newVal="5060" oldVal="4048"/>
    <row newVal="5061" oldVal="4049"/>
    <row newVal="5062" oldVal="4050"/>
    <row newVal="5063" oldVal="4051"/>
    <row newVal="5064" oldVal="4052"/>
    <row newVal="5065" oldVal="4053"/>
    <row newVal="5066" oldVal="5901"/>
    <row newVal="5067" oldVal="4054"/>
    <row newVal="5068" oldVal="4055"/>
    <row newVal="5069" oldVal="4056"/>
    <row newVal="5070" oldVal="4057"/>
    <row newVal="5071" oldVal="4058"/>
    <row newVal="5072" oldVal="6524"/>
    <row newVal="5073" oldVal="4059"/>
    <row newVal="5074" oldVal="4060"/>
    <row newVal="5075" oldVal="4061"/>
    <row newVal="5076" oldVal="4062"/>
    <row newVal="5077" oldVal="4063"/>
    <row newVal="5078" oldVal="4064"/>
    <row newVal="5079" oldVal="6100"/>
    <row newVal="5080" oldVal="4065"/>
    <row newVal="5081" oldVal="4066"/>
    <row newVal="5082" oldVal="4067"/>
    <row newVal="5083" oldVal="4068"/>
    <row newVal="5084" oldVal="6097"/>
    <row newVal="5085" oldVal="4069"/>
    <row newVal="5086" oldVal="4070"/>
    <row newVal="5087" oldVal="4071"/>
    <row newVal="5088" oldVal="4072"/>
    <row newVal="5089" oldVal="6103"/>
    <row newVal="5090" oldVal="6525"/>
    <row newVal="5091" oldVal="4073"/>
    <row newVal="5092" oldVal="5507"/>
    <row newVal="5093" oldVal="4074"/>
    <row newVal="5094" oldVal="4075"/>
    <row newVal="5095" oldVal="4076"/>
    <row newVal="5096" oldVal="4077"/>
    <row newVal="5097" oldVal="4078"/>
    <row newVal="5098" oldVal="4079"/>
    <row newVal="5099" oldVal="4080"/>
    <row newVal="5100" oldVal="4081"/>
    <row newVal="5101" oldVal="6526"/>
    <row newVal="5102" oldVal="4082"/>
    <row newVal="5103" oldVal="4083"/>
    <row newVal="5104" oldVal="4084"/>
    <row newVal="5105" oldVal="4085"/>
    <row newVal="5106" oldVal="4086"/>
    <row newVal="5107" oldVal="4087"/>
    <row newVal="5108" oldVal="4088"/>
    <row newVal="5109" oldVal="4089"/>
    <row newVal="5110" oldVal="4090"/>
    <row newVal="5111" oldVal="4091"/>
    <row newVal="5112" oldVal="4092"/>
    <row newVal="5113" oldVal="4093"/>
    <row newVal="5114" oldVal="4094"/>
    <row newVal="5115" oldVal="4095"/>
    <row newVal="5116" oldVal="4096"/>
    <row newVal="5117" oldVal="4097"/>
    <row newVal="5118" oldVal="4098"/>
    <row newVal="5119" oldVal="4099"/>
    <row newVal="5120" oldVal="4100"/>
    <row newVal="5121" oldVal="4101"/>
    <row newVal="5122" oldVal="4102"/>
    <row newVal="5123" oldVal="4103"/>
    <row newVal="5124" oldVal="4104"/>
    <row newVal="5125" oldVal="4105"/>
    <row newVal="5126" oldVal="4106"/>
    <row newVal="5127" oldVal="4107"/>
    <row newVal="5128" oldVal="4108"/>
    <row newVal="5129" oldVal="4109"/>
    <row newVal="5130" oldVal="4110"/>
    <row newVal="5131" oldVal="6527"/>
    <row newVal="5132" oldVal="6528"/>
    <row newVal="5133" oldVal="6529"/>
    <row newVal="5134" oldVal="6530"/>
    <row newVal="5135" oldVal="4111"/>
    <row newVal="5136" oldVal="4112"/>
    <row newVal="5137" oldVal="4113"/>
    <row newVal="5138" oldVal="4114"/>
    <row newVal="5139" oldVal="4115"/>
    <row newVal="5140" oldVal="4116"/>
    <row newVal="5141" oldVal="4117"/>
    <row newVal="5142" oldVal="4118"/>
    <row newVal="5143" oldVal="4119"/>
    <row newVal="5144" oldVal="4120"/>
    <row newVal="5145" oldVal="4121"/>
    <row newVal="5146" oldVal="6048"/>
    <row newVal="5147" oldVal="6049"/>
    <row newVal="5148" oldVal="4122"/>
    <row newVal="5149" oldVal="4123"/>
    <row newVal="5150" oldVal="4124"/>
    <row newVal="5151" oldVal="4125"/>
    <row newVal="5152" oldVal="4126"/>
    <row newVal="5153" oldVal="4127"/>
    <row newVal="5154" oldVal="4128"/>
    <row newVal="5155" oldVal="4129"/>
    <row newVal="5156" oldVal="4130"/>
    <row newVal="5157" oldVal="4131"/>
    <row newVal="5158" oldVal="4132"/>
    <row newVal="5159" oldVal="4133"/>
    <row newVal="5160" oldVal="4134"/>
    <row newVal="5161" oldVal="4135"/>
    <row newVal="5162" oldVal="4136"/>
    <row newVal="5163" oldVal="4137"/>
    <row newVal="5164" oldVal="4138"/>
    <row newVal="5165" oldVal="4139"/>
    <row newVal="5166" oldVal="4140"/>
    <row newVal="5167" oldVal="4141"/>
    <row newVal="5168" oldVal="4142"/>
    <row newVal="5169" oldVal="4143"/>
    <row newVal="5170" oldVal="4144"/>
    <row newVal="5171" oldVal="4145"/>
    <row newVal="5172" oldVal="5338"/>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5508"/>
    <row newVal="5188" oldVal="4160"/>
    <row newVal="5189" oldVal="4161"/>
    <row newVal="5190" oldVal="4162"/>
    <row newVal="5191" oldVal="4163"/>
    <row newVal="5192" oldVal="4164"/>
    <row newVal="5193" oldVal="4165"/>
    <row newVal="5194" oldVal="5273"/>
    <row newVal="5195" oldVal="5509"/>
    <row newVal="5196" oldVal="6531"/>
    <row newVal="5197" oldVal="5609"/>
    <row newVal="5198" oldVal="6532"/>
    <row newVal="5199" oldVal="6533"/>
    <row newVal="5200" oldVal="6534"/>
    <row newVal="5201" oldVal="6535"/>
    <row newVal="5202" oldVal="6536"/>
    <row newVal="5203" oldVal="6537"/>
    <row newVal="5204" oldVal="6538"/>
    <row newVal="5205" oldVal="6539"/>
    <row newVal="5206" oldVal="6540"/>
    <row newVal="5207" oldVal="6095"/>
    <row newVal="5208" oldVal="5663"/>
    <row newVal="5209" oldVal="5664"/>
    <row newVal="5210" oldVal="5902"/>
    <row newVal="5211" oldVal="4166"/>
    <row newVal="5212" oldVal="4167"/>
    <row newVal="5213" oldVal="5903"/>
    <row newVal="5214" oldVal="4168"/>
    <row newVal="5215" oldVal="4169"/>
    <row newVal="5216" oldVal="6541"/>
    <row newVal="5217" oldVal="6542"/>
    <row newVal="5218" oldVal="6113"/>
    <row newVal="5219" oldVal="6111"/>
    <row newVal="5220" oldVal="6112"/>
    <row newVal="5221" oldVal="6102"/>
    <row newVal="5222" oldVal="6543"/>
    <row newVal="5223" oldVal="6544"/>
    <row newVal="5224" oldVal="6545"/>
    <row newVal="5225" oldVal="6128"/>
    <row newVal="5226" oldVal="6129"/>
    <row newVal="5227" oldVal="6138"/>
    <row newVal="5228" oldVal="6154"/>
    <row newVal="5229" oldVal="6546"/>
    <row newVal="5230" oldVal="6547"/>
    <row newVal="5231" oldVal="6548"/>
    <row newVal="5232" oldVal="6549"/>
    <row newVal="5233" oldVal="6124"/>
    <row newVal="5234" oldVal="6144"/>
    <row newVal="5235" oldVal="6150"/>
    <row newVal="5236" oldVal="6145"/>
    <row newVal="5237" oldVal="6126"/>
    <row newVal="5238" oldVal="6153"/>
    <row newVal="5239" oldVal="6550"/>
    <row newVal="5240" oldVal="6551"/>
    <row newVal="5241" oldVal="4170"/>
    <row newVal="5242" oldVal="4171"/>
    <row newVal="5243" oldVal="4172"/>
    <row newVal="5244" oldVal="5510"/>
    <row newVal="5245" oldVal="4173"/>
    <row newVal="5246" oldVal="4174"/>
    <row newVal="5247" oldVal="4175"/>
    <row newVal="5248" oldVal="4176"/>
    <row newVal="5249" oldVal="5904"/>
    <row newVal="5250" oldVal="4177"/>
    <row newVal="5251" oldVal="4178"/>
    <row newVal="5252" oldVal="4179"/>
    <row newVal="5253" oldVal="4180"/>
    <row newVal="5254" oldVal="4181"/>
    <row newVal="5255" oldVal="4182"/>
    <row newVal="5256" oldVal="5905"/>
    <row newVal="5257" oldVal="4183"/>
    <row newVal="5258" oldVal="4184"/>
    <row newVal="5259" oldVal="5906"/>
    <row newVal="5260" oldVal="4489"/>
    <row newVal="5261" oldVal="4490"/>
    <row newVal="5262" oldVal="4491"/>
    <row newVal="5263" oldVal="4492"/>
    <row newVal="5264" oldVal="4493"/>
    <row newVal="5265" oldVal="4494"/>
    <row newVal="5266" oldVal="4495"/>
    <row newVal="5267" oldVal="4496"/>
    <row newVal="5268" oldVal="4497"/>
    <row newVal="5269" oldVal="4498"/>
    <row newVal="5270" oldVal="5907"/>
    <row newVal="5271" oldVal="4185"/>
    <row newVal="5272" oldVal="4186"/>
    <row newVal="5273" oldVal="4187"/>
    <row newVal="5274" oldVal="4188"/>
    <row newVal="5275" oldVal="5908"/>
    <row newVal="5276" oldVal="4189"/>
    <row newVal="5277" oldVal="4190"/>
    <row newVal="5278" oldVal="4191"/>
    <row newVal="5279" oldVal="4192"/>
    <row newVal="5280" oldVal="4193"/>
    <row newVal="5281" oldVal="4194"/>
    <row newVal="5282" oldVal="5624"/>
    <row newVal="5283" oldVal="4195"/>
    <row newVal="5284" oldVal="4196"/>
    <row newVal="5285" oldVal="4197"/>
    <row newVal="5286" oldVal="4198"/>
    <row newVal="5287" oldVal="4199"/>
    <row newVal="5288" oldVal="4200"/>
    <row newVal="5289" oldVal="4201"/>
    <row newVal="5290" oldVal="4202"/>
    <row newVal="5291" oldVal="4203"/>
    <row newVal="5292" oldVal="4204"/>
    <row newVal="5293" oldVal="4205"/>
    <row newVal="5294" oldVal="4206"/>
    <row newVal="5295" oldVal="4207"/>
    <row newVal="5296" oldVal="4208"/>
    <row newVal="5297" oldVal="4209"/>
    <row newVal="5298" oldVal="4210"/>
    <row newVal="5299" oldVal="4211"/>
    <row newVal="5300" oldVal="4212"/>
    <row newVal="5301" oldVal="4213"/>
    <row newVal="5302" oldVal="4214"/>
    <row newVal="5303" oldVal="4215"/>
    <row newVal="5304" oldVal="6552"/>
    <row newVal="5305" oldVal="6553"/>
    <row newVal="5306" oldVal="4216"/>
    <row newVal="5307" oldVal="4217"/>
    <row newVal="5308" oldVal="4218"/>
    <row newVal="5309" oldVal="4219"/>
    <row newVal="5310" oldVal="4220"/>
    <row newVal="5311" oldVal="4221"/>
    <row newVal="5312" oldVal="6554"/>
    <row newVal="5313" oldVal="4222"/>
    <row newVal="5314" oldVal="4223"/>
    <row newVal="5315" oldVal="4224"/>
    <row newVal="5316" oldVal="4225"/>
    <row newVal="5317" oldVal="4226"/>
    <row newVal="5318" oldVal="4227"/>
    <row newVal="5319" oldVal="4228"/>
    <row newVal="5320" oldVal="4229"/>
    <row newVal="5321" oldVal="4230"/>
    <row newVal="5322" oldVal="4231"/>
    <row newVal="5323" oldVal="4232"/>
    <row newVal="5324" oldVal="4233"/>
    <row newVal="5325" oldVal="4234"/>
    <row newVal="5326" oldVal="4235"/>
    <row newVal="5327" oldVal="4236"/>
    <row newVal="5328" oldVal="4237"/>
    <row newVal="5329" oldVal="4238"/>
    <row newVal="5330" oldVal="4239"/>
    <row newVal="5331" oldVal="4240"/>
    <row newVal="5332" oldVal="4241"/>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5981"/>
    <row newVal="5361" oldVal="6006"/>
    <row newVal="5362" oldVal="6555"/>
    <row newVal="5363" oldVal="5982"/>
    <row newVal="5364" oldVal="5983"/>
    <row newVal="5365" oldVal="4269"/>
    <row newVal="5366" oldVal="4270"/>
    <row newVal="5367" oldVal="4271"/>
    <row newVal="5368" oldVal="4272"/>
    <row newVal="5369" oldVal="6041"/>
    <row newVal="5370" oldVal="6042"/>
    <row newVal="5371" oldVal="6043"/>
    <row newVal="5372" oldVal="6044"/>
    <row newVal="5373" oldVal="6017"/>
    <row newVal="5374" oldVal="6018"/>
    <row newVal="5375" oldVal="6019"/>
    <row newVal="5376" oldVal="4273"/>
    <row newVal="5377" oldVal="4274"/>
    <row newVal="5378" oldVal="4275"/>
    <row newVal="5379" oldVal="4276"/>
    <row newVal="5380" oldVal="4277"/>
    <row newVal="5381" oldVal="4278"/>
    <row newVal="5382" oldVal="4279"/>
    <row newVal="5383" oldVal="4280"/>
    <row newVal="5384" oldVal="4281"/>
    <row newVal="5385" oldVal="4282"/>
    <row newVal="5386" oldVal="4283"/>
    <row newVal="5387" oldVal="4284"/>
    <row newVal="5388" oldVal="4285"/>
    <row newVal="5389" oldVal="4286"/>
    <row newVal="5390" oldVal="4287"/>
    <row newVal="5391" oldVal="4288"/>
    <row newVal="5392" oldVal="4289"/>
    <row newVal="5393" oldVal="4290"/>
    <row newVal="5394" oldVal="6556"/>
    <row newVal="5395" oldVal="4291"/>
    <row newVal="5396" oldVal="5527"/>
    <row newVal="5397" oldVal="4292"/>
    <row newVal="5398" oldVal="4293"/>
    <row newVal="5399" oldVal="4294"/>
    <row newVal="5400" oldVal="4295"/>
    <row newVal="5401" oldVal="4296"/>
    <row newVal="5402" oldVal="4297"/>
    <row newVal="5403" oldVal="4298"/>
    <row newVal="5404" oldVal="4299"/>
    <row newVal="5405" oldVal="4300"/>
    <row newVal="5406" oldVal="4301"/>
    <row newVal="5407" oldVal="4302"/>
    <row newVal="5408" oldVal="4303"/>
    <row newVal="5409" oldVal="4304"/>
    <row newVal="5410" oldVal="4305"/>
    <row newVal="5411" oldVal="4306"/>
    <row newVal="5412" oldVal="4307"/>
    <row newVal="5413" oldVal="4308"/>
    <row newVal="5414" oldVal="4309"/>
    <row newVal="5415" oldVal="4310"/>
    <row newVal="5416" oldVal="4311"/>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6557"/>
    <row newVal="5429" oldVal="6558"/>
    <row newVal="5430" oldVal="4323"/>
    <row newVal="5431" oldVal="4324"/>
    <row newVal="5432" oldVal="4325"/>
    <row newVal="5433" oldVal="4326"/>
    <row newVal="5434" oldVal="4327"/>
    <row newVal="5435" oldVal="4328"/>
    <row newVal="5436" oldVal="4329"/>
    <row newVal="5437" oldVal="4330"/>
    <row newVal="5438" oldVal="6559"/>
    <row newVal="5439" oldVal="4331"/>
    <row newVal="5440" oldVal="4332"/>
    <row newVal="5441" oldVal="4333"/>
    <row newVal="5442" oldVal="4334"/>
    <row newVal="5443" oldVal="4335"/>
    <row newVal="5444" oldVal="4336"/>
    <row newVal="5445" oldVal="4337"/>
    <row newVal="5446" oldVal="4338"/>
    <row newVal="5447" oldVal="4339"/>
    <row newVal="5448" oldVal="4340"/>
    <row newVal="5449" oldVal="4341"/>
    <row newVal="5450" oldVal="4342"/>
    <row newVal="5451" oldVal="4343"/>
    <row newVal="5452" oldVal="4344"/>
    <row newVal="5453" oldVal="4345"/>
    <row newVal="5454" oldVal="4346"/>
    <row newVal="5455" oldVal="4347"/>
    <row newVal="5456" oldVal="6560"/>
    <row newVal="5457" oldVal="4348"/>
    <row newVal="5458" oldVal="4349"/>
    <row newVal="5459" oldVal="4350"/>
    <row newVal="5460" oldVal="4351"/>
    <row newVal="5461" oldVal="4352"/>
    <row newVal="5462" oldVal="4353"/>
    <row newVal="5463" oldVal="4354"/>
    <row newVal="5464" oldVal="4355"/>
    <row newVal="5465" oldVal="4356"/>
    <row newVal="5466" oldVal="4357"/>
    <row newVal="5467" oldVal="4358"/>
    <row newVal="5468" oldVal="4359"/>
    <row newVal="5469" oldVal="4360"/>
    <row newVal="5470" oldVal="4361"/>
    <row newVal="5471" oldVal="4362"/>
    <row newVal="5472" oldVal="4363"/>
    <row newVal="5473" oldVal="4364"/>
    <row newVal="5474" oldVal="6561"/>
    <row newVal="5475" oldVal="4365"/>
    <row newVal="5476" oldVal="4366"/>
    <row newVal="5477" oldVal="4367"/>
    <row newVal="5478" oldVal="4368"/>
    <row newVal="5479" oldVal="4369"/>
    <row newVal="5480" oldVal="5909"/>
    <row newVal="5481" oldVal="4370"/>
    <row newVal="5482" oldVal="4371"/>
    <row newVal="5483" oldVal="4372"/>
    <row newVal="5484" oldVal="4373"/>
    <row newVal="5485" oldVal="4374"/>
    <row newVal="5486" oldVal="4375"/>
    <row newVal="5487" oldVal="4376"/>
    <row newVal="5488" oldVal="4377"/>
    <row newVal="5489" oldVal="4378"/>
    <row newVal="5490" oldVal="4379"/>
    <row newVal="5491" oldVal="4380"/>
    <row newVal="5492" oldVal="4381"/>
    <row newVal="5493" oldVal="4382"/>
    <row newVal="5494" oldVal="4383"/>
    <row newVal="5495" oldVal="4384"/>
    <row newVal="5496" oldVal="4385"/>
    <row newVal="5497" oldVal="4386"/>
    <row newVal="5498" oldVal="4387"/>
    <row newVal="5499" oldVal="4388"/>
    <row newVal="5500" oldVal="4389"/>
    <row newVal="5501" oldVal="4390"/>
    <row newVal="5502" oldVal="4391"/>
    <row newVal="5503" oldVal="4392"/>
    <row newVal="5504" oldVal="4393"/>
    <row newVal="5505" oldVal="4394"/>
    <row newVal="5506" oldVal="4395"/>
    <row newVal="5507" oldVal="6562"/>
    <row newVal="5508" oldVal="6563"/>
    <row newVal="5509" oldVal="4396"/>
    <row newVal="5510" oldVal="4397"/>
    <row newVal="5511" oldVal="4398"/>
    <row newVal="5512" oldVal="4399"/>
    <row newVal="5513" oldVal="4400"/>
    <row newVal="5514" oldVal="4401"/>
    <row newVal="5515" oldVal="4402"/>
    <row newVal="5516" oldVal="4403"/>
    <row newVal="5517" oldVal="4404"/>
    <row newVal="5518" oldVal="4405"/>
    <row newVal="5519" oldVal="4406"/>
    <row newVal="5520" oldVal="4407"/>
    <row newVal="5521" oldVal="4408"/>
    <row newVal="5522" oldVal="4409"/>
    <row newVal="5523" oldVal="4410"/>
    <row newVal="5524" oldVal="4411"/>
    <row newVal="5525" oldVal="4412"/>
    <row newVal="5526" oldVal="4413"/>
    <row newVal="5527" oldVal="4414"/>
    <row newVal="5528" oldVal="4415"/>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5739"/>
    <row newVal="5559" oldVal="4445"/>
    <row newVal="5560" oldVal="6564"/>
    <row newVal="5561" oldVal="5528"/>
    <row newVal="5562" oldVal="4446"/>
    <row newVal="5563" oldVal="4447"/>
    <row newVal="5564" oldVal="4448"/>
    <row newVal="5565" oldVal="4449"/>
    <row newVal="5566" oldVal="4450"/>
    <row newVal="5567" oldVal="4451"/>
    <row newVal="5568" oldVal="4452"/>
    <row newVal="5569" oldVal="4453"/>
    <row newVal="5570" oldVal="4454"/>
    <row newVal="5571" oldVal="4455"/>
    <row newVal="5572" oldVal="4456"/>
    <row newVal="5573" oldVal="4457"/>
    <row newVal="5574" oldVal="5511"/>
    <row newVal="5575" oldVal="5512"/>
    <row newVal="5576" oldVal="5513"/>
    <row newVal="5577" oldVal="4458"/>
    <row newVal="5578" oldVal="5514"/>
    <row newVal="5579" oldVal="5515"/>
    <row newVal="5580" oldVal="5516"/>
    <row newVal="5581" oldVal="5517"/>
    <row newVal="5582" oldVal="5910"/>
    <row newVal="5583" oldVal="5518"/>
    <row newVal="5584" oldVal="4459"/>
    <row newVal="5585" oldVal="4460"/>
    <row newVal="5586" oldVal="4461"/>
    <row newVal="5587" oldVal="4462"/>
    <row newVal="5588" oldVal="6565"/>
    <row newVal="5589" oldVal="6566"/>
    <row newVal="5590" oldVal="4463"/>
    <row newVal="5591" oldVal="4464"/>
    <row newVal="5592" oldVal="5675"/>
    <row newVal="5593" oldVal="5911"/>
    <row newVal="5594" oldVal="6016"/>
    <row newVal="5595" oldVal="6070"/>
    <row newVal="5596" oldVal="6071"/>
    <row newVal="5597" oldVal="4465"/>
    <row newVal="5598" oldVal="6567"/>
    <row newVal="5599" oldVal="4466"/>
    <row newVal="5600" oldVal="5521"/>
    <row newVal="5601" oldVal="4467"/>
    <row newVal="5602" oldVal="4468"/>
    <row newVal="5603" oldVal="4469"/>
    <row newVal="5604" oldVal="5522"/>
    <row newVal="5605" oldVal="5523"/>
    <row newVal="5606" oldVal="5519"/>
    <row newVal="5607" oldVal="5520"/>
    <row newVal="5608" oldVal="6568"/>
    <row newVal="5609" oldVal="4470"/>
    <row newVal="5610" oldVal="4471"/>
    <row newVal="5611" oldVal="5524"/>
    <row newVal="5612" oldVal="4472"/>
    <row newVal="5613" oldVal="4473"/>
    <row newVal="5614" oldVal="5912"/>
    <row newVal="5615" oldVal="4474"/>
    <row newVal="5616" oldVal="4475"/>
    <row newVal="5617" oldVal="4476"/>
    <row newVal="5618" oldVal="6569"/>
    <row newVal="5619" oldVal="6570"/>
    <row newVal="5620" oldVal="5913"/>
    <row newVal="5621" oldVal="6571"/>
    <row newVal="5622" oldVal="5914"/>
    <row newVal="5623" oldVal="4479"/>
    <row newVal="5624" oldVal="4477"/>
    <row newVal="5625" oldVal="6572"/>
    <row newVal="5626" oldVal="4478"/>
    <row newVal="5627" oldVal="4480"/>
    <row newVal="5628" oldVal="6573"/>
    <row newVal="5629" oldVal="4481"/>
    <row newVal="5630" oldVal="4482"/>
    <row newVal="5631" oldVal="5525"/>
    <row newVal="5632" oldVal="5526"/>
    <row newVal="5633" oldVal="6574"/>
    <row newVal="5634" oldVal="4483"/>
    <row newVal="5635" oldVal="4484"/>
    <row newVal="5636" oldVal="4485"/>
    <row newVal="5637" oldVal="4486"/>
    <row newVal="5638" oldVal="4487"/>
    <row newVal="5639" oldVal="4488"/>
    <row newVal="5640" oldVal="4499"/>
    <row newVal="5641" oldVal="4500"/>
    <row newVal="5642" oldVal="4501"/>
    <row newVal="5643" oldVal="4502"/>
    <row newVal="5644" oldVal="4503"/>
    <row newVal="5645" oldVal="4504"/>
    <row newVal="5646" oldVal="4505"/>
    <row newVal="5647" oldVal="4506"/>
    <row newVal="5648" oldVal="4507"/>
    <row newVal="5649" oldVal="4508"/>
    <row newVal="5650" oldVal="4509"/>
    <row newVal="5651" oldVal="4510"/>
    <row newVal="5652" oldVal="6031"/>
    <row newVal="5653" oldVal="4511"/>
    <row newVal="5654" oldVal="4512"/>
    <row newVal="5655" oldVal="4513"/>
    <row newVal="5656" oldVal="4514"/>
    <row newVal="5657" oldVal="4515"/>
    <row newVal="5658" oldVal="4516"/>
    <row newVal="5659" oldVal="4517"/>
    <row newVal="5660" oldVal="4518"/>
    <row newVal="5661" oldVal="4519"/>
    <row newVal="5662" oldVal="4520"/>
    <row newVal="5663" oldVal="4521"/>
    <row newVal="5664" oldVal="4522"/>
    <row newVal="5665" oldVal="4523"/>
    <row newVal="5666" oldVal="4524"/>
    <row newVal="5667" oldVal="4525"/>
    <row newVal="5668" oldVal="4526"/>
    <row newVal="5669" oldVal="4527"/>
    <row newVal="5670" oldVal="4528"/>
    <row newVal="5671" oldVal="4529"/>
    <row newVal="5672" oldVal="4530"/>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6575"/>
    <row newVal="5700" oldVal="4557"/>
    <row newVal="5701" oldVal="5625"/>
    <row newVal="5702" oldVal="6576"/>
    <row newVal="5703" oldVal="6577"/>
    <row newVal="5704" oldVal="6578"/>
    <row newVal="5705" oldVal="6579"/>
    <row newVal="5706" oldVal="4558"/>
    <row newVal="5707" oldVal="4559"/>
    <row newVal="5708" oldVal="4560"/>
    <row newVal="5709" oldVal="4561"/>
    <row newVal="5710" oldVal="4562"/>
    <row newVal="5711" oldVal="5665"/>
    <row newVal="5712" oldVal="5652"/>
    <row newVal="5713" oldVal="5653"/>
    <row newVal="5714" oldVal="5654"/>
    <row newVal="5715" oldVal="5655"/>
    <row newVal="5716" oldVal="6580"/>
    <row newVal="5717" oldVal="5660"/>
    <row newVal="5718" oldVal="4563"/>
    <row newVal="5719" oldVal="4564"/>
    <row newVal="5720" oldVal="4565"/>
    <row newVal="5721" oldVal="4566"/>
    <row newVal="5722" oldVal="5289"/>
    <row newVal="5723" oldVal="5535"/>
    <row newVal="5724" oldVal="5288"/>
    <row newVal="5725" oldVal="5536"/>
    <row newVal="5726" oldVal="5290"/>
    <row newVal="5727" oldVal="5537"/>
    <row newVal="5728" oldVal="5538"/>
    <row newVal="5729" oldVal="5539"/>
    <row newVal="5730" oldVal="5272"/>
    <row newVal="5731" oldVal="5540"/>
    <row newVal="5732" oldVal="5541"/>
    <row newVal="5733" oldVal="5542"/>
    <row newVal="5734" oldVal="5543"/>
    <row newVal="5735" oldVal="5544"/>
    <row newVal="5736" oldVal="5545"/>
    <row newVal="5737" oldVal="5546"/>
    <row newVal="5738" oldVal="5547"/>
    <row newVal="5739" oldVal="5548"/>
    <row newVal="5740" oldVal="5549"/>
    <row newVal="5741" oldVal="5550"/>
    <row newVal="5742" oldVal="5551"/>
    <row newVal="5743" oldVal="5552"/>
    <row newVal="5744" oldVal="5553"/>
    <row newVal="5745" oldVal="5554"/>
    <row newVal="5746" oldVal="5555"/>
    <row newVal="5747" oldVal="5316"/>
    <row newVal="5748" oldVal="5556"/>
    <row newVal="5749" oldVal="5557"/>
    <row newVal="5750" oldVal="5329"/>
    <row newVal="5751" oldVal="5558"/>
    <row newVal="5752" oldVal="5559"/>
    <row newVal="5753" oldVal="5560"/>
    <row newVal="5754" oldVal="5304"/>
    <row newVal="5755" oldVal="5600"/>
    <row newVal="5756" oldVal="5287"/>
    <row newVal="5757" oldVal="5561"/>
    <row newVal="5758" oldVal="5562"/>
    <row newVal="5759" oldVal="5305"/>
    <row newVal="5760" oldVal="5306"/>
    <row newVal="5761" oldVal="5307"/>
    <row newVal="5762" oldVal="5563"/>
    <row newVal="5763" oldVal="6581"/>
    <row newVal="5764" oldVal="5630"/>
    <row newVal="5765" oldVal="6582"/>
    <row newVal="5766" oldVal="6583"/>
    <row newVal="5767" oldVal="6584"/>
    <row newVal="5768" oldVal="6585"/>
    <row newVal="5769" oldVal="6586"/>
    <row newVal="5770" oldVal="6587"/>
    <row newVal="5771" oldVal="6588"/>
    <row newVal="5772" oldVal="6589"/>
    <row newVal="5773" oldVal="5578"/>
    <row newVal="5774" oldVal="6590"/>
    <row newVal="5775" oldVal="6591"/>
    <row newVal="5776" oldVal="6592"/>
    <row newVal="5777" oldVal="5308"/>
    <row newVal="5778" oldVal="5529"/>
    <row newVal="5779" oldVal="5530"/>
    <row newVal="5780" oldVal="5531"/>
    <row newVal="5781" oldVal="5532"/>
    <row newVal="5782" oldVal="5667"/>
    <row newVal="5783" oldVal="5533"/>
    <row newVal="5784" oldVal="5534"/>
    <row newVal="5785" oldVal="6593"/>
    <row newVal="5786" oldVal="6594"/>
    <row newVal="5787" oldVal="6595"/>
    <row newVal="5788" oldVal="6596"/>
    <row newVal="5789" oldVal="6597"/>
    <row newVal="5790" oldVal="6598"/>
    <row newVal="5791" oldVal="6599"/>
    <row newVal="5792" oldVal="6600"/>
    <row newVal="5793" oldVal="6601"/>
    <row newVal="5794" oldVal="4567"/>
    <row newVal="5795" oldVal="4568"/>
    <row newVal="5796" oldVal="4569"/>
    <row newVal="5797" oldVal="4570"/>
    <row newVal="5798" oldVal="4571"/>
    <row newVal="5799" oldVal="4572"/>
    <row newVal="5800" oldVal="4573"/>
    <row newVal="5801" oldVal="4574"/>
    <row newVal="5802" oldVal="4575"/>
    <row newVal="5803" oldVal="4576"/>
    <row newVal="5804" oldVal="4577"/>
    <row newVal="5805" oldVal="4578"/>
    <row newVal="5806" oldVal="4579"/>
    <row newVal="5807" oldVal="4580"/>
    <row newVal="5808" oldVal="4581"/>
    <row newVal="5809" oldVal="4582"/>
    <row newVal="5810" oldVal="4583"/>
    <row newVal="5811" oldVal="4584"/>
    <row newVal="5812" oldVal="4585"/>
    <row newVal="5813" oldVal="4586"/>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6602"/>
    <row newVal="5844" oldVal="6603"/>
    <row newVal="5845" oldVal="6604"/>
    <row newVal="5846" oldVal="6605"/>
    <row newVal="5847" oldVal="6606"/>
    <row newVal="5848" oldVal="6607"/>
    <row newVal="5849" oldVal="6608"/>
    <row newVal="5850" oldVal="6609"/>
    <row newVal="5851" oldVal="6610"/>
    <row newVal="5852" oldVal="6611"/>
    <row newVal="5853" oldVal="5574"/>
    <row newVal="5854" oldVal="4616"/>
    <row newVal="5855" oldVal="4617"/>
    <row newVal="5856" oldVal="6612"/>
    <row newVal="5857" oldVal="6613"/>
    <row newVal="5858" oldVal="6614"/>
    <row newVal="5859" oldVal="6615"/>
    <row newVal="5860" oldVal="6616"/>
    <row newVal="5861" oldVal="6617"/>
    <row newVal="5862" oldVal="6618"/>
    <row newVal="5863" oldVal="6619"/>
    <row newVal="5864" oldVal="6620"/>
    <row newVal="5865" oldVal="6621"/>
    <row newVal="5866" oldVal="6622"/>
    <row newVal="5867" oldVal="6623"/>
    <row newVal="5868" oldVal="6624"/>
    <row newVal="5869" oldVal="6625"/>
    <row newVal="5870" oldVal="6626"/>
    <row newVal="5871" oldVal="6627"/>
    <row newVal="5872" oldVal="6628"/>
    <row newVal="5873" oldVal="6629"/>
    <row newVal="5874" oldVal="6630"/>
    <row newVal="5875" oldVal="6631"/>
    <row newVal="5876" oldVal="6632"/>
    <row newVal="5877" oldVal="4945"/>
    <row newVal="5878" oldVal="4618"/>
    <row newVal="5879" oldVal="4947"/>
    <row newVal="5880" oldVal="5931"/>
    <row newVal="5881" oldVal="4619"/>
    <row newVal="5882" oldVal="4620"/>
    <row newVal="5883" oldVal="4621"/>
    <row newVal="5884" oldVal="4952"/>
    <row newVal="5885" oldVal="4622"/>
    <row newVal="5886" oldVal="5575"/>
    <row newVal="5887" oldVal="4623"/>
    <row newVal="5888" oldVal="4955"/>
    <row newVal="5889" oldVal="4624"/>
    <row newVal="5890" oldVal="4625"/>
    <row newVal="5891" oldVal="4626"/>
    <row newVal="5892" oldVal="4627"/>
    <row newVal="5893" oldVal="4628"/>
    <row newVal="5894" oldVal="4629"/>
    <row newVal="5895" oldVal="4630"/>
    <row newVal="5896" oldVal="4631"/>
    <row newVal="5897" oldVal="4632"/>
    <row newVal="5898" oldVal="4633"/>
    <row newVal="5899" oldVal="4634"/>
    <row newVal="5900" oldVal="4635"/>
    <row newVal="5901" oldVal="4636"/>
    <row newVal="5902" oldVal="4637"/>
    <row newVal="5903" oldVal="4638"/>
    <row newVal="5904" oldVal="4639"/>
    <row newVal="5905" oldVal="4640"/>
    <row newVal="5906" oldVal="4641"/>
    <row newVal="5907" oldVal="4642"/>
    <row newVal="5908" oldVal="4643"/>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5004"/>
    <row newVal="5938" oldVal="4672"/>
    <row newVal="5939" oldVal="4673"/>
    <row newVal="5940" oldVal="4674"/>
    <row newVal="5941" oldVal="4675"/>
    <row newVal="5942" oldVal="4676"/>
    <row newVal="5943" oldVal="4677"/>
    <row newVal="5944" oldVal="4678"/>
    <row newVal="5945" oldVal="4679"/>
    <row newVal="5946" oldVal="4680"/>
    <row newVal="5947" oldVal="4681"/>
    <row newVal="5948" oldVal="4682"/>
    <row newVal="5949" oldVal="5016"/>
    <row newVal="5950" oldVal="4683"/>
    <row newVal="5951" oldVal="4684"/>
    <row newVal="5952" oldVal="4685"/>
    <row newVal="5953" oldVal="4686"/>
    <row newVal="5954" oldVal="4687"/>
    <row newVal="5955" oldVal="4688"/>
    <row newVal="5956" oldVal="4689"/>
    <row newVal="5957" oldVal="4690"/>
    <row newVal="5958" oldVal="4691"/>
    <row newVal="5959" oldVal="4692"/>
    <row newVal="5960" oldVal="4693"/>
    <row newVal="5961" oldVal="4694"/>
    <row newVal="5962" oldVal="4695"/>
    <row newVal="5963" oldVal="4696"/>
    <row newVal="5964" oldVal="4697"/>
    <row newVal="5965" oldVal="4698"/>
    <row newVal="5966" oldVal="4699"/>
    <row newVal="5967" oldVal="5034"/>
    <row newVal="5968" oldVal="4700"/>
    <row newVal="5969" oldVal="4701"/>
    <row newVal="5970" oldVal="4702"/>
    <row newVal="5971" oldVal="4703"/>
    <row newVal="5972" oldVal="4704"/>
    <row newVal="5973" oldVal="4705"/>
    <row newVal="5974" oldVal="4706"/>
    <row newVal="5975" oldVal="4707"/>
    <row newVal="5976" oldVal="4708"/>
    <row newVal="5977" oldVal="4709"/>
    <row newVal="5978" oldVal="4710"/>
    <row newVal="5979" oldVal="4711"/>
    <row newVal="5980" oldVal="4712"/>
    <row newVal="5981" oldVal="4713"/>
    <row newVal="5982" oldVal="4714"/>
    <row newVal="5983" oldVal="4715"/>
    <row newVal="5984" oldVal="6633"/>
    <row newVal="5985" oldVal="6634"/>
    <row newVal="5986" oldVal="6635"/>
    <row newVal="5987" oldVal="4716"/>
    <row newVal="5988" oldVal="4717"/>
    <row newVal="5989" oldVal="4718"/>
    <row newVal="5990" oldVal="4719"/>
    <row newVal="5991" oldVal="4720"/>
    <row newVal="5992" oldVal="4721"/>
    <row newVal="5993" oldVal="4722"/>
    <row newVal="5994" oldVal="4723"/>
    <row newVal="5995" oldVal="4724"/>
    <row newVal="5996" oldVal="4725"/>
    <row newVal="5997" oldVal="4726"/>
    <row newVal="5998" oldVal="4727"/>
    <row newVal="5999" oldVal="4728"/>
    <row newVal="6000" oldVal="4729"/>
    <row newVal="6001" oldVal="4730"/>
    <row newVal="6002" oldVal="4731"/>
    <row newVal="6003" oldVal="4732"/>
    <row newVal="6004" oldVal="4733"/>
    <row newVal="6005" oldVal="4734"/>
    <row newVal="6006" oldVal="473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5932"/>
    <row newVal="6047" oldVal="4775"/>
    <row newVal="6048" oldVal="4776"/>
    <row newVal="6049" oldVal="4777"/>
    <row newVal="6050" oldVal="4778"/>
    <row newVal="6051" oldVal="4784"/>
    <row newVal="6052" oldVal="4785"/>
    <row newVal="6053" oldVal="4786"/>
    <row newVal="6054" oldVal="5915"/>
    <row newVal="6055" oldVal="5916"/>
    <row newVal="6056" oldVal="5917"/>
    <row newVal="6057" oldVal="5628"/>
    <row newVal="6058" oldVal="6636"/>
    <row newVal="6059" oldVal="4787"/>
    <row newVal="6060" oldVal="5918"/>
    <row newVal="6061" oldVal="5919"/>
    <row newVal="6062" oldVal="5920"/>
    <row newVal="6063" oldVal="5921"/>
    <row newVal="6064" oldVal="4788"/>
    <row newVal="6065" oldVal="5922"/>
    <row newVal="6066" oldVal="4789"/>
    <row newVal="6067" oldVal="4790"/>
    <row newVal="6068" oldVal="4791"/>
    <row newVal="6069" oldVal="4792"/>
    <row newVal="6070" oldVal="4793"/>
    <row newVal="6071" oldVal="4794"/>
    <row newVal="6072" oldVal="4795"/>
    <row newVal="6073" oldVal="4796"/>
    <row newVal="6074" oldVal="4797"/>
    <row newVal="6075" oldVal="4798"/>
    <row newVal="6076" oldVal="4799"/>
    <row newVal="6077" oldVal="4800"/>
    <row newVal="6078" oldVal="4801"/>
    <row newVal="6079" oldVal="5925"/>
    <row newVal="6080" oldVal="4802"/>
    <row newVal="6081" oldVal="4803"/>
    <row newVal="6082" oldVal="4804"/>
    <row newVal="6083" oldVal="5926"/>
    <row newVal="6084" oldVal="5927"/>
    <row newVal="6085" oldVal="5923"/>
    <row newVal="6086" oldVal="5924"/>
    <row newVal="6087" oldVal="4805"/>
    <row newVal="6088" oldVal="4806"/>
    <row newVal="6089" oldVal="5928"/>
    <row newVal="6090" oldVal="4807"/>
    <row newVal="6091" oldVal="4808"/>
    <row newVal="6092" oldVal="4809"/>
    <row newVal="6093" oldVal="4810"/>
    <row newVal="6094" oldVal="4811"/>
    <row newVal="6095" oldVal="4812"/>
    <row newVal="6097" oldVal="6092"/>
    <row newVal="6099" oldVal="4815"/>
    <row newVal="6100" oldVal="6094"/>
    <row newVal="6101" oldVal="4813"/>
    <row newVal="6102" oldVal="4814"/>
    <row newVal="6103" oldVal="4816"/>
    <row newVal="6104" oldVal="4817"/>
    <row newVal="6105" oldVal="4818"/>
    <row newVal="6108" oldVal="5929"/>
    <row newVal="6109" oldVal="5930"/>
    <row newVal="6110" oldVal="4819"/>
    <row newVal="6111" oldVal="4820"/>
    <row newVal="6112" oldVal="4821"/>
    <row newVal="6113" oldVal="4822"/>
    <row newVal="6114" oldVal="4823"/>
    <row newVal="6115" oldVal="4824"/>
    <row newVal="6116" oldVal="4825"/>
    <row newVal="6118" oldVal="4826"/>
    <row newVal="6119" oldVal="4827"/>
    <row newVal="6120" oldVal="4828"/>
    <row newVal="6121" oldVal="5568"/>
    <row newVal="6122" oldVal="4829"/>
    <row newVal="6123" oldVal="4830"/>
    <row newVal="6124" oldVal="4831"/>
    <row newVal="6125" oldVal="4832"/>
    <row newVal="6126" oldVal="4833"/>
    <row newVal="6127" oldVal="4834"/>
    <row newVal="6128" oldVal="4835"/>
    <row newVal="6129" oldVal="6125"/>
    <row newVal="6130" oldVal="4836"/>
    <row newVal="6138" oldVal="4837"/>
    <row newVal="6144" oldVal="4838"/>
    <row newVal="6145" oldVal="4839"/>
    <row newVal="6149" oldVal="6130"/>
    <row newVal="6150" oldVal="4840"/>
    <row newVal="6151" oldVal="4841"/>
    <row newVal="6152" oldVal="4842"/>
    <row newVal="6153" oldVal="4843"/>
    <row newVal="6154" oldVal="4844"/>
    <row newVal="6155" oldVal="4845"/>
    <row newVal="6156" oldVal="4846"/>
    <row newVal="6158" oldVal="4847"/>
    <row newVal="6159" oldVal="4848"/>
    <row newVal="6161" oldVal="4849"/>
    <row newVal="6162" oldVal="4850"/>
    <row newVal="6163" oldVal="4851"/>
    <row newVal="6164" oldVal="4852"/>
    <row newVal="6165" oldVal="4853"/>
    <row newVal="6166" oldVal="4854"/>
    <row newVal="6167" oldVal="4855"/>
    <row newVal="6168" oldVal="4856"/>
    <row newVal="6169" oldVal="4857"/>
    <row newVal="6170" oldVal="4858"/>
    <row newVal="6171" oldVal="5564"/>
    <row newVal="6172" oldVal="5565"/>
    <row newVal="6173" oldVal="4859"/>
    <row newVal="6174" oldVal="5566"/>
    <row newVal="6175" oldVal="6637"/>
    <row newVal="6176" oldVal="6638"/>
    <row newVal="6177" oldVal="6639"/>
    <row newVal="6178" oldVal="4860"/>
    <row newVal="6179" oldVal="4861"/>
    <row newVal="6180" oldVal="4862"/>
    <row newVal="6181" oldVal="4863"/>
    <row newVal="6182" oldVal="4864"/>
    <row newVal="6183" oldVal="4865"/>
    <row newVal="6184" oldVal="4866"/>
    <row newVal="6185" oldVal="4867"/>
    <row newVal="6186" oldVal="4868"/>
    <row newVal="6187" oldVal="4869"/>
    <row newVal="6188" oldVal="4870"/>
    <row newVal="6189" oldVal="4871"/>
    <row newVal="6190" oldVal="4872"/>
    <row newVal="6191" oldVal="4873"/>
    <row newVal="6192" oldVal="4874"/>
    <row newVal="6193" oldVal="4875"/>
    <row newVal="6194" oldVal="4876"/>
    <row newVal="6195" oldVal="4877"/>
    <row newVal="6196" oldVal="4878"/>
    <row newVal="6197" oldVal="4879"/>
    <row newVal="6198" oldVal="4880"/>
    <row newVal="6199" oldVal="4881"/>
    <row newVal="6200" oldVal="4882"/>
    <row newVal="6201" oldVal="5588"/>
    <row newVal="6202" oldVal="4883"/>
    <row newVal="6203" oldVal="6640"/>
    <row newVal="6204" oldVal="4884"/>
    <row newVal="6205" oldVal="6032"/>
    <row newVal="6206" oldVal="4885"/>
    <row newVal="6207" oldVal="4886"/>
    <row newVal="6208" oldVal="4887"/>
    <row newVal="6209" oldVal="4888"/>
    <row newVal="6210" oldVal="4889"/>
    <row newVal="6211" oldVal="6072"/>
    <row newVal="6212" oldVal="6059"/>
    <row newVal="6213" oldVal="6060"/>
    <row newVal="6214" oldVal="6061"/>
    <row newVal="6215" oldVal="6062"/>
    <row newVal="6216" oldVal="6067"/>
    <row newVal="6217" oldVal="6641"/>
    <row newVal="6218" oldVal="4891"/>
    <row newVal="6219" oldVal="5939"/>
    <row newVal="6220" oldVal="5690"/>
    <row newVal="6221" oldVal="5940"/>
    <row newVal="6222" oldVal="5692"/>
    <row newVal="6223" oldVal="5941"/>
    <row newVal="6224" oldVal="5942"/>
    <row newVal="6225" oldVal="5943"/>
    <row newVal="6226" oldVal="5674"/>
    <row newVal="6227" oldVal="5944"/>
    <row newVal="6228" oldVal="5945"/>
    <row newVal="6229" oldVal="5946"/>
    <row newVal="6230" oldVal="6642"/>
    <row newVal="6231" oldVal="5947"/>
    <row newVal="6232" oldVal="5948"/>
    <row newVal="6233" oldVal="5949"/>
    <row newVal="6234" oldVal="5950"/>
    <row newVal="6235" oldVal="5951"/>
    <row newVal="6236" oldVal="5952"/>
    <row newVal="6237" oldVal="5953"/>
    <row newVal="6238" oldVal="5954"/>
    <row newVal="6239" oldVal="5955"/>
    <row newVal="6240" oldVal="5956"/>
    <row newVal="6241" oldVal="5718"/>
    <row newVal="6242" oldVal="5957"/>
    <row newVal="6243" oldVal="5958"/>
    <row newVal="6244" oldVal="5959"/>
    <row newVal="6245" oldVal="5960"/>
    <row newVal="6246" oldVal="5961"/>
    <row newVal="6247" oldVal="5706"/>
    <row newVal="6248" oldVal="6007"/>
    <row newVal="6249" oldVal="5689"/>
    <row newVal="6250" oldVal="5962"/>
    <row newVal="6251" oldVal="5963"/>
    <row newVal="6252" oldVal="5707"/>
    <row newVal="6253" oldVal="5708"/>
    <row newVal="6254" oldVal="5709"/>
    <row newVal="6255" oldVal="5964"/>
    <row newVal="6256" oldVal="6037"/>
    <row newVal="6257" oldVal="5979"/>
    <row newVal="6258" oldVal="5710"/>
    <row newVal="6259" oldVal="5933"/>
    <row newVal="6260" oldVal="5934"/>
    <row newVal="6261" oldVal="5935"/>
    <row newVal="6262" oldVal="5936"/>
    <row newVal="6263" oldVal="6074"/>
    <row newVal="6264" oldVal="5937"/>
    <row newVal="6265" oldVal="5938"/>
    <row newVal="6266" oldVal="4894"/>
    <row newVal="6267" oldVal="4895"/>
    <row newVal="6268" oldVal="4896"/>
    <row newVal="6269" oldVal="4897"/>
    <row newVal="6270" oldVal="4898"/>
    <row newVal="6271" oldVal="4899"/>
    <row newVal="6272" oldVal="4900"/>
    <row newVal="6273" oldVal="4901"/>
    <row newVal="6274" oldVal="4902"/>
    <row newVal="6275" oldVal="4903"/>
    <row newVal="6276" oldVal="4904"/>
    <row newVal="6277" oldVal="4905"/>
    <row newVal="6278" oldVal="4906"/>
    <row newVal="6279" oldVal="4907"/>
    <row newVal="6280" oldVal="4908"/>
    <row newVal="6281" oldVal="4909"/>
    <row newVal="6282" oldVal="4910"/>
    <row newVal="6283" oldVal="4911"/>
    <row newVal="6284" oldVal="4912"/>
    <row newVal="6285" oldVal="4913"/>
    <row newVal="6286" oldVal="4914"/>
    <row newVal="6287" oldVal="4915"/>
    <row newVal="6288" oldVal="4916"/>
    <row newVal="6289" oldVal="4917"/>
    <row newVal="6290" oldVal="4918"/>
    <row newVal="6291" oldVal="4919"/>
    <row newVal="6292" oldVal="4920"/>
    <row newVal="6293" oldVal="4921"/>
    <row newVal="6294" oldVal="4922"/>
    <row newVal="6295" oldVal="4923"/>
    <row newVal="6296" oldVal="4924"/>
    <row newVal="6297" oldVal="4925"/>
    <row newVal="6298" oldVal="4926"/>
    <row newVal="6299" oldVal="4927"/>
    <row newVal="6300" oldVal="4928"/>
    <row newVal="6301" oldVal="4929"/>
    <row newVal="6302" oldVal="4930"/>
    <row newVal="6303" oldVal="4931"/>
    <row newVal="6304" oldVal="4932"/>
    <row newVal="6305" oldVal="4933"/>
    <row newVal="6306" oldVal="4934"/>
    <row newVal="6307" oldVal="4935"/>
    <row newVal="6308" oldVal="4936"/>
    <row newVal="6309" oldVal="4937"/>
    <row newVal="6310" oldVal="4938"/>
    <row newVal="6311" oldVal="4939"/>
    <row newVal="6312" oldVal="4940"/>
    <row newVal="6313" oldVal="4941"/>
    <row newVal="6314" oldVal="4942"/>
    <row newVal="6315" oldVal="5975"/>
    <row newVal="6316" oldVal="4943"/>
    <row newVal="6317" oldVal="4944"/>
    <row newVal="6318" oldVal="4946"/>
    <row newVal="6319" oldVal="4948"/>
    <row newVal="6320" oldVal="4949"/>
    <row newVal="6321" oldVal="4950"/>
    <row newVal="6322" oldVal="4951"/>
    <row newVal="6323" oldVal="4953"/>
    <row newVal="6324" oldVal="5976"/>
    <row newVal="6325" oldVal="4954"/>
    <row newVal="6326" oldVal="4956"/>
    <row newVal="6327" oldVal="4957"/>
    <row newVal="6328" oldVal="4958"/>
    <row newVal="6329" oldVal="4959"/>
    <row newVal="6330" oldVal="4960"/>
    <row newVal="6331" oldVal="4961"/>
    <row newVal="6332" oldVal="5567"/>
    <row newVal="6333" oldVal="4962"/>
    <row newVal="6334" oldVal="4963"/>
    <row newVal="6335" oldVal="4964"/>
    <row newVal="6336" oldVal="4965"/>
    <row newVal="6337" oldVal="4966"/>
    <row newVal="6338" oldVal="4967"/>
    <row newVal="6339" oldVal="4968"/>
    <row newVal="6341" oldVal="4969"/>
    <row newVal="6342" oldVal="4970"/>
    <row newVal="6343" oldVal="4971"/>
    <row newVal="6344" oldVal="6643"/>
    <row newVal="6345" oldVal="4972"/>
    <row newVal="6346" oldVal="4973"/>
    <row newVal="6347" oldVal="4974"/>
    <row newVal="6348" oldVal="4975"/>
    <row newVal="6349" oldVal="4976"/>
    <row newVal="6350" oldVal="4977"/>
    <row newVal="6351" oldVal="4978"/>
    <row newVal="6352" oldVal="4979"/>
    <row newVal="6353" oldVal="4980"/>
    <row newVal="6354" oldVal="4981"/>
    <row newVal="6355" oldVal="4982"/>
    <row newVal="6356" oldVal="4983"/>
    <row newVal="6357" oldVal="4984"/>
    <row newVal="6358" oldVal="4985"/>
    <row newVal="6359" oldVal="4986"/>
    <row newVal="6360" oldVal="4987"/>
    <row newVal="6361" oldVal="4988"/>
    <row newVal="6362" oldVal="4989"/>
    <row newVal="6363" oldVal="4990"/>
    <row newVal="6364" oldVal="4991"/>
    <row newVal="6365" oldVal="4992"/>
    <row newVal="6366" oldVal="4993"/>
    <row newVal="6367" oldVal="4994"/>
    <row newVal="6368" oldVal="4995"/>
    <row newVal="6369" oldVal="4996"/>
    <row newVal="6370" oldVal="4997"/>
    <row newVal="6371" oldVal="4998"/>
    <row newVal="6372" oldVal="4999"/>
    <row newVal="6373" oldVal="5000"/>
    <row newVal="6374" oldVal="5001"/>
    <row newVal="6375" oldVal="5002"/>
    <row newVal="6376" oldVal="5003"/>
    <row newVal="6377" oldVal="5005"/>
    <row newVal="6378" oldVal="5006"/>
    <row newVal="6379" oldVal="5007"/>
    <row newVal="6380" oldVal="5008"/>
    <row newVal="6381" oldVal="5009"/>
    <row newVal="6382" oldVal="5010"/>
    <row newVal="6383" oldVal="5011"/>
    <row newVal="6384" oldVal="5012"/>
    <row newVal="6385" oldVal="5013"/>
    <row newVal="6386" oldVal="5014"/>
    <row newVal="6387" oldVal="5015"/>
    <row newVal="6388" oldVal="5017"/>
    <row newVal="6389" oldVal="5018"/>
    <row newVal="6390" oldVal="5019"/>
    <row newVal="6391" oldVal="5020"/>
    <row newVal="6392" oldVal="5021"/>
    <row newVal="6393" oldVal="5022"/>
    <row newVal="6394" oldVal="5023"/>
    <row newVal="6395" oldVal="5024"/>
    <row newVal="6396" oldVal="5025"/>
    <row newVal="6397" oldVal="5026"/>
    <row newVal="6398" oldVal="5027"/>
    <row newVal="6399" oldVal="5028"/>
    <row newVal="6400" oldVal="5029"/>
    <row newVal="6401" oldVal="5030"/>
    <row newVal="6402" oldVal="5031"/>
    <row newVal="6403" oldVal="5032"/>
    <row newVal="6404" oldVal="5033"/>
    <row newVal="6405" oldVal="5035"/>
    <row newVal="6406" oldVal="5036"/>
    <row newVal="6407" oldVal="5037"/>
    <row newVal="6411" oldVal="5038"/>
    <row newVal="6412" oldVal="5039"/>
    <row newVal="6413" oldVal="5040"/>
    <row newVal="6414" oldVal="5041"/>
    <row newVal="6415" oldVal="5042"/>
    <row newVal="6416" oldVal="5043"/>
    <row newVal="6417" oldVal="5044"/>
    <row newVal="6418" oldVal="5045"/>
    <row newVal="6419" oldVal="5046"/>
    <row newVal="6420" oldVal="5047"/>
    <row newVal="6421" oldVal="5048"/>
    <row newVal="6422" oldVal="5049"/>
    <row newVal="6423" oldVal="5050"/>
    <row newVal="6424" oldVal="5051"/>
    <row newVal="6425" oldVal="5052"/>
    <row newVal="6426" oldVal="5053"/>
    <row newVal="6427" oldVal="5054"/>
    <row newVal="6428" oldVal="5055"/>
    <row newVal="6429" oldVal="5056"/>
    <row newVal="6430" oldVal="5057"/>
    <row newVal="6431" oldVal="5058"/>
    <row newVal="6432" oldVal="5059"/>
    <row newVal="6433" oldVal="5060"/>
    <row newVal="6434" oldVal="5061"/>
    <row newVal="6435" oldVal="5062"/>
    <row newVal="6436" oldVal="5063"/>
    <row newVal="6437" oldVal="5064"/>
    <row newVal="6438" oldVal="5065"/>
    <row newVal="6439" oldVal="5066"/>
    <row newVal="6440" oldVal="5067"/>
    <row newVal="6441" oldVal="5068"/>
    <row newVal="6442" oldVal="5069"/>
    <row newVal="6443" oldVal="5070"/>
    <row newVal="6444" oldVal="5071"/>
    <row newVal="6445" oldVal="5072"/>
    <row newVal="6446" oldVal="5073"/>
    <row newVal="6447" oldVal="5074"/>
    <row newVal="6448" oldVal="5075"/>
    <row newVal="6449" oldVal="5076"/>
    <row newVal="6450" oldVal="5077"/>
    <row newVal="6451" oldVal="5078"/>
    <row newVal="6452" oldVal="5079"/>
    <row newVal="6453" oldVal="5080"/>
    <row newVal="6454" oldVal="5081"/>
    <row newVal="6455" oldVal="5082"/>
    <row newVal="6456" oldVal="5083"/>
    <row newVal="6457" oldVal="5084"/>
    <row newVal="6458" oldVal="5085"/>
    <row newVal="6459" oldVal="5086"/>
    <row newVal="6460" oldVal="5087"/>
    <row newVal="6461" oldVal="5088"/>
    <row newVal="6462" oldVal="5089"/>
    <row newVal="6463" oldVal="5090"/>
    <row newVal="6464" oldVal="5091"/>
    <row newVal="6465" oldVal="5092"/>
    <row newVal="6466" oldVal="5093"/>
    <row newVal="6467" oldVal="5094"/>
    <row newVal="6468" oldVal="5095"/>
    <row newVal="6469" oldVal="5096"/>
    <row newVal="6470" oldVal="5097"/>
    <row newVal="6471" oldVal="5098"/>
    <row newVal="6472" oldVal="5099"/>
    <row newVal="6473" oldVal="5100"/>
    <row newVal="6474" oldVal="5101"/>
    <row newVal="6475" oldVal="5102"/>
    <row newVal="6476" oldVal="5103"/>
    <row newVal="6477" oldVal="5104"/>
    <row newVal="6478" oldVal="5105"/>
    <row newVal="6479" oldVal="5106"/>
    <row newVal="6480" oldVal="5107"/>
    <row newVal="6481" oldVal="5108"/>
    <row newVal="6482" oldVal="5109"/>
    <row newVal="6483" oldVal="5110"/>
    <row newVal="6484" oldVal="5111"/>
    <row newVal="6485" oldVal="5112"/>
    <row newVal="6486" oldVal="5113"/>
    <row newVal="6487" oldVal="5114"/>
    <row newVal="6488" oldVal="5120"/>
    <row newVal="6489" oldVal="5121"/>
    <row newVal="6490" oldVal="5122"/>
    <row newVal="6491" oldVal="5123"/>
    <row newVal="6492" oldVal="5124"/>
    <row newVal="6493" oldVal="5125"/>
    <row newVal="6494" oldVal="6035"/>
    <row newVal="6495" oldVal="5126"/>
    <row newVal="6496" oldVal="5127"/>
    <row newVal="6497" oldVal="5128"/>
    <row newVal="6498" oldVal="5129"/>
    <row newVal="6499" oldVal="5130"/>
    <row newVal="6500" oldVal="5131"/>
    <row newVal="6501" oldVal="5132"/>
    <row newVal="6502" oldVal="5133"/>
    <row newVal="6503" oldVal="5134"/>
    <row newVal="6504" oldVal="5135"/>
    <row newVal="6505" oldVal="5136"/>
    <row newVal="6506" oldVal="5137"/>
    <row newVal="6507" oldVal="5138"/>
    <row newVal="6508" oldVal="5139"/>
    <row newVal="6509" oldVal="5140"/>
    <row newVal="6510" oldVal="5141"/>
    <row newVal="6511" oldVal="5142"/>
    <row newVal="6512" oldVal="5143"/>
    <row newVal="6513" oldVal="5144"/>
    <row newVal="6514" oldVal="5145"/>
    <row newVal="6515" oldVal="5146"/>
    <row newVal="6516" oldVal="5147"/>
    <row newVal="6517" oldVal="5148"/>
    <row newVal="6518" oldVal="5149"/>
    <row newVal="6519" oldVal="5150"/>
    <row newVal="6520" oldVal="5151"/>
    <row newVal="6521" oldVal="5152"/>
    <row newVal="6522" oldVal="5153"/>
    <row newVal="6523" oldVal="5154"/>
    <row newVal="6524" oldVal="5155"/>
    <row newVal="6525" oldVal="5156"/>
    <row newVal="6526" oldVal="5157"/>
    <row newVal="6527" oldVal="5158"/>
    <row newVal="6528" oldVal="5159"/>
    <row newVal="6529" oldVal="5160"/>
    <row newVal="6530" oldVal="5161"/>
    <row newVal="6531" oldVal="5162"/>
    <row newVal="6532" oldVal="5163"/>
    <row newVal="6533" oldVal="5164"/>
    <row newVal="6534" oldVal="5165"/>
    <row newVal="6535" oldVal="5166"/>
    <row newVal="6536" oldVal="5167"/>
    <row newVal="6537" oldVal="5168"/>
    <row newVal="6538" oldVal="5169"/>
    <row newVal="6539" oldVal="5170"/>
    <row newVal="6540" oldVal="5171"/>
    <row newVal="6541" oldVal="5172"/>
    <row newVal="6542" oldVal="5173"/>
    <row newVal="6543" oldVal="5174"/>
    <row newVal="6544" oldVal="5175"/>
    <row newVal="6545" oldVal="5176"/>
    <row newVal="6546" oldVal="5177"/>
    <row newVal="6547" oldVal="5178"/>
    <row newVal="6548" oldVal="5179"/>
    <row newVal="6549" oldVal="5180"/>
    <row newVal="6550" oldVal="5969"/>
    <row newVal="6551" oldVal="5181"/>
    <row newVal="6552" oldVal="5182"/>
    <row newVal="6553" oldVal="5183"/>
    <row newVal="6554" oldVal="5184"/>
    <row newVal="6555" oldVal="5185"/>
    <row newVal="6556" oldVal="5186"/>
    <row newVal="6557" oldVal="5187"/>
    <row newVal="6558" oldVal="5188"/>
    <row newVal="6559" oldVal="5189"/>
    <row newVal="6560" oldVal="5190"/>
    <row newVal="6561" oldVal="5191"/>
    <row newVal="6562" oldVal="5192"/>
    <row newVal="6563" oldVal="5193"/>
    <row newVal="6564" oldVal="5194"/>
    <row newVal="6565" oldVal="5195"/>
    <row newVal="6566" oldVal="5196"/>
    <row newVal="6567" oldVal="5197"/>
    <row newVal="6568" oldVal="5198"/>
    <row newVal="6569" oldVal="5199"/>
    <row newVal="6570" oldVal="5200"/>
    <row newVal="6571" oldVal="5201"/>
    <row newVal="6572" oldVal="5202"/>
    <row newVal="6573" oldVal="5203"/>
    <row newVal="6574" oldVal="5204"/>
    <row newVal="6575" oldVal="5205"/>
    <row newVal="6576" oldVal="5206"/>
    <row newVal="6577" oldVal="5207"/>
    <row newVal="6578" oldVal="5208"/>
    <row newVal="6579" oldVal="5209"/>
    <row newVal="6580" oldVal="5210"/>
    <row newVal="6581" oldVal="5965"/>
    <row newVal="6582" oldVal="5966"/>
    <row newVal="6583" oldVal="5211"/>
    <row newVal="6584" oldVal="5967"/>
    <row newVal="6585" oldVal="5212"/>
    <row newVal="6586" oldVal="5213"/>
    <row newVal="6587" oldVal="5214"/>
    <row newVal="6588" oldVal="5215"/>
    <row newVal="6589" oldVal="5216"/>
    <row newVal="6590" oldVal="5217"/>
    <row newVal="6591" oldVal="5218"/>
    <row newVal="6592" oldVal="5219"/>
    <row newVal="6593" oldVal="5220"/>
    <row newVal="6594" oldVal="5221"/>
    <row newVal="6595" oldVal="5222"/>
    <row newVal="6596" oldVal="5223"/>
    <row newVal="6597" oldVal="5224"/>
    <row newVal="6598" oldVal="5225"/>
    <row newVal="6599" oldVal="5226"/>
    <row newVal="6600" oldVal="5227"/>
    <row newVal="6601" oldVal="5228"/>
    <row newVal="6602" oldVal="5229"/>
    <row newVal="6603" oldVal="5230"/>
    <row newVal="6604" oldVal="5231"/>
    <row newVal="6605" oldVal="5232"/>
    <row newVal="6606" oldVal="5233"/>
    <row newVal="6607" oldVal="5234"/>
    <row newVal="6608" oldVal="5995"/>
    <row newVal="6609" oldVal="5235"/>
    <row newVal="6610" oldVal="5236"/>
    <row newVal="6611" oldVal="5237"/>
    <row newVal="6612" oldVal="5238"/>
    <row newVal="6613" oldVal="5239"/>
    <row newVal="6614" oldVal="5240"/>
    <row newVal="6615" oldVal="5241"/>
    <row newVal="6616" oldVal="5242"/>
    <row newVal="6617" oldVal="5243"/>
    <row newVal="6618" oldVal="5244"/>
    <row newVal="6619" oldVal="5245"/>
    <row newVal="6620" oldVal="5246"/>
    <row newVal="6621" oldVal="5247"/>
    <row newVal="6622" oldVal="5248"/>
    <row newVal="6623" oldVal="5250"/>
    <row newVal="6624" oldVal="5254"/>
    <row newVal="6625" oldVal="5255"/>
    <row newVal="6626" oldVal="5256"/>
    <row newVal="6627" oldVal="5257"/>
    <row newVal="6628" oldVal="5258"/>
    <row newVal="6629" oldVal="5259"/>
    <row newVal="6630" oldVal="5260"/>
    <row newVal="6631" oldVal="5261"/>
    <row newVal="6632" oldVal="5262"/>
    <row newVal="6633" oldVal="5263"/>
    <row newVal="6634" oldVal="5264"/>
    <row newVal="6635" oldVal="5265"/>
    <row newVal="6636" oldVal="5266"/>
    <row newVal="6637" oldVal="5267"/>
    <row newVal="6638" oldVal="5268"/>
    <row newVal="6639" oldVal="5269"/>
    <row newVal="6640" oldVal="5270"/>
    <row newVal="6641" oldVal="5271"/>
    <row newVal="6642" oldVal="6120"/>
    <row newVal="6643" oldVal="6155"/>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Inventario</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Anahí Morales</cp:lastModifiedBy>
  <dcterms:created xsi:type="dcterms:W3CDTF">2016-11-01T17:36:52Z</dcterms:created>
  <dcterms:modified xsi:type="dcterms:W3CDTF">2024-10-31T13:24:45Z</dcterms:modified>
</cp:coreProperties>
</file>